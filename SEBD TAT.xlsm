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70" windowWidth="20730" windowHeight="11640" firstSheet="13" activeTab="16"/>
  </bookViews>
  <sheets>
    <sheet name="Instructions" sheetId="16" r:id="rId1"/>
    <sheet name="JAN 2015" sheetId="1" r:id="rId2"/>
    <sheet name="FEB 2015" sheetId="2" r:id="rId3"/>
    <sheet name="MAR 2015" sheetId="6" r:id="rId4"/>
    <sheet name="APRIL 2015" sheetId="5" r:id="rId5"/>
    <sheet name="MAY 2015" sheetId="4" r:id="rId6"/>
    <sheet name="JUNE 2015" sheetId="3" r:id="rId7"/>
    <sheet name="July" sheetId="9" r:id="rId8"/>
    <sheet name="August" sheetId="7" r:id="rId9"/>
    <sheet name="Sept" sheetId="8" r:id="rId10"/>
    <sheet name="Oct" sheetId="10" r:id="rId11"/>
    <sheet name="Nov" sheetId="11" r:id="rId12"/>
    <sheet name="Dec" sheetId="14" r:id="rId13"/>
    <sheet name="JAN 2016" sheetId="15" r:id="rId14"/>
    <sheet name="FEB 2016" sheetId="17" r:id="rId15"/>
    <sheet name="FEB 2016 BMP redux" sheetId="18" r:id="rId16"/>
    <sheet name="MAR 2016" sheetId="19" r:id="rId17"/>
  </sheets>
  <definedNames>
    <definedName name="Beg_Bal">#REF!</definedName>
    <definedName name="Cum_Int">#REF!</definedName>
    <definedName name="Data">#REF!</definedName>
    <definedName name="End_Bal">#REF!</definedName>
    <definedName name="Extra_Pay">#REF!</definedName>
    <definedName name="Full_Print">#REF!</definedName>
    <definedName name="Header_Row">ROW(#REF!)</definedName>
    <definedName name="Int">#REF!</definedName>
    <definedName name="Interest_Rate">#REF!</definedName>
    <definedName name="Last_Row">IF(Values_Entered,Header_Row+Number_of_Payments,Header_Row)</definedName>
    <definedName name="Loan_Amount">#REF!</definedName>
    <definedName name="Loan_Start">#REF!</definedName>
    <definedName name="Loan_Years">#REF!</definedName>
    <definedName name="Num_Pmt_Per_Year">#REF!</definedName>
    <definedName name="Number_of_Payments">MATCH(0.01,End_Bal,-1)+1</definedName>
    <definedName name="Pay_Date">#REF!</definedName>
    <definedName name="Pay_Num">#REF!</definedName>
    <definedName name="Payment_Date">DATE(YEAR(Loan_Start),MONTH(Loan_Start)+Payment_Number,DAY(Loan_Start))</definedName>
    <definedName name="Princ">#REF!</definedName>
    <definedName name="Print_Area_Reset">OFFSET(Full_Print,0,0,Last_Row)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Total_Interest">#REF!</definedName>
    <definedName name="Total_Pay">#REF!</definedName>
    <definedName name="Values_Entered">IF(Loan_Amount*Interest_Rate*Loan_Years*Loan_Start&gt;0,1,0)</definedName>
  </definedNames>
  <calcPr calcId="145621"/>
</workbook>
</file>

<file path=xl/calcChain.xml><?xml version="1.0" encoding="utf-8"?>
<calcChain xmlns="http://schemas.openxmlformats.org/spreadsheetml/2006/main">
  <c r="M8" i="19" l="1"/>
  <c r="M7" i="19"/>
  <c r="M6" i="19"/>
  <c r="M5" i="19"/>
  <c r="M4" i="19"/>
  <c r="L8" i="19"/>
  <c r="L7" i="19"/>
  <c r="L5" i="19"/>
  <c r="L6" i="19"/>
  <c r="L4" i="19"/>
  <c r="K8" i="19"/>
  <c r="K7" i="19"/>
  <c r="K6" i="19"/>
  <c r="K5" i="19"/>
  <c r="K4" i="19"/>
  <c r="E412" i="19"/>
  <c r="E413" i="19"/>
  <c r="E414" i="19"/>
  <c r="E415" i="19"/>
  <c r="E416" i="19"/>
  <c r="E417" i="19"/>
  <c r="E418" i="19"/>
  <c r="E419" i="19"/>
  <c r="E420" i="19"/>
  <c r="E421" i="19"/>
  <c r="E422" i="19"/>
  <c r="E423" i="19"/>
  <c r="E424" i="19"/>
  <c r="E425" i="19"/>
  <c r="E426" i="19"/>
  <c r="E427" i="19"/>
  <c r="E428" i="19"/>
  <c r="E429" i="19"/>
  <c r="E430" i="19"/>
  <c r="E431" i="19"/>
  <c r="E432" i="19"/>
  <c r="E433" i="19"/>
  <c r="E434" i="19"/>
  <c r="E435" i="19"/>
  <c r="E436" i="19"/>
  <c r="E437" i="19"/>
  <c r="E438" i="19"/>
  <c r="E439" i="19"/>
  <c r="E440" i="19"/>
  <c r="E441" i="19"/>
  <c r="E442" i="19"/>
  <c r="E443" i="19"/>
  <c r="E444" i="19"/>
  <c r="E445" i="19"/>
  <c r="E446" i="19"/>
  <c r="E447" i="19"/>
  <c r="E448" i="19"/>
  <c r="E449" i="19"/>
  <c r="E450" i="19"/>
  <c r="E451" i="19"/>
  <c r="E452" i="19"/>
  <c r="E453" i="19"/>
  <c r="E454" i="19"/>
  <c r="E455" i="19"/>
  <c r="E456" i="19"/>
  <c r="E457" i="19"/>
  <c r="E458" i="19"/>
  <c r="E459" i="19"/>
  <c r="E460" i="19"/>
  <c r="E461" i="19"/>
  <c r="E462" i="19"/>
  <c r="E463" i="19"/>
  <c r="E464" i="19"/>
  <c r="E465" i="19"/>
  <c r="E466" i="19"/>
  <c r="E467" i="19"/>
  <c r="E468" i="19"/>
  <c r="E469" i="19"/>
  <c r="E470" i="19"/>
  <c r="E471" i="19"/>
  <c r="E472" i="19"/>
  <c r="E473" i="19"/>
  <c r="E474" i="19"/>
  <c r="E475" i="19"/>
  <c r="E476" i="19"/>
  <c r="E477" i="19"/>
  <c r="E478" i="19"/>
  <c r="E479" i="19"/>
  <c r="E480" i="19"/>
  <c r="E481" i="19"/>
  <c r="E482" i="19"/>
  <c r="E483" i="19"/>
  <c r="E484" i="19"/>
  <c r="E485" i="19"/>
  <c r="E486" i="19"/>
  <c r="E487" i="19"/>
  <c r="E488" i="19"/>
  <c r="E489" i="19"/>
  <c r="E490" i="19"/>
  <c r="E491" i="19"/>
  <c r="E492" i="19"/>
  <c r="E493" i="19"/>
  <c r="E494" i="19"/>
  <c r="E495" i="19"/>
  <c r="E496" i="19"/>
  <c r="E497" i="19"/>
  <c r="E498" i="19"/>
  <c r="E499" i="19"/>
  <c r="E500" i="19"/>
  <c r="E501" i="19"/>
  <c r="E502" i="19"/>
  <c r="E503" i="19"/>
  <c r="E504" i="19"/>
  <c r="E505" i="19"/>
  <c r="E506" i="19"/>
  <c r="E507" i="19"/>
  <c r="E508" i="19"/>
  <c r="E509" i="19"/>
  <c r="E510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629" i="19"/>
  <c r="E630" i="19"/>
  <c r="E631" i="19"/>
  <c r="E632" i="19"/>
  <c r="E633" i="19"/>
  <c r="E634" i="19"/>
  <c r="E635" i="19"/>
  <c r="E636" i="19"/>
  <c r="E637" i="19"/>
  <c r="E638" i="19"/>
  <c r="E639" i="19"/>
  <c r="E640" i="19"/>
  <c r="E641" i="19"/>
  <c r="E642" i="19"/>
  <c r="E643" i="19"/>
  <c r="E644" i="19"/>
  <c r="E645" i="19"/>
  <c r="E646" i="19"/>
  <c r="E647" i="19"/>
  <c r="E648" i="19"/>
  <c r="E649" i="19"/>
  <c r="E650" i="19"/>
  <c r="E651" i="19"/>
  <c r="E652" i="19"/>
  <c r="E653" i="19"/>
  <c r="E654" i="19"/>
  <c r="E655" i="19"/>
  <c r="E656" i="19"/>
  <c r="E657" i="19"/>
  <c r="E658" i="19"/>
  <c r="E659" i="19"/>
  <c r="E660" i="19"/>
  <c r="E661" i="19"/>
  <c r="E662" i="19"/>
  <c r="E663" i="19"/>
  <c r="E664" i="19"/>
  <c r="E665" i="19"/>
  <c r="E666" i="19"/>
  <c r="E667" i="19"/>
  <c r="E668" i="19"/>
  <c r="E669" i="19"/>
  <c r="E670" i="19"/>
  <c r="E671" i="19"/>
  <c r="E672" i="19"/>
  <c r="E673" i="19"/>
  <c r="E674" i="19"/>
  <c r="E675" i="19"/>
  <c r="E676" i="19"/>
  <c r="E677" i="19"/>
  <c r="E678" i="19"/>
  <c r="E679" i="19"/>
  <c r="E680" i="19"/>
  <c r="E681" i="19"/>
  <c r="E682" i="19"/>
  <c r="E683" i="19"/>
  <c r="E684" i="19"/>
  <c r="E685" i="19"/>
  <c r="E686" i="19"/>
  <c r="E411" i="19"/>
  <c r="E387" i="19"/>
  <c r="E388" i="19"/>
  <c r="E389" i="19"/>
  <c r="E390" i="19"/>
  <c r="E391" i="19"/>
  <c r="E392" i="19"/>
  <c r="E393" i="19"/>
  <c r="E394" i="19"/>
  <c r="E395" i="19"/>
  <c r="E396" i="19"/>
  <c r="E397" i="19"/>
  <c r="E398" i="19"/>
  <c r="E399" i="19"/>
  <c r="E400" i="19"/>
  <c r="E401" i="19"/>
  <c r="E402" i="19"/>
  <c r="E403" i="19"/>
  <c r="E404" i="19"/>
  <c r="E405" i="19"/>
  <c r="E406" i="19"/>
  <c r="E407" i="19"/>
  <c r="E408" i="19"/>
  <c r="E409" i="19"/>
  <c r="E386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E313" i="19"/>
  <c r="E314" i="19"/>
  <c r="E315" i="19"/>
  <c r="E316" i="19"/>
  <c r="E317" i="19"/>
  <c r="E318" i="19"/>
  <c r="E319" i="19"/>
  <c r="E320" i="19"/>
  <c r="E321" i="19"/>
  <c r="E322" i="19"/>
  <c r="E323" i="19"/>
  <c r="E324" i="19"/>
  <c r="E325" i="19"/>
  <c r="E326" i="19"/>
  <c r="E327" i="19"/>
  <c r="E328" i="19"/>
  <c r="E329" i="19"/>
  <c r="E330" i="19"/>
  <c r="E331" i="19"/>
  <c r="E332" i="19"/>
  <c r="E333" i="19"/>
  <c r="E334" i="19"/>
  <c r="E335" i="19"/>
  <c r="E336" i="19"/>
  <c r="E337" i="19"/>
  <c r="E338" i="19"/>
  <c r="E339" i="19"/>
  <c r="E340" i="19"/>
  <c r="E341" i="19"/>
  <c r="E342" i="19"/>
  <c r="E343" i="19"/>
  <c r="E344" i="19"/>
  <c r="E345" i="19"/>
  <c r="E346" i="19"/>
  <c r="E347" i="19"/>
  <c r="E348" i="19"/>
  <c r="E349" i="19"/>
  <c r="E350" i="19"/>
  <c r="E351" i="19"/>
  <c r="E352" i="19"/>
  <c r="E353" i="19"/>
  <c r="E354" i="19"/>
  <c r="E355" i="19"/>
  <c r="E356" i="19"/>
  <c r="E357" i="19"/>
  <c r="E358" i="19"/>
  <c r="E359" i="19"/>
  <c r="E360" i="19"/>
  <c r="E361" i="19"/>
  <c r="E362" i="19"/>
  <c r="E363" i="19"/>
  <c r="E364" i="19"/>
  <c r="E365" i="19"/>
  <c r="E366" i="19"/>
  <c r="E367" i="19"/>
  <c r="E368" i="19"/>
  <c r="E369" i="19"/>
  <c r="E370" i="19"/>
  <c r="E371" i="19"/>
  <c r="E372" i="19"/>
  <c r="E373" i="19"/>
  <c r="E374" i="19"/>
  <c r="E375" i="19"/>
  <c r="E376" i="19"/>
  <c r="E377" i="19"/>
  <c r="E378" i="19"/>
  <c r="E379" i="19"/>
  <c r="E380" i="19"/>
  <c r="E381" i="19"/>
  <c r="E382" i="19"/>
  <c r="E383" i="19"/>
  <c r="E384" i="19"/>
  <c r="E272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68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D492" i="19"/>
  <c r="D493" i="19"/>
  <c r="D494" i="19"/>
  <c r="D495" i="19"/>
  <c r="D496" i="19"/>
  <c r="D497" i="19"/>
  <c r="D498" i="19"/>
  <c r="D499" i="19"/>
  <c r="D500" i="19"/>
  <c r="D501" i="19"/>
  <c r="D502" i="19"/>
  <c r="D503" i="19"/>
  <c r="D504" i="19"/>
  <c r="D505" i="19"/>
  <c r="D506" i="19"/>
  <c r="D507" i="19"/>
  <c r="D508" i="19"/>
  <c r="D509" i="19"/>
  <c r="D510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2" i="19"/>
  <c r="L50" i="17" l="1"/>
  <c r="L49" i="17"/>
  <c r="M48" i="17" s="1"/>
  <c r="L48" i="17"/>
  <c r="L47" i="17"/>
  <c r="M47" i="17" s="1"/>
  <c r="L46" i="17"/>
  <c r="L45" i="17"/>
  <c r="M44" i="17" s="1"/>
  <c r="L44" i="17"/>
  <c r="L43" i="17"/>
  <c r="M43" i="17" s="1"/>
  <c r="L42" i="17"/>
  <c r="L41" i="17"/>
  <c r="M40" i="17" s="1"/>
  <c r="L40" i="17"/>
  <c r="L39" i="17"/>
  <c r="M39" i="17" s="1"/>
  <c r="L38" i="17"/>
  <c r="L37" i="17"/>
  <c r="M36" i="17" s="1"/>
  <c r="L36" i="17"/>
  <c r="L35" i="17"/>
  <c r="M35" i="17" s="1"/>
  <c r="L34" i="17"/>
  <c r="L33" i="17"/>
  <c r="M32" i="17" s="1"/>
  <c r="L32" i="17"/>
  <c r="L31" i="17"/>
  <c r="M31" i="17" s="1"/>
  <c r="L30" i="17"/>
  <c r="L29" i="17"/>
  <c r="M28" i="17" s="1"/>
  <c r="L28" i="17"/>
  <c r="L27" i="17"/>
  <c r="M27" i="17" s="1"/>
  <c r="L26" i="17"/>
  <c r="L25" i="17"/>
  <c r="M24" i="17" s="1"/>
  <c r="L24" i="17"/>
  <c r="L23" i="17"/>
  <c r="M23" i="17" s="1"/>
  <c r="L22" i="17"/>
  <c r="L21" i="17"/>
  <c r="M20" i="17" s="1"/>
  <c r="L20" i="17"/>
  <c r="L19" i="17"/>
  <c r="M19" i="17" s="1"/>
  <c r="L18" i="17"/>
  <c r="L17" i="17"/>
  <c r="M16" i="17" s="1"/>
  <c r="L16" i="17"/>
  <c r="M15" i="17"/>
  <c r="L15" i="17"/>
  <c r="L14" i="17"/>
  <c r="M13" i="17" s="1"/>
  <c r="L13" i="17"/>
  <c r="P13" i="17" s="1"/>
  <c r="M12" i="17"/>
  <c r="L12" i="17"/>
  <c r="M5" i="18"/>
  <c r="M4" i="18"/>
  <c r="M3" i="18"/>
  <c r="J3" i="18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2" i="18"/>
  <c r="I3" i="18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2" i="18"/>
  <c r="M14" i="17" l="1"/>
  <c r="O13" i="17" s="1"/>
  <c r="M17" i="17"/>
  <c r="M21" i="17"/>
  <c r="M25" i="17"/>
  <c r="M29" i="17"/>
  <c r="M33" i="17"/>
  <c r="M37" i="17"/>
  <c r="M41" i="17"/>
  <c r="M45" i="17"/>
  <c r="M49" i="17"/>
  <c r="M18" i="17"/>
  <c r="M22" i="17"/>
  <c r="M26" i="17"/>
  <c r="M30" i="17"/>
  <c r="M34" i="17"/>
  <c r="M38" i="17"/>
  <c r="M42" i="17"/>
  <c r="M46" i="17"/>
  <c r="N7" i="17"/>
  <c r="N6" i="17"/>
  <c r="N5" i="17"/>
  <c r="N4" i="17"/>
  <c r="N3" i="17"/>
  <c r="M7" i="17"/>
  <c r="M6" i="17"/>
  <c r="M5" i="17"/>
  <c r="M4" i="17"/>
  <c r="M3" i="17"/>
  <c r="L7" i="17"/>
  <c r="L6" i="17"/>
  <c r="L5" i="17"/>
  <c r="L4" i="17"/>
  <c r="L3" i="17"/>
  <c r="Q13" i="17" l="1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674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557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326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281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179" i="17"/>
  <c r="E180" i="17"/>
  <c r="E181" i="17"/>
  <c r="E182" i="17"/>
  <c r="E183" i="17"/>
  <c r="E184" i="17"/>
  <c r="E185" i="17"/>
  <c r="E186" i="17"/>
  <c r="E187" i="17"/>
  <c r="E188" i="17"/>
  <c r="E189" i="17"/>
  <c r="E190" i="17"/>
  <c r="E191" i="17"/>
  <c r="E192" i="17"/>
  <c r="E193" i="17"/>
  <c r="E194" i="17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E209" i="17"/>
  <c r="E210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E251" i="17"/>
  <c r="E252" i="17"/>
  <c r="E253" i="17"/>
  <c r="E254" i="17"/>
  <c r="E255" i="17"/>
  <c r="E256" i="17"/>
  <c r="E257" i="17"/>
  <c r="E258" i="17"/>
  <c r="E259" i="17"/>
  <c r="E260" i="17"/>
  <c r="E261" i="17"/>
  <c r="E262" i="17"/>
  <c r="E263" i="17"/>
  <c r="E264" i="17"/>
  <c r="E265" i="17"/>
  <c r="E266" i="17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E281" i="17"/>
  <c r="E282" i="17"/>
  <c r="E283" i="17"/>
  <c r="E284" i="17"/>
  <c r="E285" i="17"/>
  <c r="E286" i="17"/>
  <c r="E287" i="17"/>
  <c r="E288" i="17"/>
  <c r="E289" i="17"/>
  <c r="E290" i="17"/>
  <c r="E291" i="17"/>
  <c r="E292" i="17"/>
  <c r="E293" i="17"/>
  <c r="E294" i="17"/>
  <c r="E295" i="17"/>
  <c r="E296" i="17"/>
  <c r="E297" i="17"/>
  <c r="E298" i="17"/>
  <c r="E299" i="17"/>
  <c r="E300" i="17"/>
  <c r="E301" i="17"/>
  <c r="E302" i="17"/>
  <c r="E303" i="17"/>
  <c r="E304" i="17"/>
  <c r="E305" i="17"/>
  <c r="E306" i="17"/>
  <c r="E307" i="17"/>
  <c r="E308" i="17"/>
  <c r="E309" i="17"/>
  <c r="E310" i="17"/>
  <c r="E311" i="17"/>
  <c r="E312" i="17"/>
  <c r="E313" i="17"/>
  <c r="E314" i="17"/>
  <c r="E315" i="17"/>
  <c r="E316" i="17"/>
  <c r="E317" i="17"/>
  <c r="E318" i="17"/>
  <c r="E319" i="17"/>
  <c r="E320" i="17"/>
  <c r="E321" i="17"/>
  <c r="E322" i="17"/>
  <c r="E323" i="17"/>
  <c r="E324" i="17"/>
  <c r="E325" i="17"/>
  <c r="E326" i="17"/>
  <c r="E327" i="17"/>
  <c r="E328" i="17"/>
  <c r="E329" i="17"/>
  <c r="E330" i="17"/>
  <c r="E331" i="17"/>
  <c r="E332" i="17"/>
  <c r="E333" i="17"/>
  <c r="E334" i="17"/>
  <c r="E335" i="17"/>
  <c r="E336" i="17"/>
  <c r="E337" i="17"/>
  <c r="E338" i="17"/>
  <c r="E339" i="17"/>
  <c r="E340" i="17"/>
  <c r="E341" i="17"/>
  <c r="E342" i="17"/>
  <c r="E343" i="17"/>
  <c r="E344" i="17"/>
  <c r="E345" i="17"/>
  <c r="E346" i="17"/>
  <c r="E347" i="17"/>
  <c r="E348" i="17"/>
  <c r="E349" i="17"/>
  <c r="E350" i="17"/>
  <c r="E351" i="17"/>
  <c r="E352" i="17"/>
  <c r="E353" i="17"/>
  <c r="E354" i="17"/>
  <c r="E355" i="17"/>
  <c r="E356" i="17"/>
  <c r="E357" i="17"/>
  <c r="E358" i="17"/>
  <c r="E359" i="17"/>
  <c r="E360" i="17"/>
  <c r="E361" i="17"/>
  <c r="E362" i="17"/>
  <c r="E363" i="17"/>
  <c r="E364" i="17"/>
  <c r="E365" i="17"/>
  <c r="E366" i="17"/>
  <c r="E367" i="17"/>
  <c r="E368" i="17"/>
  <c r="E369" i="17"/>
  <c r="E370" i="17"/>
  <c r="E371" i="17"/>
  <c r="E372" i="17"/>
  <c r="E373" i="17"/>
  <c r="E374" i="17"/>
  <c r="E375" i="17"/>
  <c r="E376" i="17"/>
  <c r="E377" i="17"/>
  <c r="E378" i="17"/>
  <c r="E379" i="17"/>
  <c r="E380" i="17"/>
  <c r="E381" i="17"/>
  <c r="E382" i="17"/>
  <c r="E383" i="17"/>
  <c r="E384" i="17"/>
  <c r="E385" i="17"/>
  <c r="E386" i="17"/>
  <c r="E387" i="17"/>
  <c r="E388" i="17"/>
  <c r="E389" i="17"/>
  <c r="E390" i="17"/>
  <c r="E391" i="17"/>
  <c r="E392" i="17"/>
  <c r="E393" i="17"/>
  <c r="E394" i="17"/>
  <c r="E395" i="17"/>
  <c r="E396" i="17"/>
  <c r="E397" i="17"/>
  <c r="E398" i="17"/>
  <c r="E399" i="17"/>
  <c r="E400" i="17"/>
  <c r="E401" i="17"/>
  <c r="E402" i="17"/>
  <c r="E403" i="17"/>
  <c r="E404" i="17"/>
  <c r="E405" i="17"/>
  <c r="E406" i="17"/>
  <c r="E407" i="17"/>
  <c r="E408" i="17"/>
  <c r="E409" i="17"/>
  <c r="E410" i="17"/>
  <c r="E411" i="17"/>
  <c r="E412" i="17"/>
  <c r="E413" i="17"/>
  <c r="E414" i="17"/>
  <c r="E415" i="17"/>
  <c r="E416" i="17"/>
  <c r="E417" i="17"/>
  <c r="E418" i="17"/>
  <c r="E419" i="17"/>
  <c r="E420" i="17"/>
  <c r="E421" i="17"/>
  <c r="E422" i="17"/>
  <c r="E423" i="17"/>
  <c r="E424" i="17"/>
  <c r="E425" i="17"/>
  <c r="E426" i="17"/>
  <c r="E427" i="17"/>
  <c r="E428" i="17"/>
  <c r="E429" i="17"/>
  <c r="E430" i="17"/>
  <c r="E431" i="17"/>
  <c r="E432" i="17"/>
  <c r="E433" i="17"/>
  <c r="E434" i="17"/>
  <c r="E435" i="17"/>
  <c r="E436" i="17"/>
  <c r="E437" i="17"/>
  <c r="E438" i="17"/>
  <c r="E439" i="17"/>
  <c r="E440" i="17"/>
  <c r="E441" i="17"/>
  <c r="E442" i="17"/>
  <c r="E443" i="17"/>
  <c r="E444" i="17"/>
  <c r="E445" i="17"/>
  <c r="E446" i="17"/>
  <c r="E447" i="17"/>
  <c r="E448" i="17"/>
  <c r="E449" i="17"/>
  <c r="E450" i="17"/>
  <c r="E451" i="17"/>
  <c r="E452" i="17"/>
  <c r="E453" i="17"/>
  <c r="E454" i="17"/>
  <c r="E455" i="17"/>
  <c r="E456" i="17"/>
  <c r="E457" i="17"/>
  <c r="E458" i="17"/>
  <c r="E459" i="17"/>
  <c r="E460" i="17"/>
  <c r="E461" i="17"/>
  <c r="E462" i="17"/>
  <c r="E463" i="17"/>
  <c r="E464" i="17"/>
  <c r="E465" i="17"/>
  <c r="E466" i="17"/>
  <c r="E467" i="17"/>
  <c r="E468" i="17"/>
  <c r="E469" i="17"/>
  <c r="E470" i="17"/>
  <c r="E471" i="17"/>
  <c r="E472" i="17"/>
  <c r="E473" i="17"/>
  <c r="E474" i="17"/>
  <c r="E475" i="17"/>
  <c r="E476" i="17"/>
  <c r="E477" i="17"/>
  <c r="E478" i="17"/>
  <c r="E479" i="17"/>
  <c r="E480" i="17"/>
  <c r="E481" i="17"/>
  <c r="E482" i="17"/>
  <c r="E483" i="17"/>
  <c r="E484" i="17"/>
  <c r="E485" i="17"/>
  <c r="E486" i="17"/>
  <c r="E487" i="17"/>
  <c r="E488" i="17"/>
  <c r="E489" i="17"/>
  <c r="E490" i="17"/>
  <c r="E491" i="17"/>
  <c r="E492" i="17"/>
  <c r="E493" i="17"/>
  <c r="E494" i="17"/>
  <c r="E495" i="17"/>
  <c r="E496" i="17"/>
  <c r="E497" i="17"/>
  <c r="E498" i="17"/>
  <c r="E499" i="17"/>
  <c r="E500" i="17"/>
  <c r="E501" i="17"/>
  <c r="E502" i="17"/>
  <c r="E503" i="17"/>
  <c r="E504" i="17"/>
  <c r="E505" i="17"/>
  <c r="E506" i="17"/>
  <c r="E507" i="17"/>
  <c r="E508" i="17"/>
  <c r="E509" i="17"/>
  <c r="E510" i="17"/>
  <c r="E511" i="17"/>
  <c r="E512" i="17"/>
  <c r="E513" i="17"/>
  <c r="E514" i="17"/>
  <c r="E515" i="17"/>
  <c r="E516" i="17"/>
  <c r="E517" i="17"/>
  <c r="E518" i="17"/>
  <c r="E519" i="17"/>
  <c r="E520" i="17"/>
  <c r="E521" i="17"/>
  <c r="E522" i="17"/>
  <c r="E523" i="17"/>
  <c r="E524" i="17"/>
  <c r="E525" i="17"/>
  <c r="E526" i="17"/>
  <c r="E527" i="17"/>
  <c r="E528" i="17"/>
  <c r="E529" i="17"/>
  <c r="E530" i="17"/>
  <c r="E531" i="17"/>
  <c r="E532" i="17"/>
  <c r="E533" i="17"/>
  <c r="E534" i="17"/>
  <c r="E535" i="17"/>
  <c r="E536" i="17"/>
  <c r="E537" i="17"/>
  <c r="E538" i="17"/>
  <c r="E539" i="17"/>
  <c r="E540" i="17"/>
  <c r="E541" i="17"/>
  <c r="E542" i="17"/>
  <c r="E543" i="17"/>
  <c r="E544" i="17"/>
  <c r="E545" i="17"/>
  <c r="E546" i="17"/>
  <c r="E547" i="17"/>
  <c r="E548" i="17"/>
  <c r="E549" i="17"/>
  <c r="E550" i="17"/>
  <c r="E551" i="17"/>
  <c r="E552" i="17"/>
  <c r="E553" i="17"/>
  <c r="E554" i="17"/>
  <c r="E555" i="17"/>
  <c r="E556" i="17"/>
  <c r="E557" i="17"/>
  <c r="E558" i="17"/>
  <c r="E559" i="17"/>
  <c r="E560" i="17"/>
  <c r="E561" i="17"/>
  <c r="E562" i="17"/>
  <c r="E563" i="17"/>
  <c r="E564" i="17"/>
  <c r="E565" i="17"/>
  <c r="E566" i="17"/>
  <c r="E567" i="17"/>
  <c r="E568" i="17"/>
  <c r="E569" i="17"/>
  <c r="E570" i="17"/>
  <c r="E571" i="17"/>
  <c r="E572" i="17"/>
  <c r="E573" i="17"/>
  <c r="E574" i="17"/>
  <c r="E575" i="17"/>
  <c r="E576" i="17"/>
  <c r="E577" i="17"/>
  <c r="E578" i="17"/>
  <c r="E579" i="17"/>
  <c r="E580" i="17"/>
  <c r="E581" i="17"/>
  <c r="E582" i="17"/>
  <c r="E583" i="17"/>
  <c r="E584" i="17"/>
  <c r="E585" i="17"/>
  <c r="E586" i="17"/>
  <c r="E587" i="17"/>
  <c r="E588" i="17"/>
  <c r="E589" i="17"/>
  <c r="E590" i="17"/>
  <c r="E591" i="17"/>
  <c r="E592" i="17"/>
  <c r="E593" i="17"/>
  <c r="E594" i="17"/>
  <c r="E595" i="17"/>
  <c r="E596" i="17"/>
  <c r="E597" i="17"/>
  <c r="E598" i="17"/>
  <c r="E599" i="17"/>
  <c r="E600" i="17"/>
  <c r="E601" i="17"/>
  <c r="E602" i="17"/>
  <c r="E603" i="17"/>
  <c r="E604" i="17"/>
  <c r="E605" i="17"/>
  <c r="E606" i="17"/>
  <c r="E607" i="17"/>
  <c r="E608" i="17"/>
  <c r="E609" i="17"/>
  <c r="E610" i="17"/>
  <c r="E611" i="17"/>
  <c r="E612" i="17"/>
  <c r="E613" i="17"/>
  <c r="E614" i="17"/>
  <c r="E615" i="17"/>
  <c r="E616" i="17"/>
  <c r="E617" i="17"/>
  <c r="E618" i="17"/>
  <c r="E619" i="17"/>
  <c r="E620" i="17"/>
  <c r="E621" i="17"/>
  <c r="E622" i="17"/>
  <c r="E623" i="17"/>
  <c r="E624" i="17"/>
  <c r="E625" i="17"/>
  <c r="E626" i="17"/>
  <c r="E627" i="17"/>
  <c r="E628" i="17"/>
  <c r="E629" i="17"/>
  <c r="E630" i="17"/>
  <c r="E631" i="17"/>
  <c r="E632" i="17"/>
  <c r="E633" i="17"/>
  <c r="E634" i="17"/>
  <c r="E635" i="17"/>
  <c r="E636" i="17"/>
  <c r="E637" i="17"/>
  <c r="E638" i="17"/>
  <c r="E639" i="17"/>
  <c r="E640" i="17"/>
  <c r="E641" i="17"/>
  <c r="E642" i="17"/>
  <c r="E643" i="17"/>
  <c r="E644" i="17"/>
  <c r="E645" i="17"/>
  <c r="E646" i="17"/>
  <c r="E647" i="17"/>
  <c r="E648" i="17"/>
  <c r="E649" i="17"/>
  <c r="E650" i="17"/>
  <c r="E651" i="17"/>
  <c r="E652" i="17"/>
  <c r="E653" i="17"/>
  <c r="E654" i="17"/>
  <c r="E655" i="17"/>
  <c r="E656" i="17"/>
  <c r="E657" i="17"/>
  <c r="E658" i="17"/>
  <c r="E659" i="17"/>
  <c r="E660" i="17"/>
  <c r="E661" i="17"/>
  <c r="E662" i="17"/>
  <c r="E663" i="17"/>
  <c r="E664" i="17"/>
  <c r="E665" i="17"/>
  <c r="E666" i="17"/>
  <c r="E667" i="17"/>
  <c r="E668" i="17"/>
  <c r="E669" i="17"/>
  <c r="E670" i="17"/>
  <c r="E671" i="17"/>
  <c r="E672" i="17"/>
  <c r="E673" i="17"/>
  <c r="E674" i="17"/>
  <c r="E675" i="17"/>
  <c r="E676" i="17"/>
  <c r="E677" i="17"/>
  <c r="E678" i="17"/>
  <c r="E679" i="17"/>
  <c r="E680" i="17"/>
  <c r="E681" i="17"/>
  <c r="E682" i="17"/>
  <c r="E683" i="17"/>
  <c r="E684" i="17"/>
  <c r="E685" i="17"/>
  <c r="E686" i="17"/>
  <c r="E687" i="17"/>
  <c r="E688" i="17"/>
  <c r="E689" i="17"/>
  <c r="E690" i="17"/>
  <c r="E691" i="17"/>
  <c r="E692" i="17"/>
  <c r="E693" i="17"/>
  <c r="E694" i="17"/>
  <c r="E695" i="17"/>
  <c r="E696" i="17"/>
  <c r="E697" i="17"/>
  <c r="E698" i="17"/>
  <c r="E699" i="17"/>
  <c r="E700" i="17"/>
  <c r="E701" i="17"/>
  <c r="E702" i="17"/>
  <c r="E703" i="17"/>
  <c r="E704" i="17"/>
  <c r="E705" i="17"/>
  <c r="E706" i="17"/>
  <c r="E707" i="17"/>
  <c r="E708" i="17"/>
  <c r="E709" i="17"/>
  <c r="E710" i="17"/>
  <c r="E711" i="17"/>
  <c r="E712" i="17"/>
  <c r="E713" i="17"/>
  <c r="E714" i="17"/>
  <c r="E715" i="17"/>
  <c r="E2" i="17"/>
  <c r="M8" i="15" l="1"/>
  <c r="M7" i="15"/>
  <c r="M6" i="15"/>
  <c r="M5" i="15"/>
  <c r="M4" i="15"/>
  <c r="L8" i="15"/>
  <c r="L7" i="15"/>
  <c r="L6" i="15"/>
  <c r="L5" i="15"/>
  <c r="L4" i="15"/>
  <c r="K8" i="15"/>
  <c r="K7" i="15"/>
  <c r="K6" i="15"/>
  <c r="K5" i="15"/>
  <c r="K4" i="15"/>
  <c r="D579" i="15"/>
  <c r="D580" i="15"/>
  <c r="D581" i="15"/>
  <c r="D582" i="15"/>
  <c r="D583" i="15"/>
  <c r="D584" i="15"/>
  <c r="D585" i="15"/>
  <c r="D586" i="15"/>
  <c r="D587" i="15"/>
  <c r="D588" i="15"/>
  <c r="D589" i="15"/>
  <c r="D590" i="15"/>
  <c r="D591" i="15"/>
  <c r="D592" i="15"/>
  <c r="D593" i="15"/>
  <c r="D594" i="15"/>
  <c r="D595" i="15"/>
  <c r="D596" i="15"/>
  <c r="D597" i="15"/>
  <c r="D598" i="15"/>
  <c r="D599" i="15"/>
  <c r="D600" i="15"/>
  <c r="D601" i="15"/>
  <c r="D602" i="15"/>
  <c r="D603" i="15"/>
  <c r="D604" i="15"/>
  <c r="D605" i="15"/>
  <c r="D578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D501" i="15"/>
  <c r="D502" i="15"/>
  <c r="D503" i="15"/>
  <c r="D504" i="15"/>
  <c r="D505" i="15"/>
  <c r="D506" i="15"/>
  <c r="D507" i="15"/>
  <c r="D508" i="15"/>
  <c r="D509" i="15"/>
  <c r="D510" i="15"/>
  <c r="D511" i="15"/>
  <c r="D512" i="15"/>
  <c r="D513" i="15"/>
  <c r="D514" i="15"/>
  <c r="D515" i="15"/>
  <c r="D516" i="15"/>
  <c r="D517" i="15"/>
  <c r="D518" i="15"/>
  <c r="D519" i="15"/>
  <c r="D520" i="15"/>
  <c r="D521" i="15"/>
  <c r="D522" i="15"/>
  <c r="D523" i="15"/>
  <c r="D524" i="15"/>
  <c r="D525" i="15"/>
  <c r="D526" i="15"/>
  <c r="D527" i="15"/>
  <c r="D528" i="15"/>
  <c r="D529" i="15"/>
  <c r="D530" i="15"/>
  <c r="D531" i="15"/>
  <c r="D532" i="15"/>
  <c r="D533" i="15"/>
  <c r="D534" i="15"/>
  <c r="D535" i="15"/>
  <c r="D536" i="15"/>
  <c r="D537" i="15"/>
  <c r="D538" i="15"/>
  <c r="D539" i="15"/>
  <c r="D540" i="15"/>
  <c r="D541" i="15"/>
  <c r="D542" i="15"/>
  <c r="D543" i="15"/>
  <c r="D544" i="15"/>
  <c r="D545" i="15"/>
  <c r="D546" i="15"/>
  <c r="D547" i="15"/>
  <c r="D548" i="15"/>
  <c r="D549" i="15"/>
  <c r="D550" i="15"/>
  <c r="D551" i="15"/>
  <c r="D552" i="15"/>
  <c r="D553" i="15"/>
  <c r="D554" i="15"/>
  <c r="D555" i="15"/>
  <c r="D556" i="15"/>
  <c r="D557" i="15"/>
  <c r="D558" i="15"/>
  <c r="D559" i="15"/>
  <c r="D560" i="15"/>
  <c r="D561" i="15"/>
  <c r="D562" i="15"/>
  <c r="D563" i="15"/>
  <c r="D564" i="15"/>
  <c r="D565" i="15"/>
  <c r="D566" i="15"/>
  <c r="D567" i="15"/>
  <c r="D568" i="15"/>
  <c r="D569" i="15"/>
  <c r="D570" i="15"/>
  <c r="D571" i="15"/>
  <c r="D572" i="15"/>
  <c r="D573" i="15"/>
  <c r="D574" i="15"/>
  <c r="D575" i="15"/>
  <c r="D576" i="15"/>
  <c r="D463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288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25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2" i="15"/>
  <c r="M6" i="14" l="1"/>
  <c r="M5" i="14"/>
  <c r="M4" i="14"/>
  <c r="M3" i="14"/>
  <c r="M2" i="14"/>
  <c r="N6" i="14"/>
  <c r="O6" i="14"/>
  <c r="O5" i="14"/>
  <c r="N5" i="14"/>
  <c r="O4" i="14"/>
  <c r="F546" i="14"/>
  <c r="N4" i="14"/>
  <c r="O3" i="14"/>
  <c r="N3" i="14"/>
  <c r="O2" i="14"/>
  <c r="N2" i="14"/>
  <c r="G590" i="14"/>
  <c r="G591" i="14"/>
  <c r="G592" i="14"/>
  <c r="G593" i="14"/>
  <c r="G594" i="14"/>
  <c r="G2" i="14"/>
  <c r="F3" i="14"/>
  <c r="F4" i="14"/>
  <c r="F5" i="14"/>
  <c r="G4" i="14" s="1"/>
  <c r="F6" i="14"/>
  <c r="G5" i="14" s="1"/>
  <c r="F7" i="14"/>
  <c r="F8" i="14"/>
  <c r="F9" i="14"/>
  <c r="G8" i="14" s="1"/>
  <c r="F10" i="14"/>
  <c r="G9" i="14" s="1"/>
  <c r="F11" i="14"/>
  <c r="F12" i="14"/>
  <c r="F13" i="14"/>
  <c r="G12" i="14" s="1"/>
  <c r="F14" i="14"/>
  <c r="G13" i="14" s="1"/>
  <c r="F15" i="14"/>
  <c r="F16" i="14"/>
  <c r="F17" i="14"/>
  <c r="G16" i="14" s="1"/>
  <c r="F18" i="14"/>
  <c r="F19" i="14"/>
  <c r="F20" i="14"/>
  <c r="F21" i="14"/>
  <c r="G20" i="14" s="1"/>
  <c r="F22" i="14"/>
  <c r="G21" i="14" s="1"/>
  <c r="F23" i="14"/>
  <c r="F24" i="14"/>
  <c r="F25" i="14"/>
  <c r="G24" i="14" s="1"/>
  <c r="F26" i="14"/>
  <c r="G25" i="14" s="1"/>
  <c r="F27" i="14"/>
  <c r="F28" i="14"/>
  <c r="F29" i="14"/>
  <c r="G28" i="14" s="1"/>
  <c r="F30" i="14"/>
  <c r="G29" i="14" s="1"/>
  <c r="F31" i="14"/>
  <c r="F32" i="14"/>
  <c r="F33" i="14"/>
  <c r="G32" i="14" s="1"/>
  <c r="F34" i="14"/>
  <c r="F35" i="14"/>
  <c r="F36" i="14"/>
  <c r="F37" i="14"/>
  <c r="G36" i="14" s="1"/>
  <c r="F38" i="14"/>
  <c r="G37" i="14" s="1"/>
  <c r="F39" i="14"/>
  <c r="F40" i="14"/>
  <c r="F41" i="14"/>
  <c r="G40" i="14" s="1"/>
  <c r="F42" i="14"/>
  <c r="G41" i="14" s="1"/>
  <c r="F43" i="14"/>
  <c r="F44" i="14"/>
  <c r="F45" i="14"/>
  <c r="G44" i="14" s="1"/>
  <c r="F46" i="14"/>
  <c r="G45" i="14" s="1"/>
  <c r="F47" i="14"/>
  <c r="F48" i="14"/>
  <c r="F49" i="14"/>
  <c r="G48" i="14" s="1"/>
  <c r="F50" i="14"/>
  <c r="F51" i="14"/>
  <c r="F52" i="14"/>
  <c r="F53" i="14"/>
  <c r="G52" i="14" s="1"/>
  <c r="F54" i="14"/>
  <c r="G53" i="14" s="1"/>
  <c r="F55" i="14"/>
  <c r="F56" i="14"/>
  <c r="F57" i="14"/>
  <c r="G56" i="14" s="1"/>
  <c r="F58" i="14"/>
  <c r="G57" i="14" s="1"/>
  <c r="F59" i="14"/>
  <c r="F60" i="14"/>
  <c r="F61" i="14"/>
  <c r="G60" i="14" s="1"/>
  <c r="F62" i="14"/>
  <c r="G61" i="14" s="1"/>
  <c r="F63" i="14"/>
  <c r="F64" i="14"/>
  <c r="F65" i="14"/>
  <c r="G64" i="14" s="1"/>
  <c r="F66" i="14"/>
  <c r="F67" i="14"/>
  <c r="F68" i="14"/>
  <c r="F69" i="14"/>
  <c r="G68" i="14" s="1"/>
  <c r="F70" i="14"/>
  <c r="G69" i="14" s="1"/>
  <c r="F71" i="14"/>
  <c r="F72" i="14"/>
  <c r="F73" i="14"/>
  <c r="G72" i="14" s="1"/>
  <c r="F74" i="14"/>
  <c r="G73" i="14" s="1"/>
  <c r="F75" i="14"/>
  <c r="F76" i="14"/>
  <c r="F77" i="14"/>
  <c r="G76" i="14" s="1"/>
  <c r="F78" i="14"/>
  <c r="G77" i="14" s="1"/>
  <c r="F79" i="14"/>
  <c r="F80" i="14"/>
  <c r="F81" i="14"/>
  <c r="G80" i="14" s="1"/>
  <c r="F82" i="14"/>
  <c r="F83" i="14"/>
  <c r="F84" i="14"/>
  <c r="F85" i="14"/>
  <c r="G84" i="14" s="1"/>
  <c r="F86" i="14"/>
  <c r="G85" i="14" s="1"/>
  <c r="F87" i="14"/>
  <c r="F88" i="14"/>
  <c r="F89" i="14"/>
  <c r="G88" i="14" s="1"/>
  <c r="F90" i="14"/>
  <c r="G89" i="14" s="1"/>
  <c r="F91" i="14"/>
  <c r="F92" i="14"/>
  <c r="F93" i="14"/>
  <c r="G92" i="14" s="1"/>
  <c r="F94" i="14"/>
  <c r="G93" i="14" s="1"/>
  <c r="F95" i="14"/>
  <c r="F96" i="14"/>
  <c r="F97" i="14"/>
  <c r="G96" i="14" s="1"/>
  <c r="F98" i="14"/>
  <c r="F99" i="14"/>
  <c r="F100" i="14"/>
  <c r="G99" i="14" s="1"/>
  <c r="F101" i="14"/>
  <c r="G100" i="14" s="1"/>
  <c r="F102" i="14"/>
  <c r="G101" i="14" s="1"/>
  <c r="F103" i="14"/>
  <c r="F104" i="14"/>
  <c r="G103" i="14" s="1"/>
  <c r="F105" i="14"/>
  <c r="F106" i="14"/>
  <c r="G105" i="14" s="1"/>
  <c r="F107" i="14"/>
  <c r="F108" i="14"/>
  <c r="G107" i="14" s="1"/>
  <c r="F109" i="14"/>
  <c r="F110" i="14"/>
  <c r="G109" i="14" s="1"/>
  <c r="F111" i="14"/>
  <c r="F112" i="14"/>
  <c r="G111" i="14" s="1"/>
  <c r="F113" i="14"/>
  <c r="F114" i="14"/>
  <c r="F115" i="14"/>
  <c r="F116" i="14"/>
  <c r="G115" i="14" s="1"/>
  <c r="F117" i="14"/>
  <c r="F118" i="14"/>
  <c r="G117" i="14" s="1"/>
  <c r="F119" i="14"/>
  <c r="F120" i="14"/>
  <c r="G119" i="14" s="1"/>
  <c r="F121" i="14"/>
  <c r="F122" i="14"/>
  <c r="G121" i="14" s="1"/>
  <c r="F123" i="14"/>
  <c r="F124" i="14"/>
  <c r="G123" i="14" s="1"/>
  <c r="F125" i="14"/>
  <c r="F126" i="14"/>
  <c r="G125" i="14" s="1"/>
  <c r="F127" i="14"/>
  <c r="F128" i="14"/>
  <c r="G127" i="14" s="1"/>
  <c r="F129" i="14"/>
  <c r="F130" i="14"/>
  <c r="F131" i="14"/>
  <c r="F132" i="14"/>
  <c r="G131" i="14" s="1"/>
  <c r="F133" i="14"/>
  <c r="F134" i="14"/>
  <c r="G133" i="14" s="1"/>
  <c r="F135" i="14"/>
  <c r="F136" i="14"/>
  <c r="G135" i="14" s="1"/>
  <c r="F137" i="14"/>
  <c r="F138" i="14"/>
  <c r="G137" i="14" s="1"/>
  <c r="F139" i="14"/>
  <c r="F140" i="14"/>
  <c r="G139" i="14" s="1"/>
  <c r="F141" i="14"/>
  <c r="F142" i="14"/>
  <c r="G141" i="14" s="1"/>
  <c r="F143" i="14"/>
  <c r="F144" i="14"/>
  <c r="G143" i="14" s="1"/>
  <c r="F145" i="14"/>
  <c r="F146" i="14"/>
  <c r="F147" i="14"/>
  <c r="F148" i="14"/>
  <c r="G147" i="14" s="1"/>
  <c r="F149" i="14"/>
  <c r="F150" i="14"/>
  <c r="G149" i="14" s="1"/>
  <c r="F151" i="14"/>
  <c r="F152" i="14"/>
  <c r="G151" i="14" s="1"/>
  <c r="F153" i="14"/>
  <c r="F154" i="14"/>
  <c r="G153" i="14" s="1"/>
  <c r="F155" i="14"/>
  <c r="F156" i="14"/>
  <c r="G155" i="14" s="1"/>
  <c r="F157" i="14"/>
  <c r="F158" i="14"/>
  <c r="G157" i="14" s="1"/>
  <c r="F159" i="14"/>
  <c r="F160" i="14"/>
  <c r="G159" i="14" s="1"/>
  <c r="F161" i="14"/>
  <c r="F162" i="14"/>
  <c r="F163" i="14"/>
  <c r="F164" i="14"/>
  <c r="G163" i="14" s="1"/>
  <c r="F165" i="14"/>
  <c r="F166" i="14"/>
  <c r="G165" i="14" s="1"/>
  <c r="F167" i="14"/>
  <c r="F168" i="14"/>
  <c r="G167" i="14" s="1"/>
  <c r="F169" i="14"/>
  <c r="F170" i="14"/>
  <c r="G169" i="14" s="1"/>
  <c r="F171" i="14"/>
  <c r="F172" i="14"/>
  <c r="F173" i="14"/>
  <c r="F174" i="14"/>
  <c r="G173" i="14" s="1"/>
  <c r="F175" i="14"/>
  <c r="F176" i="14"/>
  <c r="G175" i="14" s="1"/>
  <c r="F177" i="14"/>
  <c r="F178" i="14"/>
  <c r="G177" i="14" s="1"/>
  <c r="F179" i="14"/>
  <c r="F180" i="14"/>
  <c r="G179" i="14" s="1"/>
  <c r="F181" i="14"/>
  <c r="F182" i="14"/>
  <c r="G181" i="14" s="1"/>
  <c r="F183" i="14"/>
  <c r="F184" i="14"/>
  <c r="G183" i="14" s="1"/>
  <c r="F185" i="14"/>
  <c r="F186" i="14"/>
  <c r="G185" i="14" s="1"/>
  <c r="F187" i="14"/>
  <c r="F188" i="14"/>
  <c r="G187" i="14" s="1"/>
  <c r="F189" i="14"/>
  <c r="F190" i="14"/>
  <c r="G189" i="14" s="1"/>
  <c r="F191" i="14"/>
  <c r="F192" i="14"/>
  <c r="G191" i="14" s="1"/>
  <c r="F193" i="14"/>
  <c r="F194" i="14"/>
  <c r="F195" i="14"/>
  <c r="F196" i="14"/>
  <c r="G195" i="14" s="1"/>
  <c r="F197" i="14"/>
  <c r="F198" i="14"/>
  <c r="G197" i="14" s="1"/>
  <c r="F199" i="14"/>
  <c r="F200" i="14"/>
  <c r="G199" i="14" s="1"/>
  <c r="F201" i="14"/>
  <c r="F202" i="14"/>
  <c r="G201" i="14" s="1"/>
  <c r="F203" i="14"/>
  <c r="F204" i="14"/>
  <c r="F205" i="14"/>
  <c r="F206" i="14"/>
  <c r="G205" i="14" s="1"/>
  <c r="F207" i="14"/>
  <c r="F208" i="14"/>
  <c r="G207" i="14" s="1"/>
  <c r="F209" i="14"/>
  <c r="F210" i="14"/>
  <c r="G209" i="14" s="1"/>
  <c r="F211" i="14"/>
  <c r="F212" i="14"/>
  <c r="G211" i="14" s="1"/>
  <c r="F213" i="14"/>
  <c r="F214" i="14"/>
  <c r="G213" i="14" s="1"/>
  <c r="F215" i="14"/>
  <c r="F216" i="14"/>
  <c r="G215" i="14" s="1"/>
  <c r="F217" i="14"/>
  <c r="F218" i="14"/>
  <c r="G217" i="14" s="1"/>
  <c r="F219" i="14"/>
  <c r="F220" i="14"/>
  <c r="G219" i="14" s="1"/>
  <c r="F221" i="14"/>
  <c r="F222" i="14"/>
  <c r="G221" i="14" s="1"/>
  <c r="F223" i="14"/>
  <c r="F224" i="14"/>
  <c r="G223" i="14" s="1"/>
  <c r="F225" i="14"/>
  <c r="F226" i="14"/>
  <c r="F227" i="14"/>
  <c r="F228" i="14"/>
  <c r="G227" i="14" s="1"/>
  <c r="F229" i="14"/>
  <c r="F230" i="14"/>
  <c r="G229" i="14" s="1"/>
  <c r="F231" i="14"/>
  <c r="F232" i="14"/>
  <c r="G231" i="14" s="1"/>
  <c r="F233" i="14"/>
  <c r="F234" i="14"/>
  <c r="G233" i="14" s="1"/>
  <c r="F235" i="14"/>
  <c r="F236" i="14"/>
  <c r="F237" i="14"/>
  <c r="F238" i="14"/>
  <c r="G237" i="14" s="1"/>
  <c r="F239" i="14"/>
  <c r="F240" i="14"/>
  <c r="G239" i="14" s="1"/>
  <c r="F241" i="14"/>
  <c r="F242" i="14"/>
  <c r="G241" i="14" s="1"/>
  <c r="F243" i="14"/>
  <c r="F244" i="14"/>
  <c r="G243" i="14" s="1"/>
  <c r="F245" i="14"/>
  <c r="F246" i="14"/>
  <c r="G245" i="14" s="1"/>
  <c r="F247" i="14"/>
  <c r="F248" i="14"/>
  <c r="G247" i="14" s="1"/>
  <c r="F249" i="14"/>
  <c r="F250" i="14"/>
  <c r="G249" i="14" s="1"/>
  <c r="F251" i="14"/>
  <c r="F252" i="14"/>
  <c r="G251" i="14" s="1"/>
  <c r="F253" i="14"/>
  <c r="F254" i="14"/>
  <c r="G253" i="14" s="1"/>
  <c r="F255" i="14"/>
  <c r="F256" i="14"/>
  <c r="G255" i="14" s="1"/>
  <c r="F257" i="14"/>
  <c r="F258" i="14"/>
  <c r="G257" i="14" s="1"/>
  <c r="F259" i="14"/>
  <c r="F260" i="14"/>
  <c r="G259" i="14" s="1"/>
  <c r="F261" i="14"/>
  <c r="F262" i="14"/>
  <c r="G261" i="14" s="1"/>
  <c r="F263" i="14"/>
  <c r="F264" i="14"/>
  <c r="G263" i="14" s="1"/>
  <c r="F265" i="14"/>
  <c r="F266" i="14"/>
  <c r="G265" i="14" s="1"/>
  <c r="F267" i="14"/>
  <c r="F268" i="14"/>
  <c r="G267" i="14" s="1"/>
  <c r="F269" i="14"/>
  <c r="F270" i="14"/>
  <c r="G269" i="14" s="1"/>
  <c r="F271" i="14"/>
  <c r="F272" i="14"/>
  <c r="G271" i="14" s="1"/>
  <c r="F273" i="14"/>
  <c r="F274" i="14"/>
  <c r="F275" i="14"/>
  <c r="F276" i="14"/>
  <c r="G275" i="14" s="1"/>
  <c r="F277" i="14"/>
  <c r="F278" i="14"/>
  <c r="G277" i="14" s="1"/>
  <c r="F279" i="14"/>
  <c r="F280" i="14"/>
  <c r="G279" i="14" s="1"/>
  <c r="F281" i="14"/>
  <c r="F282" i="14"/>
  <c r="G281" i="14" s="1"/>
  <c r="F283" i="14"/>
  <c r="F284" i="14"/>
  <c r="G283" i="14" s="1"/>
  <c r="F285" i="14"/>
  <c r="F286" i="14"/>
  <c r="G285" i="14" s="1"/>
  <c r="F287" i="14"/>
  <c r="F288" i="14"/>
  <c r="G287" i="14" s="1"/>
  <c r="F289" i="14"/>
  <c r="F290" i="14"/>
  <c r="G289" i="14" s="1"/>
  <c r="F291" i="14"/>
  <c r="F292" i="14"/>
  <c r="G291" i="14" s="1"/>
  <c r="F293" i="14"/>
  <c r="F294" i="14"/>
  <c r="G293" i="14" s="1"/>
  <c r="F295" i="14"/>
  <c r="F296" i="14"/>
  <c r="G295" i="14" s="1"/>
  <c r="F297" i="14"/>
  <c r="F298" i="14"/>
  <c r="G297" i="14" s="1"/>
  <c r="F299" i="14"/>
  <c r="F300" i="14"/>
  <c r="G299" i="14" s="1"/>
  <c r="F301" i="14"/>
  <c r="F302" i="14"/>
  <c r="G301" i="14" s="1"/>
  <c r="F303" i="14"/>
  <c r="F304" i="14"/>
  <c r="G303" i="14" s="1"/>
  <c r="F305" i="14"/>
  <c r="F306" i="14"/>
  <c r="G305" i="14" s="1"/>
  <c r="F307" i="14"/>
  <c r="F308" i="14"/>
  <c r="G307" i="14" s="1"/>
  <c r="F309" i="14"/>
  <c r="F310" i="14"/>
  <c r="G309" i="14" s="1"/>
  <c r="F311" i="14"/>
  <c r="F312" i="14"/>
  <c r="G311" i="14" s="1"/>
  <c r="F313" i="14"/>
  <c r="F314" i="14"/>
  <c r="G313" i="14" s="1"/>
  <c r="F315" i="14"/>
  <c r="F316" i="14"/>
  <c r="G315" i="14" s="1"/>
  <c r="F317" i="14"/>
  <c r="F318" i="14"/>
  <c r="G317" i="14" s="1"/>
  <c r="F319" i="14"/>
  <c r="F320" i="14"/>
  <c r="G319" i="14" s="1"/>
  <c r="F321" i="14"/>
  <c r="F322" i="14"/>
  <c r="G321" i="14" s="1"/>
  <c r="F323" i="14"/>
  <c r="F324" i="14"/>
  <c r="G323" i="14" s="1"/>
  <c r="F325" i="14"/>
  <c r="F326" i="14"/>
  <c r="G325" i="14" s="1"/>
  <c r="F327" i="14"/>
  <c r="F328" i="14"/>
  <c r="G327" i="14" s="1"/>
  <c r="F329" i="14"/>
  <c r="F330" i="14"/>
  <c r="F331" i="14"/>
  <c r="F332" i="14"/>
  <c r="G331" i="14" s="1"/>
  <c r="F333" i="14"/>
  <c r="F334" i="14"/>
  <c r="G333" i="14" s="1"/>
  <c r="F335" i="14"/>
  <c r="F336" i="14"/>
  <c r="G335" i="14" s="1"/>
  <c r="F337" i="14"/>
  <c r="F338" i="14"/>
  <c r="G337" i="14" s="1"/>
  <c r="F339" i="14"/>
  <c r="F340" i="14"/>
  <c r="G339" i="14" s="1"/>
  <c r="F341" i="14"/>
  <c r="F342" i="14"/>
  <c r="G341" i="14" s="1"/>
  <c r="F343" i="14"/>
  <c r="F344" i="14"/>
  <c r="G343" i="14" s="1"/>
  <c r="F345" i="14"/>
  <c r="F346" i="14"/>
  <c r="G345" i="14" s="1"/>
  <c r="F347" i="14"/>
  <c r="F348" i="14"/>
  <c r="G347" i="14" s="1"/>
  <c r="F349" i="14"/>
  <c r="F350" i="14"/>
  <c r="G349" i="14" s="1"/>
  <c r="F351" i="14"/>
  <c r="F352" i="14"/>
  <c r="G351" i="14" s="1"/>
  <c r="F353" i="14"/>
  <c r="F354" i="14"/>
  <c r="G353" i="14" s="1"/>
  <c r="F355" i="14"/>
  <c r="F356" i="14"/>
  <c r="G355" i="14" s="1"/>
  <c r="F357" i="14"/>
  <c r="F358" i="14"/>
  <c r="G357" i="14" s="1"/>
  <c r="F359" i="14"/>
  <c r="F360" i="14"/>
  <c r="G359" i="14" s="1"/>
  <c r="F361" i="14"/>
  <c r="F362" i="14"/>
  <c r="G361" i="14" s="1"/>
  <c r="F363" i="14"/>
  <c r="F364" i="14"/>
  <c r="G363" i="14" s="1"/>
  <c r="F365" i="14"/>
  <c r="F366" i="14"/>
  <c r="G365" i="14" s="1"/>
  <c r="F367" i="14"/>
  <c r="F368" i="14"/>
  <c r="G367" i="14" s="1"/>
  <c r="F369" i="14"/>
  <c r="F370" i="14"/>
  <c r="G369" i="14" s="1"/>
  <c r="F371" i="14"/>
  <c r="F372" i="14"/>
  <c r="G371" i="14" s="1"/>
  <c r="F373" i="14"/>
  <c r="F374" i="14"/>
  <c r="G373" i="14" s="1"/>
  <c r="F375" i="14"/>
  <c r="F376" i="14"/>
  <c r="G375" i="14" s="1"/>
  <c r="F377" i="14"/>
  <c r="F378" i="14"/>
  <c r="G377" i="14" s="1"/>
  <c r="F379" i="14"/>
  <c r="F380" i="14"/>
  <c r="G379" i="14" s="1"/>
  <c r="F381" i="14"/>
  <c r="F382" i="14"/>
  <c r="G381" i="14" s="1"/>
  <c r="F383" i="14"/>
  <c r="F384" i="14"/>
  <c r="G383" i="14" s="1"/>
  <c r="F385" i="14"/>
  <c r="F386" i="14"/>
  <c r="G385" i="14" s="1"/>
  <c r="F387" i="14"/>
  <c r="F388" i="14"/>
  <c r="G387" i="14" s="1"/>
  <c r="F389" i="14"/>
  <c r="F390" i="14"/>
  <c r="G389" i="14" s="1"/>
  <c r="F391" i="14"/>
  <c r="F392" i="14"/>
  <c r="G391" i="14" s="1"/>
  <c r="F393" i="14"/>
  <c r="F394" i="14"/>
  <c r="G393" i="14" s="1"/>
  <c r="F395" i="14"/>
  <c r="F396" i="14"/>
  <c r="G395" i="14" s="1"/>
  <c r="F397" i="14"/>
  <c r="F398" i="14"/>
  <c r="G397" i="14" s="1"/>
  <c r="F399" i="14"/>
  <c r="F400" i="14"/>
  <c r="G399" i="14" s="1"/>
  <c r="F401" i="14"/>
  <c r="F402" i="14"/>
  <c r="G401" i="14" s="1"/>
  <c r="F403" i="14"/>
  <c r="F404" i="14"/>
  <c r="G403" i="14" s="1"/>
  <c r="F405" i="14"/>
  <c r="F406" i="14"/>
  <c r="G405" i="14" s="1"/>
  <c r="F407" i="14"/>
  <c r="F408" i="14"/>
  <c r="G407" i="14" s="1"/>
  <c r="F409" i="14"/>
  <c r="F410" i="14"/>
  <c r="G409" i="14" s="1"/>
  <c r="F411" i="14"/>
  <c r="F412" i="14"/>
  <c r="G411" i="14" s="1"/>
  <c r="F413" i="14"/>
  <c r="F414" i="14"/>
  <c r="G413" i="14" s="1"/>
  <c r="F415" i="14"/>
  <c r="F416" i="14"/>
  <c r="G415" i="14" s="1"/>
  <c r="F417" i="14"/>
  <c r="F418" i="14"/>
  <c r="G417" i="14" s="1"/>
  <c r="F419" i="14"/>
  <c r="F420" i="14"/>
  <c r="G419" i="14" s="1"/>
  <c r="F421" i="14"/>
  <c r="F422" i="14"/>
  <c r="G421" i="14" s="1"/>
  <c r="F423" i="14"/>
  <c r="F424" i="14"/>
  <c r="G423" i="14" s="1"/>
  <c r="F425" i="14"/>
  <c r="F426" i="14"/>
  <c r="G425" i="14" s="1"/>
  <c r="F427" i="14"/>
  <c r="F428" i="14"/>
  <c r="G427" i="14" s="1"/>
  <c r="F429" i="14"/>
  <c r="F430" i="14"/>
  <c r="G429" i="14" s="1"/>
  <c r="F431" i="14"/>
  <c r="F432" i="14"/>
  <c r="G431" i="14" s="1"/>
  <c r="F433" i="14"/>
  <c r="F434" i="14"/>
  <c r="G433" i="14" s="1"/>
  <c r="F435" i="14"/>
  <c r="F436" i="14"/>
  <c r="G435" i="14" s="1"/>
  <c r="F437" i="14"/>
  <c r="F438" i="14"/>
  <c r="G437" i="14" s="1"/>
  <c r="F439" i="14"/>
  <c r="F440" i="14"/>
  <c r="G439" i="14" s="1"/>
  <c r="F441" i="14"/>
  <c r="F442" i="14"/>
  <c r="G441" i="14" s="1"/>
  <c r="F443" i="14"/>
  <c r="F444" i="14"/>
  <c r="G443" i="14" s="1"/>
  <c r="F445" i="14"/>
  <c r="F446" i="14"/>
  <c r="G445" i="14" s="1"/>
  <c r="F447" i="14"/>
  <c r="F448" i="14"/>
  <c r="G447" i="14" s="1"/>
  <c r="F449" i="14"/>
  <c r="F450" i="14"/>
  <c r="G449" i="14" s="1"/>
  <c r="F451" i="14"/>
  <c r="F452" i="14"/>
  <c r="G451" i="14" s="1"/>
  <c r="F453" i="14"/>
  <c r="F454" i="14"/>
  <c r="G453" i="14" s="1"/>
  <c r="F455" i="14"/>
  <c r="F456" i="14"/>
  <c r="G455" i="14" s="1"/>
  <c r="F457" i="14"/>
  <c r="F458" i="14"/>
  <c r="G457" i="14" s="1"/>
  <c r="F459" i="14"/>
  <c r="F460" i="14"/>
  <c r="G459" i="14" s="1"/>
  <c r="F461" i="14"/>
  <c r="F462" i="14"/>
  <c r="G461" i="14" s="1"/>
  <c r="F463" i="14"/>
  <c r="F464" i="14"/>
  <c r="G463" i="14" s="1"/>
  <c r="F465" i="14"/>
  <c r="F466" i="14"/>
  <c r="G465" i="14" s="1"/>
  <c r="F467" i="14"/>
  <c r="F468" i="14"/>
  <c r="G467" i="14" s="1"/>
  <c r="F469" i="14"/>
  <c r="F470" i="14"/>
  <c r="G469" i="14" s="1"/>
  <c r="F471" i="14"/>
  <c r="F472" i="14"/>
  <c r="G471" i="14" s="1"/>
  <c r="F473" i="14"/>
  <c r="F474" i="14"/>
  <c r="G473" i="14" s="1"/>
  <c r="F475" i="14"/>
  <c r="F476" i="14"/>
  <c r="G475" i="14" s="1"/>
  <c r="F477" i="14"/>
  <c r="F478" i="14"/>
  <c r="G477" i="14" s="1"/>
  <c r="F479" i="14"/>
  <c r="F480" i="14"/>
  <c r="G479" i="14" s="1"/>
  <c r="F481" i="14"/>
  <c r="F482" i="14"/>
  <c r="G481" i="14" s="1"/>
  <c r="F483" i="14"/>
  <c r="F484" i="14"/>
  <c r="G483" i="14" s="1"/>
  <c r="F485" i="14"/>
  <c r="F486" i="14"/>
  <c r="G485" i="14" s="1"/>
  <c r="F487" i="14"/>
  <c r="F488" i="14"/>
  <c r="G487" i="14" s="1"/>
  <c r="F489" i="14"/>
  <c r="F490" i="14"/>
  <c r="G489" i="14" s="1"/>
  <c r="F491" i="14"/>
  <c r="F492" i="14"/>
  <c r="G491" i="14" s="1"/>
  <c r="F493" i="14"/>
  <c r="F494" i="14"/>
  <c r="G493" i="14" s="1"/>
  <c r="F495" i="14"/>
  <c r="F496" i="14"/>
  <c r="G495" i="14" s="1"/>
  <c r="F497" i="14"/>
  <c r="F498" i="14"/>
  <c r="G497" i="14" s="1"/>
  <c r="F499" i="14"/>
  <c r="F500" i="14"/>
  <c r="G499" i="14" s="1"/>
  <c r="F501" i="14"/>
  <c r="F502" i="14"/>
  <c r="G501" i="14" s="1"/>
  <c r="F503" i="14"/>
  <c r="F504" i="14"/>
  <c r="G503" i="14" s="1"/>
  <c r="F505" i="14"/>
  <c r="F506" i="14"/>
  <c r="G505" i="14" s="1"/>
  <c r="F507" i="14"/>
  <c r="F508" i="14"/>
  <c r="G507" i="14" s="1"/>
  <c r="F509" i="14"/>
  <c r="F510" i="14"/>
  <c r="G509" i="14" s="1"/>
  <c r="F511" i="14"/>
  <c r="F512" i="14"/>
  <c r="G511" i="14" s="1"/>
  <c r="F513" i="14"/>
  <c r="F514" i="14"/>
  <c r="G513" i="14" s="1"/>
  <c r="F515" i="14"/>
  <c r="F516" i="14"/>
  <c r="G515" i="14" s="1"/>
  <c r="F517" i="14"/>
  <c r="F518" i="14"/>
  <c r="G517" i="14" s="1"/>
  <c r="F519" i="14"/>
  <c r="F520" i="14"/>
  <c r="G519" i="14" s="1"/>
  <c r="F521" i="14"/>
  <c r="F522" i="14"/>
  <c r="G521" i="14" s="1"/>
  <c r="F523" i="14"/>
  <c r="F524" i="14"/>
  <c r="G523" i="14" s="1"/>
  <c r="F525" i="14"/>
  <c r="F526" i="14"/>
  <c r="G525" i="14" s="1"/>
  <c r="F527" i="14"/>
  <c r="F528" i="14"/>
  <c r="G527" i="14" s="1"/>
  <c r="F529" i="14"/>
  <c r="F530" i="14"/>
  <c r="G529" i="14" s="1"/>
  <c r="F531" i="14"/>
  <c r="F532" i="14"/>
  <c r="G531" i="14" s="1"/>
  <c r="F533" i="14"/>
  <c r="F534" i="14"/>
  <c r="G533" i="14" s="1"/>
  <c r="F535" i="14"/>
  <c r="F536" i="14"/>
  <c r="G535" i="14" s="1"/>
  <c r="F537" i="14"/>
  <c r="F538" i="14"/>
  <c r="G537" i="14" s="1"/>
  <c r="F539" i="14"/>
  <c r="F540" i="14"/>
  <c r="G539" i="14" s="1"/>
  <c r="F541" i="14"/>
  <c r="F542" i="14"/>
  <c r="G541" i="14" s="1"/>
  <c r="F543" i="14"/>
  <c r="F544" i="14"/>
  <c r="G543" i="14" s="1"/>
  <c r="F545" i="14"/>
  <c r="G545" i="14"/>
  <c r="F547" i="14"/>
  <c r="F548" i="14"/>
  <c r="G547" i="14" s="1"/>
  <c r="F549" i="14"/>
  <c r="F550" i="14"/>
  <c r="G549" i="14" s="1"/>
  <c r="F551" i="14"/>
  <c r="F552" i="14"/>
  <c r="G551" i="14" s="1"/>
  <c r="F553" i="14"/>
  <c r="F554" i="14"/>
  <c r="G553" i="14" s="1"/>
  <c r="F555" i="14"/>
  <c r="F556" i="14"/>
  <c r="G555" i="14" s="1"/>
  <c r="F557" i="14"/>
  <c r="F558" i="14"/>
  <c r="G557" i="14" s="1"/>
  <c r="F559" i="14"/>
  <c r="F560" i="14"/>
  <c r="G559" i="14" s="1"/>
  <c r="F561" i="14"/>
  <c r="F562" i="14"/>
  <c r="G561" i="14" s="1"/>
  <c r="F563" i="14"/>
  <c r="F564" i="14"/>
  <c r="G563" i="14" s="1"/>
  <c r="F565" i="14"/>
  <c r="F566" i="14"/>
  <c r="G565" i="14" s="1"/>
  <c r="F567" i="14"/>
  <c r="F568" i="14"/>
  <c r="G567" i="14" s="1"/>
  <c r="F569" i="14"/>
  <c r="F570" i="14"/>
  <c r="G569" i="14" s="1"/>
  <c r="F571" i="14"/>
  <c r="F572" i="14"/>
  <c r="G571" i="14" s="1"/>
  <c r="F573" i="14"/>
  <c r="F574" i="14"/>
  <c r="G573" i="14" s="1"/>
  <c r="F575" i="14"/>
  <c r="F576" i="14"/>
  <c r="G575" i="14" s="1"/>
  <c r="F577" i="14"/>
  <c r="F578" i="14"/>
  <c r="G577" i="14" s="1"/>
  <c r="F579" i="14"/>
  <c r="F580" i="14"/>
  <c r="G579" i="14" s="1"/>
  <c r="F581" i="14"/>
  <c r="F582" i="14"/>
  <c r="G581" i="14" s="1"/>
  <c r="F583" i="14"/>
  <c r="F584" i="14"/>
  <c r="G583" i="14" s="1"/>
  <c r="F585" i="14"/>
  <c r="F586" i="14"/>
  <c r="G585" i="14" s="1"/>
  <c r="F587" i="14"/>
  <c r="F588" i="14"/>
  <c r="G587" i="14" s="1"/>
  <c r="F589" i="14"/>
  <c r="F590" i="14"/>
  <c r="G589" i="14" s="1"/>
  <c r="F591" i="14"/>
  <c r="F592" i="14"/>
  <c r="F593" i="14"/>
  <c r="F594" i="14"/>
  <c r="F595" i="14"/>
  <c r="F596" i="14"/>
  <c r="G595" i="14" s="1"/>
  <c r="F597" i="14"/>
  <c r="F598" i="14"/>
  <c r="G597" i="14" s="1"/>
  <c r="F599" i="14"/>
  <c r="F600" i="14"/>
  <c r="G599" i="14" s="1"/>
  <c r="F601" i="14"/>
  <c r="F602" i="14"/>
  <c r="G601" i="14" s="1"/>
  <c r="F603" i="14"/>
  <c r="F604" i="14"/>
  <c r="G603" i="14" s="1"/>
  <c r="F605" i="14"/>
  <c r="F606" i="14"/>
  <c r="G605" i="14" s="1"/>
  <c r="F607" i="14"/>
  <c r="F608" i="14"/>
  <c r="G607" i="14" s="1"/>
  <c r="F609" i="14"/>
  <c r="F610" i="14"/>
  <c r="G609" i="14" s="1"/>
  <c r="F611" i="14"/>
  <c r="F612" i="14"/>
  <c r="G611" i="14" s="1"/>
  <c r="F613" i="14"/>
  <c r="F614" i="14"/>
  <c r="G613" i="14" s="1"/>
  <c r="F615" i="14"/>
  <c r="F616" i="14"/>
  <c r="G615" i="14" s="1"/>
  <c r="F617" i="14"/>
  <c r="F618" i="14"/>
  <c r="G617" i="14" s="1"/>
  <c r="F619" i="14"/>
  <c r="F620" i="14"/>
  <c r="G619" i="14" s="1"/>
  <c r="F621" i="14"/>
  <c r="F622" i="14"/>
  <c r="G621" i="14" s="1"/>
  <c r="F623" i="14"/>
  <c r="F624" i="14"/>
  <c r="G623" i="14" s="1"/>
  <c r="F625" i="14"/>
  <c r="F626" i="14"/>
  <c r="G625" i="14" s="1"/>
  <c r="F627" i="14"/>
  <c r="F628" i="14"/>
  <c r="G627" i="14" s="1"/>
  <c r="F629" i="14"/>
  <c r="F630" i="14"/>
  <c r="G629" i="14" s="1"/>
  <c r="F631" i="14"/>
  <c r="F632" i="14"/>
  <c r="G631" i="14" s="1"/>
  <c r="F633" i="14"/>
  <c r="F634" i="14"/>
  <c r="G633" i="14" s="1"/>
  <c r="F635" i="14"/>
  <c r="F636" i="14"/>
  <c r="G635" i="14" s="1"/>
  <c r="F637" i="14"/>
  <c r="F638" i="14"/>
  <c r="G637" i="14" s="1"/>
  <c r="F639" i="14"/>
  <c r="F640" i="14"/>
  <c r="G639" i="14" s="1"/>
  <c r="F641" i="14"/>
  <c r="F642" i="14"/>
  <c r="G641" i="14" s="1"/>
  <c r="F643" i="14"/>
  <c r="F644" i="14"/>
  <c r="G643" i="14" s="1"/>
  <c r="F645" i="14"/>
  <c r="F646" i="14"/>
  <c r="G645" i="14" s="1"/>
  <c r="F647" i="14"/>
  <c r="F648" i="14"/>
  <c r="G647" i="14" s="1"/>
  <c r="F649" i="14"/>
  <c r="F650" i="14"/>
  <c r="G649" i="14" s="1"/>
  <c r="F651" i="14"/>
  <c r="F652" i="14"/>
  <c r="G651" i="14" s="1"/>
  <c r="F653" i="14"/>
  <c r="F654" i="14"/>
  <c r="G653" i="14" s="1"/>
  <c r="F655" i="14"/>
  <c r="F656" i="14"/>
  <c r="G655" i="14" s="1"/>
  <c r="F657" i="14"/>
  <c r="F658" i="14"/>
  <c r="G657" i="14" s="1"/>
  <c r="F659" i="14"/>
  <c r="F660" i="14"/>
  <c r="G659" i="14" s="1"/>
  <c r="F661" i="14"/>
  <c r="F662" i="14"/>
  <c r="G661" i="14" s="1"/>
  <c r="F663" i="14"/>
  <c r="F664" i="14"/>
  <c r="G663" i="14" s="1"/>
  <c r="F665" i="14"/>
  <c r="F666" i="14"/>
  <c r="F667" i="14"/>
  <c r="F668" i="14"/>
  <c r="G667" i="14" s="1"/>
  <c r="F669" i="14"/>
  <c r="F670" i="14"/>
  <c r="G669" i="14" s="1"/>
  <c r="F671" i="14"/>
  <c r="F672" i="14"/>
  <c r="G671" i="14" s="1"/>
  <c r="F673" i="14"/>
  <c r="F674" i="14"/>
  <c r="G673" i="14" s="1"/>
  <c r="F675" i="14"/>
  <c r="F676" i="14"/>
  <c r="G675" i="14" s="1"/>
  <c r="F677" i="14"/>
  <c r="F678" i="14"/>
  <c r="G677" i="14" s="1"/>
  <c r="F679" i="14"/>
  <c r="F680" i="14"/>
  <c r="G679" i="14" s="1"/>
  <c r="F681" i="14"/>
  <c r="F682" i="14"/>
  <c r="G681" i="14" s="1"/>
  <c r="F683" i="14"/>
  <c r="F684" i="14"/>
  <c r="G683" i="14" s="1"/>
  <c r="F685" i="14"/>
  <c r="F686" i="14"/>
  <c r="G685" i="14" s="1"/>
  <c r="F687" i="14"/>
  <c r="F688" i="14"/>
  <c r="G687" i="14" s="1"/>
  <c r="F2" i="14"/>
  <c r="G235" i="14" l="1"/>
  <c r="G236" i="14"/>
  <c r="G203" i="14"/>
  <c r="G204" i="14"/>
  <c r="G171" i="14"/>
  <c r="G172" i="14"/>
  <c r="G672" i="14"/>
  <c r="G640" i="14"/>
  <c r="G608" i="14"/>
  <c r="G576" i="14"/>
  <c r="G544" i="14"/>
  <c r="G512" i="14"/>
  <c r="G480" i="14"/>
  <c r="G322" i="14"/>
  <c r="G300" i="14"/>
  <c r="G258" i="14"/>
  <c r="G220" i="14"/>
  <c r="G178" i="14"/>
  <c r="G122" i="14"/>
  <c r="G58" i="14"/>
  <c r="G686" i="14"/>
  <c r="G682" i="14"/>
  <c r="G678" i="14"/>
  <c r="G674" i="14"/>
  <c r="G670" i="14"/>
  <c r="G666" i="14"/>
  <c r="G662" i="14"/>
  <c r="G658" i="14"/>
  <c r="G654" i="14"/>
  <c r="G650" i="14"/>
  <c r="G646" i="14"/>
  <c r="G642" i="14"/>
  <c r="G638" i="14"/>
  <c r="G634" i="14"/>
  <c r="G630" i="14"/>
  <c r="G626" i="14"/>
  <c r="G622" i="14"/>
  <c r="G618" i="14"/>
  <c r="G614" i="14"/>
  <c r="G610" i="14"/>
  <c r="G606" i="14"/>
  <c r="G602" i="14"/>
  <c r="G598" i="14"/>
  <c r="G586" i="14"/>
  <c r="G582" i="14"/>
  <c r="G578" i="14"/>
  <c r="G574" i="14"/>
  <c r="G570" i="14"/>
  <c r="G566" i="14"/>
  <c r="G562" i="14"/>
  <c r="G558" i="14"/>
  <c r="G554" i="14"/>
  <c r="G550" i="14"/>
  <c r="G542" i="14"/>
  <c r="G538" i="14"/>
  <c r="G534" i="14"/>
  <c r="G530" i="14"/>
  <c r="G526" i="14"/>
  <c r="G522" i="14"/>
  <c r="G518" i="14"/>
  <c r="G514" i="14"/>
  <c r="G510" i="14"/>
  <c r="G506" i="14"/>
  <c r="G502" i="14"/>
  <c r="G498" i="14"/>
  <c r="G494" i="14"/>
  <c r="G330" i="14"/>
  <c r="G314" i="14"/>
  <c r="G298" i="14"/>
  <c r="G282" i="14"/>
  <c r="G266" i="14"/>
  <c r="G250" i="14"/>
  <c r="G234" i="14"/>
  <c r="G218" i="14"/>
  <c r="G202" i="14"/>
  <c r="G186" i="14"/>
  <c r="G170" i="14"/>
  <c r="G158" i="14"/>
  <c r="G150" i="14"/>
  <c r="G142" i="14"/>
  <c r="G134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6" i="14"/>
  <c r="G680" i="14"/>
  <c r="G648" i="14"/>
  <c r="G616" i="14"/>
  <c r="G584" i="14"/>
  <c r="G552" i="14"/>
  <c r="G520" i="14"/>
  <c r="G488" i="14"/>
  <c r="G338" i="14"/>
  <c r="G316" i="14"/>
  <c r="G274" i="14"/>
  <c r="G252" i="14"/>
  <c r="G210" i="14"/>
  <c r="G106" i="14"/>
  <c r="G42" i="14"/>
  <c r="G225" i="14"/>
  <c r="G226" i="14"/>
  <c r="G193" i="14"/>
  <c r="G194" i="14"/>
  <c r="G161" i="14"/>
  <c r="G162" i="14"/>
  <c r="G145" i="14"/>
  <c r="G146" i="14"/>
  <c r="G129" i="14"/>
  <c r="G130" i="14"/>
  <c r="G113" i="14"/>
  <c r="G114" i="14"/>
  <c r="G97" i="14"/>
  <c r="G98" i="14"/>
  <c r="G81" i="14"/>
  <c r="G82" i="14"/>
  <c r="G65" i="14"/>
  <c r="G66" i="14"/>
  <c r="G49" i="14"/>
  <c r="G50" i="14"/>
  <c r="G33" i="14"/>
  <c r="G34" i="14"/>
  <c r="G17" i="14"/>
  <c r="G18" i="14"/>
  <c r="G656" i="14"/>
  <c r="G624" i="14"/>
  <c r="G560" i="14"/>
  <c r="G528" i="14"/>
  <c r="G496" i="14"/>
  <c r="G332" i="14"/>
  <c r="G290" i="14"/>
  <c r="G268" i="14"/>
  <c r="G242" i="14"/>
  <c r="G154" i="14"/>
  <c r="G90" i="14"/>
  <c r="G26" i="14"/>
  <c r="G684" i="14"/>
  <c r="G676" i="14"/>
  <c r="G668" i="14"/>
  <c r="G660" i="14"/>
  <c r="G652" i="14"/>
  <c r="G644" i="14"/>
  <c r="G636" i="14"/>
  <c r="G628" i="14"/>
  <c r="G620" i="14"/>
  <c r="G612" i="14"/>
  <c r="G604" i="14"/>
  <c r="G596" i="14"/>
  <c r="G588" i="14"/>
  <c r="G580" i="14"/>
  <c r="G572" i="14"/>
  <c r="G564" i="14"/>
  <c r="G556" i="14"/>
  <c r="G548" i="14"/>
  <c r="G540" i="14"/>
  <c r="G532" i="14"/>
  <c r="G524" i="14"/>
  <c r="G516" i="14"/>
  <c r="G508" i="14"/>
  <c r="G500" i="14"/>
  <c r="G492" i="14"/>
  <c r="G484" i="14"/>
  <c r="G476" i="14"/>
  <c r="G468" i="14"/>
  <c r="G340" i="14"/>
  <c r="G324" i="14"/>
  <c r="G308" i="14"/>
  <c r="G292" i="14"/>
  <c r="G276" i="14"/>
  <c r="G260" i="14"/>
  <c r="G244" i="14"/>
  <c r="G228" i="14"/>
  <c r="G212" i="14"/>
  <c r="G196" i="14"/>
  <c r="G180" i="14"/>
  <c r="G164" i="14"/>
  <c r="G664" i="14"/>
  <c r="G632" i="14"/>
  <c r="G600" i="14"/>
  <c r="G568" i="14"/>
  <c r="G536" i="14"/>
  <c r="G504" i="14"/>
  <c r="G472" i="14"/>
  <c r="G306" i="14"/>
  <c r="G284" i="14"/>
  <c r="G188" i="14"/>
  <c r="G138" i="14"/>
  <c r="G74" i="14"/>
  <c r="G10" i="14"/>
  <c r="G464" i="14"/>
  <c r="G460" i="14"/>
  <c r="G456" i="14"/>
  <c r="G452" i="14"/>
  <c r="G448" i="14"/>
  <c r="G444" i="14"/>
  <c r="G440" i="14"/>
  <c r="G436" i="14"/>
  <c r="G432" i="14"/>
  <c r="G428" i="14"/>
  <c r="G424" i="14"/>
  <c r="G420" i="14"/>
  <c r="G416" i="14"/>
  <c r="G412" i="14"/>
  <c r="G408" i="14"/>
  <c r="G404" i="14"/>
  <c r="G400" i="14"/>
  <c r="G396" i="14"/>
  <c r="G392" i="14"/>
  <c r="G388" i="14"/>
  <c r="G384" i="14"/>
  <c r="G380" i="14"/>
  <c r="G376" i="14"/>
  <c r="G372" i="14"/>
  <c r="G368" i="14"/>
  <c r="G364" i="14"/>
  <c r="G360" i="14"/>
  <c r="G356" i="14"/>
  <c r="G352" i="14"/>
  <c r="G348" i="14"/>
  <c r="G344" i="14"/>
  <c r="G336" i="14"/>
  <c r="G328" i="14"/>
  <c r="G320" i="14"/>
  <c r="G312" i="14"/>
  <c r="G304" i="14"/>
  <c r="G296" i="14"/>
  <c r="G288" i="14"/>
  <c r="G280" i="14"/>
  <c r="G272" i="14"/>
  <c r="G264" i="14"/>
  <c r="G256" i="14"/>
  <c r="G248" i="14"/>
  <c r="G240" i="14"/>
  <c r="G232" i="14"/>
  <c r="G224" i="14"/>
  <c r="G216" i="14"/>
  <c r="G208" i="14"/>
  <c r="G200" i="14"/>
  <c r="G192" i="14"/>
  <c r="G184" i="14"/>
  <c r="G176" i="14"/>
  <c r="G168" i="14"/>
  <c r="G160" i="14"/>
  <c r="G156" i="14"/>
  <c r="G152" i="14"/>
  <c r="G148" i="14"/>
  <c r="G144" i="14"/>
  <c r="G140" i="14"/>
  <c r="G136" i="14"/>
  <c r="G132" i="14"/>
  <c r="G128" i="14"/>
  <c r="G124" i="14"/>
  <c r="G120" i="14"/>
  <c r="G116" i="14"/>
  <c r="G112" i="14"/>
  <c r="G108" i="14"/>
  <c r="G104" i="14"/>
  <c r="G490" i="14"/>
  <c r="G486" i="14"/>
  <c r="G482" i="14"/>
  <c r="G478" i="14"/>
  <c r="G474" i="14"/>
  <c r="G470" i="14"/>
  <c r="G466" i="14"/>
  <c r="G462" i="14"/>
  <c r="G458" i="14"/>
  <c r="G454" i="14"/>
  <c r="G450" i="14"/>
  <c r="G446" i="14"/>
  <c r="G442" i="14"/>
  <c r="G438" i="14"/>
  <c r="G434" i="14"/>
  <c r="G430" i="14"/>
  <c r="G426" i="14"/>
  <c r="G422" i="14"/>
  <c r="G418" i="14"/>
  <c r="G414" i="14"/>
  <c r="G410" i="14"/>
  <c r="G406" i="14"/>
  <c r="G402" i="14"/>
  <c r="G398" i="14"/>
  <c r="G394" i="14"/>
  <c r="G390" i="14"/>
  <c r="G386" i="14"/>
  <c r="G382" i="14"/>
  <c r="G378" i="14"/>
  <c r="G374" i="14"/>
  <c r="G370" i="14"/>
  <c r="G366" i="14"/>
  <c r="G362" i="14"/>
  <c r="G358" i="14"/>
  <c r="G354" i="14"/>
  <c r="G350" i="14"/>
  <c r="G346" i="14"/>
  <c r="G342" i="14"/>
  <c r="G334" i="14"/>
  <c r="G326" i="14"/>
  <c r="G318" i="14"/>
  <c r="G310" i="14"/>
  <c r="G302" i="14"/>
  <c r="G294" i="14"/>
  <c r="G286" i="14"/>
  <c r="G278" i="14"/>
  <c r="G270" i="14"/>
  <c r="G262" i="14"/>
  <c r="G254" i="14"/>
  <c r="G246" i="14"/>
  <c r="G238" i="14"/>
  <c r="G230" i="14"/>
  <c r="G222" i="14"/>
  <c r="G214" i="14"/>
  <c r="G206" i="14"/>
  <c r="G198" i="14"/>
  <c r="G190" i="14"/>
  <c r="G182" i="14"/>
  <c r="G174" i="14"/>
  <c r="G166" i="14"/>
  <c r="G95" i="14"/>
  <c r="G91" i="14"/>
  <c r="G87" i="14"/>
  <c r="G83" i="14"/>
  <c r="G79" i="14"/>
  <c r="G75" i="14"/>
  <c r="G71" i="14"/>
  <c r="G67" i="14"/>
  <c r="G63" i="14"/>
  <c r="G59" i="14"/>
  <c r="G55" i="14"/>
  <c r="G51" i="14"/>
  <c r="G47" i="14"/>
  <c r="G43" i="14"/>
  <c r="G39" i="14"/>
  <c r="G35" i="14"/>
  <c r="G31" i="14"/>
  <c r="G27" i="14"/>
  <c r="G23" i="14"/>
  <c r="G19" i="14"/>
  <c r="G15" i="14"/>
  <c r="G11" i="14"/>
  <c r="G7" i="14"/>
  <c r="G3" i="14"/>
  <c r="O14" i="11"/>
  <c r="O13" i="11"/>
  <c r="O12" i="11"/>
  <c r="O11" i="11"/>
  <c r="O10" i="11"/>
  <c r="N14" i="11"/>
  <c r="N13" i="11"/>
  <c r="N12" i="11"/>
  <c r="N10" i="11"/>
  <c r="N11" i="11"/>
  <c r="M14" i="11"/>
  <c r="M13" i="11"/>
  <c r="M12" i="11"/>
  <c r="M11" i="11"/>
  <c r="M10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38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441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260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21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" i="11"/>
  <c r="D221" i="11"/>
  <c r="D3" i="11"/>
  <c r="D222" i="11"/>
  <c r="D4" i="11"/>
  <c r="D223" i="11"/>
  <c r="D441" i="11"/>
  <c r="D5" i="11"/>
  <c r="D261" i="11"/>
  <c r="D6" i="11"/>
  <c r="D224" i="11"/>
  <c r="D442" i="11"/>
  <c r="D7" i="11"/>
  <c r="D8" i="11"/>
  <c r="D262" i="11"/>
  <c r="D9" i="11"/>
  <c r="D263" i="11"/>
  <c r="D443" i="11"/>
  <c r="D10" i="11"/>
  <c r="D11" i="11"/>
  <c r="D264" i="11"/>
  <c r="D12" i="11"/>
  <c r="D13" i="11"/>
  <c r="D225" i="11"/>
  <c r="D265" i="11"/>
  <c r="D266" i="11"/>
  <c r="D444" i="11"/>
  <c r="D14" i="11"/>
  <c r="D267" i="11"/>
  <c r="D445" i="11"/>
  <c r="D15" i="11"/>
  <c r="D268" i="11"/>
  <c r="D16" i="11"/>
  <c r="D17" i="11"/>
  <c r="D269" i="11"/>
  <c r="D18" i="11"/>
  <c r="D270" i="11"/>
  <c r="D19" i="11"/>
  <c r="D271" i="11"/>
  <c r="D446" i="11"/>
  <c r="D20" i="11"/>
  <c r="D272" i="11"/>
  <c r="D447" i="11"/>
  <c r="D21" i="11"/>
  <c r="D448" i="11"/>
  <c r="D273" i="11"/>
  <c r="D449" i="11"/>
  <c r="D539" i="11"/>
  <c r="D22" i="11"/>
  <c r="D274" i="11"/>
  <c r="D275" i="11"/>
  <c r="D450" i="11"/>
  <c r="D23" i="11"/>
  <c r="D451" i="11"/>
  <c r="D276" i="11"/>
  <c r="D24" i="11"/>
  <c r="D277" i="11"/>
  <c r="D25" i="11"/>
  <c r="D278" i="11"/>
  <c r="D26" i="11"/>
  <c r="D279" i="11"/>
  <c r="D452" i="11"/>
  <c r="D540" i="11"/>
  <c r="D27" i="11"/>
  <c r="D280" i="11"/>
  <c r="D453" i="11"/>
  <c r="D28" i="11"/>
  <c r="D454" i="11"/>
  <c r="D281" i="11"/>
  <c r="D541" i="11"/>
  <c r="D29" i="11"/>
  <c r="D455" i="11"/>
  <c r="D282" i="11"/>
  <c r="D30" i="11"/>
  <c r="D283" i="11"/>
  <c r="D284" i="11"/>
  <c r="D542" i="11"/>
  <c r="D31" i="11"/>
  <c r="D285" i="11"/>
  <c r="D456" i="11"/>
  <c r="D286" i="11"/>
  <c r="D543" i="11"/>
  <c r="D32" i="11"/>
  <c r="D287" i="11"/>
  <c r="D33" i="11"/>
  <c r="D288" i="11"/>
  <c r="D34" i="11"/>
  <c r="D289" i="11"/>
  <c r="D35" i="11"/>
  <c r="D290" i="11"/>
  <c r="D36" i="11"/>
  <c r="D291" i="11"/>
  <c r="D37" i="11"/>
  <c r="D292" i="11"/>
  <c r="D38" i="11"/>
  <c r="D293" i="11"/>
  <c r="D294" i="11"/>
  <c r="D39" i="11"/>
  <c r="D295" i="11"/>
  <c r="D40" i="11"/>
  <c r="D296" i="11"/>
  <c r="D41" i="11"/>
  <c r="D297" i="11"/>
  <c r="D544" i="11"/>
  <c r="D42" i="11"/>
  <c r="D298" i="11"/>
  <c r="D457" i="11"/>
  <c r="D43" i="11"/>
  <c r="D226" i="11"/>
  <c r="D44" i="11"/>
  <c r="D299" i="11"/>
  <c r="D45" i="11"/>
  <c r="D227" i="11"/>
  <c r="D300" i="11"/>
  <c r="D458" i="11"/>
  <c r="D545" i="11"/>
  <c r="D46" i="11"/>
  <c r="D301" i="11"/>
  <c r="D459" i="11"/>
  <c r="D47" i="11"/>
  <c r="D302" i="11"/>
  <c r="D48" i="11"/>
  <c r="D460" i="11"/>
  <c r="D49" i="11"/>
  <c r="D303" i="11"/>
  <c r="D50" i="11"/>
  <c r="D304" i="11"/>
  <c r="D51" i="11"/>
  <c r="D305" i="11"/>
  <c r="D461" i="11"/>
  <c r="D52" i="11"/>
  <c r="D306" i="11"/>
  <c r="D53" i="11"/>
  <c r="D307" i="11"/>
  <c r="D54" i="11"/>
  <c r="D228" i="11"/>
  <c r="D462" i="11"/>
  <c r="D55" i="11"/>
  <c r="D308" i="11"/>
  <c r="D463" i="11"/>
  <c r="D56" i="11"/>
  <c r="D309" i="11"/>
  <c r="D57" i="11"/>
  <c r="D546" i="11"/>
  <c r="D310" i="11"/>
  <c r="D58" i="11"/>
  <c r="D311" i="11"/>
  <c r="D59" i="11"/>
  <c r="D547" i="11"/>
  <c r="D60" i="11"/>
  <c r="D312" i="11"/>
  <c r="D464" i="11"/>
  <c r="D61" i="11"/>
  <c r="D465" i="11"/>
  <c r="D313" i="11"/>
  <c r="D62" i="11"/>
  <c r="D314" i="11"/>
  <c r="D466" i="11"/>
  <c r="D63" i="11"/>
  <c r="D467" i="11"/>
  <c r="D315" i="11"/>
  <c r="D64" i="11"/>
  <c r="D65" i="11"/>
  <c r="D316" i="11"/>
  <c r="D548" i="11"/>
  <c r="D66" i="11"/>
  <c r="D468" i="11"/>
  <c r="D67" i="11"/>
  <c r="D317" i="11"/>
  <c r="D68" i="11"/>
  <c r="D318" i="11"/>
  <c r="D469" i="11"/>
  <c r="D69" i="11"/>
  <c r="D70" i="11"/>
  <c r="D319" i="11"/>
  <c r="D470" i="11"/>
  <c r="D71" i="11"/>
  <c r="D549" i="11"/>
  <c r="D320" i="11"/>
  <c r="D471" i="11"/>
  <c r="D72" i="11"/>
  <c r="D321" i="11"/>
  <c r="D73" i="11"/>
  <c r="D472" i="11"/>
  <c r="D473" i="11"/>
  <c r="D550" i="11"/>
  <c r="D322" i="11"/>
  <c r="D74" i="11"/>
  <c r="D323" i="11"/>
  <c r="D75" i="11"/>
  <c r="D324" i="11"/>
  <c r="D474" i="11"/>
  <c r="D76" i="11"/>
  <c r="D325" i="11"/>
  <c r="D77" i="11"/>
  <c r="D326" i="11"/>
  <c r="D475" i="11"/>
  <c r="D78" i="11"/>
  <c r="D327" i="11"/>
  <c r="D476" i="11"/>
  <c r="D79" i="11"/>
  <c r="D477" i="11"/>
  <c r="D478" i="11"/>
  <c r="D479" i="11"/>
  <c r="D480" i="11"/>
  <c r="D328" i="11"/>
  <c r="D481" i="11"/>
  <c r="D80" i="11"/>
  <c r="D229" i="11"/>
  <c r="D329" i="11"/>
  <c r="D551" i="11"/>
  <c r="D81" i="11"/>
  <c r="D330" i="11"/>
  <c r="D482" i="11"/>
  <c r="D82" i="11"/>
  <c r="D331" i="11"/>
  <c r="D483" i="11"/>
  <c r="D83" i="11"/>
  <c r="D484" i="11"/>
  <c r="D332" i="11"/>
  <c r="D485" i="11"/>
  <c r="D84" i="11"/>
  <c r="D333" i="11"/>
  <c r="D85" i="11"/>
  <c r="D86" i="11"/>
  <c r="D87" i="11"/>
  <c r="D486" i="11"/>
  <c r="D334" i="11"/>
  <c r="D487" i="11"/>
  <c r="D88" i="11"/>
  <c r="D488" i="11"/>
  <c r="D335" i="11"/>
  <c r="D489" i="11"/>
  <c r="D89" i="11"/>
  <c r="D490" i="11"/>
  <c r="D336" i="11"/>
  <c r="D90" i="11"/>
  <c r="D91" i="11"/>
  <c r="D337" i="11"/>
  <c r="D92" i="11"/>
  <c r="D93" i="11"/>
  <c r="D338" i="11"/>
  <c r="D94" i="11"/>
  <c r="D339" i="11"/>
  <c r="D340" i="11"/>
  <c r="D561" i="11"/>
  <c r="D95" i="11"/>
  <c r="D491" i="11"/>
  <c r="D230" i="11"/>
  <c r="D96" i="11"/>
  <c r="D341" i="11"/>
  <c r="D97" i="11"/>
  <c r="D342" i="11"/>
  <c r="D492" i="11"/>
  <c r="D98" i="11"/>
  <c r="D231" i="11"/>
  <c r="D232" i="11"/>
  <c r="D343" i="11"/>
  <c r="D99" i="11"/>
  <c r="D344" i="11"/>
  <c r="D562" i="11"/>
  <c r="D100" i="11"/>
  <c r="D345" i="11"/>
  <c r="D101" i="11"/>
  <c r="D233" i="11"/>
  <c r="D102" i="11"/>
  <c r="D346" i="11"/>
  <c r="D103" i="11"/>
  <c r="D347" i="11"/>
  <c r="D493" i="11"/>
  <c r="D104" i="11"/>
  <c r="D348" i="11"/>
  <c r="D494" i="11"/>
  <c r="D105" i="11"/>
  <c r="D495" i="11"/>
  <c r="D349" i="11"/>
  <c r="D106" i="11"/>
  <c r="D234" i="11"/>
  <c r="D107" i="11"/>
  <c r="D350" i="11"/>
  <c r="D496" i="11"/>
  <c r="D108" i="11"/>
  <c r="D351" i="11"/>
  <c r="D497" i="11"/>
  <c r="D109" i="11"/>
  <c r="D352" i="11"/>
  <c r="D110" i="11"/>
  <c r="D353" i="11"/>
  <c r="D111" i="11"/>
  <c r="D354" i="11"/>
  <c r="D112" i="11"/>
  <c r="D235" i="11"/>
  <c r="D236" i="11"/>
  <c r="D113" i="11"/>
  <c r="D355" i="11"/>
  <c r="D114" i="11"/>
  <c r="D237" i="11"/>
  <c r="D115" i="11"/>
  <c r="D356" i="11"/>
  <c r="D116" i="11"/>
  <c r="D357" i="11"/>
  <c r="D498" i="11"/>
  <c r="D117" i="11"/>
  <c r="D238" i="11"/>
  <c r="D118" i="11"/>
  <c r="D239" i="11"/>
  <c r="D119" i="11"/>
  <c r="D358" i="11"/>
  <c r="D120" i="11"/>
  <c r="D359" i="11"/>
  <c r="D121" i="11"/>
  <c r="D122" i="11"/>
  <c r="D360" i="11"/>
  <c r="D499" i="11"/>
  <c r="D123" i="11"/>
  <c r="D361" i="11"/>
  <c r="D124" i="11"/>
  <c r="D362" i="11"/>
  <c r="D125" i="11"/>
  <c r="D363" i="11"/>
  <c r="D126" i="11"/>
  <c r="D364" i="11"/>
  <c r="D127" i="11"/>
  <c r="D365" i="11"/>
  <c r="D128" i="11"/>
  <c r="D240" i="11"/>
  <c r="D366" i="11"/>
  <c r="D129" i="11"/>
  <c r="D367" i="11"/>
  <c r="D500" i="11"/>
  <c r="D563" i="11"/>
  <c r="D130" i="11"/>
  <c r="D564" i="11"/>
  <c r="D368" i="11"/>
  <c r="D369" i="11"/>
  <c r="D131" i="11"/>
  <c r="D370" i="11"/>
  <c r="D132" i="11"/>
  <c r="D241" i="11"/>
  <c r="D133" i="11"/>
  <c r="D242" i="11"/>
  <c r="D134" i="11"/>
  <c r="D371" i="11"/>
  <c r="D135" i="11"/>
  <c r="D372" i="11"/>
  <c r="D501" i="11"/>
  <c r="D136" i="11"/>
  <c r="D502" i="11"/>
  <c r="D503" i="11"/>
  <c r="D137" i="11"/>
  <c r="D552" i="11"/>
  <c r="D373" i="11"/>
  <c r="D374" i="11"/>
  <c r="D504" i="11"/>
  <c r="D138" i="11"/>
  <c r="D375" i="11"/>
  <c r="D139" i="11"/>
  <c r="D376" i="11"/>
  <c r="D505" i="11"/>
  <c r="D140" i="11"/>
  <c r="D506" i="11"/>
  <c r="D243" i="11"/>
  <c r="D141" i="11"/>
  <c r="D377" i="11"/>
  <c r="D142" i="11"/>
  <c r="D378" i="11"/>
  <c r="D507" i="11"/>
  <c r="D143" i="11"/>
  <c r="D379" i="11"/>
  <c r="D144" i="11"/>
  <c r="D508" i="11"/>
  <c r="D380" i="11"/>
  <c r="D565" i="11"/>
  <c r="D509" i="11"/>
  <c r="D381" i="11"/>
  <c r="D510" i="11"/>
  <c r="D145" i="11"/>
  <c r="D244" i="11"/>
  <c r="D245" i="11"/>
  <c r="D146" i="11"/>
  <c r="D246" i="11"/>
  <c r="D147" i="11"/>
  <c r="D382" i="11"/>
  <c r="D148" i="11"/>
  <c r="D149" i="11"/>
  <c r="D247" i="11"/>
  <c r="D150" i="11"/>
  <c r="D248" i="11"/>
  <c r="D151" i="11"/>
  <c r="D152" i="11"/>
  <c r="D383" i="11"/>
  <c r="D153" i="11"/>
  <c r="D384" i="11"/>
  <c r="D511" i="11"/>
  <c r="D154" i="11"/>
  <c r="D385" i="11"/>
  <c r="D155" i="11"/>
  <c r="D553" i="11"/>
  <c r="D386" i="11"/>
  <c r="D156" i="11"/>
  <c r="D387" i="11"/>
  <c r="D157" i="11"/>
  <c r="D388" i="11"/>
  <c r="D158" i="11"/>
  <c r="D389" i="11"/>
  <c r="D512" i="11"/>
  <c r="D159" i="11"/>
  <c r="D390" i="11"/>
  <c r="D160" i="11"/>
  <c r="D391" i="11"/>
  <c r="D554" i="11"/>
  <c r="D161" i="11"/>
  <c r="D513" i="11"/>
  <c r="D392" i="11"/>
  <c r="D162" i="11"/>
  <c r="D393" i="11"/>
  <c r="D163" i="11"/>
  <c r="D394" i="11"/>
  <c r="D164" i="11"/>
  <c r="D165" i="11"/>
  <c r="D395" i="11"/>
  <c r="D396" i="11"/>
  <c r="D166" i="11"/>
  <c r="D397" i="11"/>
  <c r="D555" i="11"/>
  <c r="D167" i="11"/>
  <c r="D398" i="11"/>
  <c r="D168" i="11"/>
  <c r="D399" i="11"/>
  <c r="D169" i="11"/>
  <c r="D400" i="11"/>
  <c r="D170" i="11"/>
  <c r="D249" i="11"/>
  <c r="D401" i="11"/>
  <c r="D514" i="11"/>
  <c r="D556" i="11"/>
  <c r="D171" i="11"/>
  <c r="D402" i="11"/>
  <c r="D172" i="11"/>
  <c r="D403" i="11"/>
  <c r="D173" i="11"/>
  <c r="D404" i="11"/>
  <c r="D174" i="11"/>
  <c r="D405" i="11"/>
  <c r="D175" i="11"/>
  <c r="D406" i="11"/>
  <c r="D557" i="11"/>
  <c r="D176" i="11"/>
  <c r="D407" i="11"/>
  <c r="D177" i="11"/>
  <c r="D408" i="11"/>
  <c r="D515" i="11"/>
  <c r="D178" i="11"/>
  <c r="D409" i="11"/>
  <c r="D516" i="11"/>
  <c r="D179" i="11"/>
  <c r="D410" i="11"/>
  <c r="D180" i="11"/>
  <c r="D181" i="11"/>
  <c r="D250" i="11"/>
  <c r="D411" i="11"/>
  <c r="D182" i="11"/>
  <c r="D412" i="11"/>
  <c r="D183" i="11"/>
  <c r="D413" i="11"/>
  <c r="D517" i="11"/>
  <c r="D184" i="11"/>
  <c r="D414" i="11"/>
  <c r="D185" i="11"/>
  <c r="D415" i="11"/>
  <c r="D518" i="11"/>
  <c r="D186" i="11"/>
  <c r="D416" i="11"/>
  <c r="D187" i="11"/>
  <c r="D417" i="11"/>
  <c r="D188" i="11"/>
  <c r="D418" i="11"/>
  <c r="D189" i="11"/>
  <c r="D419" i="11"/>
  <c r="D190" i="11"/>
  <c r="D519" i="11"/>
  <c r="D191" i="11"/>
  <c r="D192" i="11"/>
  <c r="D251" i="11"/>
  <c r="D520" i="11"/>
  <c r="D193" i="11"/>
  <c r="D252" i="11"/>
  <c r="D194" i="11"/>
  <c r="D521" i="11"/>
  <c r="D253" i="11"/>
  <c r="D420" i="11"/>
  <c r="D195" i="11"/>
  <c r="D421" i="11"/>
  <c r="D196" i="11"/>
  <c r="D254" i="11"/>
  <c r="D422" i="11"/>
  <c r="D522" i="11"/>
  <c r="D197" i="11"/>
  <c r="D423" i="11"/>
  <c r="D558" i="11"/>
  <c r="D198" i="11"/>
  <c r="D424" i="11"/>
  <c r="D199" i="11"/>
  <c r="D425" i="11"/>
  <c r="D523" i="11"/>
  <c r="D200" i="11"/>
  <c r="D426" i="11"/>
  <c r="D201" i="11"/>
  <c r="D427" i="11"/>
  <c r="D559" i="11"/>
  <c r="D202" i="11"/>
  <c r="D428" i="11"/>
  <c r="D203" i="11"/>
  <c r="D204" i="11"/>
  <c r="D560" i="11"/>
  <c r="D524" i="11"/>
  <c r="D525" i="11"/>
  <c r="D526" i="11"/>
  <c r="D429" i="11"/>
  <c r="D205" i="11"/>
  <c r="D430" i="11"/>
  <c r="D527" i="11"/>
  <c r="D206" i="11"/>
  <c r="D255" i="11"/>
  <c r="D431" i="11"/>
  <c r="D528" i="11"/>
  <c r="D207" i="11"/>
  <c r="D529" i="11"/>
  <c r="D256" i="11"/>
  <c r="D530" i="11"/>
  <c r="D208" i="11"/>
  <c r="D257" i="11"/>
  <c r="D531" i="11"/>
  <c r="D209" i="11"/>
  <c r="D258" i="11"/>
  <c r="D210" i="11"/>
  <c r="D432" i="11"/>
  <c r="D211" i="11"/>
  <c r="D433" i="11"/>
  <c r="D532" i="11"/>
  <c r="D212" i="11"/>
  <c r="D259" i="11"/>
  <c r="D434" i="11"/>
  <c r="D533" i="11"/>
  <c r="D566" i="11"/>
  <c r="D213" i="11"/>
  <c r="D435" i="11"/>
  <c r="D214" i="11"/>
  <c r="D436" i="11"/>
  <c r="D215" i="11"/>
  <c r="D437" i="11"/>
  <c r="D216" i="11"/>
  <c r="D438" i="11"/>
  <c r="D217" i="11"/>
  <c r="D534" i="11"/>
  <c r="D439" i="11"/>
  <c r="D535" i="11"/>
  <c r="D218" i="11"/>
  <c r="D219" i="11"/>
  <c r="D440" i="11"/>
  <c r="D536" i="11"/>
  <c r="D220" i="11"/>
  <c r="D537" i="11"/>
  <c r="D538" i="11"/>
  <c r="D2" i="11"/>
  <c r="D260" i="11"/>
  <c r="K15" i="10" l="1"/>
  <c r="D387" i="10"/>
  <c r="D94" i="10"/>
  <c r="D388" i="10"/>
  <c r="K11" i="10"/>
  <c r="D376" i="10"/>
  <c r="D599" i="10"/>
  <c r="D375" i="10"/>
  <c r="D598" i="10"/>
  <c r="D77" i="10"/>
  <c r="D374" i="10"/>
  <c r="D597" i="10"/>
  <c r="D596" i="10"/>
  <c r="D778" i="10"/>
  <c r="D76" i="10"/>
  <c r="D646" i="10"/>
  <c r="D373" i="10"/>
  <c r="D595" i="10"/>
  <c r="D372" i="10"/>
  <c r="D777" i="10"/>
  <c r="D594" i="10"/>
  <c r="D645" i="10"/>
  <c r="D776" i="10"/>
  <c r="D371" i="10"/>
  <c r="D775" i="10"/>
  <c r="D75" i="10"/>
  <c r="D644" i="10"/>
  <c r="D370" i="10"/>
  <c r="D643" i="10"/>
  <c r="D774" i="10"/>
  <c r="D593" i="10"/>
  <c r="D369" i="10"/>
  <c r="D592" i="10"/>
  <c r="D368" i="10"/>
  <c r="D773" i="10"/>
  <c r="D642" i="10"/>
  <c r="D367" i="10"/>
  <c r="D772" i="10"/>
  <c r="D591" i="10"/>
  <c r="D366" i="10"/>
  <c r="D771" i="10"/>
  <c r="D590" i="10"/>
  <c r="D641" i="10"/>
  <c r="D365" i="10"/>
  <c r="D74" i="10"/>
  <c r="D364" i="10"/>
  <c r="D589" i="10"/>
  <c r="D770" i="10"/>
  <c r="D769" i="10"/>
  <c r="D768" i="10"/>
  <c r="D363" i="10"/>
  <c r="D767" i="10"/>
  <c r="D588" i="10"/>
  <c r="D766" i="10"/>
  <c r="D362" i="10"/>
  <c r="D587" i="10"/>
  <c r="D361" i="10"/>
  <c r="D586" i="10"/>
  <c r="D360" i="10"/>
  <c r="D585" i="10"/>
  <c r="D359" i="10"/>
  <c r="D765" i="10"/>
  <c r="D584" i="10"/>
  <c r="D358" i="10"/>
  <c r="D583" i="10"/>
  <c r="D764" i="10"/>
  <c r="D357" i="10"/>
  <c r="D763" i="10"/>
  <c r="D582" i="10"/>
  <c r="D356" i="10"/>
  <c r="D581" i="10"/>
  <c r="K16" i="10"/>
  <c r="D73" i="10"/>
  <c r="E73" i="10" s="1"/>
  <c r="D355" i="10"/>
  <c r="D640" i="10"/>
  <c r="D580" i="10"/>
  <c r="D579" i="10"/>
  <c r="D354" i="10"/>
  <c r="D639" i="10"/>
  <c r="D578" i="10"/>
  <c r="D353" i="10"/>
  <c r="D638" i="10"/>
  <c r="D72" i="10"/>
  <c r="D352" i="10"/>
  <c r="D351" i="10"/>
  <c r="D637" i="10"/>
  <c r="D577" i="10"/>
  <c r="D350" i="10"/>
  <c r="D576" i="10"/>
  <c r="D349" i="10"/>
  <c r="D636" i="10"/>
  <c r="D575" i="10"/>
  <c r="D348" i="10"/>
  <c r="D71" i="10"/>
  <c r="D70" i="10"/>
  <c r="D762" i="10"/>
  <c r="D347" i="10"/>
  <c r="D574" i="10"/>
  <c r="D761" i="10"/>
  <c r="D346" i="10"/>
  <c r="D573" i="10"/>
  <c r="D760" i="10"/>
  <c r="D345" i="10"/>
  <c r="D572" i="10"/>
  <c r="D69" i="10"/>
  <c r="D344" i="10"/>
  <c r="D759" i="10"/>
  <c r="D571" i="10"/>
  <c r="D343" i="10"/>
  <c r="D570" i="10"/>
  <c r="D342" i="10"/>
  <c r="D758" i="10"/>
  <c r="D569" i="10"/>
  <c r="D341" i="10"/>
  <c r="D635" i="10"/>
  <c r="D568" i="10"/>
  <c r="D340" i="10"/>
  <c r="D567" i="10"/>
  <c r="D339" i="10"/>
  <c r="D338" i="10"/>
  <c r="D337" i="10"/>
  <c r="D566" i="10"/>
  <c r="D336" i="10"/>
  <c r="D565" i="10"/>
  <c r="D335" i="10"/>
  <c r="D757" i="10"/>
  <c r="D564" i="10"/>
  <c r="D334" i="10"/>
  <c r="D563" i="10"/>
  <c r="D333" i="10"/>
  <c r="D756" i="10"/>
  <c r="D562" i="10"/>
  <c r="D332" i="10"/>
  <c r="D331" i="10"/>
  <c r="D755" i="10"/>
  <c r="D561" i="10"/>
  <c r="D754" i="10"/>
  <c r="D330" i="10"/>
  <c r="D753" i="10"/>
  <c r="D560" i="10"/>
  <c r="D329" i="10"/>
  <c r="D752" i="10"/>
  <c r="D559" i="10"/>
  <c r="D328" i="10"/>
  <c r="D558" i="10"/>
  <c r="D634" i="10"/>
  <c r="D327" i="10"/>
  <c r="D633" i="10"/>
  <c r="D751" i="10"/>
  <c r="D557" i="10"/>
  <c r="D326" i="10"/>
  <c r="E326" i="10" s="1"/>
  <c r="D68" i="10"/>
  <c r="D632" i="10"/>
  <c r="D325" i="10"/>
  <c r="E325" i="10" s="1"/>
  <c r="D556" i="10"/>
  <c r="D324" i="10"/>
  <c r="E324" i="10" s="1"/>
  <c r="D631" i="10"/>
  <c r="D555" i="10"/>
  <c r="D323" i="10"/>
  <c r="D554" i="10"/>
  <c r="D322" i="10"/>
  <c r="D553" i="10"/>
  <c r="D321" i="10"/>
  <c r="D750" i="10"/>
  <c r="D552" i="10"/>
  <c r="D320" i="10"/>
  <c r="D551" i="10"/>
  <c r="D319" i="10"/>
  <c r="D749" i="10"/>
  <c r="D550" i="10"/>
  <c r="D318" i="10"/>
  <c r="D748" i="10"/>
  <c r="D549" i="10"/>
  <c r="D317" i="10"/>
  <c r="D747" i="10"/>
  <c r="D548" i="10"/>
  <c r="D316" i="10"/>
  <c r="D746" i="10"/>
  <c r="D547" i="10"/>
  <c r="D315" i="10"/>
  <c r="D546" i="10"/>
  <c r="D314" i="10"/>
  <c r="D545" i="10"/>
  <c r="D313" i="10"/>
  <c r="D544" i="10"/>
  <c r="D312" i="10"/>
  <c r="D311" i="10"/>
  <c r="D745" i="10"/>
  <c r="D543" i="10"/>
  <c r="D310" i="10"/>
  <c r="D67" i="10"/>
  <c r="D309" i="10"/>
  <c r="D66" i="10"/>
  <c r="D308" i="10"/>
  <c r="D65" i="10"/>
  <c r="D307" i="10"/>
  <c r="D64" i="10"/>
  <c r="D63" i="10"/>
  <c r="D744" i="10"/>
  <c r="D62" i="10"/>
  <c r="D306" i="10"/>
  <c r="D743" i="10"/>
  <c r="D542" i="10"/>
  <c r="D305" i="10"/>
  <c r="D541" i="10"/>
  <c r="D540" i="10"/>
  <c r="D304" i="10"/>
  <c r="D742" i="10"/>
  <c r="D539" i="10"/>
  <c r="D303" i="10"/>
  <c r="D538" i="10"/>
  <c r="D741" i="10"/>
  <c r="D302" i="10"/>
  <c r="D740" i="10"/>
  <c r="D537" i="10"/>
  <c r="D301" i="10"/>
  <c r="D536" i="10"/>
  <c r="D300" i="10"/>
  <c r="D535" i="10"/>
  <c r="D299" i="10"/>
  <c r="D534" i="10"/>
  <c r="D298" i="10"/>
  <c r="D739" i="10"/>
  <c r="D61" i="10"/>
  <c r="D297" i="10"/>
  <c r="D738" i="10"/>
  <c r="D533" i="10"/>
  <c r="D737" i="10"/>
  <c r="D296" i="10"/>
  <c r="D736" i="10"/>
  <c r="D532" i="10"/>
  <c r="D295" i="10"/>
  <c r="D531" i="10"/>
  <c r="D294" i="10"/>
  <c r="D530" i="10"/>
  <c r="D293" i="10"/>
  <c r="D529" i="10"/>
  <c r="D292" i="10"/>
  <c r="D630" i="10"/>
  <c r="D528" i="10"/>
  <c r="D60" i="10"/>
  <c r="D59" i="10"/>
  <c r="D291" i="10"/>
  <c r="D58" i="10"/>
  <c r="D290" i="10"/>
  <c r="D57" i="10"/>
  <c r="D289" i="10"/>
  <c r="D527" i="10"/>
  <c r="D288" i="10"/>
  <c r="D526" i="10"/>
  <c r="D56" i="10"/>
  <c r="D287" i="10"/>
  <c r="D629" i="10"/>
  <c r="D735" i="10"/>
  <c r="D525" i="10"/>
  <c r="D286" i="10"/>
  <c r="D524" i="10"/>
  <c r="D523" i="10"/>
  <c r="D285" i="10"/>
  <c r="D522" i="10"/>
  <c r="D284" i="10"/>
  <c r="D55" i="10"/>
  <c r="D283" i="10"/>
  <c r="D521" i="10"/>
  <c r="D734" i="10"/>
  <c r="D733" i="10"/>
  <c r="D282" i="10"/>
  <c r="D628" i="10"/>
  <c r="D520" i="10"/>
  <c r="D281" i="10"/>
  <c r="D627" i="10"/>
  <c r="D732" i="10"/>
  <c r="D519" i="10"/>
  <c r="D731" i="10"/>
  <c r="D280" i="10"/>
  <c r="D518" i="10"/>
  <c r="D279" i="10"/>
  <c r="D517" i="10"/>
  <c r="D278" i="10"/>
  <c r="D626" i="10"/>
  <c r="D516" i="10"/>
  <c r="D277" i="10"/>
  <c r="D515" i="10"/>
  <c r="D276" i="10"/>
  <c r="D54" i="10"/>
  <c r="D730" i="10"/>
  <c r="D729" i="10"/>
  <c r="D53" i="10"/>
  <c r="D625" i="10"/>
  <c r="D275" i="10"/>
  <c r="D624" i="10"/>
  <c r="D52" i="10"/>
  <c r="D274" i="10"/>
  <c r="D514" i="10"/>
  <c r="D273" i="10"/>
  <c r="D272" i="10"/>
  <c r="D728" i="10"/>
  <c r="D51" i="10"/>
  <c r="D271" i="10"/>
  <c r="D513" i="10"/>
  <c r="D727" i="10"/>
  <c r="D270" i="10"/>
  <c r="D726" i="10"/>
  <c r="D512" i="10"/>
  <c r="D269" i="10"/>
  <c r="D725" i="10"/>
  <c r="D780" i="10"/>
  <c r="D50" i="10"/>
  <c r="D268" i="10"/>
  <c r="D724" i="10"/>
  <c r="D267" i="10"/>
  <c r="D723" i="10"/>
  <c r="D511" i="10"/>
  <c r="D266" i="10"/>
  <c r="D510" i="10"/>
  <c r="D265" i="10"/>
  <c r="D722" i="10"/>
  <c r="D509" i="10"/>
  <c r="D264" i="10"/>
  <c r="D721" i="10"/>
  <c r="D49" i="10"/>
  <c r="D263" i="10"/>
  <c r="D623" i="10"/>
  <c r="D720" i="10"/>
  <c r="D508" i="10"/>
  <c r="D622" i="10"/>
  <c r="D507" i="10"/>
  <c r="D262" i="10"/>
  <c r="D719" i="10"/>
  <c r="D48" i="10"/>
  <c r="D506" i="10"/>
  <c r="D261" i="10"/>
  <c r="D718" i="10"/>
  <c r="D505" i="10"/>
  <c r="D260" i="10"/>
  <c r="D717" i="10"/>
  <c r="D504" i="10"/>
  <c r="D716" i="10"/>
  <c r="D259" i="10"/>
  <c r="D715" i="10"/>
  <c r="D503" i="10"/>
  <c r="D258" i="10"/>
  <c r="D714" i="10"/>
  <c r="D502" i="10"/>
  <c r="D621" i="10"/>
  <c r="D713" i="10"/>
  <c r="D257" i="10"/>
  <c r="D620" i="10"/>
  <c r="D712" i="10"/>
  <c r="D501" i="10"/>
  <c r="D500" i="10"/>
  <c r="D711" i="10"/>
  <c r="D256" i="10"/>
  <c r="D710" i="10"/>
  <c r="D499" i="10"/>
  <c r="D255" i="10"/>
  <c r="D498" i="10"/>
  <c r="D254" i="10"/>
  <c r="D497" i="10"/>
  <c r="D253" i="10"/>
  <c r="D496" i="10"/>
  <c r="D252" i="10"/>
  <c r="D251" i="10"/>
  <c r="D495" i="10"/>
  <c r="D250" i="10"/>
  <c r="D494" i="10"/>
  <c r="D249" i="10"/>
  <c r="D493" i="10"/>
  <c r="D709" i="10"/>
  <c r="D248" i="10"/>
  <c r="D708" i="10"/>
  <c r="D492" i="10"/>
  <c r="D247" i="10"/>
  <c r="D246" i="10"/>
  <c r="D491" i="10"/>
  <c r="D245" i="10"/>
  <c r="D490" i="10"/>
  <c r="D244" i="10"/>
  <c r="D489" i="10"/>
  <c r="D243" i="10"/>
  <c r="D619" i="10"/>
  <c r="D488" i="10"/>
  <c r="D242" i="10"/>
  <c r="D487" i="10"/>
  <c r="D241" i="10"/>
  <c r="D618" i="10"/>
  <c r="D707" i="10"/>
  <c r="D486" i="10"/>
  <c r="E486" i="10" s="1"/>
  <c r="D240" i="10"/>
  <c r="D239" i="10"/>
  <c r="K14" i="10"/>
  <c r="D485" i="10"/>
  <c r="D238" i="10"/>
  <c r="D617" i="10"/>
  <c r="D484" i="10"/>
  <c r="D237" i="10"/>
  <c r="D483" i="10"/>
  <c r="D706" i="10"/>
  <c r="D236" i="10"/>
  <c r="D616" i="10"/>
  <c r="D235" i="10"/>
  <c r="D482" i="10"/>
  <c r="D705" i="10"/>
  <c r="D234" i="10"/>
  <c r="D704" i="10"/>
  <c r="D481" i="10"/>
  <c r="D233" i="10"/>
  <c r="D480" i="10"/>
  <c r="D232" i="10"/>
  <c r="D47" i="10"/>
  <c r="D479" i="10"/>
  <c r="D231" i="10"/>
  <c r="D478" i="10"/>
  <c r="D230" i="10"/>
  <c r="D703" i="10"/>
  <c r="D46" i="10"/>
  <c r="D229" i="10"/>
  <c r="D45" i="10"/>
  <c r="D228" i="10"/>
  <c r="D44" i="10"/>
  <c r="D227" i="10"/>
  <c r="D477" i="10"/>
  <c r="D226" i="10"/>
  <c r="D225" i="10"/>
  <c r="D702" i="10"/>
  <c r="D476" i="10"/>
  <c r="D224" i="10"/>
  <c r="D475" i="10"/>
  <c r="D223" i="10"/>
  <c r="D43" i="10"/>
  <c r="D222" i="10"/>
  <c r="D701" i="10"/>
  <c r="D42" i="10"/>
  <c r="D221" i="10"/>
  <c r="D41" i="10"/>
  <c r="D220" i="10"/>
  <c r="D700" i="10"/>
  <c r="D474" i="10"/>
  <c r="D219" i="10"/>
  <c r="D40" i="10"/>
  <c r="D218" i="10"/>
  <c r="D473" i="10"/>
  <c r="D217" i="10"/>
  <c r="D615" i="10"/>
  <c r="D472" i="10"/>
  <c r="D216" i="10"/>
  <c r="D471" i="10"/>
  <c r="D215" i="10"/>
  <c r="D699" i="10"/>
  <c r="D470" i="10"/>
  <c r="D214" i="10"/>
  <c r="D39" i="10"/>
  <c r="D213" i="10"/>
  <c r="D698" i="10"/>
  <c r="D38" i="10"/>
  <c r="D697" i="10"/>
  <c r="D212" i="10"/>
  <c r="D696" i="10"/>
  <c r="D469" i="10"/>
  <c r="D211" i="10"/>
  <c r="D468" i="10"/>
  <c r="D210" i="10"/>
  <c r="D467" i="10"/>
  <c r="D209" i="10"/>
  <c r="D466" i="10"/>
  <c r="D208" i="10"/>
  <c r="D465" i="10"/>
  <c r="D207" i="10"/>
  <c r="D206" i="10"/>
  <c r="D37" i="10"/>
  <c r="D205" i="10"/>
  <c r="D464" i="10"/>
  <c r="D204" i="10"/>
  <c r="D203" i="10"/>
  <c r="D36" i="10"/>
  <c r="D202" i="10"/>
  <c r="D695" i="10"/>
  <c r="D463" i="10"/>
  <c r="D201" i="10"/>
  <c r="D462" i="10"/>
  <c r="D200" i="10"/>
  <c r="D199" i="10"/>
  <c r="D461" i="10"/>
  <c r="D198" i="10"/>
  <c r="D694" i="10"/>
  <c r="D460" i="10"/>
  <c r="D197" i="10"/>
  <c r="D35" i="10"/>
  <c r="D196" i="10"/>
  <c r="D781" i="10"/>
  <c r="D459" i="10"/>
  <c r="D34" i="10"/>
  <c r="D195" i="10"/>
  <c r="D33" i="10"/>
  <c r="D194" i="10"/>
  <c r="D693" i="10"/>
  <c r="D458" i="10"/>
  <c r="D193" i="10"/>
  <c r="D457" i="10"/>
  <c r="D192" i="10"/>
  <c r="D191" i="10"/>
  <c r="D32" i="10"/>
  <c r="D190" i="10"/>
  <c r="D456" i="10"/>
  <c r="D692" i="10"/>
  <c r="D189" i="10"/>
  <c r="D455" i="10"/>
  <c r="D188" i="10"/>
  <c r="D454" i="10"/>
  <c r="D187" i="10"/>
  <c r="D691" i="10"/>
  <c r="D453" i="10"/>
  <c r="D186" i="10"/>
  <c r="D614" i="10"/>
  <c r="D690" i="10"/>
  <c r="D452" i="10"/>
  <c r="D185" i="10"/>
  <c r="D689" i="10"/>
  <c r="D451" i="10"/>
  <c r="D184" i="10"/>
  <c r="D613" i="10"/>
  <c r="D450" i="10"/>
  <c r="D612" i="10"/>
  <c r="D611" i="10"/>
  <c r="D610" i="10"/>
  <c r="D609" i="10"/>
  <c r="D183" i="10"/>
  <c r="D449" i="10"/>
  <c r="D182" i="10"/>
  <c r="D448" i="10"/>
  <c r="D181" i="10"/>
  <c r="D447" i="10"/>
  <c r="D446" i="10"/>
  <c r="D180" i="10"/>
  <c r="D445" i="10"/>
  <c r="D688" i="10"/>
  <c r="D444" i="10"/>
  <c r="D179" i="10"/>
  <c r="D31" i="10"/>
  <c r="D608" i="10"/>
  <c r="D178" i="10"/>
  <c r="D687" i="10"/>
  <c r="D443" i="10"/>
  <c r="D177" i="10"/>
  <c r="D176" i="10"/>
  <c r="D442" i="10"/>
  <c r="D175" i="10"/>
  <c r="D441" i="10"/>
  <c r="D174" i="10"/>
  <c r="D686" i="10"/>
  <c r="D440" i="10"/>
  <c r="D173" i="10"/>
  <c r="D30" i="10"/>
  <c r="D172" i="10"/>
  <c r="D439" i="10"/>
  <c r="D171" i="10"/>
  <c r="D438" i="10"/>
  <c r="D170" i="10"/>
  <c r="D607" i="10"/>
  <c r="D437" i="10"/>
  <c r="D685" i="10"/>
  <c r="D169" i="10"/>
  <c r="D606" i="10"/>
  <c r="D684" i="10"/>
  <c r="D436" i="10"/>
  <c r="D683" i="10"/>
  <c r="D168" i="10"/>
  <c r="D682" i="10"/>
  <c r="D435" i="10"/>
  <c r="D681" i="10"/>
  <c r="D167" i="10"/>
  <c r="D680" i="10"/>
  <c r="D434" i="10"/>
  <c r="D166" i="10"/>
  <c r="D433" i="10"/>
  <c r="D165" i="10"/>
  <c r="D432" i="10"/>
  <c r="D164" i="10"/>
  <c r="D431" i="10"/>
  <c r="D163" i="10"/>
  <c r="D679" i="10"/>
  <c r="D430" i="10"/>
  <c r="D162" i="10"/>
  <c r="D429" i="10"/>
  <c r="D161" i="10"/>
  <c r="D428" i="10"/>
  <c r="D160" i="10"/>
  <c r="D427" i="10"/>
  <c r="D159" i="10"/>
  <c r="D426" i="10"/>
  <c r="D678" i="10"/>
  <c r="D158" i="10"/>
  <c r="D677" i="10"/>
  <c r="D425" i="10"/>
  <c r="D676" i="10"/>
  <c r="D157" i="10"/>
  <c r="D605" i="10"/>
  <c r="D29" i="10"/>
  <c r="D156" i="10"/>
  <c r="D28" i="10"/>
  <c r="D675" i="10"/>
  <c r="D155" i="10"/>
  <c r="D674" i="10"/>
  <c r="D424" i="10"/>
  <c r="D154" i="10"/>
  <c r="D673" i="10"/>
  <c r="D423" i="10"/>
  <c r="D153" i="10"/>
  <c r="D672" i="10"/>
  <c r="D422" i="10"/>
  <c r="D152" i="10"/>
  <c r="D421" i="10"/>
  <c r="D151" i="10"/>
  <c r="D27" i="10"/>
  <c r="D150" i="10"/>
  <c r="D26" i="10"/>
  <c r="D149" i="10"/>
  <c r="D420" i="10"/>
  <c r="D148" i="10"/>
  <c r="D671" i="10"/>
  <c r="D419" i="10"/>
  <c r="D147" i="10"/>
  <c r="D670" i="10"/>
  <c r="D146" i="10"/>
  <c r="D25" i="10"/>
  <c r="D145" i="10"/>
  <c r="D418" i="10"/>
  <c r="D144" i="10"/>
  <c r="D417" i="10"/>
  <c r="D143" i="10"/>
  <c r="D24" i="10"/>
  <c r="D142" i="10"/>
  <c r="D669" i="10"/>
  <c r="D416" i="10"/>
  <c r="D141" i="10"/>
  <c r="D23" i="10"/>
  <c r="D140" i="10"/>
  <c r="D415" i="10"/>
  <c r="D139" i="10"/>
  <c r="D604" i="10"/>
  <c r="D414" i="10"/>
  <c r="D138" i="10"/>
  <c r="D413" i="10"/>
  <c r="D137" i="10"/>
  <c r="D668" i="10"/>
  <c r="D779" i="10"/>
  <c r="D136" i="10"/>
  <c r="D22" i="10"/>
  <c r="D135" i="10"/>
  <c r="D667" i="10"/>
  <c r="D21" i="10"/>
  <c r="D666" i="10"/>
  <c r="D134" i="10"/>
  <c r="D665" i="10"/>
  <c r="D412" i="10"/>
  <c r="K13" i="10"/>
  <c r="D411" i="10"/>
  <c r="D133" i="10"/>
  <c r="D410" i="10"/>
  <c r="D132" i="10"/>
  <c r="D409" i="10"/>
  <c r="D131" i="10"/>
  <c r="D408" i="10"/>
  <c r="D130" i="10"/>
  <c r="D129" i="10"/>
  <c r="D20" i="10"/>
  <c r="D128" i="10"/>
  <c r="D407" i="10"/>
  <c r="D127" i="10"/>
  <c r="D126" i="10"/>
  <c r="D19" i="10"/>
  <c r="D125" i="10"/>
  <c r="D664" i="10"/>
  <c r="D406" i="10"/>
  <c r="D124" i="10"/>
  <c r="D405" i="10"/>
  <c r="D123" i="10"/>
  <c r="D663" i="10"/>
  <c r="D404" i="10"/>
  <c r="D122" i="10"/>
  <c r="D662" i="10"/>
  <c r="D403" i="10"/>
  <c r="D121" i="10"/>
  <c r="D18" i="10"/>
  <c r="D120" i="10"/>
  <c r="D661" i="10"/>
  <c r="D402" i="10"/>
  <c r="D17" i="10"/>
  <c r="D119" i="10"/>
  <c r="D16" i="10"/>
  <c r="D118" i="10"/>
  <c r="D401" i="10"/>
  <c r="D117" i="10"/>
  <c r="D116" i="10"/>
  <c r="D660" i="10"/>
  <c r="D400" i="10"/>
  <c r="D115" i="10"/>
  <c r="D399" i="10"/>
  <c r="D114" i="10"/>
  <c r="D398" i="10"/>
  <c r="D113" i="10"/>
  <c r="D397" i="10"/>
  <c r="D112" i="10"/>
  <c r="D111" i="10"/>
  <c r="D15" i="10"/>
  <c r="D110" i="10"/>
  <c r="D396" i="10"/>
  <c r="D109" i="10"/>
  <c r="D14" i="10"/>
  <c r="D108" i="10"/>
  <c r="D659" i="10"/>
  <c r="D395" i="10"/>
  <c r="D107" i="10"/>
  <c r="D394" i="10"/>
  <c r="D106" i="10"/>
  <c r="D658" i="10"/>
  <c r="D393" i="10"/>
  <c r="D105" i="10"/>
  <c r="D657" i="10"/>
  <c r="D392" i="10"/>
  <c r="D104" i="10"/>
  <c r="D13" i="10"/>
  <c r="D103" i="10"/>
  <c r="D603" i="10"/>
  <c r="D656" i="10"/>
  <c r="D391" i="10"/>
  <c r="D12" i="10"/>
  <c r="D102" i="10"/>
  <c r="D11" i="10"/>
  <c r="D101" i="10"/>
  <c r="D390" i="10"/>
  <c r="D100" i="10"/>
  <c r="D10" i="10"/>
  <c r="D99" i="10"/>
  <c r="D655" i="10"/>
  <c r="D9" i="10"/>
  <c r="D98" i="10"/>
  <c r="D8" i="10"/>
  <c r="D97" i="10"/>
  <c r="D654" i="10"/>
  <c r="D389" i="10"/>
  <c r="D96" i="10"/>
  <c r="D7" i="10"/>
  <c r="D95" i="10"/>
  <c r="K12" i="10"/>
  <c r="D93" i="10"/>
  <c r="D386" i="10"/>
  <c r="D92" i="10"/>
  <c r="D653" i="10"/>
  <c r="D385" i="10"/>
  <c r="D91" i="10"/>
  <c r="D6" i="10"/>
  <c r="D90" i="10"/>
  <c r="D652" i="10"/>
  <c r="D5" i="10"/>
  <c r="D651" i="10"/>
  <c r="D89" i="10"/>
  <c r="D650" i="10"/>
  <c r="D384" i="10"/>
  <c r="D88" i="10"/>
  <c r="D383" i="10"/>
  <c r="D87" i="10"/>
  <c r="D86" i="10"/>
  <c r="D382" i="10"/>
  <c r="D85" i="10"/>
  <c r="D649" i="10"/>
  <c r="D4" i="10"/>
  <c r="D84" i="10"/>
  <c r="D3" i="10"/>
  <c r="D83" i="10"/>
  <c r="D602" i="10"/>
  <c r="D381" i="10"/>
  <c r="D82" i="10"/>
  <c r="D1" i="10"/>
  <c r="D81" i="10"/>
  <c r="D648" i="10"/>
  <c r="L8" i="10" s="1"/>
  <c r="D380" i="10"/>
  <c r="D80" i="10"/>
  <c r="D601" i="10"/>
  <c r="D647" i="10"/>
  <c r="D379" i="10"/>
  <c r="D79" i="10"/>
  <c r="L5" i="10" s="1"/>
  <c r="D378" i="10"/>
  <c r="D78" i="10"/>
  <c r="D377" i="10"/>
  <c r="D600" i="10"/>
  <c r="L6" i="10" l="1"/>
  <c r="L7" i="10"/>
  <c r="E323" i="10"/>
  <c r="E308" i="10"/>
  <c r="E307" i="10"/>
  <c r="E309" i="10"/>
  <c r="E306" i="10"/>
  <c r="L4" i="10"/>
  <c r="E581" i="10"/>
  <c r="E579" i="10"/>
  <c r="E580" i="10"/>
  <c r="E411" i="10"/>
  <c r="E240" i="10"/>
  <c r="E485" i="10"/>
  <c r="E79" i="10"/>
  <c r="E96" i="10"/>
  <c r="E8" i="10"/>
  <c r="E99" i="10"/>
  <c r="E101" i="10"/>
  <c r="E391" i="10"/>
  <c r="E13" i="10"/>
  <c r="E105" i="10"/>
  <c r="E394" i="10"/>
  <c r="E108" i="10"/>
  <c r="E110" i="10"/>
  <c r="E397" i="10"/>
  <c r="E399" i="10"/>
  <c r="E116" i="10"/>
  <c r="E16" i="10"/>
  <c r="E661" i="10"/>
  <c r="E403" i="10"/>
  <c r="E663" i="10"/>
  <c r="E406" i="10"/>
  <c r="E126" i="10"/>
  <c r="E20" i="10"/>
  <c r="E131" i="10"/>
  <c r="E133" i="10"/>
  <c r="E665" i="10"/>
  <c r="E667" i="10"/>
  <c r="E779" i="10"/>
  <c r="E138" i="10"/>
  <c r="E415" i="10"/>
  <c r="E416" i="10"/>
  <c r="E143" i="10"/>
  <c r="E145" i="10"/>
  <c r="E147" i="10"/>
  <c r="E420" i="10"/>
  <c r="E27" i="10"/>
  <c r="E422" i="10"/>
  <c r="E673" i="10"/>
  <c r="E155" i="10"/>
  <c r="E29" i="10"/>
  <c r="E425" i="10"/>
  <c r="E426" i="10"/>
  <c r="E428" i="10"/>
  <c r="E430" i="10"/>
  <c r="E164" i="10"/>
  <c r="E166" i="10"/>
  <c r="E681" i="10"/>
  <c r="E683" i="10"/>
  <c r="E169" i="10"/>
  <c r="E170" i="10"/>
  <c r="E172" i="10"/>
  <c r="E686" i="10"/>
  <c r="E442" i="10"/>
  <c r="E687" i="10"/>
  <c r="E179" i="10"/>
  <c r="E180" i="10"/>
  <c r="E448" i="10"/>
  <c r="E609" i="10"/>
  <c r="E450" i="10"/>
  <c r="E689" i="10"/>
  <c r="E614" i="10"/>
  <c r="E187" i="10"/>
  <c r="E189" i="10"/>
  <c r="E32" i="10"/>
  <c r="E193" i="10"/>
  <c r="E33" i="10"/>
  <c r="E460" i="10"/>
  <c r="E199" i="10"/>
  <c r="E463" i="10"/>
  <c r="E203" i="10"/>
  <c r="E37" i="10"/>
  <c r="E208" i="10"/>
  <c r="E210" i="10"/>
  <c r="E696" i="10"/>
  <c r="E698" i="10"/>
  <c r="E470" i="10"/>
  <c r="E216" i="10"/>
  <c r="E473" i="10"/>
  <c r="E474" i="10"/>
  <c r="E221" i="10"/>
  <c r="E43" i="10"/>
  <c r="E476" i="10"/>
  <c r="E477" i="10"/>
  <c r="E45" i="10"/>
  <c r="E230" i="10"/>
  <c r="E47" i="10"/>
  <c r="E481" i="10"/>
  <c r="E482" i="10"/>
  <c r="E706" i="10"/>
  <c r="E617" i="10"/>
  <c r="E239" i="10"/>
  <c r="E618" i="10"/>
  <c r="E488" i="10"/>
  <c r="E244" i="10"/>
  <c r="E246" i="10"/>
  <c r="E248" i="10"/>
  <c r="E494" i="10"/>
  <c r="E252" i="10"/>
  <c r="E254" i="10"/>
  <c r="E710" i="10"/>
  <c r="E501" i="10"/>
  <c r="E713" i="10"/>
  <c r="E258" i="10"/>
  <c r="E716" i="10"/>
  <c r="E383" i="10"/>
  <c r="E387" i="10"/>
  <c r="E378" i="10"/>
  <c r="E601" i="10"/>
  <c r="E81" i="10"/>
  <c r="E602" i="10"/>
  <c r="E4" i="10"/>
  <c r="E86" i="10"/>
  <c r="E384" i="10"/>
  <c r="E5" i="10"/>
  <c r="E91" i="10"/>
  <c r="E386" i="10"/>
  <c r="E412" i="10"/>
  <c r="E94" i="10"/>
  <c r="E520" i="10"/>
  <c r="E122" i="10"/>
  <c r="E220" i="10"/>
  <c r="E715" i="10"/>
  <c r="E341" i="10"/>
  <c r="E600" i="10"/>
  <c r="E1" i="10"/>
  <c r="E83" i="10"/>
  <c r="E87" i="10"/>
  <c r="E650" i="10"/>
  <c r="E652" i="10"/>
  <c r="E385" i="10"/>
  <c r="E388" i="10"/>
  <c r="E389" i="10"/>
  <c r="E10" i="10"/>
  <c r="E11" i="10"/>
  <c r="E656" i="10"/>
  <c r="E104" i="10"/>
  <c r="E107" i="10"/>
  <c r="E14" i="10"/>
  <c r="E113" i="10"/>
  <c r="E115" i="10"/>
  <c r="E117" i="10"/>
  <c r="E119" i="10"/>
  <c r="E662" i="10"/>
  <c r="E123" i="10"/>
  <c r="E127" i="10"/>
  <c r="E129" i="10"/>
  <c r="E409" i="10"/>
  <c r="E135" i="10"/>
  <c r="E668" i="10"/>
  <c r="E140" i="10"/>
  <c r="E669" i="10"/>
  <c r="E417" i="10"/>
  <c r="E25" i="10"/>
  <c r="E149" i="10"/>
  <c r="E151" i="10"/>
  <c r="E154" i="10"/>
  <c r="E675" i="10"/>
  <c r="E605" i="10"/>
  <c r="E677" i="10"/>
  <c r="E161" i="10"/>
  <c r="E679" i="10"/>
  <c r="E434" i="10"/>
  <c r="E435" i="10"/>
  <c r="E436" i="10"/>
  <c r="E685" i="10"/>
  <c r="E30" i="10"/>
  <c r="E174" i="10"/>
  <c r="E444" i="10"/>
  <c r="E446" i="10"/>
  <c r="E704" i="10"/>
  <c r="E247" i="10"/>
  <c r="E508" i="10"/>
  <c r="E550" i="10"/>
  <c r="E371" i="10"/>
  <c r="E505" i="10"/>
  <c r="E48" i="10"/>
  <c r="E622" i="10"/>
  <c r="E263" i="10"/>
  <c r="E509" i="10"/>
  <c r="E266" i="10"/>
  <c r="E724" i="10"/>
  <c r="E725" i="10"/>
  <c r="E270" i="10"/>
  <c r="E51" i="10"/>
  <c r="E514" i="10"/>
  <c r="E275" i="10"/>
  <c r="E730" i="10"/>
  <c r="E277" i="10"/>
  <c r="E517" i="10"/>
  <c r="E731" i="10"/>
  <c r="E281" i="10"/>
  <c r="E733" i="10"/>
  <c r="E55" i="10"/>
  <c r="E523" i="10"/>
  <c r="E735" i="10"/>
  <c r="E526" i="10"/>
  <c r="E57" i="10"/>
  <c r="E59" i="10"/>
  <c r="E292" i="10"/>
  <c r="E294" i="10"/>
  <c r="E736" i="10"/>
  <c r="E738" i="10"/>
  <c r="E298" i="10"/>
  <c r="E300" i="10"/>
  <c r="E740" i="10"/>
  <c r="E303" i="10"/>
  <c r="E540" i="10"/>
  <c r="E743" i="10"/>
  <c r="E65" i="10"/>
  <c r="E67" i="10"/>
  <c r="E311" i="10"/>
  <c r="E545" i="10"/>
  <c r="E547" i="10"/>
  <c r="E747" i="10"/>
  <c r="E318" i="10"/>
  <c r="E551" i="10"/>
  <c r="E321" i="10"/>
  <c r="E68" i="10"/>
  <c r="E633" i="10"/>
  <c r="E328" i="10"/>
  <c r="E560" i="10"/>
  <c r="E561" i="10"/>
  <c r="E562" i="10"/>
  <c r="E334" i="10"/>
  <c r="E565" i="10"/>
  <c r="E338" i="10"/>
  <c r="E568" i="10"/>
  <c r="E758" i="10"/>
  <c r="E571" i="10"/>
  <c r="E572" i="10"/>
  <c r="E346" i="10"/>
  <c r="E762" i="10"/>
  <c r="E575" i="10"/>
  <c r="E350" i="10"/>
  <c r="E352" i="10"/>
  <c r="E578" i="10"/>
  <c r="L15" i="10"/>
  <c r="E582" i="10"/>
  <c r="E583" i="10"/>
  <c r="E359" i="10"/>
  <c r="E361" i="10"/>
  <c r="E588" i="10"/>
  <c r="E769" i="10"/>
  <c r="E74" i="10"/>
  <c r="E771" i="10"/>
  <c r="E367" i="10"/>
  <c r="E592" i="10"/>
  <c r="E643" i="10"/>
  <c r="E775" i="10"/>
  <c r="E594" i="10"/>
  <c r="E373" i="10"/>
  <c r="E596" i="10"/>
  <c r="E598" i="10"/>
  <c r="L11" i="10"/>
  <c r="E631" i="10"/>
  <c r="E23" i="10"/>
  <c r="E173" i="10"/>
  <c r="E495" i="10"/>
  <c r="E253" i="10"/>
  <c r="E255" i="10"/>
  <c r="E711" i="10"/>
  <c r="E620" i="10"/>
  <c r="E502" i="10"/>
  <c r="E717" i="10"/>
  <c r="E261" i="10"/>
  <c r="E262" i="10"/>
  <c r="E720" i="10"/>
  <c r="E721" i="10"/>
  <c r="E265" i="10"/>
  <c r="E723" i="10"/>
  <c r="E50" i="10"/>
  <c r="E512" i="10"/>
  <c r="E741" i="10"/>
  <c r="E103" i="10"/>
  <c r="E404" i="10"/>
  <c r="E175" i="10"/>
  <c r="E377" i="10"/>
  <c r="E379" i="10"/>
  <c r="E80" i="10"/>
  <c r="E82" i="10"/>
  <c r="E3" i="10"/>
  <c r="E85" i="10"/>
  <c r="E89" i="10"/>
  <c r="E90" i="10"/>
  <c r="E653" i="10"/>
  <c r="E93" i="10"/>
  <c r="E95" i="10"/>
  <c r="E654" i="10"/>
  <c r="E9" i="10"/>
  <c r="E100" i="10"/>
  <c r="E102" i="10"/>
  <c r="E603" i="10"/>
  <c r="E392" i="10"/>
  <c r="E393" i="10"/>
  <c r="E395" i="10"/>
  <c r="E109" i="10"/>
  <c r="E111" i="10"/>
  <c r="E398" i="10"/>
  <c r="E400" i="10"/>
  <c r="E401" i="10"/>
  <c r="E17" i="10"/>
  <c r="E120" i="10"/>
  <c r="E405" i="10"/>
  <c r="E125" i="10"/>
  <c r="E407" i="10"/>
  <c r="E130" i="10"/>
  <c r="E132" i="10"/>
  <c r="L13" i="10"/>
  <c r="E134" i="10"/>
  <c r="E22" i="10"/>
  <c r="E137" i="10"/>
  <c r="E604" i="10"/>
  <c r="E142" i="10"/>
  <c r="E144" i="10"/>
  <c r="E146" i="10"/>
  <c r="E419" i="10"/>
  <c r="E26" i="10"/>
  <c r="E421" i="10"/>
  <c r="E153" i="10"/>
  <c r="E424" i="10"/>
  <c r="E28" i="10"/>
  <c r="E157" i="10"/>
  <c r="E158" i="10"/>
  <c r="E159" i="10"/>
  <c r="E429" i="10"/>
  <c r="E163" i="10"/>
  <c r="E165" i="10"/>
  <c r="E680" i="10"/>
  <c r="E682" i="10"/>
  <c r="E684" i="10"/>
  <c r="E437" i="10"/>
  <c r="E438" i="10"/>
  <c r="E441" i="10"/>
  <c r="E608" i="10"/>
  <c r="E688" i="10"/>
  <c r="E447" i="10"/>
  <c r="E611" i="10"/>
  <c r="E452" i="10"/>
  <c r="E188" i="10"/>
  <c r="E192" i="10"/>
  <c r="E34" i="10"/>
  <c r="E198" i="10"/>
  <c r="E202" i="10"/>
  <c r="E207" i="10"/>
  <c r="E211" i="10"/>
  <c r="E39" i="10"/>
  <c r="E615" i="10"/>
  <c r="E475" i="10"/>
  <c r="E225" i="10"/>
  <c r="E44" i="10"/>
  <c r="E46" i="10"/>
  <c r="E231" i="10"/>
  <c r="E480" i="10"/>
  <c r="E234" i="10"/>
  <c r="E237" i="10"/>
  <c r="E487" i="10"/>
  <c r="E243" i="10"/>
  <c r="E245" i="10"/>
  <c r="E492" i="10"/>
  <c r="E676" i="10"/>
  <c r="E78" i="10"/>
  <c r="E647" i="10"/>
  <c r="E648" i="10"/>
  <c r="E381" i="10"/>
  <c r="E84" i="10"/>
  <c r="E382" i="10"/>
  <c r="E88" i="10"/>
  <c r="E651" i="10"/>
  <c r="E6" i="10"/>
  <c r="E92" i="10"/>
  <c r="L12" i="10"/>
  <c r="E7" i="10"/>
  <c r="E97" i="10"/>
  <c r="E655" i="10"/>
  <c r="E390" i="10"/>
  <c r="E12" i="10"/>
  <c r="E657" i="10"/>
  <c r="E106" i="10"/>
  <c r="E659" i="10"/>
  <c r="E396" i="10"/>
  <c r="E112" i="10"/>
  <c r="E114" i="10"/>
  <c r="E660" i="10"/>
  <c r="E118" i="10"/>
  <c r="E402" i="10"/>
  <c r="E121" i="10"/>
  <c r="E124" i="10"/>
  <c r="E19" i="10"/>
  <c r="E128" i="10"/>
  <c r="E408" i="10"/>
  <c r="E410" i="10"/>
  <c r="E21" i="10"/>
  <c r="E136" i="10"/>
  <c r="E413" i="10"/>
  <c r="E139" i="10"/>
  <c r="E141" i="10"/>
  <c r="E24" i="10"/>
  <c r="E418" i="10"/>
  <c r="E670" i="10"/>
  <c r="E148" i="10"/>
  <c r="E150" i="10"/>
  <c r="E152" i="10"/>
  <c r="E423" i="10"/>
  <c r="E674" i="10"/>
  <c r="E156" i="10"/>
  <c r="E678" i="10"/>
  <c r="E160" i="10"/>
  <c r="E162" i="10"/>
  <c r="E431" i="10"/>
  <c r="E433" i="10"/>
  <c r="E167" i="10"/>
  <c r="E168" i="10"/>
  <c r="E606" i="10"/>
  <c r="E607" i="10"/>
  <c r="E439" i="10"/>
  <c r="E440" i="10"/>
  <c r="E443" i="10"/>
  <c r="E31" i="10"/>
  <c r="E445" i="10"/>
  <c r="E181" i="10"/>
  <c r="E183" i="10"/>
  <c r="E612" i="10"/>
  <c r="E451" i="10"/>
  <c r="E690" i="10"/>
  <c r="E691" i="10"/>
  <c r="E455" i="10"/>
  <c r="E190" i="10"/>
  <c r="E457" i="10"/>
  <c r="E194" i="10"/>
  <c r="E459" i="10"/>
  <c r="E197" i="10"/>
  <c r="E461" i="10"/>
  <c r="E201" i="10"/>
  <c r="E36" i="10"/>
  <c r="E205" i="10"/>
  <c r="E465" i="10"/>
  <c r="E467" i="10"/>
  <c r="E469" i="10"/>
  <c r="E38" i="10"/>
  <c r="E214" i="10"/>
  <c r="E471" i="10"/>
  <c r="E217" i="10"/>
  <c r="E219" i="10"/>
  <c r="E41" i="10"/>
  <c r="E222" i="10"/>
  <c r="E224" i="10"/>
  <c r="E226" i="10"/>
  <c r="E228" i="10"/>
  <c r="E703" i="10"/>
  <c r="E479" i="10"/>
  <c r="E233" i="10"/>
  <c r="E705" i="10"/>
  <c r="E236" i="10"/>
  <c r="E484" i="10"/>
  <c r="L14" i="10"/>
  <c r="E707" i="10"/>
  <c r="E242" i="10"/>
  <c r="E489" i="10"/>
  <c r="E491" i="10"/>
  <c r="E708" i="10"/>
  <c r="E249" i="10"/>
  <c r="E533" i="10"/>
  <c r="E251" i="10"/>
  <c r="E497" i="10"/>
  <c r="E499" i="10"/>
  <c r="E500" i="10"/>
  <c r="E257" i="10"/>
  <c r="E714" i="10"/>
  <c r="E259" i="10"/>
  <c r="E260" i="10"/>
  <c r="E506" i="10"/>
  <c r="E507" i="10"/>
  <c r="E623" i="10"/>
  <c r="E264" i="10"/>
  <c r="E510" i="10"/>
  <c r="E267" i="10"/>
  <c r="E780" i="10"/>
  <c r="E726" i="10"/>
  <c r="E271" i="10"/>
  <c r="E273" i="10"/>
  <c r="E624" i="10"/>
  <c r="E729" i="10"/>
  <c r="E515" i="10"/>
  <c r="E278" i="10"/>
  <c r="E280" i="10"/>
  <c r="E627" i="10"/>
  <c r="E282" i="10"/>
  <c r="E283" i="10"/>
  <c r="E285" i="10"/>
  <c r="E525" i="10"/>
  <c r="E56" i="10"/>
  <c r="E289" i="10"/>
  <c r="E291" i="10"/>
  <c r="E630" i="10"/>
  <c r="E530" i="10"/>
  <c r="E532" i="10"/>
  <c r="E739" i="10"/>
  <c r="E535" i="10"/>
  <c r="E537" i="10"/>
  <c r="E538" i="10"/>
  <c r="E304" i="10"/>
  <c r="E542" i="10"/>
  <c r="E744" i="10"/>
  <c r="E745" i="10"/>
  <c r="E313" i="10"/>
  <c r="E315" i="10"/>
  <c r="E548" i="10"/>
  <c r="E748" i="10"/>
  <c r="E319" i="10"/>
  <c r="E750" i="10"/>
  <c r="E554" i="10"/>
  <c r="E632" i="10"/>
  <c r="E751" i="10"/>
  <c r="E558" i="10"/>
  <c r="E329" i="10"/>
  <c r="E754" i="10"/>
  <c r="E332" i="10"/>
  <c r="E563" i="10"/>
  <c r="E335" i="10"/>
  <c r="E337" i="10"/>
  <c r="E340" i="10"/>
  <c r="E569" i="10"/>
  <c r="E343" i="10"/>
  <c r="E69" i="10"/>
  <c r="E573" i="10"/>
  <c r="E347" i="10"/>
  <c r="E348" i="10"/>
  <c r="E576" i="10"/>
  <c r="E351" i="10"/>
  <c r="E353" i="10"/>
  <c r="E355" i="10"/>
  <c r="E764" i="10"/>
  <c r="E765" i="10"/>
  <c r="E364" i="10"/>
  <c r="E368" i="10"/>
  <c r="E774" i="10"/>
  <c r="E595" i="10"/>
  <c r="E610" i="10"/>
  <c r="E185" i="10"/>
  <c r="E454" i="10"/>
  <c r="E191" i="10"/>
  <c r="E195" i="10"/>
  <c r="E694" i="10"/>
  <c r="E695" i="10"/>
  <c r="E206" i="10"/>
  <c r="E468" i="10"/>
  <c r="E213" i="10"/>
  <c r="E472" i="10"/>
  <c r="E700" i="10"/>
  <c r="E227" i="10"/>
  <c r="E229" i="10"/>
  <c r="E241" i="10"/>
  <c r="E498" i="10"/>
  <c r="E256" i="10"/>
  <c r="E503" i="10"/>
  <c r="E718" i="10"/>
  <c r="E511" i="10"/>
  <c r="E54" i="10"/>
  <c r="E284" i="10"/>
  <c r="E531" i="10"/>
  <c r="E302" i="10"/>
  <c r="E541" i="10"/>
  <c r="E312" i="10"/>
  <c r="E755" i="10"/>
  <c r="E759" i="10"/>
  <c r="E577" i="10"/>
  <c r="E587" i="10"/>
  <c r="E370" i="10"/>
  <c r="E513" i="10"/>
  <c r="E272" i="10"/>
  <c r="E52" i="10"/>
  <c r="E53" i="10"/>
  <c r="E276" i="10"/>
  <c r="E626" i="10"/>
  <c r="E732" i="10"/>
  <c r="E628" i="10"/>
  <c r="E521" i="10"/>
  <c r="E522" i="10"/>
  <c r="E286" i="10"/>
  <c r="E287" i="10"/>
  <c r="E58" i="10"/>
  <c r="E528" i="10"/>
  <c r="E293" i="10"/>
  <c r="E295" i="10"/>
  <c r="E737" i="10"/>
  <c r="E61" i="10"/>
  <c r="E301" i="10"/>
  <c r="E742" i="10"/>
  <c r="E305" i="10"/>
  <c r="E62" i="10"/>
  <c r="E64" i="10"/>
  <c r="E66" i="10"/>
  <c r="E543" i="10"/>
  <c r="E544" i="10"/>
  <c r="E546" i="10"/>
  <c r="E316" i="10"/>
  <c r="E549" i="10"/>
  <c r="E749" i="10"/>
  <c r="E552" i="10"/>
  <c r="E322" i="10"/>
  <c r="E555" i="10"/>
  <c r="E634" i="10"/>
  <c r="E752" i="10"/>
  <c r="E330" i="10"/>
  <c r="E331" i="10"/>
  <c r="E333" i="10"/>
  <c r="E757" i="10"/>
  <c r="E567" i="10"/>
  <c r="E570" i="10"/>
  <c r="E344" i="10"/>
  <c r="E760" i="10"/>
  <c r="E574" i="10"/>
  <c r="E349" i="10"/>
  <c r="E637" i="10"/>
  <c r="E638" i="10"/>
  <c r="E354" i="10"/>
  <c r="E640" i="10"/>
  <c r="E357" i="10"/>
  <c r="E584" i="10"/>
  <c r="E362" i="10"/>
  <c r="E363" i="10"/>
  <c r="E589" i="10"/>
  <c r="E641" i="10"/>
  <c r="E591" i="10"/>
  <c r="E773" i="10"/>
  <c r="E593" i="10"/>
  <c r="E644" i="10"/>
  <c r="E776" i="10"/>
  <c r="E372" i="10"/>
  <c r="E76" i="10"/>
  <c r="E374" i="10"/>
  <c r="E177" i="10"/>
  <c r="E176" i="10"/>
  <c r="E449" i="10"/>
  <c r="E182" i="10"/>
  <c r="E184" i="10"/>
  <c r="E613" i="10"/>
  <c r="E453" i="10"/>
  <c r="E186" i="10"/>
  <c r="E456" i="10"/>
  <c r="E692" i="10"/>
  <c r="E697" i="10"/>
  <c r="E212" i="10"/>
  <c r="E380" i="10"/>
  <c r="E649" i="10"/>
  <c r="E98" i="10"/>
  <c r="E658" i="10"/>
  <c r="E15" i="10"/>
  <c r="E18" i="10"/>
  <c r="E664" i="10"/>
  <c r="E666" i="10"/>
  <c r="E414" i="10"/>
  <c r="E671" i="10"/>
  <c r="E672" i="10"/>
  <c r="E427" i="10"/>
  <c r="E432" i="10"/>
  <c r="E171" i="10"/>
  <c r="E728" i="10"/>
  <c r="E693" i="10"/>
  <c r="E458" i="10"/>
  <c r="E35" i="10"/>
  <c r="E196" i="10"/>
  <c r="E462" i="10"/>
  <c r="E200" i="10"/>
  <c r="E464" i="10"/>
  <c r="E204" i="10"/>
  <c r="E209" i="10"/>
  <c r="E466" i="10"/>
  <c r="E215" i="10"/>
  <c r="E699" i="10"/>
  <c r="E40" i="10"/>
  <c r="E218" i="10"/>
  <c r="E701" i="10"/>
  <c r="E42" i="10"/>
  <c r="E616" i="10"/>
  <c r="E235" i="10"/>
  <c r="E493" i="10"/>
  <c r="E709" i="10"/>
  <c r="E518" i="10"/>
  <c r="E279" i="10"/>
  <c r="E527" i="10"/>
  <c r="E288" i="10"/>
  <c r="E299" i="10"/>
  <c r="E534" i="10"/>
  <c r="E557" i="10"/>
  <c r="E566" i="10"/>
  <c r="E336" i="10"/>
  <c r="E71" i="10"/>
  <c r="E70" i="10"/>
  <c r="E360" i="10"/>
  <c r="E585" i="10"/>
  <c r="E178" i="10"/>
  <c r="E63" i="10"/>
  <c r="E559" i="10"/>
  <c r="E223" i="10"/>
  <c r="E702" i="10"/>
  <c r="E478" i="10"/>
  <c r="E232" i="10"/>
  <c r="E483" i="10"/>
  <c r="E238" i="10"/>
  <c r="E619" i="10"/>
  <c r="E490" i="10"/>
  <c r="E250" i="10"/>
  <c r="E496" i="10"/>
  <c r="E712" i="10"/>
  <c r="E621" i="10"/>
  <c r="E504" i="10"/>
  <c r="E719" i="10"/>
  <c r="E49" i="10"/>
  <c r="E722" i="10"/>
  <c r="E268" i="10"/>
  <c r="E269" i="10"/>
  <c r="E727" i="10"/>
  <c r="E274" i="10"/>
  <c r="E625" i="10"/>
  <c r="E516" i="10"/>
  <c r="E519" i="10"/>
  <c r="E734" i="10"/>
  <c r="E524" i="10"/>
  <c r="E629" i="10"/>
  <c r="E290" i="10"/>
  <c r="E60" i="10"/>
  <c r="E529" i="10"/>
  <c r="E296" i="10"/>
  <c r="E297" i="10"/>
  <c r="E536" i="10"/>
  <c r="E539" i="10"/>
  <c r="E310" i="10"/>
  <c r="E314" i="10"/>
  <c r="E746" i="10"/>
  <c r="E317" i="10"/>
  <c r="E320" i="10"/>
  <c r="E553" i="10"/>
  <c r="E556" i="10"/>
  <c r="E327" i="10"/>
  <c r="E753" i="10"/>
  <c r="E756" i="10"/>
  <c r="E564" i="10"/>
  <c r="E339" i="10"/>
  <c r="E635" i="10"/>
  <c r="E342" i="10"/>
  <c r="E345" i="10"/>
  <c r="E761" i="10"/>
  <c r="E636" i="10"/>
  <c r="E72" i="10"/>
  <c r="E639" i="10"/>
  <c r="L16" i="10"/>
  <c r="E763" i="10"/>
  <c r="E358" i="10"/>
  <c r="E767" i="10"/>
  <c r="E770" i="10"/>
  <c r="E365" i="10"/>
  <c r="E366" i="10"/>
  <c r="E642" i="10"/>
  <c r="E369" i="10"/>
  <c r="E777" i="10"/>
  <c r="E597" i="10"/>
  <c r="E375" i="10"/>
  <c r="E768" i="10"/>
  <c r="E356" i="10"/>
  <c r="E586" i="10"/>
  <c r="E766" i="10"/>
  <c r="E590" i="10"/>
  <c r="E772" i="10"/>
  <c r="E75" i="10"/>
  <c r="E645" i="10"/>
  <c r="E778" i="10"/>
  <c r="K4" i="9"/>
  <c r="D26" i="9"/>
  <c r="D25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E559" i="9"/>
  <c r="E558" i="9"/>
  <c r="E557" i="9"/>
  <c r="E556" i="9"/>
  <c r="E555" i="9"/>
  <c r="E554" i="9"/>
  <c r="E553" i="9"/>
  <c r="E552" i="9"/>
  <c r="E551" i="9"/>
  <c r="E550" i="9"/>
  <c r="E548" i="9"/>
  <c r="E547" i="9"/>
  <c r="E546" i="9"/>
  <c r="E545" i="9"/>
  <c r="E544" i="9"/>
  <c r="E543" i="9"/>
  <c r="E542" i="9"/>
  <c r="E541" i="9"/>
  <c r="E540" i="9"/>
  <c r="E539" i="9"/>
  <c r="E538" i="9"/>
  <c r="E537" i="9"/>
  <c r="E536" i="9"/>
  <c r="E535" i="9"/>
  <c r="E534" i="9"/>
  <c r="E533" i="9"/>
  <c r="E532" i="9"/>
  <c r="E531" i="9"/>
  <c r="E530" i="9"/>
  <c r="E529" i="9"/>
  <c r="E528" i="9"/>
  <c r="E527" i="9"/>
  <c r="E526" i="9"/>
  <c r="E525" i="9"/>
  <c r="E524" i="9"/>
  <c r="E523" i="9"/>
  <c r="E522" i="9"/>
  <c r="E521" i="9"/>
  <c r="E520" i="9"/>
  <c r="E519" i="9"/>
  <c r="E518" i="9"/>
  <c r="E517" i="9"/>
  <c r="E516" i="9"/>
  <c r="E515" i="9"/>
  <c r="E514" i="9"/>
  <c r="E513" i="9"/>
  <c r="E512" i="9"/>
  <c r="E511" i="9"/>
  <c r="E509" i="9"/>
  <c r="E508" i="9"/>
  <c r="E507" i="9"/>
  <c r="E506" i="9"/>
  <c r="E505" i="9"/>
  <c r="E504" i="9"/>
  <c r="E503" i="9"/>
  <c r="E502" i="9"/>
  <c r="E501" i="9"/>
  <c r="E500" i="9"/>
  <c r="E499" i="9"/>
  <c r="E498" i="9"/>
  <c r="E497" i="9"/>
  <c r="E496" i="9"/>
  <c r="E495" i="9"/>
  <c r="E494" i="9"/>
  <c r="E493" i="9"/>
  <c r="E492" i="9"/>
  <c r="E491" i="9"/>
  <c r="E490" i="9"/>
  <c r="E489" i="9"/>
  <c r="E488" i="9"/>
  <c r="E487" i="9"/>
  <c r="E486" i="9"/>
  <c r="E485" i="9"/>
  <c r="E484" i="9"/>
  <c r="E483" i="9"/>
  <c r="E482" i="9"/>
  <c r="E481" i="9"/>
  <c r="E480" i="9"/>
  <c r="E479" i="9"/>
  <c r="E478" i="9"/>
  <c r="E477" i="9"/>
  <c r="E476" i="9"/>
  <c r="E475" i="9"/>
  <c r="E474" i="9"/>
  <c r="E473" i="9"/>
  <c r="E472" i="9"/>
  <c r="E471" i="9"/>
  <c r="E470" i="9"/>
  <c r="E469" i="9"/>
  <c r="E468" i="9"/>
  <c r="E467" i="9"/>
  <c r="E466" i="9"/>
  <c r="E465" i="9"/>
  <c r="E464" i="9"/>
  <c r="E463" i="9"/>
  <c r="E462" i="9"/>
  <c r="E461" i="9"/>
  <c r="E460" i="9"/>
  <c r="E459" i="9"/>
  <c r="E458" i="9"/>
  <c r="E457" i="9"/>
  <c r="E456" i="9"/>
  <c r="E455" i="9"/>
  <c r="E454" i="9"/>
  <c r="E453" i="9"/>
  <c r="E452" i="9"/>
  <c r="E451" i="9"/>
  <c r="E450" i="9"/>
  <c r="E449" i="9"/>
  <c r="E448" i="9"/>
  <c r="E447" i="9"/>
  <c r="E446" i="9"/>
  <c r="E445" i="9"/>
  <c r="E444" i="9"/>
  <c r="E443" i="9"/>
  <c r="E442" i="9"/>
  <c r="E441" i="9"/>
  <c r="E440" i="9"/>
  <c r="E439" i="9"/>
  <c r="E438" i="9"/>
  <c r="E437" i="9"/>
  <c r="E436" i="9"/>
  <c r="E435" i="9"/>
  <c r="E434" i="9"/>
  <c r="E433" i="9"/>
  <c r="E432" i="9"/>
  <c r="E431" i="9"/>
  <c r="E430" i="9"/>
  <c r="E429" i="9"/>
  <c r="E428" i="9"/>
  <c r="E427" i="9"/>
  <c r="E426" i="9"/>
  <c r="E425" i="9"/>
  <c r="E424" i="9"/>
  <c r="E423" i="9"/>
  <c r="E422" i="9"/>
  <c r="E421" i="9"/>
  <c r="E420" i="9"/>
  <c r="E419" i="9"/>
  <c r="E418" i="9"/>
  <c r="E417" i="9"/>
  <c r="E416" i="9"/>
  <c r="E415" i="9"/>
  <c r="E414" i="9"/>
  <c r="E413" i="9"/>
  <c r="E412" i="9"/>
  <c r="E411" i="9"/>
  <c r="E410" i="9"/>
  <c r="E409" i="9"/>
  <c r="E408" i="9"/>
  <c r="E407" i="9"/>
  <c r="E406" i="9"/>
  <c r="E405" i="9"/>
  <c r="E404" i="9"/>
  <c r="E403" i="9"/>
  <c r="E402" i="9"/>
  <c r="E401" i="9"/>
  <c r="E400" i="9"/>
  <c r="E399" i="9"/>
  <c r="E398" i="9"/>
  <c r="E397" i="9"/>
  <c r="E396" i="9"/>
  <c r="E395" i="9"/>
  <c r="E394" i="9"/>
  <c r="E393" i="9"/>
  <c r="E392" i="9"/>
  <c r="E391" i="9"/>
  <c r="E390" i="9"/>
  <c r="E38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E372" i="9"/>
  <c r="E371" i="9"/>
  <c r="E369" i="9"/>
  <c r="E368" i="9"/>
  <c r="E367" i="9"/>
  <c r="E366" i="9"/>
  <c r="E365" i="9"/>
  <c r="E364" i="9"/>
  <c r="E363" i="9"/>
  <c r="E362" i="9"/>
  <c r="E361" i="9"/>
  <c r="E360" i="9"/>
  <c r="E359" i="9"/>
  <c r="E358" i="9"/>
  <c r="E357" i="9"/>
  <c r="E356" i="9"/>
  <c r="E355" i="9"/>
  <c r="E354" i="9"/>
  <c r="E353" i="9"/>
  <c r="E352" i="9"/>
  <c r="E351" i="9"/>
  <c r="E350" i="9"/>
  <c r="E349" i="9"/>
  <c r="E348" i="9"/>
  <c r="E347" i="9"/>
  <c r="E346" i="9"/>
  <c r="E345" i="9"/>
  <c r="E344" i="9"/>
  <c r="E343" i="9"/>
  <c r="E342" i="9"/>
  <c r="E341" i="9"/>
  <c r="E340" i="9"/>
  <c r="E339" i="9"/>
  <c r="E338" i="9"/>
  <c r="E337" i="9"/>
  <c r="E336" i="9"/>
  <c r="E335" i="9"/>
  <c r="E334" i="9"/>
  <c r="E333" i="9"/>
  <c r="E332" i="9"/>
  <c r="E331" i="9"/>
  <c r="E330" i="9"/>
  <c r="E329" i="9"/>
  <c r="E328" i="9"/>
  <c r="E327" i="9"/>
  <c r="E326" i="9"/>
  <c r="E325" i="9"/>
  <c r="E324" i="9"/>
  <c r="E323" i="9"/>
  <c r="E322" i="9"/>
  <c r="E321" i="9"/>
  <c r="E320" i="9"/>
  <c r="E319" i="9"/>
  <c r="E318" i="9"/>
  <c r="E317" i="9"/>
  <c r="E316" i="9"/>
  <c r="E314" i="9"/>
  <c r="E313" i="9"/>
  <c r="E312" i="9"/>
  <c r="E311" i="9"/>
  <c r="E310" i="9"/>
  <c r="E309" i="9"/>
  <c r="E308" i="9"/>
  <c r="E307" i="9"/>
  <c r="E306" i="9"/>
  <c r="E305" i="9"/>
  <c r="E304" i="9"/>
  <c r="E303" i="9"/>
  <c r="E302" i="9"/>
  <c r="E301" i="9"/>
  <c r="E300" i="9"/>
  <c r="E299" i="9"/>
  <c r="E298" i="9"/>
  <c r="E297" i="9"/>
  <c r="E296" i="9"/>
  <c r="E295" i="9"/>
  <c r="E294" i="9"/>
  <c r="E293" i="9"/>
  <c r="E292" i="9"/>
  <c r="E291" i="9"/>
  <c r="E290" i="9"/>
  <c r="E289" i="9"/>
  <c r="E288" i="9"/>
  <c r="E287" i="9"/>
  <c r="E286" i="9"/>
  <c r="E285" i="9"/>
  <c r="E284" i="9"/>
  <c r="E283" i="9"/>
  <c r="E282" i="9"/>
  <c r="E281" i="9"/>
  <c r="E280" i="9"/>
  <c r="E279" i="9"/>
  <c r="E278" i="9"/>
  <c r="E277" i="9"/>
  <c r="E276" i="9"/>
  <c r="E275" i="9"/>
  <c r="E274" i="9"/>
  <c r="E273" i="9"/>
  <c r="E272" i="9"/>
  <c r="E271" i="9"/>
  <c r="E270" i="9"/>
  <c r="E269" i="9"/>
  <c r="E268" i="9"/>
  <c r="E267" i="9"/>
  <c r="E266" i="9"/>
  <c r="E265" i="9"/>
  <c r="E264" i="9"/>
  <c r="E263" i="9"/>
  <c r="E262" i="9"/>
  <c r="E261" i="9"/>
  <c r="E260" i="9"/>
  <c r="E259" i="9"/>
  <c r="E258" i="9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D559" i="9"/>
  <c r="D558" i="9"/>
  <c r="D557" i="9"/>
  <c r="D556" i="9"/>
  <c r="D555" i="9"/>
  <c r="D554" i="9"/>
  <c r="D553" i="9"/>
  <c r="D552" i="9"/>
  <c r="D551" i="9"/>
  <c r="D550" i="9"/>
  <c r="D549" i="9"/>
  <c r="D548" i="9"/>
  <c r="D547" i="9"/>
  <c r="D546" i="9"/>
  <c r="D545" i="9"/>
  <c r="D544" i="9"/>
  <c r="D543" i="9"/>
  <c r="D542" i="9"/>
  <c r="D541" i="9"/>
  <c r="D540" i="9"/>
  <c r="D539" i="9"/>
  <c r="D538" i="9"/>
  <c r="D537" i="9"/>
  <c r="D536" i="9"/>
  <c r="D535" i="9"/>
  <c r="D534" i="9"/>
  <c r="D533" i="9"/>
  <c r="D532" i="9"/>
  <c r="D531" i="9"/>
  <c r="D530" i="9"/>
  <c r="D529" i="9"/>
  <c r="D528" i="9"/>
  <c r="D527" i="9"/>
  <c r="D526" i="9"/>
  <c r="D525" i="9"/>
  <c r="D524" i="9"/>
  <c r="D523" i="9"/>
  <c r="D522" i="9"/>
  <c r="D521" i="9"/>
  <c r="D520" i="9"/>
  <c r="D519" i="9"/>
  <c r="D518" i="9"/>
  <c r="D517" i="9"/>
  <c r="D516" i="9"/>
  <c r="D515" i="9"/>
  <c r="D514" i="9"/>
  <c r="D513" i="9"/>
  <c r="D512" i="9"/>
  <c r="D511" i="9"/>
  <c r="D510" i="9"/>
  <c r="D509" i="9"/>
  <c r="D508" i="9"/>
  <c r="D507" i="9"/>
  <c r="D506" i="9"/>
  <c r="D505" i="9"/>
  <c r="D504" i="9"/>
  <c r="D503" i="9"/>
  <c r="D502" i="9"/>
  <c r="D501" i="9"/>
  <c r="D500" i="9"/>
  <c r="D499" i="9"/>
  <c r="D498" i="9"/>
  <c r="D497" i="9"/>
  <c r="D496" i="9"/>
  <c r="D495" i="9"/>
  <c r="D494" i="9"/>
  <c r="D493" i="9"/>
  <c r="D492" i="9"/>
  <c r="D491" i="9"/>
  <c r="D490" i="9"/>
  <c r="D489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E370" i="9" s="1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4" i="9"/>
  <c r="E24" i="9" s="1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L4" i="2"/>
  <c r="M4" i="2"/>
  <c r="L5" i="2"/>
  <c r="M5" i="2"/>
  <c r="L6" i="2"/>
  <c r="M6" i="2"/>
  <c r="L7" i="2"/>
  <c r="M7" i="2"/>
  <c r="L8" i="2"/>
  <c r="M8" i="2"/>
  <c r="M7" i="10" l="1"/>
  <c r="M8" i="10"/>
  <c r="M6" i="10"/>
  <c r="M5" i="10"/>
  <c r="M4" i="10"/>
  <c r="L4" i="9"/>
  <c r="E49" i="9"/>
  <c r="E25" i="9"/>
  <c r="L5" i="9"/>
  <c r="M5" i="9"/>
  <c r="M6" i="9"/>
  <c r="L6" i="9"/>
  <c r="L7" i="9"/>
  <c r="M8" i="9"/>
  <c r="L8" i="9"/>
  <c r="M7" i="9"/>
  <c r="M4" i="9" l="1"/>
  <c r="L4" i="7" l="1"/>
  <c r="M8" i="7"/>
  <c r="M7" i="7"/>
  <c r="M6" i="7"/>
  <c r="M5" i="7"/>
  <c r="M4" i="7"/>
  <c r="L8" i="7"/>
  <c r="L7" i="7"/>
  <c r="L6" i="7"/>
  <c r="L5" i="7"/>
  <c r="E687" i="7"/>
  <c r="E686" i="7"/>
  <c r="E685" i="7"/>
  <c r="E684" i="7"/>
  <c r="E683" i="7"/>
  <c r="E682" i="7"/>
  <c r="E681" i="7"/>
  <c r="E680" i="7"/>
  <c r="E679" i="7"/>
  <c r="E678" i="7"/>
  <c r="E677" i="7"/>
  <c r="E676" i="7"/>
  <c r="E675" i="7"/>
  <c r="E674" i="7"/>
  <c r="E673" i="7"/>
  <c r="E672" i="7"/>
  <c r="E671" i="7"/>
  <c r="E670" i="7"/>
  <c r="E669" i="7"/>
  <c r="E668" i="7"/>
  <c r="E667" i="7"/>
  <c r="E666" i="7"/>
  <c r="E665" i="7"/>
  <c r="E664" i="7"/>
  <c r="E663" i="7"/>
  <c r="E662" i="7"/>
  <c r="E661" i="7"/>
  <c r="E660" i="7"/>
  <c r="E659" i="7"/>
  <c r="E658" i="7"/>
  <c r="E657" i="7"/>
  <c r="E656" i="7"/>
  <c r="E655" i="7"/>
  <c r="E654" i="7"/>
  <c r="E653" i="7"/>
  <c r="E652" i="7"/>
  <c r="E651" i="7"/>
  <c r="E650" i="7"/>
  <c r="E649" i="7"/>
  <c r="E648" i="7"/>
  <c r="E647" i="7"/>
  <c r="E646" i="7"/>
  <c r="E645" i="7"/>
  <c r="E644" i="7"/>
  <c r="E643" i="7"/>
  <c r="E642" i="7"/>
  <c r="E641" i="7"/>
  <c r="E640" i="7"/>
  <c r="E639" i="7"/>
  <c r="E638" i="7"/>
  <c r="E637" i="7"/>
  <c r="E636" i="7"/>
  <c r="E635" i="7"/>
  <c r="E634" i="7"/>
  <c r="E633" i="7"/>
  <c r="E632" i="7"/>
  <c r="E631" i="7"/>
  <c r="E630" i="7"/>
  <c r="E629" i="7"/>
  <c r="E628" i="7"/>
  <c r="E627" i="7"/>
  <c r="E626" i="7"/>
  <c r="E625" i="7"/>
  <c r="E624" i="7"/>
  <c r="E623" i="7"/>
  <c r="E622" i="7"/>
  <c r="E621" i="7"/>
  <c r="E620" i="7"/>
  <c r="E619" i="7"/>
  <c r="E618" i="7"/>
  <c r="E617" i="7"/>
  <c r="E616" i="7"/>
  <c r="E615" i="7"/>
  <c r="E614" i="7"/>
  <c r="E613" i="7"/>
  <c r="E612" i="7"/>
  <c r="E611" i="7"/>
  <c r="E610" i="7"/>
  <c r="E609" i="7"/>
  <c r="E608" i="7"/>
  <c r="E607" i="7"/>
  <c r="E606" i="7"/>
  <c r="E605" i="7"/>
  <c r="E604" i="7"/>
  <c r="E603" i="7"/>
  <c r="E602" i="7"/>
  <c r="E601" i="7"/>
  <c r="E600" i="7"/>
  <c r="E599" i="7"/>
  <c r="E598" i="7"/>
  <c r="E597" i="7"/>
  <c r="E596" i="7"/>
  <c r="E595" i="7"/>
  <c r="E594" i="7"/>
  <c r="E593" i="7"/>
  <c r="E592" i="7"/>
  <c r="E591" i="7"/>
  <c r="E590" i="7"/>
  <c r="E589" i="7"/>
  <c r="E588" i="7"/>
  <c r="E587" i="7"/>
  <c r="E586" i="7"/>
  <c r="E585" i="7"/>
  <c r="E584" i="7"/>
  <c r="E583" i="7"/>
  <c r="E582" i="7"/>
  <c r="E581" i="7"/>
  <c r="E580" i="7"/>
  <c r="E579" i="7"/>
  <c r="E578" i="7"/>
  <c r="E577" i="7"/>
  <c r="E576" i="7"/>
  <c r="E575" i="7"/>
  <c r="E574" i="7"/>
  <c r="E573" i="7"/>
  <c r="E572" i="7"/>
  <c r="E571" i="7"/>
  <c r="E570" i="7"/>
  <c r="E569" i="7"/>
  <c r="E568" i="7"/>
  <c r="E567" i="7"/>
  <c r="E566" i="7"/>
  <c r="E565" i="7"/>
  <c r="E564" i="7"/>
  <c r="E563" i="7"/>
  <c r="E562" i="7"/>
  <c r="E561" i="7"/>
  <c r="E560" i="7"/>
  <c r="E559" i="7"/>
  <c r="E558" i="7"/>
  <c r="E557" i="7"/>
  <c r="E556" i="7"/>
  <c r="E555" i="7"/>
  <c r="E554" i="7"/>
  <c r="E553" i="7"/>
  <c r="E552" i="7"/>
  <c r="E551" i="7"/>
  <c r="E550" i="7"/>
  <c r="E549" i="7"/>
  <c r="E548" i="7"/>
  <c r="E546" i="7"/>
  <c r="E545" i="7"/>
  <c r="E544" i="7"/>
  <c r="E543" i="7"/>
  <c r="E542" i="7"/>
  <c r="E541" i="7"/>
  <c r="E540" i="7"/>
  <c r="E539" i="7"/>
  <c r="E538" i="7"/>
  <c r="E537" i="7"/>
  <c r="E536" i="7"/>
  <c r="E535" i="7"/>
  <c r="E534" i="7"/>
  <c r="E533" i="7"/>
  <c r="E532" i="7"/>
  <c r="E531" i="7"/>
  <c r="E530" i="7"/>
  <c r="E529" i="7"/>
  <c r="E528" i="7"/>
  <c r="E527" i="7"/>
  <c r="E526" i="7"/>
  <c r="E525" i="7"/>
  <c r="E524" i="7"/>
  <c r="E523" i="7"/>
  <c r="E522" i="7"/>
  <c r="E521" i="7"/>
  <c r="E520" i="7"/>
  <c r="E519" i="7"/>
  <c r="E518" i="7"/>
  <c r="E517" i="7"/>
  <c r="E516" i="7"/>
  <c r="E515" i="7"/>
  <c r="E514" i="7"/>
  <c r="E513" i="7"/>
  <c r="E512" i="7"/>
  <c r="E511" i="7"/>
  <c r="E510" i="7"/>
  <c r="E508" i="7"/>
  <c r="E507" i="7"/>
  <c r="E506" i="7"/>
  <c r="E505" i="7"/>
  <c r="E504" i="7"/>
  <c r="E503" i="7"/>
  <c r="E502" i="7"/>
  <c r="E501" i="7"/>
  <c r="E500" i="7"/>
  <c r="E499" i="7"/>
  <c r="E498" i="7"/>
  <c r="E497" i="7"/>
  <c r="E496" i="7"/>
  <c r="E495" i="7"/>
  <c r="E494" i="7"/>
  <c r="E493" i="7"/>
  <c r="E492" i="7"/>
  <c r="E491" i="7"/>
  <c r="E490" i="7"/>
  <c r="E489" i="7"/>
  <c r="E488" i="7"/>
  <c r="E487" i="7"/>
  <c r="E486" i="7"/>
  <c r="E485" i="7"/>
  <c r="E484" i="7"/>
  <c r="E483" i="7"/>
  <c r="E482" i="7"/>
  <c r="E481" i="7"/>
  <c r="E480" i="7"/>
  <c r="E479" i="7"/>
  <c r="E478" i="7"/>
  <c r="E477" i="7"/>
  <c r="E476" i="7"/>
  <c r="E475" i="7"/>
  <c r="E474" i="7"/>
  <c r="E473" i="7"/>
  <c r="E472" i="7"/>
  <c r="E471" i="7"/>
  <c r="E470" i="7"/>
  <c r="E469" i="7"/>
  <c r="E468" i="7"/>
  <c r="E467" i="7"/>
  <c r="E466" i="7"/>
  <c r="E465" i="7"/>
  <c r="E464" i="7"/>
  <c r="E463" i="7"/>
  <c r="E462" i="7"/>
  <c r="E461" i="7"/>
  <c r="E460" i="7"/>
  <c r="E459" i="7"/>
  <c r="E458" i="7"/>
  <c r="E457" i="7"/>
  <c r="E456" i="7"/>
  <c r="E455" i="7"/>
  <c r="E454" i="7"/>
  <c r="E453" i="7"/>
  <c r="E452" i="7"/>
  <c r="E451" i="7"/>
  <c r="E450" i="7"/>
  <c r="E449" i="7"/>
  <c r="E448" i="7"/>
  <c r="E447" i="7"/>
  <c r="E446" i="7"/>
  <c r="E445" i="7"/>
  <c r="E444" i="7"/>
  <c r="E443" i="7"/>
  <c r="E442" i="7"/>
  <c r="E441" i="7"/>
  <c r="E440" i="7"/>
  <c r="E439" i="7"/>
  <c r="E438" i="7"/>
  <c r="E437" i="7"/>
  <c r="E436" i="7"/>
  <c r="E435" i="7"/>
  <c r="E434" i="7"/>
  <c r="E433" i="7"/>
  <c r="E432" i="7"/>
  <c r="E431" i="7"/>
  <c r="E430" i="7"/>
  <c r="E429" i="7"/>
  <c r="E428" i="7"/>
  <c r="E427" i="7"/>
  <c r="E426" i="7"/>
  <c r="E425" i="7"/>
  <c r="E424" i="7"/>
  <c r="E423" i="7"/>
  <c r="E422" i="7"/>
  <c r="E421" i="7"/>
  <c r="E420" i="7"/>
  <c r="E419" i="7"/>
  <c r="E418" i="7"/>
  <c r="E417" i="7"/>
  <c r="E416" i="7"/>
  <c r="E415" i="7"/>
  <c r="E414" i="7"/>
  <c r="E413" i="7"/>
  <c r="E412" i="7"/>
  <c r="E411" i="7"/>
  <c r="E410" i="7"/>
  <c r="E409" i="7"/>
  <c r="E408" i="7"/>
  <c r="E407" i="7"/>
  <c r="E406" i="7"/>
  <c r="E405" i="7"/>
  <c r="E404" i="7"/>
  <c r="E403" i="7"/>
  <c r="E402" i="7"/>
  <c r="E401" i="7"/>
  <c r="E400" i="7"/>
  <c r="E399" i="7"/>
  <c r="E398" i="7"/>
  <c r="E397" i="7"/>
  <c r="E396" i="7"/>
  <c r="E395" i="7"/>
  <c r="E394" i="7"/>
  <c r="E393" i="7"/>
  <c r="E392" i="7"/>
  <c r="E391" i="7"/>
  <c r="E390" i="7"/>
  <c r="E389" i="7"/>
  <c r="E388" i="7"/>
  <c r="E387" i="7"/>
  <c r="E386" i="7"/>
  <c r="E385" i="7"/>
  <c r="E384" i="7"/>
  <c r="E383" i="7"/>
  <c r="E382" i="7"/>
  <c r="E381" i="7"/>
  <c r="E380" i="7"/>
  <c r="E379" i="7"/>
  <c r="E378" i="7"/>
  <c r="E377" i="7"/>
  <c r="E376" i="7"/>
  <c r="E375" i="7"/>
  <c r="E374" i="7"/>
  <c r="E373" i="7"/>
  <c r="E372" i="7"/>
  <c r="E371" i="7"/>
  <c r="E370" i="7"/>
  <c r="E369" i="7"/>
  <c r="E368" i="7"/>
  <c r="E367" i="7"/>
  <c r="E366" i="7"/>
  <c r="E365" i="7"/>
  <c r="E364" i="7"/>
  <c r="E363" i="7"/>
  <c r="E362" i="7"/>
  <c r="E361" i="7"/>
  <c r="E360" i="7"/>
  <c r="E359" i="7"/>
  <c r="E358" i="7"/>
  <c r="E357" i="7"/>
  <c r="E356" i="7"/>
  <c r="E355" i="7"/>
  <c r="E354" i="7"/>
  <c r="E353" i="7"/>
  <c r="E352" i="7"/>
  <c r="E351" i="7"/>
  <c r="E350" i="7"/>
  <c r="E349" i="7"/>
  <c r="E348" i="7"/>
  <c r="E347" i="7"/>
  <c r="E346" i="7"/>
  <c r="E345" i="7"/>
  <c r="E344" i="7"/>
  <c r="E343" i="7"/>
  <c r="E342" i="7"/>
  <c r="E341" i="7"/>
  <c r="E340" i="7"/>
  <c r="E339" i="7"/>
  <c r="E338" i="7"/>
  <c r="E337" i="7"/>
  <c r="E336" i="7"/>
  <c r="E335" i="7"/>
  <c r="E334" i="7"/>
  <c r="E333" i="7"/>
  <c r="E332" i="7"/>
  <c r="E331" i="7"/>
  <c r="E330" i="7"/>
  <c r="E329" i="7"/>
  <c r="E328" i="7"/>
  <c r="E327" i="7"/>
  <c r="E326" i="7"/>
  <c r="E325" i="7"/>
  <c r="E324" i="7"/>
  <c r="E323" i="7"/>
  <c r="E322" i="7"/>
  <c r="E321" i="7"/>
  <c r="E320" i="7"/>
  <c r="E319" i="7"/>
  <c r="E318" i="7"/>
  <c r="E317" i="7"/>
  <c r="E316" i="7"/>
  <c r="E315" i="7"/>
  <c r="E314" i="7"/>
  <c r="E313" i="7"/>
  <c r="E312" i="7"/>
  <c r="E311" i="7"/>
  <c r="E310" i="7"/>
  <c r="E308" i="7"/>
  <c r="E307" i="7"/>
  <c r="E306" i="7"/>
  <c r="E305" i="7"/>
  <c r="E304" i="7"/>
  <c r="E303" i="7"/>
  <c r="E302" i="7"/>
  <c r="E301" i="7"/>
  <c r="E300" i="7"/>
  <c r="E299" i="7"/>
  <c r="E298" i="7"/>
  <c r="E297" i="7"/>
  <c r="E296" i="7"/>
  <c r="E295" i="7"/>
  <c r="E294" i="7"/>
  <c r="E293" i="7"/>
  <c r="E292" i="7"/>
  <c r="E291" i="7"/>
  <c r="E290" i="7"/>
  <c r="E289" i="7"/>
  <c r="E288" i="7"/>
  <c r="E287" i="7"/>
  <c r="E286" i="7"/>
  <c r="E285" i="7"/>
  <c r="E284" i="7"/>
  <c r="E283" i="7"/>
  <c r="E282" i="7"/>
  <c r="E281" i="7"/>
  <c r="E280" i="7"/>
  <c r="E279" i="7"/>
  <c r="E278" i="7"/>
  <c r="E277" i="7"/>
  <c r="E276" i="7"/>
  <c r="E275" i="7"/>
  <c r="E274" i="7"/>
  <c r="E273" i="7"/>
  <c r="E272" i="7"/>
  <c r="E271" i="7"/>
  <c r="E270" i="7"/>
  <c r="E269" i="7"/>
  <c r="E268" i="7"/>
  <c r="E267" i="7"/>
  <c r="E266" i="7"/>
  <c r="E265" i="7"/>
  <c r="E264" i="7"/>
  <c r="E263" i="7"/>
  <c r="E262" i="7"/>
  <c r="E261" i="7"/>
  <c r="E260" i="7"/>
  <c r="E259" i="7"/>
  <c r="E258" i="7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M8" i="3"/>
  <c r="M7" i="3"/>
  <c r="M6" i="3"/>
  <c r="M5" i="3"/>
  <c r="M4" i="3"/>
  <c r="L8" i="3"/>
  <c r="L7" i="3"/>
  <c r="L6" i="3"/>
  <c r="L5" i="3"/>
  <c r="L4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M8" i="4"/>
  <c r="M7" i="4"/>
  <c r="M6" i="4"/>
  <c r="M5" i="4"/>
  <c r="M4" i="4"/>
  <c r="L8" i="4"/>
  <c r="L7" i="4"/>
  <c r="L6" i="4"/>
  <c r="L5" i="4"/>
  <c r="L4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80" i="4"/>
  <c r="E679" i="4"/>
  <c r="E678" i="4"/>
  <c r="E677" i="4"/>
  <c r="E676" i="4"/>
  <c r="E675" i="4"/>
  <c r="E674" i="4"/>
  <c r="E673" i="4"/>
  <c r="E672" i="4"/>
  <c r="E671" i="4"/>
  <c r="E670" i="4"/>
  <c r="E669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34" i="4"/>
  <c r="E633" i="4"/>
  <c r="E632" i="4"/>
  <c r="E631" i="4"/>
  <c r="E630" i="4"/>
  <c r="E629" i="4"/>
  <c r="E628" i="4"/>
  <c r="E627" i="4"/>
  <c r="E626" i="4"/>
  <c r="E625" i="4"/>
  <c r="E624" i="4"/>
  <c r="E623" i="4"/>
  <c r="E622" i="4"/>
  <c r="E621" i="4"/>
  <c r="E620" i="4"/>
  <c r="E619" i="4"/>
  <c r="E618" i="4"/>
  <c r="E617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3" i="4"/>
  <c r="E582" i="4"/>
  <c r="E581" i="4"/>
  <c r="E580" i="4"/>
  <c r="E579" i="4"/>
  <c r="E578" i="4"/>
  <c r="E577" i="4"/>
  <c r="E576" i="4"/>
  <c r="E575" i="4"/>
  <c r="E574" i="4"/>
  <c r="E573" i="4"/>
  <c r="E572" i="4"/>
  <c r="E571" i="4"/>
  <c r="E570" i="4"/>
  <c r="E569" i="4"/>
  <c r="E568" i="4"/>
  <c r="E567" i="4"/>
  <c r="E566" i="4"/>
  <c r="E565" i="4"/>
  <c r="E564" i="4"/>
  <c r="E563" i="4"/>
  <c r="E562" i="4"/>
  <c r="E561" i="4"/>
  <c r="E560" i="4"/>
  <c r="E559" i="4"/>
  <c r="E558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4" i="4"/>
  <c r="E513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D722" i="4"/>
  <c r="D721" i="4"/>
  <c r="D720" i="4"/>
  <c r="D719" i="4"/>
  <c r="D718" i="4"/>
  <c r="D717" i="4"/>
  <c r="D716" i="4"/>
  <c r="D715" i="4"/>
  <c r="D714" i="4"/>
  <c r="D713" i="4"/>
  <c r="D712" i="4"/>
  <c r="D711" i="4"/>
  <c r="D710" i="4"/>
  <c r="D709" i="4"/>
  <c r="D708" i="4"/>
  <c r="D707" i="4"/>
  <c r="D706" i="4"/>
  <c r="D705" i="4"/>
  <c r="D704" i="4"/>
  <c r="D703" i="4"/>
  <c r="D702" i="4"/>
  <c r="D701" i="4"/>
  <c r="D700" i="4"/>
  <c r="D699" i="4"/>
  <c r="D698" i="4"/>
  <c r="D697" i="4"/>
  <c r="D696" i="4"/>
  <c r="D695" i="4"/>
  <c r="D694" i="4"/>
  <c r="D693" i="4"/>
  <c r="D692" i="4"/>
  <c r="D691" i="4"/>
  <c r="D690" i="4"/>
  <c r="D689" i="4"/>
  <c r="D688" i="4"/>
  <c r="D687" i="4"/>
  <c r="D686" i="4"/>
  <c r="D685" i="4"/>
  <c r="D684" i="4"/>
  <c r="D683" i="4"/>
  <c r="D682" i="4"/>
  <c r="D681" i="4"/>
  <c r="D680" i="4"/>
  <c r="D679" i="4"/>
  <c r="D678" i="4"/>
  <c r="D677" i="4"/>
  <c r="D676" i="4"/>
  <c r="D675" i="4"/>
  <c r="D674" i="4"/>
  <c r="D673" i="4"/>
  <c r="D672" i="4"/>
  <c r="D671" i="4"/>
  <c r="D670" i="4"/>
  <c r="D669" i="4"/>
  <c r="D668" i="4"/>
  <c r="D667" i="4"/>
  <c r="D666" i="4"/>
  <c r="D665" i="4"/>
  <c r="D664" i="4"/>
  <c r="D663" i="4"/>
  <c r="D662" i="4"/>
  <c r="D661" i="4"/>
  <c r="D660" i="4"/>
  <c r="D659" i="4"/>
  <c r="D658" i="4"/>
  <c r="D657" i="4"/>
  <c r="D656" i="4"/>
  <c r="D655" i="4"/>
  <c r="D654" i="4"/>
  <c r="D653" i="4"/>
  <c r="D652" i="4"/>
  <c r="D651" i="4"/>
  <c r="D650" i="4"/>
  <c r="D649" i="4"/>
  <c r="D648" i="4"/>
  <c r="D647" i="4"/>
  <c r="D646" i="4"/>
  <c r="D645" i="4"/>
  <c r="D644" i="4"/>
  <c r="D643" i="4"/>
  <c r="D642" i="4"/>
  <c r="D641" i="4"/>
  <c r="D640" i="4"/>
  <c r="D639" i="4"/>
  <c r="D638" i="4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M8" i="5"/>
  <c r="M7" i="5"/>
  <c r="M6" i="5"/>
  <c r="M5" i="5"/>
  <c r="M4" i="5"/>
  <c r="L8" i="5"/>
  <c r="L7" i="5"/>
  <c r="L6" i="5"/>
  <c r="L5" i="5"/>
  <c r="L4" i="5"/>
  <c r="E711" i="5"/>
  <c r="E710" i="5"/>
  <c r="E709" i="5"/>
  <c r="E708" i="5"/>
  <c r="E707" i="5"/>
  <c r="E706" i="5"/>
  <c r="E705" i="5"/>
  <c r="E704" i="5"/>
  <c r="E703" i="5"/>
  <c r="E702" i="5"/>
  <c r="E701" i="5"/>
  <c r="E700" i="5"/>
  <c r="E699" i="5"/>
  <c r="E698" i="5"/>
  <c r="E697" i="5"/>
  <c r="E696" i="5"/>
  <c r="E695" i="5"/>
  <c r="E694" i="5"/>
  <c r="E693" i="5"/>
  <c r="E692" i="5"/>
  <c r="E691" i="5"/>
  <c r="E690" i="5"/>
  <c r="E689" i="5"/>
  <c r="E688" i="5"/>
  <c r="E687" i="5"/>
  <c r="E686" i="5"/>
  <c r="E685" i="5"/>
  <c r="E684" i="5"/>
  <c r="E683" i="5"/>
  <c r="E682" i="5"/>
  <c r="E681" i="5"/>
  <c r="E680" i="5"/>
  <c r="E679" i="5"/>
  <c r="E678" i="5"/>
  <c r="E677" i="5"/>
  <c r="E676" i="5"/>
  <c r="E675" i="5"/>
  <c r="E674" i="5"/>
  <c r="E673" i="5"/>
  <c r="E672" i="5"/>
  <c r="E671" i="5"/>
  <c r="E670" i="5"/>
  <c r="E669" i="5"/>
  <c r="E668" i="5"/>
  <c r="E667" i="5"/>
  <c r="E666" i="5"/>
  <c r="E665" i="5"/>
  <c r="E664" i="5"/>
  <c r="E663" i="5"/>
  <c r="E662" i="5"/>
  <c r="E661" i="5"/>
  <c r="E660" i="5"/>
  <c r="E659" i="5"/>
  <c r="E658" i="5"/>
  <c r="E657" i="5"/>
  <c r="E656" i="5"/>
  <c r="E655" i="5"/>
  <c r="E654" i="5"/>
  <c r="E653" i="5"/>
  <c r="E652" i="5"/>
  <c r="E651" i="5"/>
  <c r="E650" i="5"/>
  <c r="E649" i="5"/>
  <c r="E648" i="5"/>
  <c r="E647" i="5"/>
  <c r="E646" i="5"/>
  <c r="E645" i="5"/>
  <c r="E644" i="5"/>
  <c r="E643" i="5"/>
  <c r="E642" i="5"/>
  <c r="E641" i="5"/>
  <c r="E640" i="5"/>
  <c r="E639" i="5"/>
  <c r="E638" i="5"/>
  <c r="E637" i="5"/>
  <c r="E636" i="5"/>
  <c r="E635" i="5"/>
  <c r="E634" i="5"/>
  <c r="E633" i="5"/>
  <c r="E632" i="5"/>
  <c r="E631" i="5"/>
  <c r="E630" i="5"/>
  <c r="E629" i="5"/>
  <c r="E628" i="5"/>
  <c r="E627" i="5"/>
  <c r="E626" i="5"/>
  <c r="E625" i="5"/>
  <c r="E624" i="5"/>
  <c r="E623" i="5"/>
  <c r="E622" i="5"/>
  <c r="E621" i="5"/>
  <c r="E620" i="5"/>
  <c r="E619" i="5"/>
  <c r="E618" i="5"/>
  <c r="E617" i="5"/>
  <c r="E616" i="5"/>
  <c r="E615" i="5"/>
  <c r="E614" i="5"/>
  <c r="E613" i="5"/>
  <c r="E612" i="5"/>
  <c r="E611" i="5"/>
  <c r="E610" i="5"/>
  <c r="E609" i="5"/>
  <c r="E608" i="5"/>
  <c r="E607" i="5"/>
  <c r="E606" i="5"/>
  <c r="E605" i="5"/>
  <c r="E604" i="5"/>
  <c r="E603" i="5"/>
  <c r="E602" i="5"/>
  <c r="E601" i="5"/>
  <c r="E600" i="5"/>
  <c r="E599" i="5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E584" i="5"/>
  <c r="E583" i="5"/>
  <c r="E582" i="5"/>
  <c r="E581" i="5"/>
  <c r="E580" i="5"/>
  <c r="E579" i="5"/>
  <c r="E578" i="5"/>
  <c r="E577" i="5"/>
  <c r="E576" i="5"/>
  <c r="E575" i="5"/>
  <c r="E574" i="5"/>
  <c r="E573" i="5"/>
  <c r="E572" i="5"/>
  <c r="E571" i="5"/>
  <c r="E570" i="5"/>
  <c r="E569" i="5"/>
  <c r="E568" i="5"/>
  <c r="E567" i="5"/>
  <c r="E566" i="5"/>
  <c r="E565" i="5"/>
  <c r="E564" i="5"/>
  <c r="E563" i="5"/>
  <c r="E562" i="5"/>
  <c r="E561" i="5"/>
  <c r="E560" i="5"/>
  <c r="E559" i="5"/>
  <c r="E558" i="5"/>
  <c r="E557" i="5"/>
  <c r="E556" i="5"/>
  <c r="E555" i="5"/>
  <c r="E554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E527" i="5"/>
  <c r="E526" i="5"/>
  <c r="E525" i="5"/>
  <c r="E524" i="5"/>
  <c r="E523" i="5"/>
  <c r="E522" i="5"/>
  <c r="E521" i="5"/>
  <c r="E520" i="5"/>
  <c r="E519" i="5"/>
  <c r="E518" i="5"/>
  <c r="E517" i="5"/>
  <c r="E516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E502" i="5"/>
  <c r="E501" i="5"/>
  <c r="E500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E476" i="5"/>
  <c r="E475" i="5"/>
  <c r="E474" i="5"/>
  <c r="E473" i="5"/>
  <c r="E472" i="5"/>
  <c r="E471" i="5"/>
  <c r="E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6" i="5"/>
  <c r="E445" i="5"/>
  <c r="E444" i="5"/>
  <c r="E443" i="5"/>
  <c r="E442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E429" i="5"/>
  <c r="E428" i="5"/>
  <c r="E427" i="5"/>
  <c r="E426" i="5"/>
  <c r="E425" i="5"/>
  <c r="E424" i="5"/>
  <c r="E423" i="5"/>
  <c r="E422" i="5"/>
  <c r="E421" i="5"/>
  <c r="E420" i="5"/>
  <c r="E419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402" i="5"/>
  <c r="E401" i="5"/>
  <c r="E400" i="5"/>
  <c r="E399" i="5"/>
  <c r="E398" i="5"/>
  <c r="E397" i="5"/>
  <c r="E396" i="5"/>
  <c r="E395" i="5"/>
  <c r="E394" i="5"/>
  <c r="E393" i="5"/>
  <c r="E392" i="5"/>
  <c r="E391" i="5"/>
  <c r="E390" i="5"/>
  <c r="E389" i="5"/>
  <c r="E388" i="5"/>
  <c r="E387" i="5"/>
  <c r="E386" i="5"/>
  <c r="E385" i="5"/>
  <c r="E384" i="5"/>
  <c r="E383" i="5"/>
  <c r="E382" i="5"/>
  <c r="E381" i="5"/>
  <c r="E380" i="5"/>
  <c r="E379" i="5"/>
  <c r="E378" i="5"/>
  <c r="E377" i="5"/>
  <c r="E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60" i="5"/>
  <c r="E359" i="5"/>
  <c r="E358" i="5"/>
  <c r="E357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40" i="5"/>
  <c r="E339" i="5"/>
  <c r="E338" i="5"/>
  <c r="E337" i="5"/>
  <c r="E336" i="5"/>
  <c r="E335" i="5"/>
  <c r="E334" i="5"/>
  <c r="E333" i="5"/>
  <c r="E332" i="5"/>
  <c r="E331" i="5"/>
  <c r="E330" i="5"/>
  <c r="E329" i="5"/>
  <c r="E328" i="5"/>
  <c r="E327" i="5"/>
  <c r="E326" i="5"/>
  <c r="E325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D669" i="5"/>
  <c r="D668" i="5"/>
  <c r="D667" i="5"/>
  <c r="D666" i="5"/>
  <c r="D665" i="5"/>
  <c r="D664" i="5"/>
  <c r="D663" i="5"/>
  <c r="D662" i="5"/>
  <c r="D661" i="5"/>
  <c r="D660" i="5"/>
  <c r="D659" i="5"/>
  <c r="D658" i="5"/>
  <c r="D657" i="5"/>
  <c r="D656" i="5"/>
  <c r="D655" i="5"/>
  <c r="D654" i="5"/>
  <c r="D653" i="5"/>
  <c r="D652" i="5"/>
  <c r="D651" i="5"/>
  <c r="D650" i="5"/>
  <c r="D649" i="5"/>
  <c r="D648" i="5"/>
  <c r="D647" i="5"/>
  <c r="D646" i="5"/>
  <c r="D645" i="5"/>
  <c r="D644" i="5"/>
  <c r="D643" i="5"/>
  <c r="D642" i="5"/>
  <c r="D641" i="5"/>
  <c r="D640" i="5"/>
  <c r="D639" i="5"/>
  <c r="D638" i="5"/>
  <c r="D637" i="5"/>
  <c r="D636" i="5"/>
  <c r="D635" i="5"/>
  <c r="D634" i="5"/>
  <c r="D633" i="5"/>
  <c r="D632" i="5"/>
  <c r="D631" i="5"/>
  <c r="D630" i="5"/>
  <c r="D629" i="5"/>
  <c r="D628" i="5"/>
  <c r="D627" i="5"/>
  <c r="D626" i="5"/>
  <c r="D625" i="5"/>
  <c r="D624" i="5"/>
  <c r="D623" i="5"/>
  <c r="D622" i="5"/>
  <c r="D621" i="5"/>
  <c r="D620" i="5"/>
  <c r="D619" i="5"/>
  <c r="D618" i="5"/>
  <c r="D617" i="5"/>
  <c r="D616" i="5"/>
  <c r="D615" i="5"/>
  <c r="D614" i="5"/>
  <c r="D613" i="5"/>
  <c r="D612" i="5"/>
  <c r="D611" i="5"/>
  <c r="D610" i="5"/>
  <c r="D609" i="5"/>
  <c r="D608" i="5"/>
  <c r="D607" i="5"/>
  <c r="D606" i="5"/>
  <c r="D605" i="5"/>
  <c r="D604" i="5"/>
  <c r="D603" i="5"/>
  <c r="D602" i="5"/>
  <c r="D601" i="5"/>
  <c r="D600" i="5"/>
  <c r="D599" i="5"/>
  <c r="D598" i="5"/>
  <c r="D597" i="5"/>
  <c r="D596" i="5"/>
  <c r="D595" i="5"/>
  <c r="D594" i="5"/>
  <c r="D593" i="5"/>
  <c r="D592" i="5"/>
  <c r="D591" i="5"/>
  <c r="D590" i="5"/>
  <c r="D589" i="5"/>
  <c r="D588" i="5"/>
  <c r="D587" i="5"/>
  <c r="D586" i="5"/>
  <c r="D585" i="5"/>
  <c r="D584" i="5"/>
  <c r="D583" i="5"/>
  <c r="D582" i="5"/>
  <c r="D581" i="5"/>
  <c r="D580" i="5"/>
  <c r="D579" i="5"/>
  <c r="D578" i="5"/>
  <c r="D577" i="5"/>
  <c r="D576" i="5"/>
  <c r="D575" i="5"/>
  <c r="D574" i="5"/>
  <c r="D573" i="5"/>
  <c r="D572" i="5"/>
  <c r="D571" i="5"/>
  <c r="D570" i="5"/>
  <c r="D569" i="5"/>
  <c r="D568" i="5"/>
  <c r="D567" i="5"/>
  <c r="D566" i="5"/>
  <c r="D565" i="5"/>
  <c r="D564" i="5"/>
  <c r="D563" i="5"/>
  <c r="D562" i="5"/>
  <c r="D561" i="5"/>
  <c r="D560" i="5"/>
  <c r="D559" i="5"/>
  <c r="D558" i="5"/>
  <c r="D557" i="5"/>
  <c r="D556" i="5"/>
  <c r="D555" i="5"/>
  <c r="D554" i="5"/>
  <c r="D553" i="5"/>
  <c r="D552" i="5"/>
  <c r="D551" i="5"/>
  <c r="D550" i="5"/>
  <c r="D549" i="5"/>
  <c r="D548" i="5"/>
  <c r="D547" i="5"/>
  <c r="D546" i="5"/>
  <c r="D545" i="5"/>
  <c r="D544" i="5"/>
  <c r="D543" i="5"/>
  <c r="D542" i="5"/>
  <c r="D541" i="5"/>
  <c r="D540" i="5"/>
  <c r="D539" i="5"/>
  <c r="D538" i="5"/>
  <c r="D537" i="5"/>
  <c r="D536" i="5"/>
  <c r="D535" i="5"/>
  <c r="D534" i="5"/>
  <c r="D533" i="5"/>
  <c r="D532" i="5"/>
  <c r="D531" i="5"/>
  <c r="D530" i="5"/>
  <c r="D529" i="5"/>
  <c r="D528" i="5"/>
  <c r="D527" i="5"/>
  <c r="D526" i="5"/>
  <c r="D525" i="5"/>
  <c r="D524" i="5"/>
  <c r="D523" i="5"/>
  <c r="D522" i="5"/>
  <c r="D521" i="5"/>
  <c r="D520" i="5"/>
  <c r="D519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M8" i="6"/>
  <c r="M7" i="6"/>
  <c r="M6" i="6"/>
  <c r="M5" i="6"/>
  <c r="M4" i="6"/>
  <c r="L8" i="6"/>
  <c r="L7" i="6"/>
  <c r="L6" i="6"/>
  <c r="L5" i="6"/>
  <c r="L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2" i="2"/>
  <c r="E431" i="2"/>
  <c r="E430" i="2"/>
  <c r="E429" i="2"/>
  <c r="E428" i="2"/>
  <c r="E427" i="2"/>
  <c r="E426" i="2"/>
  <c r="E425" i="2"/>
  <c r="E424" i="2"/>
  <c r="E423" i="2"/>
  <c r="E422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M8" i="1"/>
  <c r="M7" i="1"/>
  <c r="M6" i="1"/>
  <c r="M5" i="1"/>
  <c r="M4" i="1"/>
  <c r="L8" i="1"/>
  <c r="L7" i="1"/>
  <c r="L6" i="1"/>
  <c r="L5" i="1"/>
  <c r="L4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49" i="1"/>
  <c r="E248" i="1"/>
  <c r="E247" i="1"/>
  <c r="E246" i="1"/>
  <c r="E245" i="1"/>
  <c r="E244" i="1"/>
  <c r="E243" i="1"/>
  <c r="E242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M5" i="8"/>
  <c r="M4" i="8"/>
  <c r="L7" i="8"/>
  <c r="L6" i="8"/>
  <c r="L5" i="8"/>
  <c r="L4" i="8"/>
  <c r="M8" i="8"/>
  <c r="M7" i="8"/>
  <c r="M6" i="8"/>
  <c r="L8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</calcChain>
</file>

<file path=xl/sharedStrings.xml><?xml version="1.0" encoding="utf-8"?>
<sst xmlns="http://schemas.openxmlformats.org/spreadsheetml/2006/main" count="10814" uniqueCount="37">
  <si>
    <t>RCV TIME</t>
  </si>
  <si>
    <t>VER TIME</t>
  </si>
  <si>
    <t>TEST</t>
  </si>
  <si>
    <t>CBC</t>
  </si>
  <si>
    <t>RCV</t>
  </si>
  <si>
    <t>VER</t>
  </si>
  <si>
    <t>cbc</t>
  </si>
  <si>
    <t>Test</t>
  </si>
  <si>
    <t>PROTIM</t>
  </si>
  <si>
    <t>BMPNL</t>
  </si>
  <si>
    <t>CMPNL</t>
  </si>
  <si>
    <t>TROPI</t>
  </si>
  <si>
    <t>DATE</t>
  </si>
  <si>
    <t>TAT</t>
  </si>
  <si>
    <t>Date</t>
  </si>
  <si>
    <t>n</t>
  </si>
  <si>
    <t>Average Variation</t>
  </si>
  <si>
    <t>Average TAT</t>
  </si>
  <si>
    <t>Variation</t>
  </si>
  <si>
    <t>SEBD</t>
  </si>
  <si>
    <t>15:10:00</t>
  </si>
  <si>
    <t>15:24:00</t>
  </si>
  <si>
    <t>18:34:00</t>
  </si>
  <si>
    <t>18:54:00</t>
  </si>
  <si>
    <t>MRN</t>
  </si>
  <si>
    <t>COLL</t>
  </si>
  <si>
    <t>N</t>
  </si>
  <si>
    <t>The data comes in various formats and arranged in various ways. For the macro to work properly, you must start by arranging the data in a standardized way.</t>
  </si>
  <si>
    <t>It usually come in a format similar to the example below. The first step is to use ctl+h to find all test codes of CBC and change them to ABC to match all other data</t>
  </si>
  <si>
    <t>ABC</t>
  </si>
  <si>
    <t>AVG Var</t>
  </si>
  <si>
    <t>VAR</t>
  </si>
  <si>
    <t>EXAMPLE</t>
  </si>
  <si>
    <t>TAT average</t>
  </si>
  <si>
    <t>Var average</t>
  </si>
  <si>
    <t>Redo without reruns</t>
  </si>
  <si>
    <t>MEAN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</si>
</sst>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h:mm:ss;@"/>
    <numFmt numFmtId="165" formatCode="[$-409]mmm\-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gency FB"/>
      <family val="2"/>
    </font>
    <font>
      <b/>
      <sz val="11"/>
      <color rgb="FFFA7D00"/>
      <name val="Agency FB"/>
      <family val="2"/>
    </font>
    <font>
      <sz val="10"/>
      <name val="Arial"/>
      <family val="2"/>
    </font>
    <font>
      <sz val="11"/>
      <color rgb="FF3F3F76"/>
      <name val="Agency FB"/>
      <family val="2"/>
    </font>
    <font>
      <sz val="10"/>
      <name val="Calibri"/>
      <family val="1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2" fillId="4" borderId="0" applyNumberFormat="0" applyBorder="0" applyAlignment="0" applyProtection="0"/>
    <xf numFmtId="0" fontId="3" fillId="3" borderId="1" applyNumberFormat="0" applyAlignment="0" applyProtection="0"/>
    <xf numFmtId="44" fontId="4" fillId="0" borderId="0" applyFont="0" applyFill="0" applyBorder="0" applyAlignment="0" applyProtection="0"/>
    <xf numFmtId="0" fontId="5" fillId="2" borderId="1" applyNumberFormat="0" applyAlignment="0" applyProtection="0"/>
    <xf numFmtId="0" fontId="6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46" fontId="0" fillId="0" borderId="0" xfId="0" applyNumberFormat="1"/>
    <xf numFmtId="20" fontId="0" fillId="0" borderId="0" xfId="0" applyNumberFormat="1"/>
    <xf numFmtId="20" fontId="0" fillId="0" borderId="0" xfId="0" applyNumberFormat="1" applyAlignment="1">
      <alignment horizontal="center"/>
    </xf>
    <xf numFmtId="164" fontId="0" fillId="0" borderId="0" xfId="0" applyNumberFormat="1"/>
    <xf numFmtId="46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17" fontId="0" fillId="0" borderId="0" xfId="0" applyNumberFormat="1" applyAlignment="1">
      <alignment horizontal="center"/>
    </xf>
    <xf numFmtId="16" fontId="0" fillId="0" borderId="0" xfId="0" applyNumberFormat="1"/>
    <xf numFmtId="46" fontId="0" fillId="0" borderId="0" xfId="0" quotePrefix="1" applyNumberFormat="1" applyAlignment="1">
      <alignment horizontal="center"/>
    </xf>
    <xf numFmtId="14" fontId="0" fillId="0" borderId="0" xfId="0" applyNumberFormat="1"/>
    <xf numFmtId="164" fontId="0" fillId="0" borderId="0" xfId="0" applyNumberFormat="1" applyAlignment="1"/>
    <xf numFmtId="46" fontId="0" fillId="0" borderId="0" xfId="0" applyNumberFormat="1" applyAlignment="1">
      <alignment horizontal="right"/>
    </xf>
    <xf numFmtId="46" fontId="0" fillId="0" borderId="0" xfId="0" applyNumberFormat="1" applyAlignment="1"/>
    <xf numFmtId="0" fontId="0" fillId="0" borderId="0" xfId="0" applyNumberFormat="1"/>
    <xf numFmtId="165" fontId="0" fillId="0" borderId="0" xfId="0" applyNumberFormat="1"/>
    <xf numFmtId="17" fontId="0" fillId="0" borderId="0" xfId="0" applyNumberFormat="1"/>
    <xf numFmtId="49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46" fontId="1" fillId="0" borderId="0" xfId="0" applyNumberFormat="1" applyFont="1" applyAlignment="1">
      <alignment horizontal="center"/>
    </xf>
  </cellXfs>
  <cellStyles count="6">
    <cellStyle name="20% - Accent3 2" xfId="1"/>
    <cellStyle name="Calculation 2" xfId="2"/>
    <cellStyle name="Currency 2" xfId="3"/>
    <cellStyle name="Input 2" xfId="4"/>
    <cellStyle name="Normal" xfId="0" builtinId="0"/>
    <cellStyle name="Normal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C11"/>
  <sheetViews>
    <sheetView workbookViewId="0">
      <selection activeCell="A3" sqref="A3"/>
    </sheetView>
  </sheetViews>
  <sheetFormatPr defaultRowHeight="15" x14ac:dyDescent="0.25"/>
  <sheetData>
    <row r="2" spans="1:3" x14ac:dyDescent="0.25">
      <c r="A2" t="s">
        <v>27</v>
      </c>
    </row>
    <row r="3" spans="1:3" x14ac:dyDescent="0.25">
      <c r="A3" t="s">
        <v>28</v>
      </c>
    </row>
    <row r="4" spans="1:3" x14ac:dyDescent="0.25">
      <c r="A4" s="2" t="s">
        <v>4</v>
      </c>
      <c r="B4" s="2" t="s">
        <v>5</v>
      </c>
      <c r="C4" s="1" t="s">
        <v>2</v>
      </c>
    </row>
    <row r="5" spans="1:3" x14ac:dyDescent="0.25">
      <c r="A5" s="2">
        <v>0.49861111111111112</v>
      </c>
      <c r="B5" s="2">
        <v>0.51944444444444449</v>
      </c>
      <c r="C5" s="1" t="s">
        <v>10</v>
      </c>
    </row>
    <row r="6" spans="1:3" x14ac:dyDescent="0.25">
      <c r="A6" s="2">
        <v>0.49861111111111112</v>
      </c>
      <c r="B6" s="2">
        <v>0.52638888888888891</v>
      </c>
      <c r="C6" s="1" t="s">
        <v>11</v>
      </c>
    </row>
    <row r="7" spans="1:3" x14ac:dyDescent="0.25">
      <c r="A7" s="2">
        <v>0.49861111111111112</v>
      </c>
      <c r="B7" s="2">
        <v>0.51250000000000007</v>
      </c>
      <c r="C7" s="1" t="s">
        <v>3</v>
      </c>
    </row>
    <row r="8" spans="1:3" x14ac:dyDescent="0.25">
      <c r="A8" s="2">
        <v>0.16874999999999998</v>
      </c>
      <c r="B8" s="2">
        <v>0.18611111111111112</v>
      </c>
      <c r="C8" s="1" t="s">
        <v>11</v>
      </c>
    </row>
    <row r="9" spans="1:3" x14ac:dyDescent="0.25">
      <c r="A9" s="2">
        <v>0.16874999999999998</v>
      </c>
      <c r="B9" s="2">
        <v>0.18819444444444444</v>
      </c>
      <c r="C9" s="1" t="s">
        <v>8</v>
      </c>
    </row>
    <row r="10" spans="1:3" x14ac:dyDescent="0.25">
      <c r="A10" s="2">
        <v>0.17847222222222223</v>
      </c>
      <c r="B10" s="2">
        <v>0.1875</v>
      </c>
      <c r="C10" s="1" t="s">
        <v>9</v>
      </c>
    </row>
    <row r="11" spans="1:3" x14ac:dyDescent="0.25">
      <c r="A11" s="2">
        <v>0.17847222222222223</v>
      </c>
      <c r="B11" s="2">
        <v>0.18194444444444444</v>
      </c>
      <c r="C11" s="1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24"/>
  <sheetViews>
    <sheetView topLeftCell="F1" workbookViewId="0">
      <selection activeCell="H4" sqref="H4:M8"/>
    </sheetView>
  </sheetViews>
  <sheetFormatPr defaultRowHeight="15" x14ac:dyDescent="0.25"/>
  <cols>
    <col min="1" max="1" width="16.28515625" customWidth="1"/>
    <col min="2" max="2" width="19" style="2" customWidth="1"/>
    <col min="3" max="5" width="16.140625" style="2" customWidth="1"/>
    <col min="6" max="6" width="20.85546875" style="1" customWidth="1"/>
    <col min="11" max="11" width="17" bestFit="1" customWidth="1"/>
    <col min="12" max="12" width="12" bestFit="1" customWidth="1"/>
    <col min="13" max="13" width="17" bestFit="1" customWidth="1"/>
  </cols>
  <sheetData>
    <row r="1" spans="1:13" s="1" customFormat="1" x14ac:dyDescent="0.25">
      <c r="A1" s="1" t="s">
        <v>12</v>
      </c>
      <c r="B1" s="2" t="s">
        <v>0</v>
      </c>
      <c r="C1" s="2" t="s">
        <v>1</v>
      </c>
      <c r="D1" s="2" t="s">
        <v>13</v>
      </c>
      <c r="E1" s="2" t="s">
        <v>18</v>
      </c>
      <c r="F1" s="1" t="s">
        <v>2</v>
      </c>
    </row>
    <row r="2" spans="1:13" s="1" customFormat="1" x14ac:dyDescent="0.25">
      <c r="B2" s="2"/>
      <c r="C2" s="2"/>
      <c r="D2" s="2"/>
      <c r="E2" s="2"/>
    </row>
    <row r="3" spans="1:13" x14ac:dyDescent="0.25">
      <c r="A3" s="11">
        <v>42005</v>
      </c>
      <c r="B3" s="7">
        <v>0.29166666666666669</v>
      </c>
      <c r="C3" s="7">
        <v>0.31527777777777777</v>
      </c>
      <c r="D3" s="7">
        <f>(0.315277777777778-0.291666666666667)</f>
        <v>2.3611111111110972E-2</v>
      </c>
      <c r="E3" s="7">
        <f>ABS(0.023611111111111-0.0180555555555556)</f>
        <v>5.5555555555554005E-3</v>
      </c>
      <c r="F3" s="1" t="s">
        <v>9</v>
      </c>
      <c r="I3" s="1"/>
      <c r="J3" s="1" t="s">
        <v>7</v>
      </c>
      <c r="K3" s="1" t="s">
        <v>15</v>
      </c>
      <c r="L3" s="1" t="s">
        <v>17</v>
      </c>
      <c r="M3" s="1" t="s">
        <v>16</v>
      </c>
    </row>
    <row r="4" spans="1:13" x14ac:dyDescent="0.25">
      <c r="A4" s="11">
        <v>42005</v>
      </c>
      <c r="B4" s="7">
        <v>6.3194444444444442E-2</v>
      </c>
      <c r="C4" s="7">
        <v>8.1250000000000003E-2</v>
      </c>
      <c r="D4" s="7">
        <f>(0.08125-0.0631944444444444)</f>
        <v>1.8055555555555602E-2</v>
      </c>
      <c r="E4" s="7">
        <f>ABS(0.0180555555555556-0.0145833333333329)</f>
        <v>3.4722222222226991E-3</v>
      </c>
      <c r="F4" s="1" t="s">
        <v>9</v>
      </c>
      <c r="H4" s="14">
        <v>42005</v>
      </c>
      <c r="I4" t="s">
        <v>19</v>
      </c>
      <c r="J4" t="s">
        <v>9</v>
      </c>
      <c r="K4" s="18">
        <v>19</v>
      </c>
      <c r="L4" s="3">
        <f>AVERAGE(D3:D21)</f>
        <v>1.8128654970760067E-2</v>
      </c>
      <c r="M4" s="3">
        <f>AVERAGE(E3:E20)</f>
        <v>7.3302469135794702E-3</v>
      </c>
    </row>
    <row r="5" spans="1:13" x14ac:dyDescent="0.25">
      <c r="A5" s="11">
        <v>42005</v>
      </c>
      <c r="B5" s="7">
        <v>0.625</v>
      </c>
      <c r="C5" s="7">
        <v>0.63958333333333328</v>
      </c>
      <c r="D5" s="7">
        <f>(0.639583333333333-0.625)</f>
        <v>1.4583333333332948E-2</v>
      </c>
      <c r="E5" s="7">
        <f>ABS(0.0145833333333329-0.013888888888889)</f>
        <v>6.9444444444390074E-4</v>
      </c>
      <c r="F5" s="1" t="s">
        <v>9</v>
      </c>
      <c r="H5" s="14">
        <v>42005</v>
      </c>
      <c r="I5" t="s">
        <v>19</v>
      </c>
      <c r="J5" t="s">
        <v>3</v>
      </c>
      <c r="K5" s="18">
        <v>122</v>
      </c>
      <c r="L5" s="3">
        <f>AVERAGE(D22:D143)</f>
        <v>9.3180783242256763E-3</v>
      </c>
      <c r="M5" s="3">
        <f>AVERAGE(E22:E142)</f>
        <v>6.5771349862259942E-3</v>
      </c>
    </row>
    <row r="6" spans="1:13" x14ac:dyDescent="0.25">
      <c r="A6" s="11">
        <v>42005</v>
      </c>
      <c r="B6" s="7">
        <v>0.68333333333333324</v>
      </c>
      <c r="C6" s="7">
        <v>0.6972222222222223</v>
      </c>
      <c r="D6" s="7">
        <f>(0.697222222222222-0.683333333333333)</f>
        <v>1.3888888888888951E-2</v>
      </c>
      <c r="E6" s="7">
        <f>ABS(0.013888888888889-0.014583333333334)</f>
        <v>6.9444444444500056E-4</v>
      </c>
      <c r="F6" s="1" t="s">
        <v>9</v>
      </c>
      <c r="H6" s="14">
        <v>42005</v>
      </c>
      <c r="I6" t="s">
        <v>19</v>
      </c>
      <c r="J6" t="s">
        <v>10</v>
      </c>
      <c r="K6" s="18">
        <v>98</v>
      </c>
      <c r="L6" s="3">
        <f>AVERAGE(D144:D241)</f>
        <v>2.5077947845805078E-2</v>
      </c>
      <c r="M6" s="3">
        <f>AVERAGE(E144:E240)</f>
        <v>1.6781214203894498E-2</v>
      </c>
    </row>
    <row r="7" spans="1:13" x14ac:dyDescent="0.25">
      <c r="A7" s="11">
        <v>42005</v>
      </c>
      <c r="B7" s="7">
        <v>0.29444444444444445</v>
      </c>
      <c r="C7" s="7">
        <v>0.30902777777777779</v>
      </c>
      <c r="D7" s="7">
        <f>(0.309027777777778-0.294444444444444)</f>
        <v>1.4583333333334003E-2</v>
      </c>
      <c r="E7" s="7">
        <f>ABS(0.014583333333334-0.0111111111111111)</f>
        <v>3.4722222222229003E-3</v>
      </c>
      <c r="F7" s="1" t="s">
        <v>9</v>
      </c>
      <c r="H7" s="14">
        <v>42005</v>
      </c>
      <c r="I7" t="s">
        <v>19</v>
      </c>
      <c r="J7" t="s">
        <v>8</v>
      </c>
      <c r="K7" s="18">
        <v>9</v>
      </c>
      <c r="L7" s="3">
        <f>AVERAGE(D242:D250)</f>
        <v>1.6743827160493566E-2</v>
      </c>
      <c r="M7" s="3">
        <f>AVERAGE(E242:E249)</f>
        <v>9.809027777777991E-3</v>
      </c>
    </row>
    <row r="8" spans="1:13" x14ac:dyDescent="0.25">
      <c r="A8" s="11">
        <v>42005</v>
      </c>
      <c r="B8" s="7">
        <v>0.79652777777777783</v>
      </c>
      <c r="C8" s="7">
        <v>0.80763888888888891</v>
      </c>
      <c r="D8" s="7">
        <f>(0.807638888888889-0.796527777777778)</f>
        <v>1.1111111111111072E-2</v>
      </c>
      <c r="E8" s="7">
        <f>ABS(0.0111111111111111-0.0201388888888889)</f>
        <v>9.0277777777778012E-3</v>
      </c>
      <c r="F8" s="1" t="s">
        <v>9</v>
      </c>
      <c r="H8" s="14">
        <v>42005</v>
      </c>
      <c r="I8" t="s">
        <v>19</v>
      </c>
      <c r="J8" t="s">
        <v>11</v>
      </c>
      <c r="K8" s="18">
        <v>69</v>
      </c>
      <c r="L8" s="3">
        <f>AVERAGE(D251:D319)</f>
        <v>7.4074074074073123E-3</v>
      </c>
      <c r="M8" s="3">
        <f>AVERAGE(E251:E318)</f>
        <v>3.4283088235294128E-2</v>
      </c>
    </row>
    <row r="9" spans="1:13" x14ac:dyDescent="0.25">
      <c r="A9" s="11">
        <v>42005</v>
      </c>
      <c r="B9" s="7">
        <v>0.77013888888888893</v>
      </c>
      <c r="C9" s="7">
        <v>0.79027777777777775</v>
      </c>
      <c r="D9" s="7">
        <f>(0.790277777777778-0.770138888888889)</f>
        <v>2.0138888888888928E-2</v>
      </c>
      <c r="E9" s="7">
        <f>ABS(0.0201388888888889-0.021527777777778)</f>
        <v>1.3888888888890991E-3</v>
      </c>
      <c r="F9" s="1" t="s">
        <v>9</v>
      </c>
    </row>
    <row r="10" spans="1:13" x14ac:dyDescent="0.25">
      <c r="A10" s="11">
        <v>42005</v>
      </c>
      <c r="B10" s="7">
        <v>0.3833333333333333</v>
      </c>
      <c r="C10" s="7">
        <v>0.40486111111111112</v>
      </c>
      <c r="D10" s="7">
        <f>(0.404861111111111-0.383333333333333)</f>
        <v>2.1527777777777979E-2</v>
      </c>
      <c r="E10" s="7">
        <f>ABS(0.021527777777778-0.013194444444445)</f>
        <v>8.3333333333330002E-3</v>
      </c>
      <c r="F10" s="1" t="s">
        <v>9</v>
      </c>
    </row>
    <row r="11" spans="1:13" x14ac:dyDescent="0.25">
      <c r="A11" s="11">
        <v>42005</v>
      </c>
      <c r="B11" s="7">
        <v>0.29722222222222222</v>
      </c>
      <c r="C11" s="7">
        <v>0.31041666666666667</v>
      </c>
      <c r="D11" s="7">
        <f>(0.310416666666667-0.297222222222222)</f>
        <v>1.3194444444445008E-2</v>
      </c>
      <c r="E11" s="7">
        <f>ABS(0.013194444444445-0.0125)</f>
        <v>6.9444444444499882E-4</v>
      </c>
      <c r="F11" s="1" t="s">
        <v>9</v>
      </c>
    </row>
    <row r="12" spans="1:13" x14ac:dyDescent="0.25">
      <c r="A12" s="11">
        <v>42005</v>
      </c>
      <c r="B12" s="7">
        <v>0.19652777777777777</v>
      </c>
      <c r="C12" s="7">
        <v>0.20902777777777778</v>
      </c>
      <c r="D12" s="7">
        <f>(0.209027777777778-0.196527777777778)</f>
        <v>1.2500000000000011E-2</v>
      </c>
      <c r="E12" s="7">
        <f>ABS(0.0125-0.0125)</f>
        <v>0</v>
      </c>
      <c r="F12" s="1" t="s">
        <v>9</v>
      </c>
    </row>
    <row r="13" spans="1:13" x14ac:dyDescent="0.25">
      <c r="A13" s="11">
        <v>42005</v>
      </c>
      <c r="B13" s="7">
        <v>0.80972222222222223</v>
      </c>
      <c r="C13" s="7">
        <v>0.8222222222222223</v>
      </c>
      <c r="D13" s="7">
        <f>(0.822222222222222-0.809722222222222)</f>
        <v>1.2499999999999956E-2</v>
      </c>
      <c r="E13" s="7">
        <f>ABS(0.0125-0.0138888888888891)</f>
        <v>1.3888888888890991E-3</v>
      </c>
      <c r="F13" s="1" t="s">
        <v>9</v>
      </c>
    </row>
    <row r="14" spans="1:13" x14ac:dyDescent="0.25">
      <c r="A14" s="11">
        <v>42005</v>
      </c>
      <c r="B14" s="7">
        <v>0.66111111111111109</v>
      </c>
      <c r="C14" s="7">
        <v>0.67499999999999993</v>
      </c>
      <c r="D14" s="7">
        <f>(0.675-0.661111111111111)</f>
        <v>1.3888888888889062E-2</v>
      </c>
      <c r="E14" s="7">
        <f>ABS(0.0138888888888891-0.0305555555555499)</f>
        <v>1.66666666666608E-2</v>
      </c>
      <c r="F14" s="1" t="s">
        <v>9</v>
      </c>
    </row>
    <row r="15" spans="1:13" x14ac:dyDescent="0.25">
      <c r="A15" s="11">
        <v>42005</v>
      </c>
      <c r="B15" s="7">
        <v>1.0090277777777776</v>
      </c>
      <c r="C15" s="7">
        <v>1.0395833333333333</v>
      </c>
      <c r="D15" s="7">
        <f>(1.03958333333333-1.00902777777778)</f>
        <v>3.0555555555549896E-2</v>
      </c>
      <c r="E15" s="7">
        <f>ABS(0.0305555555555499-0.0131944444444451)</f>
        <v>1.7361111111104797E-2</v>
      </c>
      <c r="F15" s="1" t="s">
        <v>9</v>
      </c>
    </row>
    <row r="16" spans="1:13" x14ac:dyDescent="0.25">
      <c r="A16" s="11">
        <v>42005</v>
      </c>
      <c r="B16" s="7">
        <v>0.9770833333333333</v>
      </c>
      <c r="C16" s="7">
        <v>0.9902777777777777</v>
      </c>
      <c r="D16" s="7">
        <f>(0.990277777777778-0.977083333333333)</f>
        <v>1.3194444444445064E-2</v>
      </c>
      <c r="E16" s="7">
        <f>ABS(0.0131944444444451-0.013888888888889)</f>
        <v>6.9444444444389901E-4</v>
      </c>
      <c r="F16" s="1" t="s">
        <v>9</v>
      </c>
    </row>
    <row r="17" spans="1:6" x14ac:dyDescent="0.25">
      <c r="A17" s="11">
        <v>42005</v>
      </c>
      <c r="B17" s="7">
        <v>0.14097222222222222</v>
      </c>
      <c r="C17" s="7">
        <v>0.15486111111111112</v>
      </c>
      <c r="D17" s="7">
        <f>(0.154861111111111-0.140972222222222)</f>
        <v>1.3888888888889006E-2</v>
      </c>
      <c r="E17" s="7">
        <f>ABS(0.013888888888889-0.04375)</f>
        <v>2.9861111111110998E-2</v>
      </c>
      <c r="F17" s="1" t="s">
        <v>9</v>
      </c>
    </row>
    <row r="18" spans="1:6" x14ac:dyDescent="0.25">
      <c r="A18" s="11">
        <v>42005</v>
      </c>
      <c r="B18" s="7">
        <v>0.26874999999999999</v>
      </c>
      <c r="C18" s="7">
        <v>0.3125</v>
      </c>
      <c r="D18" s="7">
        <f>(0.3125-0.26875)</f>
        <v>4.3750000000000011E-2</v>
      </c>
      <c r="E18" s="7">
        <f>ABS(0.04375-0.0159722222222229)</f>
        <v>2.7777777777777096E-2</v>
      </c>
      <c r="F18" s="1" t="s">
        <v>9</v>
      </c>
    </row>
    <row r="19" spans="1:6" x14ac:dyDescent="0.25">
      <c r="A19" s="11">
        <v>42005</v>
      </c>
      <c r="B19" s="7">
        <v>0.70833333333333337</v>
      </c>
      <c r="C19" s="7">
        <v>0.72430555555555554</v>
      </c>
      <c r="D19" s="7">
        <f>(0.724305555555556-0.708333333333333)</f>
        <v>1.5972222222222943E-2</v>
      </c>
      <c r="E19" s="7">
        <f>ABS(0.0159722222222229-0.0194444444444439)</f>
        <v>3.472222222220999E-3</v>
      </c>
      <c r="F19" s="1" t="s">
        <v>9</v>
      </c>
    </row>
    <row r="20" spans="1:6" x14ac:dyDescent="0.25">
      <c r="A20" s="11">
        <v>42005</v>
      </c>
      <c r="B20" s="7">
        <v>0.6479166666666667</v>
      </c>
      <c r="C20" s="7">
        <v>0.66736111111111107</v>
      </c>
      <c r="D20" s="7">
        <f>(0.667361111111111-0.647916666666667)</f>
        <v>1.9444444444443931E-2</v>
      </c>
      <c r="E20" s="7">
        <f>ABS(0.0194444444444439-0.0180555555555559)</f>
        <v>1.3888888888879992E-3</v>
      </c>
      <c r="F20" s="1" t="s">
        <v>9</v>
      </c>
    </row>
    <row r="21" spans="1:6" x14ac:dyDescent="0.25">
      <c r="A21" s="11">
        <v>42005</v>
      </c>
      <c r="B21" s="7">
        <v>0.58472222222222225</v>
      </c>
      <c r="C21" s="7">
        <v>0.60277777777777775</v>
      </c>
      <c r="D21" s="7">
        <f>(0.602777777777778-0.584722222222222)</f>
        <v>1.8055555555555935E-2</v>
      </c>
      <c r="E21" s="7"/>
      <c r="F21" s="1" t="s">
        <v>9</v>
      </c>
    </row>
    <row r="22" spans="1:6" x14ac:dyDescent="0.25">
      <c r="A22" s="11">
        <v>42005</v>
      </c>
      <c r="B22" s="7">
        <v>7.0833333333333331E-2</v>
      </c>
      <c r="C22" s="7">
        <v>9.375E-2</v>
      </c>
      <c r="D22" s="7">
        <f>(0.09375-0.0708333333333333)</f>
        <v>2.2916666666666696E-2</v>
      </c>
      <c r="E22" s="7">
        <f>ABS(0.0229166666666667-0.00277777777777999)</f>
        <v>2.0138888888886708E-2</v>
      </c>
      <c r="F22" s="1" t="s">
        <v>3</v>
      </c>
    </row>
    <row r="23" spans="1:6" x14ac:dyDescent="0.25">
      <c r="A23" s="11">
        <v>42005</v>
      </c>
      <c r="B23" s="7">
        <v>1.0138888888888888</v>
      </c>
      <c r="C23" s="7">
        <v>1.0166666666666666</v>
      </c>
      <c r="D23" s="7">
        <f>(1.01666666666667-1.01388888888889)</f>
        <v>2.7777777777799884E-3</v>
      </c>
      <c r="E23" s="7">
        <f>ABS(0.00277777777777999-0.013888888888889)</f>
        <v>1.1111111111109009E-2</v>
      </c>
      <c r="F23" s="1" t="s">
        <v>3</v>
      </c>
    </row>
    <row r="24" spans="1:6" x14ac:dyDescent="0.25">
      <c r="A24" s="11">
        <v>42005</v>
      </c>
      <c r="B24" s="7">
        <v>0.11458333333333333</v>
      </c>
      <c r="C24" s="7">
        <v>0.12847222222222224</v>
      </c>
      <c r="D24" s="7">
        <f>(0.128472222222222-0.114583333333333)</f>
        <v>1.3888888888888992E-2</v>
      </c>
      <c r="E24" s="7">
        <f>ABS(0.013888888888889-0.00347222222222199)</f>
        <v>1.041666666666701E-2</v>
      </c>
      <c r="F24" s="1" t="s">
        <v>3</v>
      </c>
    </row>
    <row r="25" spans="1:6" x14ac:dyDescent="0.25">
      <c r="A25" s="11">
        <v>42005</v>
      </c>
      <c r="B25" s="7">
        <v>0.125</v>
      </c>
      <c r="C25" s="7">
        <v>0.12847222222222224</v>
      </c>
      <c r="D25" s="7">
        <f>(0.128472222222222-0.125)</f>
        <v>3.4722222222219878E-3</v>
      </c>
      <c r="E25" s="7">
        <f>ABS(0.00347222222222199-0.008333333333334)</f>
        <v>4.8611111111120098E-3</v>
      </c>
      <c r="F25" s="1" t="s">
        <v>3</v>
      </c>
    </row>
    <row r="26" spans="1:6" x14ac:dyDescent="0.25">
      <c r="A26" s="11">
        <v>42005</v>
      </c>
      <c r="B26" s="7">
        <v>0.22708333333333333</v>
      </c>
      <c r="C26" s="7">
        <v>0.23541666666666669</v>
      </c>
      <c r="D26" s="7">
        <f>(0.235416666666667-0.227083333333333)</f>
        <v>8.3333333333339976E-3</v>
      </c>
      <c r="E26" s="7">
        <f>ABS(0.008333333333334-0.00347222222222199)</f>
        <v>4.8611111111120098E-3</v>
      </c>
      <c r="F26" s="1" t="s">
        <v>3</v>
      </c>
    </row>
    <row r="27" spans="1:6" x14ac:dyDescent="0.25">
      <c r="A27" s="11">
        <v>42005</v>
      </c>
      <c r="B27" s="7">
        <v>0.46180555555555558</v>
      </c>
      <c r="C27" s="7">
        <v>0.46527777777777773</v>
      </c>
      <c r="D27" s="7">
        <f>(0.465277777777778-0.461805555555556)</f>
        <v>3.4722222222219878E-3</v>
      </c>
      <c r="E27" s="7">
        <f>ABS(0.00347222222222199-0.011111111111111)</f>
        <v>7.6388888888890109E-3</v>
      </c>
      <c r="F27" s="1" t="s">
        <v>3</v>
      </c>
    </row>
    <row r="28" spans="1:6" x14ac:dyDescent="0.25">
      <c r="A28" s="11">
        <v>42005</v>
      </c>
      <c r="B28" s="7">
        <v>0.51874999999999993</v>
      </c>
      <c r="C28" s="7">
        <v>0.52986111111111112</v>
      </c>
      <c r="D28" s="7">
        <f>(0.529861111111111-0.51875)</f>
        <v>1.1111111111110961E-2</v>
      </c>
      <c r="E28" s="7">
        <f>ABS(0.011111111111111-0.00416666666666599)</f>
        <v>6.9444444444450104E-3</v>
      </c>
      <c r="F28" s="1" t="s">
        <v>3</v>
      </c>
    </row>
    <row r="29" spans="1:6" x14ac:dyDescent="0.25">
      <c r="A29" s="11">
        <v>42005</v>
      </c>
      <c r="B29" s="7">
        <v>0.55555555555555558</v>
      </c>
      <c r="C29" s="7">
        <v>0.55972222222222223</v>
      </c>
      <c r="D29" s="7">
        <f>(0.559722222222222-0.555555555555556)</f>
        <v>4.1666666666659857E-3</v>
      </c>
      <c r="E29" s="7">
        <f>ABS(0.00416666666666599-0.00347222222222199)</f>
        <v>6.9444444444400006E-4</v>
      </c>
      <c r="F29" s="1" t="s">
        <v>3</v>
      </c>
    </row>
    <row r="30" spans="1:6" x14ac:dyDescent="0.25">
      <c r="A30" s="11">
        <v>42005</v>
      </c>
      <c r="B30" s="7">
        <v>0.60277777777777775</v>
      </c>
      <c r="C30" s="7">
        <v>0.60625000000000007</v>
      </c>
      <c r="D30" s="7">
        <f>(0.60625-0.602777777777778)</f>
        <v>3.4722222222219878E-3</v>
      </c>
      <c r="E30" s="7">
        <f>ABS(0.00347222222222199-0.00486111111111098)</f>
        <v>1.3888888888889902E-3</v>
      </c>
      <c r="F30" s="1" t="s">
        <v>3</v>
      </c>
    </row>
    <row r="31" spans="1:6" x14ac:dyDescent="0.25">
      <c r="A31" s="11">
        <v>42005</v>
      </c>
      <c r="B31" s="7">
        <v>0.83263888888888893</v>
      </c>
      <c r="C31" s="7">
        <v>0.83750000000000002</v>
      </c>
      <c r="D31" s="7">
        <f>(0.8375-0.832638888888889)</f>
        <v>4.8611111111109828E-3</v>
      </c>
      <c r="E31" s="7">
        <f>ABS(0.00486111111111098-0.00694444444444409)</f>
        <v>2.08333333333311E-3</v>
      </c>
      <c r="F31" s="1" t="s">
        <v>3</v>
      </c>
    </row>
    <row r="32" spans="1:6" x14ac:dyDescent="0.25">
      <c r="A32" s="11">
        <v>42005</v>
      </c>
      <c r="B32" s="7">
        <v>0.85625000000000007</v>
      </c>
      <c r="C32" s="7">
        <v>0.86319444444444438</v>
      </c>
      <c r="D32" s="7">
        <f>(0.863194444444444-0.85625)</f>
        <v>6.9444444444440867E-3</v>
      </c>
      <c r="E32" s="7">
        <f>ABS(0.00694444444444409-0.00972222222222197)</f>
        <v>2.7777777777778807E-3</v>
      </c>
      <c r="F32" s="1" t="s">
        <v>3</v>
      </c>
    </row>
    <row r="33" spans="1:6" x14ac:dyDescent="0.25">
      <c r="A33" s="11">
        <v>42005</v>
      </c>
      <c r="B33" s="7">
        <v>0.89861111111111114</v>
      </c>
      <c r="C33" s="7">
        <v>0.90833333333333333</v>
      </c>
      <c r="D33" s="7">
        <f>(0.908333333333333-0.898611111111111)</f>
        <v>9.7222222222219656E-3</v>
      </c>
      <c r="E33" s="7">
        <f>ABS(0.00972222222222197-0.020138888888889)</f>
        <v>1.041666666666703E-2</v>
      </c>
      <c r="F33" s="1" t="s">
        <v>3</v>
      </c>
    </row>
    <row r="34" spans="1:6" x14ac:dyDescent="0.25">
      <c r="A34" s="11">
        <v>42005</v>
      </c>
      <c r="B34" s="7">
        <v>0.29166666666666669</v>
      </c>
      <c r="C34" s="7">
        <v>0.31180555555555556</v>
      </c>
      <c r="D34" s="7">
        <f>(0.311805555555556-0.291666666666667)</f>
        <v>2.0138888888888984E-2</v>
      </c>
      <c r="E34" s="7">
        <f>ABS(0.020138888888889-0.00416666666666698)</f>
        <v>1.597222222222202E-2</v>
      </c>
      <c r="F34" s="1" t="s">
        <v>3</v>
      </c>
    </row>
    <row r="35" spans="1:6" x14ac:dyDescent="0.25">
      <c r="A35" s="11">
        <v>42005</v>
      </c>
      <c r="B35" s="7">
        <v>0.2638888888888889</v>
      </c>
      <c r="C35" s="7">
        <v>0.26805555555555555</v>
      </c>
      <c r="D35" s="7">
        <f>(0.268055555555556-0.263888888888889)</f>
        <v>4.1666666666669849E-3</v>
      </c>
      <c r="E35" s="7">
        <f>ABS(0.00416666666666698-0.00833333333333303)</f>
        <v>4.1666666666660499E-3</v>
      </c>
      <c r="F35" s="1" t="s">
        <v>3</v>
      </c>
    </row>
    <row r="36" spans="1:6" x14ac:dyDescent="0.25">
      <c r="A36" s="11">
        <v>42005</v>
      </c>
      <c r="B36" s="7">
        <v>0.45416666666666666</v>
      </c>
      <c r="C36" s="7">
        <v>0.46249999999999997</v>
      </c>
      <c r="D36" s="7">
        <f>(0.4625-0.454166666666667)</f>
        <v>8.3333333333330262E-3</v>
      </c>
      <c r="E36" s="7">
        <f>ABS(0.00833333333333303-0.0375)</f>
        <v>2.9166666666666969E-2</v>
      </c>
      <c r="F36" s="1" t="s">
        <v>3</v>
      </c>
    </row>
    <row r="37" spans="1:6" x14ac:dyDescent="0.25">
      <c r="A37" s="11">
        <v>42005</v>
      </c>
      <c r="B37" s="7">
        <v>0.46597222222222223</v>
      </c>
      <c r="C37" s="7">
        <v>0.50347222222222221</v>
      </c>
      <c r="D37" s="7">
        <f>(0.503472222222222-0.465972222222222)</f>
        <v>3.7499999999999978E-2</v>
      </c>
      <c r="E37" s="7">
        <f>ABS(0.0375-0.0375)</f>
        <v>0</v>
      </c>
      <c r="F37" s="1" t="s">
        <v>3</v>
      </c>
    </row>
    <row r="38" spans="1:6" x14ac:dyDescent="0.25">
      <c r="A38" s="11">
        <v>42005</v>
      </c>
      <c r="B38" s="7">
        <v>0.4916666666666667</v>
      </c>
      <c r="C38" s="7">
        <v>0.52916666666666667</v>
      </c>
      <c r="D38" s="7">
        <f>(0.529166666666667-0.491666666666667)</f>
        <v>3.7500000000000033E-2</v>
      </c>
      <c r="E38" s="7">
        <f>ABS(0.0375-0.00486111111111098)</f>
        <v>3.2638888888889016E-2</v>
      </c>
      <c r="F38" s="1" t="s">
        <v>3</v>
      </c>
    </row>
    <row r="39" spans="1:6" x14ac:dyDescent="0.25">
      <c r="A39" s="11">
        <v>42005</v>
      </c>
      <c r="B39" s="7">
        <v>0.59027777777777779</v>
      </c>
      <c r="C39" s="7">
        <v>0.59513888888888888</v>
      </c>
      <c r="D39" s="7">
        <f>(0.595138888888889-0.590277777777778)</f>
        <v>4.8611111111109828E-3</v>
      </c>
      <c r="E39" s="7">
        <f>ABS(0.00486111111111098-0.00763888888888797)</f>
        <v>2.7777777777769899E-3</v>
      </c>
      <c r="F39" s="1" t="s">
        <v>3</v>
      </c>
    </row>
    <row r="40" spans="1:6" x14ac:dyDescent="0.25">
      <c r="A40" s="11">
        <v>42005</v>
      </c>
      <c r="B40" s="7">
        <v>0.63055555555555554</v>
      </c>
      <c r="C40" s="7">
        <v>0.6381944444444444</v>
      </c>
      <c r="D40" s="7">
        <f>(0.638194444444444-0.630555555555556)</f>
        <v>7.6388888888879736E-3</v>
      </c>
      <c r="E40" s="7">
        <f>ABS(0.00763888888888797-0.00833333333333397)</f>
        <v>6.9444444444599976E-4</v>
      </c>
      <c r="F40" s="1" t="s">
        <v>3</v>
      </c>
    </row>
    <row r="41" spans="1:6" x14ac:dyDescent="0.25">
      <c r="A41" s="11">
        <v>42005</v>
      </c>
      <c r="B41" s="7">
        <v>0.71319444444444446</v>
      </c>
      <c r="C41" s="7">
        <v>0.72152777777777777</v>
      </c>
      <c r="D41" s="7">
        <f>(0.721527777777778-0.713194444444444)</f>
        <v>8.3333333333339699E-3</v>
      </c>
      <c r="E41" s="7">
        <f>ABS(0.00833333333333397-0.00763888888888897)</f>
        <v>6.9444444444499969E-4</v>
      </c>
      <c r="F41" s="1" t="s">
        <v>3</v>
      </c>
    </row>
    <row r="42" spans="1:6" x14ac:dyDescent="0.25">
      <c r="A42" s="11">
        <v>42005</v>
      </c>
      <c r="B42" s="7">
        <v>0.71388888888888891</v>
      </c>
      <c r="C42" s="7">
        <v>0.72152777777777777</v>
      </c>
      <c r="D42" s="7">
        <f>(0.721527777777778-0.713888888888889)</f>
        <v>7.6388888888889728E-3</v>
      </c>
      <c r="E42" s="7">
        <f>ABS(0.00763888888888897-0.011805555555556)</f>
        <v>4.1666666666670292E-3</v>
      </c>
      <c r="F42" s="1" t="s">
        <v>3</v>
      </c>
    </row>
    <row r="43" spans="1:6" x14ac:dyDescent="0.25">
      <c r="A43" s="11">
        <v>42005</v>
      </c>
      <c r="B43" s="7">
        <v>0.73749999999999993</v>
      </c>
      <c r="C43" s="7">
        <v>0.74930555555555556</v>
      </c>
      <c r="D43" s="7">
        <f>(0.749305555555556-0.7375)</f>
        <v>1.1805555555555958E-2</v>
      </c>
      <c r="E43" s="7">
        <f>ABS(0.011805555555556-0.00624999999999998)</f>
        <v>5.5555555555560189E-3</v>
      </c>
      <c r="F43" s="1" t="s">
        <v>3</v>
      </c>
    </row>
    <row r="44" spans="1:6" x14ac:dyDescent="0.25">
      <c r="A44" s="11">
        <v>42005</v>
      </c>
      <c r="B44" s="7">
        <v>0.74930555555555556</v>
      </c>
      <c r="C44" s="7">
        <v>0.75555555555555554</v>
      </c>
      <c r="D44" s="7">
        <f>(0.755555555555556-0.749305555555556)</f>
        <v>6.2499999999999778E-3</v>
      </c>
      <c r="E44" s="7">
        <f>ABS(0.00624999999999998-0.00972222222222197)</f>
        <v>3.4722222222219904E-3</v>
      </c>
      <c r="F44" s="1" t="s">
        <v>3</v>
      </c>
    </row>
    <row r="45" spans="1:6" x14ac:dyDescent="0.25">
      <c r="A45" s="11">
        <v>42005</v>
      </c>
      <c r="B45" s="7">
        <v>0.7680555555555556</v>
      </c>
      <c r="C45" s="7">
        <v>0.77777777777777779</v>
      </c>
      <c r="D45" s="7">
        <f>(0.777777777777778-0.768055555555556)</f>
        <v>9.7222222222219656E-3</v>
      </c>
      <c r="E45" s="7">
        <f>ABS(0.00972222222222197-0.010416666666667)</f>
        <v>6.9444444444502831E-4</v>
      </c>
      <c r="F45" s="1" t="s">
        <v>3</v>
      </c>
    </row>
    <row r="46" spans="1:6" x14ac:dyDescent="0.25">
      <c r="A46" s="11">
        <v>42005</v>
      </c>
      <c r="B46" s="7">
        <v>0.84097222222222223</v>
      </c>
      <c r="C46" s="7">
        <v>0.85138888888888886</v>
      </c>
      <c r="D46" s="7">
        <f>(0.851388888888889-0.840972222222222)</f>
        <v>1.0416666666666963E-2</v>
      </c>
      <c r="E46" s="7">
        <f>ABS(0.010416666666667-0.0104166666666661)</f>
        <v>8.9858676055598607E-16</v>
      </c>
      <c r="F46" s="1" t="s">
        <v>3</v>
      </c>
    </row>
    <row r="47" spans="1:6" x14ac:dyDescent="0.25">
      <c r="A47" s="11">
        <v>42005</v>
      </c>
      <c r="B47" s="7">
        <v>0.92013888888888884</v>
      </c>
      <c r="C47" s="7">
        <v>0.93055555555555547</v>
      </c>
      <c r="D47" s="7">
        <f>(0.930555555555555-0.920138888888889)</f>
        <v>1.0416666666666075E-2</v>
      </c>
      <c r="E47" s="7">
        <f>ABS(0.0104166666666661-0.00486111111111098)</f>
        <v>5.5555555555551204E-3</v>
      </c>
      <c r="F47" s="1" t="s">
        <v>3</v>
      </c>
    </row>
    <row r="48" spans="1:6" x14ac:dyDescent="0.25">
      <c r="A48" s="11">
        <v>42005</v>
      </c>
      <c r="B48" s="7">
        <v>0.95833333333333337</v>
      </c>
      <c r="C48" s="7">
        <v>0.96319444444444446</v>
      </c>
      <c r="D48" s="7">
        <f>(0.963194444444444-0.958333333333333)</f>
        <v>4.8611111111109828E-3</v>
      </c>
      <c r="E48" s="7">
        <f>ABS(0.00486111111111098-0.013194444444444)</f>
        <v>8.3333333333330192E-3</v>
      </c>
      <c r="F48" s="1" t="s">
        <v>3</v>
      </c>
    </row>
    <row r="49" spans="1:6" x14ac:dyDescent="0.25">
      <c r="A49" s="11">
        <v>42005</v>
      </c>
      <c r="B49" s="7">
        <v>0.21527777777777779</v>
      </c>
      <c r="C49" s="7">
        <v>0.22847222222222222</v>
      </c>
      <c r="D49" s="7">
        <f>(0.228472222222222-0.215277777777778)</f>
        <v>1.3194444444443981E-2</v>
      </c>
      <c r="E49" s="7">
        <f>ABS(0.013194444444444-0.00416666666666698)</f>
        <v>9.0277777777770206E-3</v>
      </c>
      <c r="F49" s="1" t="s">
        <v>3</v>
      </c>
    </row>
    <row r="50" spans="1:6" x14ac:dyDescent="0.25">
      <c r="A50" s="11">
        <v>42005</v>
      </c>
      <c r="B50" s="7">
        <v>0.2388888888888889</v>
      </c>
      <c r="C50" s="7">
        <v>0.24305555555555555</v>
      </c>
      <c r="D50" s="7">
        <f>(0.243055555555556-0.238888888888889)</f>
        <v>4.1666666666669849E-3</v>
      </c>
      <c r="E50" s="7">
        <f>ABS(0.00416666666666698-0.00555555555555498)</f>
        <v>1.3888888888880001E-3</v>
      </c>
      <c r="F50" s="1" t="s">
        <v>3</v>
      </c>
    </row>
    <row r="51" spans="1:6" x14ac:dyDescent="0.25">
      <c r="A51" s="11">
        <v>42005</v>
      </c>
      <c r="B51" s="7">
        <v>0.5541666666666667</v>
      </c>
      <c r="C51" s="7">
        <v>0.55972222222222223</v>
      </c>
      <c r="D51" s="7">
        <f>(0.559722222222222-0.554166666666667)</f>
        <v>5.5555555555549807E-3</v>
      </c>
      <c r="E51" s="7">
        <f>ABS(0.00555555555555498-0.0111111111111111)</f>
        <v>5.5555555555561196E-3</v>
      </c>
      <c r="F51" s="1" t="s">
        <v>3</v>
      </c>
    </row>
    <row r="52" spans="1:6" x14ac:dyDescent="0.25">
      <c r="A52" s="11">
        <v>42005</v>
      </c>
      <c r="B52" s="7">
        <v>0.72499999999999998</v>
      </c>
      <c r="C52" s="7">
        <v>0.73611111111111116</v>
      </c>
      <c r="D52" s="7">
        <f>(0.736111111111111-0.725)</f>
        <v>1.1111111111111072E-2</v>
      </c>
      <c r="E52" s="7">
        <f>ABS(0.0111111111111111-0.00763888888888897)</f>
        <v>3.4722222222221292E-3</v>
      </c>
      <c r="F52" s="1" t="s">
        <v>3</v>
      </c>
    </row>
    <row r="53" spans="1:6" x14ac:dyDescent="0.25">
      <c r="A53" s="11">
        <v>42005</v>
      </c>
      <c r="B53" s="7">
        <v>0.75069444444444444</v>
      </c>
      <c r="C53" s="7">
        <v>0.7583333333333333</v>
      </c>
      <c r="D53" s="7">
        <f>(0.758333333333333-0.750694444444444)</f>
        <v>7.6388888888889728E-3</v>
      </c>
      <c r="E53" s="7">
        <f>ABS(0.00763888888888897-0.00486111111111098)</f>
        <v>2.77777777777799E-3</v>
      </c>
      <c r="F53" s="1" t="s">
        <v>3</v>
      </c>
    </row>
    <row r="54" spans="1:6" x14ac:dyDescent="0.25">
      <c r="A54" s="11">
        <v>42005</v>
      </c>
      <c r="B54" s="7">
        <v>0.79027777777777775</v>
      </c>
      <c r="C54" s="7">
        <v>0.79513888888888884</v>
      </c>
      <c r="D54" s="7">
        <f>(0.795138888888889-0.790277777777778)</f>
        <v>4.8611111111109828E-3</v>
      </c>
      <c r="E54" s="7">
        <f>ABS(0.00486111111111098-0.0166666666666669)</f>
        <v>1.180555555555592E-2</v>
      </c>
      <c r="F54" s="1" t="s">
        <v>3</v>
      </c>
    </row>
    <row r="55" spans="1:6" x14ac:dyDescent="0.25">
      <c r="A55" s="11">
        <v>42005</v>
      </c>
      <c r="B55" s="7">
        <v>0.90069444444444446</v>
      </c>
      <c r="C55" s="7">
        <v>0.91736111111111107</v>
      </c>
      <c r="D55" s="7">
        <f>(0.917361111111111-0.900694444444444)</f>
        <v>1.6666666666666941E-2</v>
      </c>
      <c r="E55" s="7">
        <f>ABS(0.0166666666666669-0.0034722222222201)</f>
        <v>1.3194444444446798E-2</v>
      </c>
      <c r="F55" s="1" t="s">
        <v>3</v>
      </c>
    </row>
    <row r="56" spans="1:6" x14ac:dyDescent="0.25">
      <c r="A56" s="11">
        <v>42005</v>
      </c>
      <c r="B56" s="7">
        <v>1.0250000000000001</v>
      </c>
      <c r="C56" s="7">
        <v>1.0284722222222222</v>
      </c>
      <c r="D56" s="7">
        <f>(1.02847222222222-1.025)</f>
        <v>3.4722222222201005E-3</v>
      </c>
      <c r="E56" s="7">
        <f>ABS(0.0034722222222201-0.00347222222222229)</f>
        <v>2.190088388420719E-15</v>
      </c>
      <c r="F56" s="1" t="s">
        <v>3</v>
      </c>
    </row>
    <row r="57" spans="1:6" x14ac:dyDescent="0.25">
      <c r="A57" s="11">
        <v>42005</v>
      </c>
      <c r="B57" s="7">
        <v>6.3194444444444442E-2</v>
      </c>
      <c r="C57" s="7">
        <v>6.6666666666666666E-2</v>
      </c>
      <c r="D57" s="7">
        <f>(0.0666666666666667-0.0631944444444444)</f>
        <v>3.4722222222222932E-3</v>
      </c>
      <c r="E57" s="7">
        <f>ABS(0.00347222222222229-0.011805555555555)</f>
        <v>8.3333333333327105E-3</v>
      </c>
      <c r="F57" s="1" t="s">
        <v>3</v>
      </c>
    </row>
    <row r="58" spans="1:6" x14ac:dyDescent="0.25">
      <c r="A58" s="11">
        <v>42005</v>
      </c>
      <c r="B58" s="7">
        <v>0.46666666666666662</v>
      </c>
      <c r="C58" s="7">
        <v>0.47847222222222219</v>
      </c>
      <c r="D58" s="7">
        <f>(0.478472222222222-0.466666666666667)</f>
        <v>1.1805555555555014E-2</v>
      </c>
      <c r="E58" s="7">
        <f>ABS(0.011805555555555-0.00555555555555598)</f>
        <v>6.2499999999990202E-3</v>
      </c>
      <c r="F58" s="1" t="s">
        <v>3</v>
      </c>
    </row>
    <row r="59" spans="1:6" x14ac:dyDescent="0.25">
      <c r="A59" s="11">
        <v>42005</v>
      </c>
      <c r="B59" s="7">
        <v>0.61249999999999993</v>
      </c>
      <c r="C59" s="7">
        <v>0.61805555555555558</v>
      </c>
      <c r="D59" s="7">
        <f>(0.618055555555556-0.6125)</f>
        <v>5.5555555555559799E-3</v>
      </c>
      <c r="E59" s="7">
        <f>ABS(0.00555555555555598-0.00624999999999998)</f>
        <v>6.9444444444400049E-4</v>
      </c>
      <c r="F59" s="1" t="s">
        <v>3</v>
      </c>
    </row>
    <row r="60" spans="1:6" x14ac:dyDescent="0.25">
      <c r="A60" s="11">
        <v>42005</v>
      </c>
      <c r="B60" s="7">
        <v>0.625</v>
      </c>
      <c r="C60" s="7">
        <v>0.63124999999999998</v>
      </c>
      <c r="D60" s="7">
        <f>(0.63125-0.625)</f>
        <v>6.2499999999999778E-3</v>
      </c>
      <c r="E60" s="7">
        <f>ABS(0.00624999999999998-0.00486111111111098)</f>
        <v>1.3888888888890002E-3</v>
      </c>
      <c r="F60" s="1" t="s">
        <v>3</v>
      </c>
    </row>
    <row r="61" spans="1:6" x14ac:dyDescent="0.25">
      <c r="A61" s="11">
        <v>42005</v>
      </c>
      <c r="B61" s="7">
        <v>0.68333333333333324</v>
      </c>
      <c r="C61" s="7">
        <v>0.68819444444444444</v>
      </c>
      <c r="D61" s="7">
        <f>(0.688194444444444-0.683333333333333)</f>
        <v>4.8611111111109828E-3</v>
      </c>
      <c r="E61" s="7">
        <f>ABS(0.00486111111111098-0.00416666666666698)</f>
        <v>6.9444444444400049E-4</v>
      </c>
      <c r="F61" s="1" t="s">
        <v>3</v>
      </c>
    </row>
    <row r="62" spans="1:6" x14ac:dyDescent="0.25">
      <c r="A62" s="11">
        <v>42005</v>
      </c>
      <c r="B62" s="7">
        <v>0.74444444444444446</v>
      </c>
      <c r="C62" s="7">
        <v>0.74861111111111101</v>
      </c>
      <c r="D62" s="7">
        <f>(0.748611111111111-0.744444444444444)</f>
        <v>4.1666666666669849E-3</v>
      </c>
      <c r="E62" s="7">
        <f>ABS(0.00416666666666698-0.00833333333333297)</f>
        <v>4.1666666666659909E-3</v>
      </c>
      <c r="F62" s="1" t="s">
        <v>3</v>
      </c>
    </row>
    <row r="63" spans="1:6" x14ac:dyDescent="0.25">
      <c r="A63" s="11">
        <v>42005</v>
      </c>
      <c r="B63" s="7">
        <v>0.89236111111111116</v>
      </c>
      <c r="C63" s="7">
        <v>0.90069444444444446</v>
      </c>
      <c r="D63" s="7">
        <f>(0.900694444444444-0.892361111111111)</f>
        <v>8.3333333333329707E-3</v>
      </c>
      <c r="E63" s="7">
        <f>ABS(0.00833333333333297-0.00486111111111104)</f>
        <v>3.4722222222219306E-3</v>
      </c>
      <c r="F63" s="1" t="s">
        <v>3</v>
      </c>
    </row>
    <row r="64" spans="1:6" x14ac:dyDescent="0.25">
      <c r="A64" s="11">
        <v>42005</v>
      </c>
      <c r="B64" s="7">
        <v>0.34930555555555554</v>
      </c>
      <c r="C64" s="7">
        <v>0.35416666666666669</v>
      </c>
      <c r="D64" s="7">
        <f>(0.354166666666667-0.349305555555556)</f>
        <v>4.8611111111110383E-3</v>
      </c>
      <c r="E64" s="7">
        <f>ABS(0.00486111111111104-0.00347222222222199)</f>
        <v>1.3888888888890501E-3</v>
      </c>
      <c r="F64" s="1" t="s">
        <v>3</v>
      </c>
    </row>
    <row r="65" spans="1:6" x14ac:dyDescent="0.25">
      <c r="A65" s="11">
        <v>42005</v>
      </c>
      <c r="B65" s="7">
        <v>0.35902777777777778</v>
      </c>
      <c r="C65" s="7">
        <v>0.36249999999999999</v>
      </c>
      <c r="D65" s="7">
        <f>(0.3625-0.359027777777778)</f>
        <v>3.4722222222219878E-3</v>
      </c>
      <c r="E65" s="7">
        <f>ABS(0.00347222222222199-0.00972222222222197)</f>
        <v>6.2499999999999813E-3</v>
      </c>
      <c r="F65" s="1" t="s">
        <v>3</v>
      </c>
    </row>
    <row r="66" spans="1:6" x14ac:dyDescent="0.25">
      <c r="A66" s="11">
        <v>42005</v>
      </c>
      <c r="B66" s="7">
        <v>0.89861111111111114</v>
      </c>
      <c r="C66" s="7">
        <v>0.90833333333333333</v>
      </c>
      <c r="D66" s="7">
        <f>(0.908333333333333-0.898611111111111)</f>
        <v>9.7222222222219656E-3</v>
      </c>
      <c r="E66" s="7">
        <f>ABS(0.00972222222222197-0.00555555555555509)</f>
        <v>4.1666666666668808E-3</v>
      </c>
      <c r="F66" s="1" t="s">
        <v>3</v>
      </c>
    </row>
    <row r="67" spans="1:6" x14ac:dyDescent="0.25">
      <c r="A67" s="11">
        <v>42005</v>
      </c>
      <c r="B67" s="7">
        <v>0.79652777777777783</v>
      </c>
      <c r="C67" s="7">
        <v>0.80208333333333337</v>
      </c>
      <c r="D67" s="7">
        <f>(0.802083333333333-0.796527777777778)</f>
        <v>5.5555555555550917E-3</v>
      </c>
      <c r="E67" s="7">
        <f>ABS(0.00555555555555509-0.00763888888888897)</f>
        <v>2.0833333333338802E-3</v>
      </c>
      <c r="F67" s="1" t="s">
        <v>3</v>
      </c>
    </row>
    <row r="68" spans="1:6" x14ac:dyDescent="0.25">
      <c r="A68" s="11">
        <v>42005</v>
      </c>
      <c r="B68" s="7">
        <v>0.77013888888888893</v>
      </c>
      <c r="C68" s="7">
        <v>0.77777777777777779</v>
      </c>
      <c r="D68" s="7">
        <f>(0.777777777777778-0.770138888888889)</f>
        <v>7.6388888888889728E-3</v>
      </c>
      <c r="E68" s="7">
        <f>ABS(0.00763888888888897-0.010416666666667)</f>
        <v>2.777777777778029E-3</v>
      </c>
      <c r="F68" s="1" t="s">
        <v>3</v>
      </c>
    </row>
    <row r="69" spans="1:6" x14ac:dyDescent="0.25">
      <c r="A69" s="11">
        <v>42005</v>
      </c>
      <c r="B69" s="7">
        <v>0.65208333333333335</v>
      </c>
      <c r="C69" s="7">
        <v>0.66249999999999998</v>
      </c>
      <c r="D69" s="7">
        <f>(0.6625-0.652083333333333)</f>
        <v>1.0416666666666963E-2</v>
      </c>
      <c r="E69" s="7">
        <f>ABS(0.010416666666667-0.00625000000000009)</f>
        <v>4.1666666666669095E-3</v>
      </c>
      <c r="F69" s="1" t="s">
        <v>3</v>
      </c>
    </row>
    <row r="70" spans="1:6" x14ac:dyDescent="0.25">
      <c r="A70" s="11">
        <v>42005</v>
      </c>
      <c r="B70" s="7">
        <v>1.0277777777777779</v>
      </c>
      <c r="C70" s="7">
        <v>1.0340277777777778</v>
      </c>
      <c r="D70" s="7">
        <f>(1.03402777777778-1.02777777777778)</f>
        <v>6.2500000000000888E-3</v>
      </c>
      <c r="E70" s="7">
        <f>ABS(0.00625000000000009-0.00416666666666698)</f>
        <v>2.08333333333311E-3</v>
      </c>
      <c r="F70" s="1" t="s">
        <v>3</v>
      </c>
    </row>
    <row r="71" spans="1:6" x14ac:dyDescent="0.25">
      <c r="A71" s="11">
        <v>42005</v>
      </c>
      <c r="B71" s="7">
        <v>0.93888888888888899</v>
      </c>
      <c r="C71" s="7">
        <v>0.94305555555555554</v>
      </c>
      <c r="D71" s="7">
        <f>(0.943055555555556-0.938888888888889)</f>
        <v>4.1666666666669849E-3</v>
      </c>
      <c r="E71" s="7">
        <f>ABS(0.00416666666666698-0.0125)</f>
        <v>8.333333333333021E-3</v>
      </c>
      <c r="F71" s="1" t="s">
        <v>3</v>
      </c>
    </row>
    <row r="72" spans="1:6" x14ac:dyDescent="0.25">
      <c r="A72" s="11">
        <v>42005</v>
      </c>
      <c r="B72" s="7">
        <v>0.58402777777777781</v>
      </c>
      <c r="C72" s="7">
        <v>0.59652777777777777</v>
      </c>
      <c r="D72" s="7">
        <f>(0.596527777777778-0.584027777777778)</f>
        <v>1.2499999999999956E-2</v>
      </c>
      <c r="E72" s="7">
        <f>ABS(0.0125-0.0118055555555551)</f>
        <v>6.9444444444489994E-4</v>
      </c>
      <c r="F72" s="1" t="s">
        <v>3</v>
      </c>
    </row>
    <row r="73" spans="1:6" x14ac:dyDescent="0.25">
      <c r="A73" s="11">
        <v>42005</v>
      </c>
      <c r="B73" s="7">
        <v>0.53680555555555554</v>
      </c>
      <c r="C73" s="7">
        <v>0.54861111111111105</v>
      </c>
      <c r="D73" s="7">
        <f>(0.548611111111111-0.536805555555556)</f>
        <v>1.180555555555507E-2</v>
      </c>
      <c r="E73" s="7">
        <f>ABS(0.0118055555555551-0.00486111111111098)</f>
        <v>6.9444444444441205E-3</v>
      </c>
      <c r="F73" s="1" t="s">
        <v>3</v>
      </c>
    </row>
    <row r="74" spans="1:6" x14ac:dyDescent="0.25">
      <c r="A74" s="11">
        <v>42005</v>
      </c>
      <c r="B74" s="7">
        <v>0.52361111111111114</v>
      </c>
      <c r="C74" s="7">
        <v>0.52847222222222223</v>
      </c>
      <c r="D74" s="7">
        <f>(0.528472222222222-0.523611111111111)</f>
        <v>4.8611111111109828E-3</v>
      </c>
      <c r="E74" s="7">
        <f>ABS(0.00486111111111098-0.014583333333333)</f>
        <v>9.7222222222220211E-3</v>
      </c>
      <c r="F74" s="1" t="s">
        <v>3</v>
      </c>
    </row>
    <row r="75" spans="1:6" x14ac:dyDescent="0.25">
      <c r="A75" s="11">
        <v>42005</v>
      </c>
      <c r="B75" s="7">
        <v>0.31527777777777777</v>
      </c>
      <c r="C75" s="7">
        <v>0.3298611111111111</v>
      </c>
      <c r="D75" s="7">
        <f>(0.329861111111111-0.315277777777778)</f>
        <v>1.4583333333333004E-2</v>
      </c>
      <c r="E75" s="7">
        <f>ABS(0.014583333333333-0.006944444444444)</f>
        <v>7.6388888888890005E-3</v>
      </c>
      <c r="F75" s="1" t="s">
        <v>3</v>
      </c>
    </row>
    <row r="76" spans="1:6" x14ac:dyDescent="0.25">
      <c r="A76" s="11">
        <v>42005</v>
      </c>
      <c r="B76" s="7">
        <v>0.17430555555555557</v>
      </c>
      <c r="C76" s="7">
        <v>0.18124999999999999</v>
      </c>
      <c r="D76" s="7">
        <f>(0.18125-0.174305555555556)</f>
        <v>6.9444444444440034E-3</v>
      </c>
      <c r="E76" s="7">
        <f>ABS(0.006944444444444-0.00833333333333408)</f>
        <v>1.3888888888900792E-3</v>
      </c>
      <c r="F76" s="1" t="s">
        <v>3</v>
      </c>
    </row>
    <row r="77" spans="1:6" x14ac:dyDescent="0.25">
      <c r="A77" s="11">
        <v>42005</v>
      </c>
      <c r="B77" s="7">
        <v>0.79583333333333339</v>
      </c>
      <c r="C77" s="7">
        <v>0.8041666666666667</v>
      </c>
      <c r="D77" s="7">
        <f>(0.804166666666667-0.795833333333333)</f>
        <v>8.3333333333340809E-3</v>
      </c>
      <c r="E77" s="7">
        <f>ABS(0.00833333333333408-0.00486111111111098)</f>
        <v>3.4722222222230989E-3</v>
      </c>
      <c r="F77" s="1" t="s">
        <v>3</v>
      </c>
    </row>
    <row r="78" spans="1:6" x14ac:dyDescent="0.25">
      <c r="A78" s="11">
        <v>42005</v>
      </c>
      <c r="B78" s="7">
        <v>0.74375000000000002</v>
      </c>
      <c r="C78" s="7">
        <v>0.74861111111111101</v>
      </c>
      <c r="D78" s="7">
        <f>(0.748611111111111-0.74375)</f>
        <v>4.8611111111109828E-3</v>
      </c>
      <c r="E78" s="7">
        <f>ABS(0.00486111111111098-0.016666666666667)</f>
        <v>1.180555555555602E-2</v>
      </c>
      <c r="F78" s="1" t="s">
        <v>3</v>
      </c>
    </row>
    <row r="79" spans="1:6" x14ac:dyDescent="0.25">
      <c r="A79" s="11">
        <v>42005</v>
      </c>
      <c r="B79" s="7">
        <v>0.3833333333333333</v>
      </c>
      <c r="C79" s="7">
        <v>0.39999999999999997</v>
      </c>
      <c r="D79" s="7">
        <f>(0.4-0.383333333333333)</f>
        <v>1.6666666666666996E-2</v>
      </c>
      <c r="E79" s="7">
        <f>ABS(0.016666666666667-0)</f>
        <v>1.6666666666667E-2</v>
      </c>
      <c r="F79" s="1" t="s">
        <v>3</v>
      </c>
    </row>
    <row r="80" spans="1:6" x14ac:dyDescent="0.25">
      <c r="A80" s="11">
        <v>42005</v>
      </c>
      <c r="B80" s="7">
        <v>0.33333333333333331</v>
      </c>
      <c r="C80" s="7">
        <v>0.33333333333333331</v>
      </c>
      <c r="D80" s="7">
        <f>(0.333333333333333-0.333333333333333)</f>
        <v>0</v>
      </c>
      <c r="E80" s="7">
        <f>ABS(0-0.021527777777778)</f>
        <v>2.1527777777778E-2</v>
      </c>
      <c r="F80" s="1" t="s">
        <v>3</v>
      </c>
    </row>
    <row r="81" spans="1:6" x14ac:dyDescent="0.25">
      <c r="A81" s="11">
        <v>42005</v>
      </c>
      <c r="B81" s="7">
        <v>0.26458333333333334</v>
      </c>
      <c r="C81" s="7">
        <v>0.28611111111111115</v>
      </c>
      <c r="D81" s="7">
        <f>(0.286111111111111-0.264583333333333)</f>
        <v>2.1527777777777979E-2</v>
      </c>
      <c r="E81" s="7">
        <f>ABS(0.021527777777778-0.00486111111111101)</f>
        <v>1.6666666666666989E-2</v>
      </c>
      <c r="F81" s="1" t="s">
        <v>3</v>
      </c>
    </row>
    <row r="82" spans="1:6" x14ac:dyDescent="0.25">
      <c r="A82" s="11">
        <v>42005</v>
      </c>
      <c r="B82" s="7">
        <v>0.24374999999999999</v>
      </c>
      <c r="C82" s="7">
        <v>0.24861111111111112</v>
      </c>
      <c r="D82" s="7">
        <f>(0.248611111111111-0.24375)</f>
        <v>4.8611111111110106E-3</v>
      </c>
      <c r="E82" s="7">
        <f>ABS(0.00486111111111101-0.00347222222222299)</f>
        <v>1.3888888888880196E-3</v>
      </c>
      <c r="F82" s="1" t="s">
        <v>3</v>
      </c>
    </row>
    <row r="83" spans="1:6" x14ac:dyDescent="0.25">
      <c r="A83" s="11">
        <v>42005</v>
      </c>
      <c r="B83" s="7">
        <v>0.23333333333333331</v>
      </c>
      <c r="C83" s="7">
        <v>0.23680555555555557</v>
      </c>
      <c r="D83" s="7">
        <f>(0.236805555555556-0.233333333333333)</f>
        <v>3.472222222222987E-3</v>
      </c>
      <c r="E83" s="7">
        <f>ABS(0.00347222222222299-0.00486111111111101)</f>
        <v>1.3888888888880196E-3</v>
      </c>
      <c r="F83" s="1" t="s">
        <v>3</v>
      </c>
    </row>
    <row r="84" spans="1:6" x14ac:dyDescent="0.25">
      <c r="A84" s="11">
        <v>42005</v>
      </c>
      <c r="B84" s="7">
        <v>0.19652777777777777</v>
      </c>
      <c r="C84" s="7">
        <v>0.20138888888888887</v>
      </c>
      <c r="D84" s="7">
        <f>(0.201388888888889-0.196527777777778)</f>
        <v>4.8611111111110106E-3</v>
      </c>
      <c r="E84" s="7">
        <f>ABS(0.00486111111111101-0.00486111111111201)</f>
        <v>1.0000680839006293E-15</v>
      </c>
      <c r="F84" s="1" t="s">
        <v>3</v>
      </c>
    </row>
    <row r="85" spans="1:6" x14ac:dyDescent="0.25">
      <c r="A85" s="11">
        <v>42005</v>
      </c>
      <c r="B85" s="7">
        <v>0.15694444444444444</v>
      </c>
      <c r="C85" s="7">
        <v>0.16180555555555556</v>
      </c>
      <c r="D85" s="7">
        <f>(0.161805555555556-0.156944444444444)</f>
        <v>4.8611111111120098E-3</v>
      </c>
      <c r="E85" s="7">
        <f>ABS(0.00486111111111201-0.0124999999999991)</f>
        <v>7.6388888888870906E-3</v>
      </c>
      <c r="F85" s="1" t="s">
        <v>3</v>
      </c>
    </row>
    <row r="86" spans="1:6" x14ac:dyDescent="0.25">
      <c r="A86" s="11">
        <v>42005</v>
      </c>
      <c r="B86" s="7">
        <v>0.91319444444444453</v>
      </c>
      <c r="C86" s="7">
        <v>0.92569444444444438</v>
      </c>
      <c r="D86" s="7">
        <f>(0.925694444444444-0.913194444444445)</f>
        <v>1.2499999999999067E-2</v>
      </c>
      <c r="E86" s="7">
        <f>ABS(0.0124999999999991-0.00624999999999998)</f>
        <v>6.24999999999912E-3</v>
      </c>
      <c r="F86" s="1" t="s">
        <v>3</v>
      </c>
    </row>
    <row r="87" spans="1:6" x14ac:dyDescent="0.25">
      <c r="A87" s="11">
        <v>42005</v>
      </c>
      <c r="B87" s="7">
        <v>0.89444444444444438</v>
      </c>
      <c r="C87" s="7">
        <v>0.90069444444444446</v>
      </c>
      <c r="D87" s="7">
        <f>(0.900694444444444-0.894444444444444)</f>
        <v>6.2499999999999778E-3</v>
      </c>
      <c r="E87" s="7">
        <f>ABS(0.00624999999999998-0.00833333333333297)</f>
        <v>2.0833333333329903E-3</v>
      </c>
      <c r="F87" s="1" t="s">
        <v>3</v>
      </c>
    </row>
    <row r="88" spans="1:6" x14ac:dyDescent="0.25">
      <c r="A88" s="11">
        <v>42005</v>
      </c>
      <c r="B88" s="7">
        <v>0.74791666666666667</v>
      </c>
      <c r="C88" s="7">
        <v>0.75624999999999998</v>
      </c>
      <c r="D88" s="7">
        <f>(0.75625-0.747916666666667)</f>
        <v>8.3333333333329707E-3</v>
      </c>
      <c r="E88" s="7">
        <f>ABS(0.00833333333333297-0.01875)</f>
        <v>1.0416666666667029E-2</v>
      </c>
      <c r="F88" s="1" t="s">
        <v>3</v>
      </c>
    </row>
    <row r="89" spans="1:6" x14ac:dyDescent="0.25">
      <c r="A89" s="11">
        <v>42005</v>
      </c>
      <c r="B89" s="7">
        <v>0.66111111111111109</v>
      </c>
      <c r="C89" s="7">
        <v>0.67986111111111114</v>
      </c>
      <c r="D89" s="7">
        <f>(0.679861111111111-0.661111111111111)</f>
        <v>1.8750000000000044E-2</v>
      </c>
      <c r="E89" s="7">
        <f>ABS(0.01875-0.0111111111111111)</f>
        <v>7.6388888888888999E-3</v>
      </c>
      <c r="F89" s="1" t="s">
        <v>3</v>
      </c>
    </row>
    <row r="90" spans="1:6" x14ac:dyDescent="0.25">
      <c r="A90" s="11">
        <v>42005</v>
      </c>
      <c r="B90" s="7">
        <v>0.63541666666666663</v>
      </c>
      <c r="C90" s="7">
        <v>0.64652777777777781</v>
      </c>
      <c r="D90" s="7">
        <f>(0.646527777777778-0.635416666666667)</f>
        <v>1.1111111111111072E-2</v>
      </c>
      <c r="E90" s="7">
        <f>ABS(0.0111111111111111-0.0125)</f>
        <v>1.3888888888889013E-3</v>
      </c>
      <c r="F90" s="1" t="s">
        <v>3</v>
      </c>
    </row>
    <row r="91" spans="1:6" x14ac:dyDescent="0.25">
      <c r="A91" s="11">
        <v>42005</v>
      </c>
      <c r="B91" s="7">
        <v>0.61249999999999993</v>
      </c>
      <c r="C91" s="7">
        <v>0.625</v>
      </c>
      <c r="D91" s="7">
        <f>(0.625-0.6125)</f>
        <v>1.2499999999999956E-2</v>
      </c>
      <c r="E91" s="7">
        <f>ABS(0.0125-0.014583333333334)</f>
        <v>2.083333333333999E-3</v>
      </c>
      <c r="F91" s="1" t="s">
        <v>3</v>
      </c>
    </row>
    <row r="92" spans="1:6" x14ac:dyDescent="0.25">
      <c r="A92" s="11">
        <v>42005</v>
      </c>
      <c r="B92" s="7">
        <v>0.47569444444444442</v>
      </c>
      <c r="C92" s="7">
        <v>0.49027777777777781</v>
      </c>
      <c r="D92" s="7">
        <f>(0.490277777777778-0.475694444444444)</f>
        <v>1.4583333333334003E-2</v>
      </c>
      <c r="E92" s="7">
        <f>ABS(0.014583333333334-0.00902777777777797)</f>
        <v>5.5555555555560302E-3</v>
      </c>
      <c r="F92" s="1" t="s">
        <v>3</v>
      </c>
    </row>
    <row r="93" spans="1:6" x14ac:dyDescent="0.25">
      <c r="A93" s="11">
        <v>42005</v>
      </c>
      <c r="B93" s="7">
        <v>0.38750000000000001</v>
      </c>
      <c r="C93" s="7">
        <v>0.39652777777777781</v>
      </c>
      <c r="D93" s="7">
        <f>(0.396527777777778-0.3875)</f>
        <v>9.0277777777779677E-3</v>
      </c>
      <c r="E93" s="7">
        <f>ABS(0.00902777777777797-0.00902777777777697)</f>
        <v>9.9920072216264089E-16</v>
      </c>
      <c r="F93" s="1" t="s">
        <v>3</v>
      </c>
    </row>
    <row r="94" spans="1:6" x14ac:dyDescent="0.25">
      <c r="A94" s="11">
        <v>42005</v>
      </c>
      <c r="B94" s="7">
        <v>0.87916666666666676</v>
      </c>
      <c r="C94" s="7">
        <v>0.8881944444444444</v>
      </c>
      <c r="D94" s="7">
        <f>(0.888194444444444-0.879166666666667)</f>
        <v>9.0277777777769685E-3</v>
      </c>
      <c r="E94" s="7">
        <f>ABS(0.00902777777777697-0.00486111111111098)</f>
        <v>4.1666666666659901E-3</v>
      </c>
      <c r="F94" s="1" t="s">
        <v>3</v>
      </c>
    </row>
    <row r="95" spans="1:6" x14ac:dyDescent="0.25">
      <c r="A95" s="11">
        <v>42005</v>
      </c>
      <c r="B95" s="7">
        <v>0.83611111111111114</v>
      </c>
      <c r="C95" s="7">
        <v>0.84097222222222223</v>
      </c>
      <c r="D95" s="7">
        <f>(0.840972222222222-0.836111111111111)</f>
        <v>4.8611111111109828E-3</v>
      </c>
      <c r="E95" s="7">
        <f>ABS(0.00486111111111098-0.0249999999999999)</f>
        <v>2.0138888888888921E-2</v>
      </c>
      <c r="F95" s="1" t="s">
        <v>3</v>
      </c>
    </row>
    <row r="96" spans="1:6" x14ac:dyDescent="0.25">
      <c r="A96" s="11">
        <v>42005</v>
      </c>
      <c r="B96" s="7">
        <v>0.70486111111111116</v>
      </c>
      <c r="C96" s="7">
        <v>0.72986111111111107</v>
      </c>
      <c r="D96" s="7">
        <f>(0.729861111111111-0.704861111111111)</f>
        <v>2.4999999999999911E-2</v>
      </c>
      <c r="E96" s="7">
        <f>ABS(0.0249999999999999-0.00486111111111098)</f>
        <v>2.0138888888888921E-2</v>
      </c>
      <c r="F96" s="1" t="s">
        <v>3</v>
      </c>
    </row>
    <row r="97" spans="1:6" x14ac:dyDescent="0.25">
      <c r="A97" s="11">
        <v>42005</v>
      </c>
      <c r="B97" s="7">
        <v>0.71388888888888891</v>
      </c>
      <c r="C97" s="7">
        <v>0.71875</v>
      </c>
      <c r="D97" s="7">
        <f>(0.71875-0.713888888888889)</f>
        <v>4.8611111111109828E-3</v>
      </c>
      <c r="E97" s="7">
        <f>ABS(0.00486111111111098-0.011805555555555)</f>
        <v>6.9444444444440199E-3</v>
      </c>
      <c r="F97" s="1" t="s">
        <v>3</v>
      </c>
    </row>
    <row r="98" spans="1:6" x14ac:dyDescent="0.25">
      <c r="A98" s="11">
        <v>42005</v>
      </c>
      <c r="B98" s="7">
        <v>0.68680555555555556</v>
      </c>
      <c r="C98" s="7">
        <v>0.69861111111111107</v>
      </c>
      <c r="D98" s="7">
        <f>(0.698611111111111-0.686805555555556)</f>
        <v>1.1805555555554959E-2</v>
      </c>
      <c r="E98" s="7">
        <f>ABS(0.011805555555555-0.00972222222222197)</f>
        <v>2.0833333333330293E-3</v>
      </c>
      <c r="F98" s="1" t="s">
        <v>3</v>
      </c>
    </row>
    <row r="99" spans="1:6" x14ac:dyDescent="0.25">
      <c r="A99" s="11">
        <v>42005</v>
      </c>
      <c r="B99" s="7">
        <v>0.68541666666666667</v>
      </c>
      <c r="C99" s="7">
        <v>0.69513888888888886</v>
      </c>
      <c r="D99" s="7">
        <f>(0.695138888888889-0.685416666666667)</f>
        <v>9.7222222222219656E-3</v>
      </c>
      <c r="E99" s="7">
        <f>ABS(0.00972222222222197-0.011805555555555)</f>
        <v>2.0833333333330293E-3</v>
      </c>
      <c r="F99" s="1" t="s">
        <v>3</v>
      </c>
    </row>
    <row r="100" spans="1:6" x14ac:dyDescent="0.25">
      <c r="A100" s="11">
        <v>42005</v>
      </c>
      <c r="B100" s="7">
        <v>0.5805555555555556</v>
      </c>
      <c r="C100" s="7">
        <v>0.59236111111111112</v>
      </c>
      <c r="D100" s="7">
        <f>(0.592361111111111-0.580555555555556)</f>
        <v>1.1805555555554959E-2</v>
      </c>
      <c r="E100" s="7">
        <f>ABS(0.011805555555555-0.00763888888888903)</f>
        <v>4.1666666666659701E-3</v>
      </c>
      <c r="F100" s="1" t="s">
        <v>3</v>
      </c>
    </row>
    <row r="101" spans="1:6" x14ac:dyDescent="0.25">
      <c r="A101" s="11">
        <v>42005</v>
      </c>
      <c r="B101" s="7">
        <v>0.42222222222222222</v>
      </c>
      <c r="C101" s="7">
        <v>0.42986111111111108</v>
      </c>
      <c r="D101" s="7">
        <f>(0.429861111111111-0.422222222222222)</f>
        <v>7.6388888888890283E-3</v>
      </c>
      <c r="E101" s="7">
        <f>ABS(0.00763888888888903-0.00347222222222204)</f>
        <v>4.1666666666669901E-3</v>
      </c>
      <c r="F101" s="1" t="s">
        <v>3</v>
      </c>
    </row>
    <row r="102" spans="1:6" x14ac:dyDescent="0.25">
      <c r="A102" s="11">
        <v>42005</v>
      </c>
      <c r="B102" s="7">
        <v>0.3972222222222222</v>
      </c>
      <c r="C102" s="7">
        <v>0.40069444444444446</v>
      </c>
      <c r="D102" s="7">
        <f>(0.400694444444444-0.397222222222222)</f>
        <v>3.4722222222220434E-3</v>
      </c>
      <c r="E102" s="7">
        <f>ABS(0.00347222222222204-0.00416666666666698)</f>
        <v>6.9444444444493984E-4</v>
      </c>
      <c r="F102" s="1" t="s">
        <v>3</v>
      </c>
    </row>
    <row r="103" spans="1:6" x14ac:dyDescent="0.25">
      <c r="A103" s="11">
        <v>42005</v>
      </c>
      <c r="B103" s="7">
        <v>0.28194444444444444</v>
      </c>
      <c r="C103" s="7">
        <v>0.28611111111111115</v>
      </c>
      <c r="D103" s="7">
        <f>(0.286111111111111-0.281944444444444)</f>
        <v>4.1666666666669849E-3</v>
      </c>
      <c r="E103" s="7">
        <f>ABS(0.00416666666666698-0.00833333333333297)</f>
        <v>4.1666666666659909E-3</v>
      </c>
      <c r="F103" s="1" t="s">
        <v>3</v>
      </c>
    </row>
    <row r="104" spans="1:6" x14ac:dyDescent="0.25">
      <c r="A104" s="11">
        <v>42005</v>
      </c>
      <c r="B104" s="7">
        <v>0.90416666666666667</v>
      </c>
      <c r="C104" s="7">
        <v>0.91249999999999998</v>
      </c>
      <c r="D104" s="7">
        <f>(0.9125-0.904166666666667)</f>
        <v>8.3333333333329707E-3</v>
      </c>
      <c r="E104" s="7">
        <f>ABS(0.00833333333333297-0.00624999999999998)</f>
        <v>2.0833333333329903E-3</v>
      </c>
      <c r="F104" s="1" t="s">
        <v>3</v>
      </c>
    </row>
    <row r="105" spans="1:6" x14ac:dyDescent="0.25">
      <c r="A105" s="11">
        <v>42005</v>
      </c>
      <c r="B105" s="7">
        <v>0.8833333333333333</v>
      </c>
      <c r="C105" s="7">
        <v>0.88958333333333339</v>
      </c>
      <c r="D105" s="7">
        <f>(0.889583333333333-0.883333333333333)</f>
        <v>6.2499999999999778E-3</v>
      </c>
      <c r="E105" s="7">
        <f>ABS(0.00624999999999998-0.00486111111111098)</f>
        <v>1.3888888888890002E-3</v>
      </c>
      <c r="F105" s="1" t="s">
        <v>3</v>
      </c>
    </row>
    <row r="106" spans="1:6" x14ac:dyDescent="0.25">
      <c r="A106" s="11">
        <v>42005</v>
      </c>
      <c r="B106" s="7">
        <v>0.8666666666666667</v>
      </c>
      <c r="C106" s="7">
        <v>0.87152777777777779</v>
      </c>
      <c r="D106" s="7">
        <f>(0.871527777777778-0.866666666666667)</f>
        <v>4.8611111111109828E-3</v>
      </c>
      <c r="E106" s="7">
        <f>ABS(0.00486111111111098-0.00694444444444398)</f>
        <v>2.0833333333329998E-3</v>
      </c>
      <c r="F106" s="1" t="s">
        <v>3</v>
      </c>
    </row>
    <row r="107" spans="1:6" x14ac:dyDescent="0.25">
      <c r="A107" s="11">
        <v>42005</v>
      </c>
      <c r="B107" s="7">
        <v>0.72013888888888899</v>
      </c>
      <c r="C107" s="7">
        <v>0.7270833333333333</v>
      </c>
      <c r="D107" s="7">
        <f>(0.727083333333333-0.720138888888889)</f>
        <v>6.9444444444439757E-3</v>
      </c>
      <c r="E107" s="7">
        <f>ABS(0.00694444444444398-0.0111111111111111)</f>
        <v>4.1666666666671194E-3</v>
      </c>
      <c r="F107" s="1" t="s">
        <v>3</v>
      </c>
    </row>
    <row r="108" spans="1:6" x14ac:dyDescent="0.25">
      <c r="A108" s="11">
        <v>42005</v>
      </c>
      <c r="B108" s="7">
        <v>0.63611111111111118</v>
      </c>
      <c r="C108" s="7">
        <v>0.64722222222222225</v>
      </c>
      <c r="D108" s="7">
        <f>(0.647222222222222-0.636111111111111)</f>
        <v>1.1111111111111072E-2</v>
      </c>
      <c r="E108" s="7">
        <f>ABS(0.0111111111111111-0.025694444444444)</f>
        <v>1.45833333333329E-2</v>
      </c>
      <c r="F108" s="1" t="s">
        <v>3</v>
      </c>
    </row>
    <row r="109" spans="1:6" x14ac:dyDescent="0.25">
      <c r="A109" s="11">
        <v>42005</v>
      </c>
      <c r="B109" s="7">
        <v>0.62152777777777779</v>
      </c>
      <c r="C109" s="7">
        <v>0.64722222222222225</v>
      </c>
      <c r="D109" s="7">
        <f>(0.647222222222222-0.621527777777778)</f>
        <v>2.569444444444402E-2</v>
      </c>
      <c r="E109" s="7">
        <f>ABS(0.025694444444444-0.00486111111111098)</f>
        <v>2.083333333333302E-2</v>
      </c>
      <c r="F109" s="1" t="s">
        <v>3</v>
      </c>
    </row>
    <row r="110" spans="1:6" x14ac:dyDescent="0.25">
      <c r="A110" s="11">
        <v>42005</v>
      </c>
      <c r="B110" s="7">
        <v>0.61041666666666672</v>
      </c>
      <c r="C110" s="7">
        <v>0.61527777777777781</v>
      </c>
      <c r="D110" s="7">
        <f>(0.615277777777778-0.610416666666667)</f>
        <v>4.8611111111109828E-3</v>
      </c>
      <c r="E110" s="7">
        <f>ABS(0.00486111111111098-0.0111111111111111)</f>
        <v>6.2500000000001192E-3</v>
      </c>
      <c r="F110" s="1" t="s">
        <v>3</v>
      </c>
    </row>
    <row r="111" spans="1:6" x14ac:dyDescent="0.25">
      <c r="A111" s="11">
        <v>42005</v>
      </c>
      <c r="B111" s="7">
        <v>0.53749999999999998</v>
      </c>
      <c r="C111" s="7">
        <v>0.54861111111111105</v>
      </c>
      <c r="D111" s="7">
        <f>(0.548611111111111-0.5375)</f>
        <v>1.1111111111111072E-2</v>
      </c>
      <c r="E111" s="7">
        <f>ABS(0.0111111111111111-0.00763888888888897)</f>
        <v>3.4722222222221292E-3</v>
      </c>
      <c r="F111" s="1" t="s">
        <v>3</v>
      </c>
    </row>
    <row r="112" spans="1:6" x14ac:dyDescent="0.25">
      <c r="A112" s="11">
        <v>42005</v>
      </c>
      <c r="B112" s="7">
        <v>0.51666666666666672</v>
      </c>
      <c r="C112" s="7">
        <v>0.52430555555555558</v>
      </c>
      <c r="D112" s="7">
        <f>(0.524305555555556-0.516666666666667)</f>
        <v>7.6388888888889728E-3</v>
      </c>
      <c r="E112" s="7">
        <f>ABS(0.00763888888888897-0.042361111111111)</f>
        <v>3.4722222222222029E-2</v>
      </c>
      <c r="F112" s="1" t="s">
        <v>3</v>
      </c>
    </row>
    <row r="113" spans="1:6" x14ac:dyDescent="0.25">
      <c r="A113" s="11">
        <v>42005</v>
      </c>
      <c r="B113" s="7">
        <v>0.31388888888888888</v>
      </c>
      <c r="C113" s="7">
        <v>0.35625000000000001</v>
      </c>
      <c r="D113" s="7">
        <f>(0.35625-0.313888888888889)</f>
        <v>4.2361111111111016E-2</v>
      </c>
      <c r="E113" s="7">
        <f>ABS(0.042361111111111-0.0131944444444398)</f>
        <v>2.9166666666671202E-2</v>
      </c>
      <c r="F113" s="1" t="s">
        <v>3</v>
      </c>
    </row>
    <row r="114" spans="1:6" x14ac:dyDescent="0.25">
      <c r="A114" s="11">
        <v>42005</v>
      </c>
      <c r="B114" s="7">
        <v>1.0090277777777776</v>
      </c>
      <c r="C114" s="7">
        <v>1.0222222222222224</v>
      </c>
      <c r="D114" s="7">
        <f>(1.02222222222222-1.00902777777778)</f>
        <v>1.3194444444439846E-2</v>
      </c>
      <c r="E114" s="7">
        <f>ABS(0.0131944444444398-0.00347222222222199)</f>
        <v>9.722222222217811E-3</v>
      </c>
      <c r="F114" s="1" t="s">
        <v>3</v>
      </c>
    </row>
    <row r="115" spans="1:6" x14ac:dyDescent="0.25">
      <c r="A115" s="11">
        <v>42005</v>
      </c>
      <c r="B115" s="7">
        <v>0.92499999999999993</v>
      </c>
      <c r="C115" s="7">
        <v>0.92847222222222225</v>
      </c>
      <c r="D115" s="7">
        <f>(0.928472222222222-0.925)</f>
        <v>3.4722222222219878E-3</v>
      </c>
      <c r="E115" s="7">
        <f>ABS(0.00347222222222199-0.00416666666666698)</f>
        <v>6.9444444444498972E-4</v>
      </c>
      <c r="F115" s="1" t="s">
        <v>3</v>
      </c>
    </row>
    <row r="116" spans="1:6" x14ac:dyDescent="0.25">
      <c r="A116" s="11">
        <v>42005</v>
      </c>
      <c r="B116" s="7">
        <v>0.86944444444444446</v>
      </c>
      <c r="C116" s="7">
        <v>0.87361111111111101</v>
      </c>
      <c r="D116" s="7">
        <f>(0.873611111111111-0.869444444444444)</f>
        <v>4.1666666666669849E-3</v>
      </c>
      <c r="E116" s="7">
        <f>ABS(0.00416666666666698-0.00694444444444497)</f>
        <v>2.77777777777799E-3</v>
      </c>
      <c r="F116" s="1" t="s">
        <v>3</v>
      </c>
    </row>
    <row r="117" spans="1:6" x14ac:dyDescent="0.25">
      <c r="A117" s="11">
        <v>42005</v>
      </c>
      <c r="B117" s="7">
        <v>0.76944444444444438</v>
      </c>
      <c r="C117" s="7">
        <v>0.77638888888888891</v>
      </c>
      <c r="D117" s="7">
        <f>(0.776388888888889-0.769444444444444)</f>
        <v>6.9444444444449749E-3</v>
      </c>
      <c r="E117" s="7">
        <f>ABS(0.00694444444444497-0.00694444444444403)</f>
        <v>9.3935276224144104E-16</v>
      </c>
      <c r="F117" s="1" t="s">
        <v>3</v>
      </c>
    </row>
    <row r="118" spans="1:6" x14ac:dyDescent="0.25">
      <c r="A118" s="11">
        <v>42005</v>
      </c>
      <c r="B118" s="7">
        <v>0.4291666666666667</v>
      </c>
      <c r="C118" s="7">
        <v>0.43611111111111112</v>
      </c>
      <c r="D118" s="7">
        <f>(0.436111111111111-0.429166666666667)</f>
        <v>6.9444444444440312E-3</v>
      </c>
      <c r="E118" s="7">
        <f>ABS(0.00694444444444403-0.00624999999999898)</f>
        <v>6.9444444444505E-4</v>
      </c>
      <c r="F118" s="1" t="s">
        <v>3</v>
      </c>
    </row>
    <row r="119" spans="1:6" x14ac:dyDescent="0.25">
      <c r="A119" s="11">
        <v>42005</v>
      </c>
      <c r="B119" s="7">
        <v>0.4069444444444445</v>
      </c>
      <c r="C119" s="7">
        <v>0.41319444444444442</v>
      </c>
      <c r="D119" s="7">
        <f>(0.413194444444444-0.406944444444445)</f>
        <v>6.2499999999989786E-3</v>
      </c>
      <c r="E119" s="7">
        <f>ABS(0.00624999999999898-0.00347222222222199)</f>
        <v>2.7777777777769903E-3</v>
      </c>
      <c r="F119" s="1" t="s">
        <v>3</v>
      </c>
    </row>
    <row r="120" spans="1:6" x14ac:dyDescent="0.25">
      <c r="A120" s="11">
        <v>42005</v>
      </c>
      <c r="B120" s="7">
        <v>0.21875</v>
      </c>
      <c r="C120" s="7">
        <v>0.22222222222222221</v>
      </c>
      <c r="D120" s="7">
        <f>(0.222222222222222-0.21875)</f>
        <v>3.4722222222219878E-3</v>
      </c>
      <c r="E120" s="7">
        <f>ABS(0.00347222222222199-0.00972222222222199)</f>
        <v>6.2500000000000003E-3</v>
      </c>
      <c r="F120" s="1" t="s">
        <v>3</v>
      </c>
    </row>
    <row r="121" spans="1:6" x14ac:dyDescent="0.25">
      <c r="A121" s="11">
        <v>42005</v>
      </c>
      <c r="B121" s="7">
        <v>0.15277777777777776</v>
      </c>
      <c r="C121" s="7">
        <v>0.16250000000000001</v>
      </c>
      <c r="D121" s="7">
        <f>(0.1625-0.152777777777778)</f>
        <v>9.7222222222219934E-3</v>
      </c>
      <c r="E121" s="7">
        <f>ABS(0.00972222222222199-0.00347222222222229)</f>
        <v>6.2499999999997002E-3</v>
      </c>
      <c r="F121" s="1" t="s">
        <v>3</v>
      </c>
    </row>
    <row r="122" spans="1:6" x14ac:dyDescent="0.25">
      <c r="A122" s="11">
        <v>42005</v>
      </c>
      <c r="B122" s="7">
        <v>6.9444444444444434E-2</v>
      </c>
      <c r="C122" s="7">
        <v>7.2916666666666671E-2</v>
      </c>
      <c r="D122" s="7">
        <f>(0.0729166666666667-0.0694444444444444)</f>
        <v>3.4722222222222932E-3</v>
      </c>
      <c r="E122" s="7">
        <f>ABS(0.00347222222222229-0.00555555555555549)</f>
        <v>2.0833333333331997E-3</v>
      </c>
      <c r="F122" s="1" t="s">
        <v>3</v>
      </c>
    </row>
    <row r="123" spans="1:6" x14ac:dyDescent="0.25">
      <c r="A123" s="11">
        <v>42005</v>
      </c>
      <c r="B123" s="7">
        <v>6.0416666666666667E-2</v>
      </c>
      <c r="C123" s="7">
        <v>6.5972222222222224E-2</v>
      </c>
      <c r="D123" s="7">
        <f>(0.0659722222222222-0.0604166666666667)</f>
        <v>5.5555555555554942E-3</v>
      </c>
      <c r="E123" s="7">
        <f>ABS(0.00555555555555549-0.00625000000000009)</f>
        <v>6.9444444444459984E-4</v>
      </c>
      <c r="F123" s="1" t="s">
        <v>3</v>
      </c>
    </row>
    <row r="124" spans="1:6" x14ac:dyDescent="0.25">
      <c r="A124" s="11">
        <v>42005</v>
      </c>
      <c r="B124" s="7">
        <v>0.7319444444444444</v>
      </c>
      <c r="C124" s="7">
        <v>0.73819444444444438</v>
      </c>
      <c r="D124" s="7">
        <f>(0.738194444444444-0.731944444444444)</f>
        <v>6.2500000000000888E-3</v>
      </c>
      <c r="E124" s="7">
        <f>ABS(0.00625000000000009-0.0145833333333331)</f>
        <v>8.3333333333330088E-3</v>
      </c>
      <c r="F124" s="1" t="s">
        <v>3</v>
      </c>
    </row>
    <row r="125" spans="1:6" x14ac:dyDescent="0.25">
      <c r="A125" s="11">
        <v>42005</v>
      </c>
      <c r="B125" s="7">
        <v>0.78749999999999998</v>
      </c>
      <c r="C125" s="7">
        <v>0.80208333333333337</v>
      </c>
      <c r="D125" s="7">
        <f>(0.802083333333333-0.7875)</f>
        <v>1.4583333333333059E-2</v>
      </c>
      <c r="E125" s="7">
        <f>ABS(0.0145833333333331-0.019444444444444)</f>
        <v>4.8611111111109013E-3</v>
      </c>
      <c r="F125" s="1" t="s">
        <v>3</v>
      </c>
    </row>
    <row r="126" spans="1:6" x14ac:dyDescent="0.25">
      <c r="A126" s="11">
        <v>42005</v>
      </c>
      <c r="B126" s="7">
        <v>0.72361111111111109</v>
      </c>
      <c r="C126" s="7">
        <v>0.74305555555555547</v>
      </c>
      <c r="D126" s="7">
        <f>(0.743055555555555-0.723611111111111)</f>
        <v>1.9444444444444042E-2</v>
      </c>
      <c r="E126" s="7">
        <f>ABS(0.019444444444444-0.00902777777777697)</f>
        <v>1.041666666666703E-2</v>
      </c>
      <c r="F126" s="1" t="s">
        <v>3</v>
      </c>
    </row>
    <row r="127" spans="1:6" x14ac:dyDescent="0.25">
      <c r="A127" s="11">
        <v>42005</v>
      </c>
      <c r="B127" s="7">
        <v>0.62916666666666665</v>
      </c>
      <c r="C127" s="7">
        <v>0.6381944444444444</v>
      </c>
      <c r="D127" s="7">
        <f>(0.638194444444444-0.629166666666667)</f>
        <v>9.0277777777769685E-3</v>
      </c>
      <c r="E127" s="7">
        <f>ABS(0.00902777777777697-0.00763888888888797)</f>
        <v>1.3888888888890002E-3</v>
      </c>
      <c r="F127" s="1" t="s">
        <v>3</v>
      </c>
    </row>
    <row r="128" spans="1:6" x14ac:dyDescent="0.25">
      <c r="A128" s="11">
        <v>42005</v>
      </c>
      <c r="B128" s="7">
        <v>0.62430555555555556</v>
      </c>
      <c r="C128" s="7">
        <v>0.63194444444444442</v>
      </c>
      <c r="D128" s="7">
        <f>(0.631944444444444-0.624305555555556)</f>
        <v>7.6388888888879736E-3</v>
      </c>
      <c r="E128" s="7">
        <f>ABS(0.00763888888888797-0.00763888888888897)</f>
        <v>1.0000680839006293E-15</v>
      </c>
      <c r="F128" s="1" t="s">
        <v>3</v>
      </c>
    </row>
    <row r="129" spans="1:6" x14ac:dyDescent="0.25">
      <c r="A129" s="11">
        <v>42005</v>
      </c>
      <c r="B129" s="7">
        <v>0.55277777777777781</v>
      </c>
      <c r="C129" s="7">
        <v>0.56041666666666667</v>
      </c>
      <c r="D129" s="7">
        <f>(0.560416666666667-0.552777777777778)</f>
        <v>7.6388888888889728E-3</v>
      </c>
      <c r="E129" s="7">
        <f>ABS(0.00763888888888897-0.024305555555555)</f>
        <v>1.6666666666666032E-2</v>
      </c>
      <c r="F129" s="1" t="s">
        <v>3</v>
      </c>
    </row>
    <row r="130" spans="1:6" x14ac:dyDescent="0.25">
      <c r="A130" s="11">
        <v>42005</v>
      </c>
      <c r="B130" s="7">
        <v>0.40416666666666662</v>
      </c>
      <c r="C130" s="7">
        <v>0.4284722222222222</v>
      </c>
      <c r="D130" s="7">
        <f>(0.428472222222222-0.404166666666667)</f>
        <v>2.430555555555497E-2</v>
      </c>
      <c r="E130" s="7">
        <f>ABS(0.024305555555555-0.00347222222222199)</f>
        <v>2.083333333333301E-2</v>
      </c>
      <c r="F130" s="1" t="s">
        <v>3</v>
      </c>
    </row>
    <row r="131" spans="1:6" x14ac:dyDescent="0.25">
      <c r="A131" s="11">
        <v>42005</v>
      </c>
      <c r="B131" s="7">
        <v>0.14097222222222222</v>
      </c>
      <c r="C131" s="7">
        <v>0.14444444444444446</v>
      </c>
      <c r="D131" s="7">
        <f>(0.144444444444444-0.140972222222222)</f>
        <v>3.4722222222219878E-3</v>
      </c>
      <c r="E131" s="7">
        <f>ABS(0.00347222222222199-0.00347222222222199)</f>
        <v>0</v>
      </c>
      <c r="F131" s="1" t="s">
        <v>3</v>
      </c>
    </row>
    <row r="132" spans="1:6" x14ac:dyDescent="0.25">
      <c r="A132" s="11">
        <v>42005</v>
      </c>
      <c r="B132" s="7">
        <v>0.4777777777777778</v>
      </c>
      <c r="C132" s="7">
        <v>0.48125000000000001</v>
      </c>
      <c r="D132" s="7">
        <f>(0.48125-0.477777777777778)</f>
        <v>3.4722222222219878E-3</v>
      </c>
      <c r="E132" s="7">
        <f>ABS(0.00347222222222199-0.013888888888889)</f>
        <v>1.041666666666701E-2</v>
      </c>
      <c r="F132" s="1" t="s">
        <v>3</v>
      </c>
    </row>
    <row r="133" spans="1:6" x14ac:dyDescent="0.25">
      <c r="A133" s="11">
        <v>42005</v>
      </c>
      <c r="B133" s="7">
        <v>0.26874999999999999</v>
      </c>
      <c r="C133" s="7">
        <v>0.28263888888888888</v>
      </c>
      <c r="D133" s="7">
        <f>(0.282638888888889-0.26875)</f>
        <v>1.3888888888889006E-2</v>
      </c>
      <c r="E133" s="7">
        <f>ABS(0.013888888888889-0.013888888888889)</f>
        <v>0</v>
      </c>
      <c r="F133" s="1" t="s">
        <v>3</v>
      </c>
    </row>
    <row r="134" spans="1:6" x14ac:dyDescent="0.25">
      <c r="A134" s="11">
        <v>42005</v>
      </c>
      <c r="B134" s="7">
        <v>0.70833333333333337</v>
      </c>
      <c r="C134" s="7">
        <v>0.72222222222222221</v>
      </c>
      <c r="D134" s="7">
        <f>(0.722222222222222-0.708333333333333)</f>
        <v>1.3888888888888951E-2</v>
      </c>
      <c r="E134" s="7">
        <f>ABS(0.013888888888889-0.00694444444444398)</f>
        <v>6.9444444444450191E-3</v>
      </c>
      <c r="F134" s="1" t="s">
        <v>3</v>
      </c>
    </row>
    <row r="135" spans="1:6" x14ac:dyDescent="0.25">
      <c r="A135" s="11">
        <v>42005</v>
      </c>
      <c r="B135" s="7">
        <v>0.6479166666666667</v>
      </c>
      <c r="C135" s="7">
        <v>0.65486111111111112</v>
      </c>
      <c r="D135" s="7">
        <f>(0.654861111111111-0.647916666666667)</f>
        <v>6.9444444444439757E-3</v>
      </c>
      <c r="E135" s="7">
        <f>ABS(0.00694444444444398-0.00624999999999998)</f>
        <v>6.9444444444399962E-4</v>
      </c>
      <c r="F135" s="1" t="s">
        <v>3</v>
      </c>
    </row>
    <row r="136" spans="1:6" x14ac:dyDescent="0.25">
      <c r="A136" s="11">
        <v>42005</v>
      </c>
      <c r="B136" s="7">
        <v>0.58472222222222225</v>
      </c>
      <c r="C136" s="7">
        <v>0.59097222222222223</v>
      </c>
      <c r="D136" s="7">
        <f>(0.590972222222222-0.584722222222222)</f>
        <v>6.2499999999999778E-3</v>
      </c>
      <c r="E136" s="7">
        <f>ABS(0.00624999999999998-0.000694444444443998)</f>
        <v>5.5555555555559825E-3</v>
      </c>
      <c r="F136" s="1" t="s">
        <v>3</v>
      </c>
    </row>
    <row r="137" spans="1:6" x14ac:dyDescent="0.25">
      <c r="A137" s="11">
        <v>42005</v>
      </c>
      <c r="B137" s="7">
        <v>0.53680555555555554</v>
      </c>
      <c r="C137" s="7">
        <v>0.53749999999999998</v>
      </c>
      <c r="D137" s="7">
        <f>(0.5375-0.536805555555556)</f>
        <v>6.9444444444399789E-4</v>
      </c>
      <c r="E137" s="7">
        <f>ABS(0.000694444444443998-0.020138888888889)</f>
        <v>1.9444444444445003E-2</v>
      </c>
      <c r="F137" s="1" t="s">
        <v>3</v>
      </c>
    </row>
    <row r="138" spans="1:6" x14ac:dyDescent="0.25">
      <c r="A138" s="11">
        <v>42005</v>
      </c>
      <c r="B138" s="7">
        <v>0.52708333333333335</v>
      </c>
      <c r="C138" s="7">
        <v>0.54722222222222217</v>
      </c>
      <c r="D138" s="7">
        <f>(0.547222222222222-0.527083333333333)</f>
        <v>2.0138888888889039E-2</v>
      </c>
      <c r="E138" s="7">
        <f>ABS(0.020138888888889-0.00555555555554998)</f>
        <v>1.458333333333902E-2</v>
      </c>
      <c r="F138" s="1" t="s">
        <v>3</v>
      </c>
    </row>
    <row r="139" spans="1:6" x14ac:dyDescent="0.25">
      <c r="A139" s="11">
        <v>42005</v>
      </c>
      <c r="B139" s="7">
        <v>1.0215277777777778</v>
      </c>
      <c r="C139" s="7">
        <v>1.0270833333333333</v>
      </c>
      <c r="D139" s="7">
        <f>(1.02708333333333-1.02152777777778)</f>
        <v>5.5555555555499847E-3</v>
      </c>
      <c r="E139" s="7">
        <f>ABS(0.00555555555554998-0.00902777777777697)</f>
        <v>3.4722222222269899E-3</v>
      </c>
      <c r="F139" s="1" t="s">
        <v>3</v>
      </c>
    </row>
    <row r="140" spans="1:6" x14ac:dyDescent="0.25">
      <c r="A140" s="11">
        <v>42005</v>
      </c>
      <c r="B140" s="7">
        <v>0.94305555555555554</v>
      </c>
      <c r="C140" s="7">
        <v>0.95208333333333339</v>
      </c>
      <c r="D140" s="7">
        <f>(0.952083333333333-0.943055555555556)</f>
        <v>9.0277777777769685E-3</v>
      </c>
      <c r="E140" s="7">
        <f>ABS(0.00902777777777697-0.00555555555555509)</f>
        <v>3.4722222222218803E-3</v>
      </c>
      <c r="F140" s="1" t="s">
        <v>3</v>
      </c>
    </row>
    <row r="141" spans="1:6" x14ac:dyDescent="0.25">
      <c r="A141" s="11">
        <v>42005</v>
      </c>
      <c r="B141" s="7">
        <v>0.76041666666666663</v>
      </c>
      <c r="C141" s="7">
        <v>0.76597222222222217</v>
      </c>
      <c r="D141" s="7">
        <f>(0.765972222222222-0.760416666666667)</f>
        <v>5.5555555555550917E-3</v>
      </c>
      <c r="E141" s="7">
        <f>ABS(0.00555555555555509-0.00416666666666698)</f>
        <v>1.3888888888881103E-3</v>
      </c>
      <c r="F141" s="1" t="s">
        <v>3</v>
      </c>
    </row>
    <row r="142" spans="1:6" x14ac:dyDescent="0.25">
      <c r="A142" s="11">
        <v>42005</v>
      </c>
      <c r="B142" s="7">
        <v>0.74861111111111101</v>
      </c>
      <c r="C142" s="7">
        <v>0.75277777777777777</v>
      </c>
      <c r="D142" s="7">
        <f>(0.752777777777778-0.748611111111111)</f>
        <v>4.1666666666669849E-3</v>
      </c>
      <c r="E142" s="7">
        <f>ABS(0.00416666666666698-0.00902777777777697)</f>
        <v>4.8611111111099906E-3</v>
      </c>
      <c r="F142" s="1" t="s">
        <v>3</v>
      </c>
    </row>
    <row r="143" spans="1:6" x14ac:dyDescent="0.25">
      <c r="A143" s="11">
        <v>42005</v>
      </c>
      <c r="B143" s="7">
        <v>0.49791666666666662</v>
      </c>
      <c r="C143" s="7">
        <v>0.50694444444444442</v>
      </c>
      <c r="D143" s="7">
        <f>(0.506944444444444-0.497916666666667)</f>
        <v>9.0277777777769685E-3</v>
      </c>
      <c r="E143" s="7"/>
      <c r="F143" s="1" t="s">
        <v>3</v>
      </c>
    </row>
    <row r="144" spans="1:6" x14ac:dyDescent="0.25">
      <c r="A144" s="11">
        <v>42005</v>
      </c>
      <c r="B144" s="7">
        <v>0.6333333333333333</v>
      </c>
      <c r="C144" s="7">
        <v>0.65833333333333333</v>
      </c>
      <c r="D144" s="7">
        <f>(0.658333333333333-0.633333333333333)</f>
        <v>2.5000000000000022E-2</v>
      </c>
      <c r="E144" s="7">
        <f>ABS(0.025-0.0104166666666701)</f>
        <v>1.4583333333329901E-2</v>
      </c>
      <c r="F144" s="1" t="s">
        <v>10</v>
      </c>
    </row>
    <row r="145" spans="1:6" x14ac:dyDescent="0.25">
      <c r="A145" s="11">
        <v>42005</v>
      </c>
      <c r="B145" s="7">
        <v>1.0138888888888888</v>
      </c>
      <c r="C145" s="7">
        <v>1.0243055555555556</v>
      </c>
      <c r="D145" s="7">
        <f>(1.02430555555556-1.01388888888889)</f>
        <v>1.0416666666670071E-2</v>
      </c>
      <c r="E145" s="7">
        <f>ABS(0.0104166666666701-0.015277777777778)</f>
        <v>4.8611111111078985E-3</v>
      </c>
      <c r="F145" s="1" t="s">
        <v>10</v>
      </c>
    </row>
    <row r="146" spans="1:6" x14ac:dyDescent="0.25">
      <c r="A146" s="11">
        <v>42005</v>
      </c>
      <c r="B146" s="7">
        <v>0.11458333333333333</v>
      </c>
      <c r="C146" s="7">
        <v>0.12986111111111112</v>
      </c>
      <c r="D146" s="7">
        <f>(0.129861111111111-0.114583333333333)</f>
        <v>1.5277777777778015E-2</v>
      </c>
      <c r="E146" s="7">
        <f>ABS(0.015277777777778-0.015972222222222)</f>
        <v>6.9444444444399962E-4</v>
      </c>
      <c r="F146" s="1" t="s">
        <v>10</v>
      </c>
    </row>
    <row r="147" spans="1:6" x14ac:dyDescent="0.25">
      <c r="A147" s="11">
        <v>42005</v>
      </c>
      <c r="B147" s="7">
        <v>0.125</v>
      </c>
      <c r="C147" s="7">
        <v>0.14097222222222222</v>
      </c>
      <c r="D147" s="7">
        <f>(0.140972222222222-0.125)</f>
        <v>1.5972222222221999E-2</v>
      </c>
      <c r="E147" s="7">
        <f>ABS(0.015972222222222-0.016666666666666)</f>
        <v>6.9444444444400136E-4</v>
      </c>
      <c r="F147" s="1" t="s">
        <v>10</v>
      </c>
    </row>
    <row r="148" spans="1:6" x14ac:dyDescent="0.25">
      <c r="A148" s="11">
        <v>42005</v>
      </c>
      <c r="B148" s="7">
        <v>0.46180555555555558</v>
      </c>
      <c r="C148" s="7">
        <v>0.47847222222222219</v>
      </c>
      <c r="D148" s="7">
        <f>(0.478472222222222-0.461805555555556)</f>
        <v>1.6666666666665997E-2</v>
      </c>
      <c r="E148" s="7">
        <f>ABS(0.016666666666666-0.0180555555555559)</f>
        <v>1.3888888888899005E-3</v>
      </c>
      <c r="F148" s="1" t="s">
        <v>10</v>
      </c>
    </row>
    <row r="149" spans="1:6" x14ac:dyDescent="0.25">
      <c r="A149" s="11">
        <v>42005</v>
      </c>
      <c r="B149" s="7">
        <v>0.51874999999999993</v>
      </c>
      <c r="C149" s="7">
        <v>0.53680555555555554</v>
      </c>
      <c r="D149" s="7">
        <f>(0.536805555555556-0.51875)</f>
        <v>1.8055555555555935E-2</v>
      </c>
      <c r="E149" s="7">
        <f>ABS(0.0180555555555559-0.0173611111111109)</f>
        <v>6.9444444444500056E-4</v>
      </c>
      <c r="F149" s="1" t="s">
        <v>10</v>
      </c>
    </row>
    <row r="150" spans="1:6" x14ac:dyDescent="0.25">
      <c r="A150" s="11">
        <v>42005</v>
      </c>
      <c r="B150" s="7">
        <v>0.55555555555555558</v>
      </c>
      <c r="C150" s="7">
        <v>0.57291666666666663</v>
      </c>
      <c r="D150" s="7">
        <f>(0.572916666666667-0.555555555555556)</f>
        <v>1.7361111111110938E-2</v>
      </c>
      <c r="E150" s="7">
        <f>ABS(0.0173611111111109-0.023611111111111)</f>
        <v>6.2500000000000992E-3</v>
      </c>
      <c r="F150" s="1" t="s">
        <v>10</v>
      </c>
    </row>
    <row r="151" spans="1:6" x14ac:dyDescent="0.25">
      <c r="A151" s="11">
        <v>42005</v>
      </c>
      <c r="B151" s="7">
        <v>0.60277777777777775</v>
      </c>
      <c r="C151" s="7">
        <v>0.62638888888888888</v>
      </c>
      <c r="D151" s="7">
        <f>(0.626388888888889-0.602777777777778)</f>
        <v>2.3611111111111027E-2</v>
      </c>
      <c r="E151" s="7">
        <f>ABS(0.023611111111111-0.0201388888888889)</f>
        <v>3.4722222222220989E-3</v>
      </c>
      <c r="F151" s="1" t="s">
        <v>10</v>
      </c>
    </row>
    <row r="152" spans="1:6" x14ac:dyDescent="0.25">
      <c r="A152" s="11">
        <v>42005</v>
      </c>
      <c r="B152" s="7">
        <v>0.83263888888888893</v>
      </c>
      <c r="C152" s="7">
        <v>0.85277777777777775</v>
      </c>
      <c r="D152" s="7">
        <f>(0.852777777777778-0.832638888888889)</f>
        <v>2.0138888888888928E-2</v>
      </c>
      <c r="E152" s="7">
        <f>ABS(0.0201388888888889-0.021527777777778)</f>
        <v>1.3888888888890991E-3</v>
      </c>
      <c r="F152" s="1" t="s">
        <v>10</v>
      </c>
    </row>
    <row r="153" spans="1:6" x14ac:dyDescent="0.25">
      <c r="A153" s="11">
        <v>42005</v>
      </c>
      <c r="B153" s="7">
        <v>0.85625000000000007</v>
      </c>
      <c r="C153" s="7">
        <v>0.87777777777777777</v>
      </c>
      <c r="D153" s="7">
        <f>(0.877777777777778-0.85625)</f>
        <v>2.1527777777778034E-2</v>
      </c>
      <c r="E153" s="7">
        <f>ABS(0.021527777777778-0.0173611111111109)</f>
        <v>4.1666666666670994E-3</v>
      </c>
      <c r="F153" s="1" t="s">
        <v>10</v>
      </c>
    </row>
    <row r="154" spans="1:6" x14ac:dyDescent="0.25">
      <c r="A154" s="11">
        <v>42005</v>
      </c>
      <c r="B154" s="7">
        <v>0.89861111111111114</v>
      </c>
      <c r="C154" s="7">
        <v>0.9159722222222223</v>
      </c>
      <c r="D154" s="7">
        <f>(0.915972222222222-0.898611111111111)</f>
        <v>1.7361111111110938E-2</v>
      </c>
      <c r="E154" s="7">
        <f>ABS(0.0173611111111109-0.00763888888888897)</f>
        <v>9.7222222222219309E-3</v>
      </c>
      <c r="F154" s="1" t="s">
        <v>10</v>
      </c>
    </row>
    <row r="155" spans="1:6" x14ac:dyDescent="0.25">
      <c r="A155" s="11">
        <v>42005</v>
      </c>
      <c r="B155" s="7">
        <v>0.2638888888888889</v>
      </c>
      <c r="C155" s="7">
        <v>0.27152777777777776</v>
      </c>
      <c r="D155" s="7">
        <f>(0.271527777777778-0.263888888888889)</f>
        <v>7.6388888888889728E-3</v>
      </c>
      <c r="E155" s="7">
        <f>ABS(0.00763888888888897-0.020833333333334)</f>
        <v>1.3194444444445029E-2</v>
      </c>
      <c r="F155" s="1" t="s">
        <v>10</v>
      </c>
    </row>
    <row r="156" spans="1:6" x14ac:dyDescent="0.25">
      <c r="A156" s="11">
        <v>42005</v>
      </c>
      <c r="B156" s="7">
        <v>0.46597222222222223</v>
      </c>
      <c r="C156" s="7">
        <v>0.48680555555555555</v>
      </c>
      <c r="D156" s="7">
        <f>(0.486805555555556-0.465972222222222)</f>
        <v>2.0833333333333981E-2</v>
      </c>
      <c r="E156" s="7">
        <f>ABS(0.020833333333334-0.01875)</f>
        <v>2.083333333333999E-3</v>
      </c>
      <c r="F156" s="1" t="s">
        <v>10</v>
      </c>
    </row>
    <row r="157" spans="1:6" x14ac:dyDescent="0.25">
      <c r="A157" s="11">
        <v>42005</v>
      </c>
      <c r="B157" s="7">
        <v>0.4916666666666667</v>
      </c>
      <c r="C157" s="7">
        <v>0.51041666666666663</v>
      </c>
      <c r="D157" s="7">
        <f>(0.510416666666667-0.491666666666667)</f>
        <v>1.8749999999999989E-2</v>
      </c>
      <c r="E157" s="7">
        <f>ABS(0.01875-0.0159722222222219)</f>
        <v>2.777777777778101E-3</v>
      </c>
      <c r="F157" s="1" t="s">
        <v>10</v>
      </c>
    </row>
    <row r="158" spans="1:6" x14ac:dyDescent="0.25">
      <c r="A158" s="11">
        <v>42005</v>
      </c>
      <c r="B158" s="7">
        <v>0.59027777777777779</v>
      </c>
      <c r="C158" s="7">
        <v>0.60625000000000007</v>
      </c>
      <c r="D158" s="7">
        <f>(0.60625-0.590277777777778)</f>
        <v>1.5972222222221943E-2</v>
      </c>
      <c r="E158" s="7">
        <f>ABS(0.0159722222222219-0.022222222222222)</f>
        <v>6.2500000000001027E-3</v>
      </c>
      <c r="F158" s="1" t="s">
        <v>10</v>
      </c>
    </row>
    <row r="159" spans="1:6" x14ac:dyDescent="0.25">
      <c r="A159" s="11">
        <v>42005</v>
      </c>
      <c r="B159" s="7">
        <v>0.63055555555555554</v>
      </c>
      <c r="C159" s="7">
        <v>0.65277777777777779</v>
      </c>
      <c r="D159" s="7">
        <f>(0.652777777777778-0.630555555555556)</f>
        <v>2.2222222222222032E-2</v>
      </c>
      <c r="E159" s="7">
        <f>ABS(0.022222222222222-0.0187499999999999)</f>
        <v>3.4722222222221023E-3</v>
      </c>
      <c r="F159" s="1" t="s">
        <v>10</v>
      </c>
    </row>
    <row r="160" spans="1:6" x14ac:dyDescent="0.25">
      <c r="A160" s="11">
        <v>42005</v>
      </c>
      <c r="B160" s="7">
        <v>0.71319444444444446</v>
      </c>
      <c r="C160" s="7">
        <v>0.7319444444444444</v>
      </c>
      <c r="D160" s="7">
        <f>(0.731944444444444-0.713194444444444)</f>
        <v>1.8749999999999933E-2</v>
      </c>
      <c r="E160" s="7">
        <f>ABS(0.0187499999999999-0.0180555555555549)</f>
        <v>6.9444444444499709E-4</v>
      </c>
      <c r="F160" s="1" t="s">
        <v>10</v>
      </c>
    </row>
    <row r="161" spans="1:6" x14ac:dyDescent="0.25">
      <c r="A161" s="11">
        <v>42005</v>
      </c>
      <c r="B161" s="7">
        <v>0.71388888888888891</v>
      </c>
      <c r="C161" s="7">
        <v>0.7319444444444444</v>
      </c>
      <c r="D161" s="7">
        <f>(0.731944444444444-0.713888888888889)</f>
        <v>1.8055555555554936E-2</v>
      </c>
      <c r="E161" s="7">
        <f>ABS(0.0180555555555549-0.0159722222222219)</f>
        <v>2.0833333333330033E-3</v>
      </c>
      <c r="F161" s="1" t="s">
        <v>10</v>
      </c>
    </row>
    <row r="162" spans="1:6" x14ac:dyDescent="0.25">
      <c r="A162" s="11">
        <v>42005</v>
      </c>
      <c r="B162" s="7">
        <v>0.73749999999999993</v>
      </c>
      <c r="C162" s="7">
        <v>0.75347222222222221</v>
      </c>
      <c r="D162" s="7">
        <f>(0.753472222222222-0.7375)</f>
        <v>1.5972222222221943E-2</v>
      </c>
      <c r="E162" s="7">
        <f>ABS(0.0159722222222219-0.033333333333333)</f>
        <v>1.7361111111111101E-2</v>
      </c>
      <c r="F162" s="1" t="s">
        <v>10</v>
      </c>
    </row>
    <row r="163" spans="1:6" x14ac:dyDescent="0.25">
      <c r="A163" s="11">
        <v>42005</v>
      </c>
      <c r="B163" s="7">
        <v>0.74930555555555556</v>
      </c>
      <c r="C163" s="7">
        <v>0.78263888888888899</v>
      </c>
      <c r="D163" s="7">
        <f>(0.782638888888889-0.749305555555556)</f>
        <v>3.3333333333332993E-2</v>
      </c>
      <c r="E163" s="7">
        <f>ABS(0.033333333333333-0.0187499999999999)</f>
        <v>1.4583333333333101E-2</v>
      </c>
      <c r="F163" s="1" t="s">
        <v>10</v>
      </c>
    </row>
    <row r="164" spans="1:6" x14ac:dyDescent="0.25">
      <c r="A164" s="11">
        <v>42005</v>
      </c>
      <c r="B164" s="7">
        <v>0.7680555555555556</v>
      </c>
      <c r="C164" s="7">
        <v>0.78680555555555554</v>
      </c>
      <c r="D164" s="7">
        <f>(0.786805555555556-0.768055555555556)</f>
        <v>1.8749999999999933E-2</v>
      </c>
      <c r="E164" s="7">
        <f>ABS(0.0187499999999999-0.0166666666666669)</f>
        <v>2.0833333333329998E-3</v>
      </c>
      <c r="F164" s="1" t="s">
        <v>10</v>
      </c>
    </row>
    <row r="165" spans="1:6" x14ac:dyDescent="0.25">
      <c r="A165" s="11">
        <v>42005</v>
      </c>
      <c r="B165" s="7">
        <v>0.84097222222222223</v>
      </c>
      <c r="C165" s="7">
        <v>0.85763888888888884</v>
      </c>
      <c r="D165" s="7">
        <f>(0.857638888888889-0.840972222222222)</f>
        <v>1.6666666666666941E-2</v>
      </c>
      <c r="E165" s="7">
        <f>ABS(0.0166666666666669-0.0152777777777781)</f>
        <v>1.388888888888799E-3</v>
      </c>
      <c r="F165" s="1" t="s">
        <v>10</v>
      </c>
    </row>
    <row r="166" spans="1:6" x14ac:dyDescent="0.25">
      <c r="A166" s="11">
        <v>42005</v>
      </c>
      <c r="B166" s="7">
        <v>0.92013888888888884</v>
      </c>
      <c r="C166" s="7">
        <v>0.93541666666666667</v>
      </c>
      <c r="D166" s="7">
        <f>(0.935416666666667-0.920138888888889)</f>
        <v>1.5277777777778057E-2</v>
      </c>
      <c r="E166" s="7">
        <f>ABS(0.0152777777777781-0.0222222222222229)</f>
        <v>6.9444444444447997E-3</v>
      </c>
      <c r="F166" s="1" t="s">
        <v>10</v>
      </c>
    </row>
    <row r="167" spans="1:6" x14ac:dyDescent="0.25">
      <c r="A167" s="11">
        <v>42005</v>
      </c>
      <c r="B167" s="7">
        <v>0.95833333333333337</v>
      </c>
      <c r="C167" s="7">
        <v>0.98055555555555562</v>
      </c>
      <c r="D167" s="7">
        <f>(0.980555555555556-0.958333333333333)</f>
        <v>2.222222222222292E-2</v>
      </c>
      <c r="E167" s="7">
        <f>ABS(0.0222222222222229-0.03125)</f>
        <v>9.0277777777771004E-3</v>
      </c>
      <c r="F167" s="1" t="s">
        <v>10</v>
      </c>
    </row>
    <row r="168" spans="1:6" x14ac:dyDescent="0.25">
      <c r="A168" s="11">
        <v>42005</v>
      </c>
      <c r="B168" s="7">
        <v>0.21527777777777779</v>
      </c>
      <c r="C168" s="7">
        <v>0.24652777777777779</v>
      </c>
      <c r="D168" s="7">
        <f>(0.246527777777778-0.215277777777778)</f>
        <v>3.125E-2</v>
      </c>
      <c r="E168" s="7">
        <f>ABS(0.03125-0.025)</f>
        <v>6.2499999999999986E-3</v>
      </c>
      <c r="F168" s="1" t="s">
        <v>10</v>
      </c>
    </row>
    <row r="169" spans="1:6" x14ac:dyDescent="0.25">
      <c r="A169" s="11">
        <v>42005</v>
      </c>
      <c r="B169" s="7">
        <v>0.2388888888888889</v>
      </c>
      <c r="C169" s="7">
        <v>0.2638888888888889</v>
      </c>
      <c r="D169" s="7">
        <f>(0.263888888888889-0.238888888888889)</f>
        <v>2.4999999999999994E-2</v>
      </c>
      <c r="E169" s="7">
        <f>ABS(0.025-0.017361111111111)</f>
        <v>7.6388888888890005E-3</v>
      </c>
      <c r="F169" s="1" t="s">
        <v>10</v>
      </c>
    </row>
    <row r="170" spans="1:6" x14ac:dyDescent="0.25">
      <c r="A170" s="11">
        <v>42005</v>
      </c>
      <c r="B170" s="7">
        <v>0.72499999999999998</v>
      </c>
      <c r="C170" s="7">
        <v>0.74236111111111114</v>
      </c>
      <c r="D170" s="7">
        <f>(0.742361111111111-0.725)</f>
        <v>1.7361111111111049E-2</v>
      </c>
      <c r="E170" s="7">
        <f>ABS(0.017361111111111-0.017361111111112)</f>
        <v>9.9920072216264089E-16</v>
      </c>
      <c r="F170" s="1" t="s">
        <v>10</v>
      </c>
    </row>
    <row r="171" spans="1:6" x14ac:dyDescent="0.25">
      <c r="A171" s="11">
        <v>42005</v>
      </c>
      <c r="B171" s="7">
        <v>0.75069444444444444</v>
      </c>
      <c r="C171" s="7">
        <v>0.7680555555555556</v>
      </c>
      <c r="D171" s="7">
        <f>(0.768055555555556-0.750694444444444)</f>
        <v>1.7361111111112049E-2</v>
      </c>
      <c r="E171" s="7">
        <f>ABS(0.017361111111112-0.020833333333333)</f>
        <v>3.472222222220999E-3</v>
      </c>
      <c r="F171" s="1" t="s">
        <v>10</v>
      </c>
    </row>
    <row r="172" spans="1:6" x14ac:dyDescent="0.25">
      <c r="A172" s="11">
        <v>42005</v>
      </c>
      <c r="B172" s="7">
        <v>0.79027777777777775</v>
      </c>
      <c r="C172" s="7">
        <v>0.81111111111111101</v>
      </c>
      <c r="D172" s="7">
        <f>(0.811111111111111-0.790277777777778)</f>
        <v>2.0833333333333037E-2</v>
      </c>
      <c r="E172" s="7">
        <f>ABS(0.020833333333333-0.03125)</f>
        <v>1.0416666666667001E-2</v>
      </c>
      <c r="F172" s="1" t="s">
        <v>10</v>
      </c>
    </row>
    <row r="173" spans="1:6" x14ac:dyDescent="0.25">
      <c r="A173" s="11">
        <v>42005</v>
      </c>
      <c r="B173" s="7">
        <v>0.90069444444444446</v>
      </c>
      <c r="C173" s="7">
        <v>0.93194444444444446</v>
      </c>
      <c r="D173" s="7">
        <f>(0.931944444444444-0.900694444444444)</f>
        <v>3.125E-2</v>
      </c>
      <c r="E173" s="7">
        <f>ABS(0.03125-0.0381944444444444)</f>
        <v>6.944444444444399E-3</v>
      </c>
      <c r="F173" s="1" t="s">
        <v>10</v>
      </c>
    </row>
    <row r="174" spans="1:6" x14ac:dyDescent="0.25">
      <c r="A174" s="11">
        <v>42005</v>
      </c>
      <c r="B174" s="7">
        <v>2.4999999999999998E-2</v>
      </c>
      <c r="C174" s="7">
        <v>6.3194444444444442E-2</v>
      </c>
      <c r="D174" s="7">
        <f>(0.0631944444444444-0.025)</f>
        <v>3.8194444444444399E-2</v>
      </c>
      <c r="E174" s="7">
        <f>ABS(0.0381944444444444-0.025694444444444)</f>
        <v>1.25000000000004E-2</v>
      </c>
      <c r="F174" s="1" t="s">
        <v>10</v>
      </c>
    </row>
    <row r="175" spans="1:6" x14ac:dyDescent="0.25">
      <c r="A175" s="11">
        <v>42005</v>
      </c>
      <c r="B175" s="7">
        <v>0.46666666666666662</v>
      </c>
      <c r="C175" s="7">
        <v>0.49236111111111108</v>
      </c>
      <c r="D175" s="7">
        <f>(0.492361111111111-0.466666666666667)</f>
        <v>2.569444444444402E-2</v>
      </c>
      <c r="E175" s="7">
        <f>ABS(0.025694444444444-0.0187499999999999)</f>
        <v>6.9444444444441006E-3</v>
      </c>
      <c r="F175" s="1" t="s">
        <v>10</v>
      </c>
    </row>
    <row r="176" spans="1:6" x14ac:dyDescent="0.25">
      <c r="A176" s="11">
        <v>42005</v>
      </c>
      <c r="B176" s="7">
        <v>0.61249999999999993</v>
      </c>
      <c r="C176" s="7">
        <v>0.63124999999999998</v>
      </c>
      <c r="D176" s="7">
        <f>(0.63125-0.6125)</f>
        <v>1.8749999999999933E-2</v>
      </c>
      <c r="E176" s="7">
        <f>ABS(0.0187499999999999-0.0159722222222229)</f>
        <v>2.7777777777769977E-3</v>
      </c>
      <c r="F176" s="1" t="s">
        <v>10</v>
      </c>
    </row>
    <row r="177" spans="1:6" x14ac:dyDescent="0.25">
      <c r="A177" s="11">
        <v>42005</v>
      </c>
      <c r="B177" s="7">
        <v>0.74444444444444446</v>
      </c>
      <c r="C177" s="7">
        <v>0.76041666666666663</v>
      </c>
      <c r="D177" s="7">
        <f>(0.760416666666667-0.744444444444444)</f>
        <v>1.5972222222222943E-2</v>
      </c>
      <c r="E177" s="7">
        <f>ABS(0.0159722222222229-0.00833333333333297)</f>
        <v>7.6388888888899303E-3</v>
      </c>
      <c r="F177" s="1" t="s">
        <v>10</v>
      </c>
    </row>
    <row r="178" spans="1:6" x14ac:dyDescent="0.25">
      <c r="A178" s="11">
        <v>42005</v>
      </c>
      <c r="B178" s="7">
        <v>0.89236111111111116</v>
      </c>
      <c r="C178" s="7">
        <v>0.90069444444444446</v>
      </c>
      <c r="D178" s="7">
        <f>(0.900694444444444-0.892361111111111)</f>
        <v>8.3333333333329707E-3</v>
      </c>
      <c r="E178" s="7">
        <f>ABS(0.00833333333333297-0.019444444444444)</f>
        <v>1.111111111111103E-2</v>
      </c>
      <c r="F178" s="1" t="s">
        <v>10</v>
      </c>
    </row>
    <row r="179" spans="1:6" x14ac:dyDescent="0.25">
      <c r="A179" s="11">
        <v>42005</v>
      </c>
      <c r="B179" s="7">
        <v>0.34930555555555554</v>
      </c>
      <c r="C179" s="7">
        <v>0.36874999999999997</v>
      </c>
      <c r="D179" s="7">
        <f>(0.36875-0.349305555555556)</f>
        <v>1.9444444444444042E-2</v>
      </c>
      <c r="E179" s="7">
        <f>ABS(0.019444444444444-0.015972222222222)</f>
        <v>3.4722222222220017E-3</v>
      </c>
      <c r="F179" s="1" t="s">
        <v>10</v>
      </c>
    </row>
    <row r="180" spans="1:6" x14ac:dyDescent="0.25">
      <c r="A180" s="11">
        <v>42005</v>
      </c>
      <c r="B180" s="7">
        <v>0.35902777777777778</v>
      </c>
      <c r="C180" s="7">
        <v>0.375</v>
      </c>
      <c r="D180" s="7">
        <f>(0.375-0.359027777777778)</f>
        <v>1.5972222222221999E-2</v>
      </c>
      <c r="E180" s="7">
        <f>ABS(0.015972222222222-0.0166666666666669)</f>
        <v>6.9444444444489994E-4</v>
      </c>
      <c r="F180" s="1" t="s">
        <v>10</v>
      </c>
    </row>
    <row r="181" spans="1:6" x14ac:dyDescent="0.25">
      <c r="A181" s="11">
        <v>42005</v>
      </c>
      <c r="B181" s="7">
        <v>0.89861111111111114</v>
      </c>
      <c r="C181" s="7">
        <v>0.91527777777777775</v>
      </c>
      <c r="D181" s="7">
        <f>(0.915277777777778-0.898611111111111)</f>
        <v>1.6666666666666941E-2</v>
      </c>
      <c r="E181" s="7">
        <f>ABS(0.0166666666666669-0.0173611111111109)</f>
        <v>6.9444444444400136E-4</v>
      </c>
      <c r="F181" s="1" t="s">
        <v>10</v>
      </c>
    </row>
    <row r="182" spans="1:6" x14ac:dyDescent="0.25">
      <c r="A182" s="11">
        <v>42005</v>
      </c>
      <c r="B182" s="7">
        <v>0.65208333333333335</v>
      </c>
      <c r="C182" s="7">
        <v>0.6694444444444444</v>
      </c>
      <c r="D182" s="7">
        <f>(0.669444444444444-0.652083333333333)</f>
        <v>1.7361111111110938E-2</v>
      </c>
      <c r="E182" s="7">
        <f>ABS(0.0173611111111109-0.0340277777777778)</f>
        <v>1.6666666666666902E-2</v>
      </c>
      <c r="F182" s="1" t="s">
        <v>10</v>
      </c>
    </row>
    <row r="183" spans="1:6" x14ac:dyDescent="0.25">
      <c r="A183" s="11">
        <v>42005</v>
      </c>
      <c r="B183" s="7">
        <v>2.7777777777777776E-2</v>
      </c>
      <c r="C183" s="7">
        <v>6.1805555555555558E-2</v>
      </c>
      <c r="D183" s="7">
        <f>(0.0618055555555556-0.0277777777777778)</f>
        <v>3.4027777777777796E-2</v>
      </c>
      <c r="E183" s="7">
        <f>ABS(0.0340277777777778-0.022916666666666)</f>
        <v>1.1111111111111804E-2</v>
      </c>
      <c r="F183" s="1" t="s">
        <v>10</v>
      </c>
    </row>
    <row r="184" spans="1:6" x14ac:dyDescent="0.25">
      <c r="A184" s="11">
        <v>42005</v>
      </c>
      <c r="B184" s="7">
        <v>0.93888888888888899</v>
      </c>
      <c r="C184" s="7">
        <v>0.96180555555555547</v>
      </c>
      <c r="D184" s="7">
        <f>(0.961805555555555-0.938888888888889)</f>
        <v>2.291666666666603E-2</v>
      </c>
      <c r="E184" s="7">
        <f>ABS(0.022916666666666-0.0159722222222219)</f>
        <v>6.9444444444441006E-3</v>
      </c>
      <c r="F184" s="1" t="s">
        <v>10</v>
      </c>
    </row>
    <row r="185" spans="1:6" x14ac:dyDescent="0.25">
      <c r="A185" s="11">
        <v>42005</v>
      </c>
      <c r="B185" s="7">
        <v>0.83124999999999993</v>
      </c>
      <c r="C185" s="7">
        <v>0.84722222222222221</v>
      </c>
      <c r="D185" s="7">
        <f>(0.847222222222222-0.83125)</f>
        <v>1.5972222222221943E-2</v>
      </c>
      <c r="E185" s="7">
        <f>ABS(0.0159722222222219-0.0201388888888889)</f>
        <v>4.1666666666670023E-3</v>
      </c>
      <c r="F185" s="1" t="s">
        <v>10</v>
      </c>
    </row>
    <row r="186" spans="1:6" x14ac:dyDescent="0.25">
      <c r="A186" s="11">
        <v>42005</v>
      </c>
      <c r="B186" s="7">
        <v>0.58402777777777781</v>
      </c>
      <c r="C186" s="7">
        <v>0.60416666666666663</v>
      </c>
      <c r="D186" s="7">
        <f>(0.604166666666667-0.584027777777778)</f>
        <v>2.0138888888888928E-2</v>
      </c>
      <c r="E186" s="7">
        <f>ABS(0.0201388888888889-0.032638888888888)</f>
        <v>1.2499999999999102E-2</v>
      </c>
      <c r="F186" s="1" t="s">
        <v>10</v>
      </c>
    </row>
    <row r="187" spans="1:6" x14ac:dyDescent="0.25">
      <c r="A187" s="11">
        <v>42005</v>
      </c>
      <c r="B187" s="7">
        <v>0.53680555555555554</v>
      </c>
      <c r="C187" s="7">
        <v>0.56944444444444442</v>
      </c>
      <c r="D187" s="7">
        <f>(0.569444444444444-0.536805555555556)</f>
        <v>3.2638888888887996E-2</v>
      </c>
      <c r="E187" s="7">
        <f>ABS(0.032638888888888-0.016666666666666)</f>
        <v>1.5972222222222002E-2</v>
      </c>
      <c r="F187" s="1" t="s">
        <v>10</v>
      </c>
    </row>
    <row r="188" spans="1:6" x14ac:dyDescent="0.25">
      <c r="A188" s="11">
        <v>42005</v>
      </c>
      <c r="B188" s="7">
        <v>0.31527777777777777</v>
      </c>
      <c r="C188" s="7">
        <v>0.33194444444444443</v>
      </c>
      <c r="D188" s="7">
        <f>(0.331944444444444-0.315277777777778)</f>
        <v>1.6666666666665997E-2</v>
      </c>
      <c r="E188" s="7">
        <f>ABS(0.016666666666666-0.016666666666666)</f>
        <v>0</v>
      </c>
      <c r="F188" s="1" t="s">
        <v>10</v>
      </c>
    </row>
    <row r="189" spans="1:6" x14ac:dyDescent="0.25">
      <c r="A189" s="11">
        <v>42005</v>
      </c>
      <c r="B189" s="7">
        <v>0.17430555555555557</v>
      </c>
      <c r="C189" s="7">
        <v>0.19097222222222221</v>
      </c>
      <c r="D189" s="7">
        <f>(0.190972222222222-0.174305555555556)</f>
        <v>1.6666666666665997E-2</v>
      </c>
      <c r="E189" s="7">
        <f>ABS(0.016666666666666-0.021527777777778)</f>
        <v>4.8611111111119994E-3</v>
      </c>
      <c r="F189" s="1" t="s">
        <v>10</v>
      </c>
    </row>
    <row r="190" spans="1:6" x14ac:dyDescent="0.25">
      <c r="A190" s="11">
        <v>42005</v>
      </c>
      <c r="B190" s="7">
        <v>0.79583333333333339</v>
      </c>
      <c r="C190" s="7">
        <v>0.81736111111111109</v>
      </c>
      <c r="D190" s="7">
        <f>(0.817361111111111-0.795833333333333)</f>
        <v>2.1527777777778034E-2</v>
      </c>
      <c r="E190" s="7">
        <f>ABS(0.021527777777778-0.00833333333333297)</f>
        <v>1.3194444444445029E-2</v>
      </c>
      <c r="F190" s="1" t="s">
        <v>10</v>
      </c>
    </row>
    <row r="191" spans="1:6" x14ac:dyDescent="0.25">
      <c r="A191" s="11">
        <v>42005</v>
      </c>
      <c r="B191" s="7">
        <v>0.74375000000000002</v>
      </c>
      <c r="C191" s="7">
        <v>0.75208333333333333</v>
      </c>
      <c r="D191" s="7">
        <f>(0.752083333333333-0.74375)</f>
        <v>8.3333333333329707E-3</v>
      </c>
      <c r="E191" s="7">
        <f>ABS(0.00833333333333297-0.034722222222223)</f>
        <v>2.638888888889003E-2</v>
      </c>
      <c r="F191" s="1" t="s">
        <v>10</v>
      </c>
    </row>
    <row r="192" spans="1:6" x14ac:dyDescent="0.25">
      <c r="A192" s="11">
        <v>42005</v>
      </c>
      <c r="B192" s="7">
        <v>0.26458333333333334</v>
      </c>
      <c r="C192" s="7">
        <v>0.29930555555555555</v>
      </c>
      <c r="D192" s="7">
        <f>(0.299305555555556-0.264583333333333)</f>
        <v>3.4722222222222987E-2</v>
      </c>
      <c r="E192" s="7">
        <f>ABS(0.034722222222223-0.015972222222222)</f>
        <v>1.8750000000001002E-2</v>
      </c>
      <c r="F192" s="1" t="s">
        <v>10</v>
      </c>
    </row>
    <row r="193" spans="1:6" x14ac:dyDescent="0.25">
      <c r="A193" s="11">
        <v>42005</v>
      </c>
      <c r="B193" s="7">
        <v>0.24374999999999999</v>
      </c>
      <c r="C193" s="7">
        <v>0.25972222222222224</v>
      </c>
      <c r="D193" s="7">
        <f>(0.259722222222222-0.24375)</f>
        <v>1.5972222222222027E-2</v>
      </c>
      <c r="E193" s="7">
        <f>ABS(0.015972222222222-0.022222222222223)</f>
        <v>6.2500000000010013E-3</v>
      </c>
      <c r="F193" s="1" t="s">
        <v>10</v>
      </c>
    </row>
    <row r="194" spans="1:6" x14ac:dyDescent="0.25">
      <c r="A194" s="11">
        <v>42005</v>
      </c>
      <c r="B194" s="7">
        <v>0.23333333333333331</v>
      </c>
      <c r="C194" s="7">
        <v>0.25555555555555559</v>
      </c>
      <c r="D194" s="7">
        <f>(0.255555555555556-0.233333333333333)</f>
        <v>2.2222222222222976E-2</v>
      </c>
      <c r="E194" s="7">
        <f>ABS(0.022222222222223-0.015972222222223)</f>
        <v>6.2499999999999986E-3</v>
      </c>
      <c r="F194" s="1" t="s">
        <v>10</v>
      </c>
    </row>
    <row r="195" spans="1:6" x14ac:dyDescent="0.25">
      <c r="A195" s="11">
        <v>42005</v>
      </c>
      <c r="B195" s="7">
        <v>0.15694444444444444</v>
      </c>
      <c r="C195" s="7">
        <v>0.17291666666666669</v>
      </c>
      <c r="D195" s="7">
        <f>(0.172916666666667-0.156944444444444)</f>
        <v>1.5972222222222998E-2</v>
      </c>
      <c r="E195" s="7">
        <f>ABS(0.015972222222223-0.0145833333333401)</f>
        <v>1.3888888888829009E-3</v>
      </c>
      <c r="F195" s="1" t="s">
        <v>10</v>
      </c>
    </row>
    <row r="196" spans="1:6" x14ac:dyDescent="0.25">
      <c r="A196" s="11">
        <v>42005</v>
      </c>
      <c r="B196" s="7">
        <v>1.0222222222222224</v>
      </c>
      <c r="C196" s="7">
        <v>1.0368055555555555</v>
      </c>
      <c r="D196" s="7">
        <f>(1.03680555555556-1.02222222222222)</f>
        <v>1.4583333333340054E-2</v>
      </c>
      <c r="E196" s="7">
        <f>ABS(0.0145833333333401-0.0187500000000009)</f>
        <v>4.1666666666608006E-3</v>
      </c>
      <c r="F196" s="1" t="s">
        <v>10</v>
      </c>
    </row>
    <row r="197" spans="1:6" x14ac:dyDescent="0.25">
      <c r="A197" s="11">
        <v>42005</v>
      </c>
      <c r="B197" s="7">
        <v>0.89444444444444438</v>
      </c>
      <c r="C197" s="7">
        <v>0.91319444444444453</v>
      </c>
      <c r="D197" s="7">
        <f>(0.913194444444445-0.894444444444444)</f>
        <v>1.8750000000000933E-2</v>
      </c>
      <c r="E197" s="7">
        <f>ABS(0.0187500000000009-0.018055555555555)</f>
        <v>6.9444444444590261E-4</v>
      </c>
      <c r="F197" s="1" t="s">
        <v>10</v>
      </c>
    </row>
    <row r="198" spans="1:6" x14ac:dyDescent="0.25">
      <c r="A198" s="11">
        <v>42005</v>
      </c>
      <c r="B198" s="7">
        <v>0.74791666666666667</v>
      </c>
      <c r="C198" s="7">
        <v>0.76597222222222217</v>
      </c>
      <c r="D198" s="7">
        <f>(0.765972222222222-0.747916666666667)</f>
        <v>1.8055555555555047E-2</v>
      </c>
      <c r="E198" s="7">
        <f>ABS(0.018055555555555-0.020833333333333)</f>
        <v>2.7777777777780004E-3</v>
      </c>
      <c r="F198" s="1" t="s">
        <v>10</v>
      </c>
    </row>
    <row r="199" spans="1:6" x14ac:dyDescent="0.25">
      <c r="A199" s="11">
        <v>42005</v>
      </c>
      <c r="B199" s="7">
        <v>0.63541666666666663</v>
      </c>
      <c r="C199" s="7">
        <v>0.65625</v>
      </c>
      <c r="D199" s="7">
        <f>(0.65625-0.635416666666667)</f>
        <v>2.0833333333333037E-2</v>
      </c>
      <c r="E199" s="7">
        <f>ABS(0.020833333333333-0.01875)</f>
        <v>2.0833333333329998E-3</v>
      </c>
      <c r="F199" s="1" t="s">
        <v>10</v>
      </c>
    </row>
    <row r="200" spans="1:6" x14ac:dyDescent="0.25">
      <c r="A200" s="11">
        <v>42005</v>
      </c>
      <c r="B200" s="7">
        <v>0.47569444444444442</v>
      </c>
      <c r="C200" s="7">
        <v>0.49444444444444446</v>
      </c>
      <c r="D200" s="7">
        <f>(0.494444444444444-0.475694444444444)</f>
        <v>1.8750000000000044E-2</v>
      </c>
      <c r="E200" s="7">
        <f>ABS(0.01875-0.032638888888889)</f>
        <v>1.3888888888889003E-2</v>
      </c>
      <c r="F200" s="1" t="s">
        <v>10</v>
      </c>
    </row>
    <row r="201" spans="1:6" x14ac:dyDescent="0.25">
      <c r="A201" s="11">
        <v>42005</v>
      </c>
      <c r="B201" s="7">
        <v>0.87916666666666676</v>
      </c>
      <c r="C201" s="7">
        <v>0.91180555555555554</v>
      </c>
      <c r="D201" s="7">
        <f>(0.911805555555556-0.879166666666667)</f>
        <v>3.2638888888888995E-2</v>
      </c>
      <c r="E201" s="7">
        <f>ABS(0.032638888888889-0.025)</f>
        <v>7.6388888888890005E-3</v>
      </c>
      <c r="F201" s="1" t="s">
        <v>10</v>
      </c>
    </row>
    <row r="202" spans="1:6" x14ac:dyDescent="0.25">
      <c r="A202" s="11">
        <v>42005</v>
      </c>
      <c r="B202" s="7">
        <v>0.83611111111111114</v>
      </c>
      <c r="C202" s="7">
        <v>0.86111111111111116</v>
      </c>
      <c r="D202" s="7">
        <f>(0.861111111111111-0.836111111111111)</f>
        <v>2.5000000000000022E-2</v>
      </c>
      <c r="E202" s="7">
        <f>ABS(0.025-0.030555555555556)</f>
        <v>5.5555555555559973E-3</v>
      </c>
      <c r="F202" s="1" t="s">
        <v>10</v>
      </c>
    </row>
    <row r="203" spans="1:6" x14ac:dyDescent="0.25">
      <c r="A203" s="11">
        <v>42005</v>
      </c>
      <c r="B203" s="7">
        <v>0.70486111111111116</v>
      </c>
      <c r="C203" s="7">
        <v>0.73541666666666661</v>
      </c>
      <c r="D203" s="7">
        <f>(0.735416666666667-0.704861111111111)</f>
        <v>3.0555555555556002E-2</v>
      </c>
      <c r="E203" s="7">
        <f>ABS(0.030555555555556-0.0180555555555549)</f>
        <v>1.2500000000001097E-2</v>
      </c>
      <c r="F203" s="1" t="s">
        <v>10</v>
      </c>
    </row>
    <row r="204" spans="1:6" x14ac:dyDescent="0.25">
      <c r="A204" s="11">
        <v>42005</v>
      </c>
      <c r="B204" s="7">
        <v>0.71388888888888891</v>
      </c>
      <c r="C204" s="7">
        <v>0.7319444444444444</v>
      </c>
      <c r="D204" s="7">
        <f>(0.731944444444444-0.713888888888889)</f>
        <v>1.8055555555554936E-2</v>
      </c>
      <c r="E204" s="7">
        <f>ABS(0.0180555555555549-0.020138888888888)</f>
        <v>2.0833333333330969E-3</v>
      </c>
      <c r="F204" s="1" t="s">
        <v>10</v>
      </c>
    </row>
    <row r="205" spans="1:6" x14ac:dyDescent="0.25">
      <c r="A205" s="11">
        <v>42005</v>
      </c>
      <c r="B205" s="7">
        <v>0.68680555555555556</v>
      </c>
      <c r="C205" s="7">
        <v>0.70694444444444438</v>
      </c>
      <c r="D205" s="7">
        <f>(0.706944444444444-0.686805555555556)</f>
        <v>2.013888888888804E-2</v>
      </c>
      <c r="E205" s="7">
        <f>ABS(0.020138888888888-0.020833333333333)</f>
        <v>6.9444444444500056E-4</v>
      </c>
      <c r="F205" s="1" t="s">
        <v>10</v>
      </c>
    </row>
    <row r="206" spans="1:6" x14ac:dyDescent="0.25">
      <c r="A206" s="11">
        <v>42005</v>
      </c>
      <c r="B206" s="7">
        <v>0.68541666666666667</v>
      </c>
      <c r="C206" s="7">
        <v>0.70624999999999993</v>
      </c>
      <c r="D206" s="7">
        <f>(0.70625-0.685416666666667)</f>
        <v>2.0833333333333037E-2</v>
      </c>
      <c r="E206" s="7">
        <f>ABS(0.020833333333333-0.0173611111111109)</f>
        <v>3.4722222222220989E-3</v>
      </c>
      <c r="F206" s="1" t="s">
        <v>10</v>
      </c>
    </row>
    <row r="207" spans="1:6" x14ac:dyDescent="0.25">
      <c r="A207" s="11">
        <v>42005</v>
      </c>
      <c r="B207" s="7">
        <v>0.5805555555555556</v>
      </c>
      <c r="C207" s="7">
        <v>0.59791666666666665</v>
      </c>
      <c r="D207" s="7">
        <f>(0.597916666666667-0.580555555555556)</f>
        <v>1.7361111111110938E-2</v>
      </c>
      <c r="E207" s="7">
        <f>ABS(0.0173611111111109-0.022916666666667)</f>
        <v>5.5555555555561013E-3</v>
      </c>
      <c r="F207" s="1" t="s">
        <v>10</v>
      </c>
    </row>
    <row r="208" spans="1:6" x14ac:dyDescent="0.25">
      <c r="A208" s="11">
        <v>42005</v>
      </c>
      <c r="B208" s="7">
        <v>0.42222222222222222</v>
      </c>
      <c r="C208" s="7">
        <v>0.44513888888888892</v>
      </c>
      <c r="D208" s="7">
        <f>(0.445138888888889-0.422222222222222)</f>
        <v>2.2916666666666974E-2</v>
      </c>
      <c r="E208" s="7">
        <f>ABS(0.022916666666667-0.016666666666667)</f>
        <v>6.2500000000000021E-3</v>
      </c>
      <c r="F208" s="1" t="s">
        <v>10</v>
      </c>
    </row>
    <row r="209" spans="1:6" x14ac:dyDescent="0.25">
      <c r="A209" s="11">
        <v>42005</v>
      </c>
      <c r="B209" s="7">
        <v>0.3972222222222222</v>
      </c>
      <c r="C209" s="7">
        <v>0.41388888888888892</v>
      </c>
      <c r="D209" s="7">
        <f>(0.413888888888889-0.397222222222222)</f>
        <v>1.6666666666666996E-2</v>
      </c>
      <c r="E209" s="7">
        <f>ABS(0.016666666666667-0.00972222222222302)</f>
        <v>6.9444444444439792E-3</v>
      </c>
      <c r="F209" s="1" t="s">
        <v>10</v>
      </c>
    </row>
    <row r="210" spans="1:6" x14ac:dyDescent="0.25">
      <c r="A210" s="11">
        <v>42005</v>
      </c>
      <c r="B210" s="7">
        <v>0.28194444444444444</v>
      </c>
      <c r="C210" s="7">
        <v>0.29166666666666669</v>
      </c>
      <c r="D210" s="7">
        <f>(0.291666666666667-0.281944444444444)</f>
        <v>9.7222222222230203E-3</v>
      </c>
      <c r="E210" s="7">
        <f>ABS(0.00972222222222302-0.0173611111111109)</f>
        <v>7.6388888888878799E-3</v>
      </c>
      <c r="F210" s="1" t="s">
        <v>10</v>
      </c>
    </row>
    <row r="211" spans="1:6" x14ac:dyDescent="0.25">
      <c r="A211" s="11">
        <v>42005</v>
      </c>
      <c r="B211" s="7">
        <v>0.90416666666666667</v>
      </c>
      <c r="C211" s="7">
        <v>0.92152777777777783</v>
      </c>
      <c r="D211" s="7">
        <f>(0.921527777777778-0.904166666666667)</f>
        <v>1.7361111111110938E-2</v>
      </c>
      <c r="E211" s="7">
        <f>ABS(0.0173611111111109-0.0166666666666671)</f>
        <v>6.9444444444380013E-4</v>
      </c>
      <c r="F211" s="1" t="s">
        <v>10</v>
      </c>
    </row>
    <row r="212" spans="1:6" x14ac:dyDescent="0.25">
      <c r="A212" s="11">
        <v>42005</v>
      </c>
      <c r="B212" s="7">
        <v>0.8833333333333333</v>
      </c>
      <c r="C212" s="7">
        <v>0.9</v>
      </c>
      <c r="D212" s="7">
        <f>(0.9-0.883333333333333)</f>
        <v>1.6666666666667052E-2</v>
      </c>
      <c r="E212" s="7">
        <f>ABS(0.0166666666666671-0.0159722222222219)</f>
        <v>6.9444444444520179E-4</v>
      </c>
      <c r="F212" s="1" t="s">
        <v>10</v>
      </c>
    </row>
    <row r="213" spans="1:6" x14ac:dyDescent="0.25">
      <c r="A213" s="11">
        <v>42005</v>
      </c>
      <c r="B213" s="7">
        <v>0.8666666666666667</v>
      </c>
      <c r="C213" s="7">
        <v>0.88263888888888886</v>
      </c>
      <c r="D213" s="7">
        <f>(0.882638888888889-0.866666666666667)</f>
        <v>1.5972222222221943E-2</v>
      </c>
      <c r="E213" s="7">
        <f>ABS(0.0159722222222219-0.019444444444444)</f>
        <v>3.4722222222221023E-3</v>
      </c>
      <c r="F213" s="1" t="s">
        <v>10</v>
      </c>
    </row>
    <row r="214" spans="1:6" x14ac:dyDescent="0.25">
      <c r="A214" s="11">
        <v>42005</v>
      </c>
      <c r="B214" s="7">
        <v>0.72013888888888899</v>
      </c>
      <c r="C214" s="7">
        <v>0.73958333333333337</v>
      </c>
      <c r="D214" s="7">
        <f>(0.739583333333333-0.720138888888889)</f>
        <v>1.9444444444444042E-2</v>
      </c>
      <c r="E214" s="7">
        <f>ABS(0.019444444444444-0.018055555555556)</f>
        <v>1.3888888888879992E-3</v>
      </c>
      <c r="F214" s="1" t="s">
        <v>10</v>
      </c>
    </row>
    <row r="215" spans="1:6" x14ac:dyDescent="0.25">
      <c r="A215" s="11">
        <v>42005</v>
      </c>
      <c r="B215" s="7">
        <v>0.63611111111111118</v>
      </c>
      <c r="C215" s="7">
        <v>0.65416666666666667</v>
      </c>
      <c r="D215" s="7">
        <f>(0.654166666666667-0.636111111111111)</f>
        <v>1.8055555555556047E-2</v>
      </c>
      <c r="E215" s="7">
        <f>ABS(0.018055555555556-0.022916666666666)</f>
        <v>4.8611111111099975E-3</v>
      </c>
      <c r="F215" s="1" t="s">
        <v>10</v>
      </c>
    </row>
    <row r="216" spans="1:6" x14ac:dyDescent="0.25">
      <c r="A216" s="11">
        <v>42005</v>
      </c>
      <c r="B216" s="7">
        <v>0.62152777777777779</v>
      </c>
      <c r="C216" s="7">
        <v>0.64444444444444449</v>
      </c>
      <c r="D216" s="7">
        <f>(0.644444444444444-0.621527777777778)</f>
        <v>2.291666666666603E-2</v>
      </c>
      <c r="E216" s="7">
        <f>ABS(0.022916666666666-0.03125)</f>
        <v>8.3333333333340011E-3</v>
      </c>
      <c r="F216" s="1" t="s">
        <v>10</v>
      </c>
    </row>
    <row r="217" spans="1:6" x14ac:dyDescent="0.25">
      <c r="A217" s="11">
        <v>42005</v>
      </c>
      <c r="B217" s="7">
        <v>0.61041666666666672</v>
      </c>
      <c r="C217" s="7">
        <v>0.64166666666666672</v>
      </c>
      <c r="D217" s="7">
        <f>(0.641666666666667-0.610416666666667)</f>
        <v>3.125E-2</v>
      </c>
      <c r="E217" s="7">
        <f>ABS(0.03125-0.027777777777778)</f>
        <v>3.4722222222220017E-3</v>
      </c>
      <c r="F217" s="1" t="s">
        <v>10</v>
      </c>
    </row>
    <row r="218" spans="1:6" x14ac:dyDescent="0.25">
      <c r="A218" s="11">
        <v>42005</v>
      </c>
      <c r="B218" s="7">
        <v>0.53749999999999998</v>
      </c>
      <c r="C218" s="7">
        <v>0.56527777777777777</v>
      </c>
      <c r="D218" s="7">
        <f>(0.565277777777778-0.5375)</f>
        <v>2.7777777777778012E-2</v>
      </c>
      <c r="E218" s="7">
        <f>ABS(0.027777777777778-0.0159722222222219)</f>
        <v>1.18055555555561E-2</v>
      </c>
      <c r="F218" s="1" t="s">
        <v>10</v>
      </c>
    </row>
    <row r="219" spans="1:6" x14ac:dyDescent="0.25">
      <c r="A219" s="11">
        <v>42005</v>
      </c>
      <c r="B219" s="7">
        <v>0.51666666666666672</v>
      </c>
      <c r="C219" s="7">
        <v>0.53263888888888888</v>
      </c>
      <c r="D219" s="7">
        <f>(0.532638888888889-0.516666666666667)</f>
        <v>1.5972222222221943E-2</v>
      </c>
      <c r="E219" s="7">
        <f>ABS(0.0159722222222219-0.0187499999999999)</f>
        <v>2.7777777777780004E-3</v>
      </c>
      <c r="F219" s="1" t="s">
        <v>10</v>
      </c>
    </row>
    <row r="220" spans="1:6" x14ac:dyDescent="0.25">
      <c r="A220" s="11">
        <v>42005</v>
      </c>
      <c r="B220" s="7">
        <v>0.92499999999999993</v>
      </c>
      <c r="C220" s="7">
        <v>0.94374999999999998</v>
      </c>
      <c r="D220" s="7">
        <f>(0.94375-0.925)</f>
        <v>1.8749999999999933E-2</v>
      </c>
      <c r="E220" s="7">
        <f>ABS(0.0187499999999999-0.0145833333333339)</f>
        <v>4.1666666666659979E-3</v>
      </c>
      <c r="F220" s="1" t="s">
        <v>10</v>
      </c>
    </row>
    <row r="221" spans="1:6" x14ac:dyDescent="0.25">
      <c r="A221" s="11">
        <v>42005</v>
      </c>
      <c r="B221" s="7">
        <v>0.86944444444444446</v>
      </c>
      <c r="C221" s="7">
        <v>0.88402777777777775</v>
      </c>
      <c r="D221" s="7">
        <f>(0.884027777777778-0.869444444444444)</f>
        <v>1.4583333333333948E-2</v>
      </c>
      <c r="E221" s="7">
        <f>ABS(0.0145833333333339-0.0208333333333339)</f>
        <v>6.2500000000000003E-3</v>
      </c>
      <c r="F221" s="1" t="s">
        <v>10</v>
      </c>
    </row>
    <row r="222" spans="1:6" x14ac:dyDescent="0.25">
      <c r="A222" s="11">
        <v>42005</v>
      </c>
      <c r="B222" s="7">
        <v>0.76944444444444438</v>
      </c>
      <c r="C222" s="7">
        <v>0.79027777777777775</v>
      </c>
      <c r="D222" s="7">
        <f>(0.790277777777778-0.769444444444444)</f>
        <v>2.0833333333333925E-2</v>
      </c>
      <c r="E222" s="7">
        <f>ABS(0.0208333333333339-0.020833333333333)</f>
        <v>9.0205620750793969E-16</v>
      </c>
      <c r="F222" s="1" t="s">
        <v>10</v>
      </c>
    </row>
    <row r="223" spans="1:6" x14ac:dyDescent="0.25">
      <c r="A223" s="11">
        <v>42005</v>
      </c>
      <c r="B223" s="7">
        <v>0.4291666666666667</v>
      </c>
      <c r="C223" s="7">
        <v>0.45</v>
      </c>
      <c r="D223" s="7">
        <f>(0.45-0.429166666666667)</f>
        <v>2.0833333333333037E-2</v>
      </c>
      <c r="E223" s="7">
        <f>ABS(0.020833333333333-0.021527777777777)</f>
        <v>6.9444444444400136E-4</v>
      </c>
      <c r="F223" s="1" t="s">
        <v>10</v>
      </c>
    </row>
    <row r="224" spans="1:6" x14ac:dyDescent="0.25">
      <c r="A224" s="11">
        <v>42005</v>
      </c>
      <c r="B224" s="7">
        <v>0.4069444444444445</v>
      </c>
      <c r="C224" s="7">
        <v>0.4284722222222222</v>
      </c>
      <c r="D224" s="7">
        <f>(0.428472222222222-0.406944444444445)</f>
        <v>2.152777777777698E-2</v>
      </c>
      <c r="E224" s="7">
        <f>ABS(0.021527777777777-0.019444444444444)</f>
        <v>2.0833333333329998E-3</v>
      </c>
      <c r="F224" s="1" t="s">
        <v>10</v>
      </c>
    </row>
    <row r="225" spans="1:6" x14ac:dyDescent="0.25">
      <c r="A225" s="11">
        <v>42005</v>
      </c>
      <c r="B225" s="7">
        <v>0.21875</v>
      </c>
      <c r="C225" s="7">
        <v>0.23819444444444446</v>
      </c>
      <c r="D225" s="7">
        <f>(0.238194444444444-0.21875)</f>
        <v>1.9444444444443987E-2</v>
      </c>
      <c r="E225" s="7">
        <f>ABS(0.019444444444444-0.013194444444444)</f>
        <v>6.2500000000000003E-3</v>
      </c>
      <c r="F225" s="1" t="s">
        <v>10</v>
      </c>
    </row>
    <row r="226" spans="1:6" x14ac:dyDescent="0.25">
      <c r="A226" s="11">
        <v>42005</v>
      </c>
      <c r="B226" s="7">
        <v>0.15277777777777776</v>
      </c>
      <c r="C226" s="7">
        <v>0.16597222222222222</v>
      </c>
      <c r="D226" s="7">
        <f>(0.165972222222222-0.152777777777778)</f>
        <v>1.3194444444443981E-2</v>
      </c>
      <c r="E226" s="7">
        <f>ABS(0.013194444444444-0.519444444444445)</f>
        <v>0.50625000000000109</v>
      </c>
      <c r="F226" s="1" t="s">
        <v>10</v>
      </c>
    </row>
    <row r="227" spans="1:6" x14ac:dyDescent="0.25">
      <c r="A227" s="11">
        <v>42005</v>
      </c>
      <c r="B227" s="7">
        <v>6.9444444444444434E-2</v>
      </c>
      <c r="C227" s="7">
        <v>0.58888888888888891</v>
      </c>
      <c r="D227" s="7">
        <f>(0.588888888888889-0.0694444444444444)</f>
        <v>0.5194444444444446</v>
      </c>
      <c r="E227" s="7">
        <f>ABS(0.519444444444445-0.0222222222222222)</f>
        <v>0.49722222222222284</v>
      </c>
      <c r="F227" s="1" t="s">
        <v>10</v>
      </c>
    </row>
    <row r="228" spans="1:6" x14ac:dyDescent="0.25">
      <c r="A228" s="11">
        <v>42005</v>
      </c>
      <c r="B228" s="7">
        <v>6.0416666666666667E-2</v>
      </c>
      <c r="C228" s="7">
        <v>8.2638888888888887E-2</v>
      </c>
      <c r="D228" s="7">
        <f>(0.0826388888888889-0.0604166666666667)</f>
        <v>2.2222222222222199E-2</v>
      </c>
      <c r="E228" s="7">
        <f>ABS(0.0222222222222222-0.0152777777777781)</f>
        <v>6.9444444444440988E-3</v>
      </c>
      <c r="F228" s="1" t="s">
        <v>10</v>
      </c>
    </row>
    <row r="229" spans="1:6" x14ac:dyDescent="0.25">
      <c r="A229" s="11">
        <v>42005</v>
      </c>
      <c r="B229" s="7">
        <v>0.7319444444444444</v>
      </c>
      <c r="C229" s="7">
        <v>0.74722222222222223</v>
      </c>
      <c r="D229" s="7">
        <f>(0.747222222222222-0.731944444444444)</f>
        <v>1.5277777777778057E-2</v>
      </c>
      <c r="E229" s="7">
        <f>ABS(0.0152777777777781-0.018055555555555)</f>
        <v>2.7777777777768988E-3</v>
      </c>
      <c r="F229" s="1" t="s">
        <v>10</v>
      </c>
    </row>
    <row r="230" spans="1:6" x14ac:dyDescent="0.25">
      <c r="A230" s="11">
        <v>42005</v>
      </c>
      <c r="B230" s="7">
        <v>0.78749999999999998</v>
      </c>
      <c r="C230" s="7">
        <v>0.80555555555555547</v>
      </c>
      <c r="D230" s="7">
        <f>(0.805555555555555-0.7875)</f>
        <v>1.8055555555555047E-2</v>
      </c>
      <c r="E230" s="7">
        <f>ABS(0.018055555555555-0.01875)</f>
        <v>6.9444444444500056E-4</v>
      </c>
      <c r="F230" s="1" t="s">
        <v>10</v>
      </c>
    </row>
    <row r="231" spans="1:6" x14ac:dyDescent="0.25">
      <c r="A231" s="11">
        <v>42005</v>
      </c>
      <c r="B231" s="7">
        <v>0.72361111111111109</v>
      </c>
      <c r="C231" s="7">
        <v>0.74236111111111114</v>
      </c>
      <c r="D231" s="7">
        <f>(0.742361111111111-0.723611111111111)</f>
        <v>1.8750000000000044E-2</v>
      </c>
      <c r="E231" s="7">
        <f>ABS(0.01875-0.022222222222222)</f>
        <v>3.4722222222220017E-3</v>
      </c>
      <c r="F231" s="1" t="s">
        <v>10</v>
      </c>
    </row>
    <row r="232" spans="1:6" x14ac:dyDescent="0.25">
      <c r="A232" s="11">
        <v>42005</v>
      </c>
      <c r="B232" s="7">
        <v>0.62916666666666665</v>
      </c>
      <c r="C232" s="7">
        <v>0.65138888888888891</v>
      </c>
      <c r="D232" s="7">
        <f>(0.651388888888889-0.629166666666667)</f>
        <v>2.2222222222222032E-2</v>
      </c>
      <c r="E232" s="7">
        <f>ABS(0.022222222222222-0.020833333333333)</f>
        <v>1.3888888888890019E-3</v>
      </c>
      <c r="F232" s="1" t="s">
        <v>10</v>
      </c>
    </row>
    <row r="233" spans="1:6" x14ac:dyDescent="0.25">
      <c r="A233" s="11">
        <v>42005</v>
      </c>
      <c r="B233" s="7">
        <v>0.62430555555555556</v>
      </c>
      <c r="C233" s="7">
        <v>0.64513888888888882</v>
      </c>
      <c r="D233" s="7">
        <f>(0.645138888888889-0.624305555555556)</f>
        <v>2.0833333333333037E-2</v>
      </c>
      <c r="E233" s="7">
        <f>ABS(0.020833333333333-0.0187499999999999)</f>
        <v>2.0833333333331004E-3</v>
      </c>
      <c r="F233" s="1" t="s">
        <v>10</v>
      </c>
    </row>
    <row r="234" spans="1:6" x14ac:dyDescent="0.25">
      <c r="A234" s="11">
        <v>42005</v>
      </c>
      <c r="B234" s="7">
        <v>0.55277777777777781</v>
      </c>
      <c r="C234" s="7">
        <v>0.57152777777777775</v>
      </c>
      <c r="D234" s="7">
        <f>(0.571527777777778-0.552777777777778)</f>
        <v>1.8749999999999933E-2</v>
      </c>
      <c r="E234" s="7">
        <f>ABS(0.0187499999999999-0.015972222222223)</f>
        <v>2.7777777777768971E-3</v>
      </c>
      <c r="F234" s="1" t="s">
        <v>10</v>
      </c>
    </row>
    <row r="235" spans="1:6" x14ac:dyDescent="0.25">
      <c r="A235" s="11">
        <v>42005</v>
      </c>
      <c r="B235" s="7">
        <v>0.21458333333333335</v>
      </c>
      <c r="C235" s="7">
        <v>0.23055555555555554</v>
      </c>
      <c r="D235" s="7">
        <f>(0.230555555555556-0.214583333333333)</f>
        <v>1.5972222222223026E-2</v>
      </c>
      <c r="E235" s="7">
        <f>ABS(0.015972222222223-0.015972222222222)</f>
        <v>1.0026701691145945E-15</v>
      </c>
      <c r="F235" s="1" t="s">
        <v>10</v>
      </c>
    </row>
    <row r="236" spans="1:6" x14ac:dyDescent="0.25">
      <c r="A236" s="11">
        <v>42005</v>
      </c>
      <c r="B236" s="7">
        <v>0.4777777777777778</v>
      </c>
      <c r="C236" s="7">
        <v>0.49374999999999997</v>
      </c>
      <c r="D236" s="7">
        <f>(0.49375-0.477777777777778)</f>
        <v>1.5972222222221999E-2</v>
      </c>
      <c r="E236" s="7">
        <f>ABS(0.015972222222222-0.020138888888889)</f>
        <v>4.1666666666670023E-3</v>
      </c>
      <c r="F236" s="1" t="s">
        <v>10</v>
      </c>
    </row>
    <row r="237" spans="1:6" x14ac:dyDescent="0.25">
      <c r="A237" s="11">
        <v>42005</v>
      </c>
      <c r="B237" s="7">
        <v>0.52708333333333335</v>
      </c>
      <c r="C237" s="7">
        <v>0.54722222222222217</v>
      </c>
      <c r="D237" s="7">
        <f>(0.547222222222222-0.527083333333333)</f>
        <v>2.0138888888889039E-2</v>
      </c>
      <c r="E237" s="7">
        <f>ABS(0.020138888888889-0.0152777777777799)</f>
        <v>4.8611111111091006E-3</v>
      </c>
      <c r="F237" s="1" t="s">
        <v>10</v>
      </c>
    </row>
    <row r="238" spans="1:6" x14ac:dyDescent="0.25">
      <c r="A238" s="11">
        <v>42005</v>
      </c>
      <c r="B238" s="7">
        <v>1.0215277777777778</v>
      </c>
      <c r="C238" s="7">
        <v>1.0368055555555555</v>
      </c>
      <c r="D238" s="7">
        <f>(1.03680555555556-1.02152777777778)</f>
        <v>1.5277777777779944E-2</v>
      </c>
      <c r="E238" s="7">
        <f>ABS(0.0152777777777799-0)</f>
        <v>1.5277777777779901E-2</v>
      </c>
      <c r="F238" s="1" t="s">
        <v>10</v>
      </c>
    </row>
    <row r="239" spans="1:6" x14ac:dyDescent="0.25">
      <c r="A239" s="11">
        <v>42005</v>
      </c>
      <c r="B239" s="7">
        <v>0.94305555555555554</v>
      </c>
      <c r="C239" s="7">
        <v>0.94305555555555554</v>
      </c>
      <c r="D239" s="7">
        <f>(0.943055555555556-0.943055555555556)</f>
        <v>0</v>
      </c>
      <c r="E239" s="7">
        <f>ABS(0-0.052777777777777)</f>
        <v>5.2777777777777E-2</v>
      </c>
      <c r="F239" s="1" t="s">
        <v>10</v>
      </c>
    </row>
    <row r="240" spans="1:6" x14ac:dyDescent="0.25">
      <c r="A240" s="11">
        <v>42005</v>
      </c>
      <c r="B240" s="7">
        <v>0.76041666666666663</v>
      </c>
      <c r="C240" s="7">
        <v>0.81319444444444444</v>
      </c>
      <c r="D240" s="7">
        <f>(0.813194444444444-0.760416666666667)</f>
        <v>5.2777777777777035E-2</v>
      </c>
      <c r="E240" s="7">
        <f>ABS(0.052777777777777-0.019444444444445)</f>
        <v>3.3333333333332001E-2</v>
      </c>
      <c r="F240" s="1" t="s">
        <v>10</v>
      </c>
    </row>
    <row r="241" spans="1:6" x14ac:dyDescent="0.25">
      <c r="A241" s="11">
        <v>42005</v>
      </c>
      <c r="B241" s="7">
        <v>0.74861111111111101</v>
      </c>
      <c r="C241" s="7">
        <v>0.7680555555555556</v>
      </c>
      <c r="D241" s="7">
        <f>(0.768055555555556-0.748611111111111)</f>
        <v>1.9444444444445041E-2</v>
      </c>
      <c r="E241" s="7"/>
      <c r="F241" s="1" t="s">
        <v>10</v>
      </c>
    </row>
    <row r="242" spans="1:6" x14ac:dyDescent="0.25">
      <c r="A242" s="11">
        <v>42005</v>
      </c>
      <c r="B242" s="7">
        <v>0.74930555555555556</v>
      </c>
      <c r="C242" s="7">
        <v>0.77777777777777779</v>
      </c>
      <c r="D242" s="7">
        <f>(0.777777777777778-0.749305555555556)</f>
        <v>2.847222222222201E-2</v>
      </c>
      <c r="E242" s="7">
        <f>ABS(0.028472222222222-0.013888888888889)</f>
        <v>1.4583333333333E-2</v>
      </c>
      <c r="F242" s="1" t="s">
        <v>8</v>
      </c>
    </row>
    <row r="243" spans="1:6" x14ac:dyDescent="0.25">
      <c r="A243" s="11">
        <v>42005</v>
      </c>
      <c r="B243" s="7">
        <v>0.68333333333333324</v>
      </c>
      <c r="C243" s="7">
        <v>0.6972222222222223</v>
      </c>
      <c r="D243" s="7">
        <f>(0.697222222222222-0.683333333333333)</f>
        <v>1.3888888888888951E-2</v>
      </c>
      <c r="E243" s="7">
        <f>ABS(0.013888888888889-0.013888888888888)</f>
        <v>9.9920072216264089E-16</v>
      </c>
      <c r="F243" s="1" t="s">
        <v>8</v>
      </c>
    </row>
    <row r="244" spans="1:6" x14ac:dyDescent="0.25">
      <c r="A244" s="11">
        <v>42005</v>
      </c>
      <c r="B244" s="7">
        <v>0.34930555555555554</v>
      </c>
      <c r="C244" s="7">
        <v>0.36319444444444443</v>
      </c>
      <c r="D244" s="7">
        <f>(0.363194444444444-0.349305555555556)</f>
        <v>1.3888888888888007E-2</v>
      </c>
      <c r="E244" s="7">
        <f>ABS(0.013888888888888-0.017361111111111)</f>
        <v>3.4722222222230009E-3</v>
      </c>
      <c r="F244" s="1" t="s">
        <v>8</v>
      </c>
    </row>
    <row r="245" spans="1:6" x14ac:dyDescent="0.25">
      <c r="A245" s="11">
        <v>42005</v>
      </c>
      <c r="B245" s="7">
        <v>0.17430555555555557</v>
      </c>
      <c r="C245" s="7">
        <v>0.19166666666666665</v>
      </c>
      <c r="D245" s="7">
        <f>(0.191666666666667-0.174305555555556)</f>
        <v>1.7361111111111022E-2</v>
      </c>
      <c r="E245" s="7">
        <f>ABS(0.017361111111111-0.00277777777777799)</f>
        <v>1.4583333333333011E-2</v>
      </c>
      <c r="F245" s="1" t="s">
        <v>8</v>
      </c>
    </row>
    <row r="246" spans="1:6" x14ac:dyDescent="0.25">
      <c r="A246" s="11">
        <v>42005</v>
      </c>
      <c r="B246" s="7">
        <v>0.74375000000000002</v>
      </c>
      <c r="C246" s="7">
        <v>0.74652777777777779</v>
      </c>
      <c r="D246" s="7">
        <f>(0.746527777777778-0.74375)</f>
        <v>2.77777777777799E-3</v>
      </c>
      <c r="E246" s="7">
        <f>ABS(0.00277777777777799-0.0124999999999991)</f>
        <v>9.7222222222211104E-3</v>
      </c>
      <c r="F246" s="1" t="s">
        <v>8</v>
      </c>
    </row>
    <row r="247" spans="1:6" x14ac:dyDescent="0.25">
      <c r="A247" s="11">
        <v>42005</v>
      </c>
      <c r="B247" s="7">
        <v>0.91319444444444453</v>
      </c>
      <c r="C247" s="7">
        <v>0.92569444444444438</v>
      </c>
      <c r="D247" s="7">
        <f>(0.925694444444444-0.913194444444445)</f>
        <v>1.2499999999999067E-2</v>
      </c>
      <c r="E247" s="7">
        <f>ABS(0.0124999999999991-0.0125)</f>
        <v>9.0032148403196288E-16</v>
      </c>
      <c r="F247" s="1" t="s">
        <v>8</v>
      </c>
    </row>
    <row r="248" spans="1:6" x14ac:dyDescent="0.25">
      <c r="A248" s="11">
        <v>42005</v>
      </c>
      <c r="B248" s="7">
        <v>0.28194444444444444</v>
      </c>
      <c r="C248" s="7">
        <v>0.29444444444444445</v>
      </c>
      <c r="D248" s="7">
        <f>(0.294444444444444-0.281944444444444)</f>
        <v>1.2500000000000011E-2</v>
      </c>
      <c r="E248" s="7">
        <f>ABS(0.0125-0.032638888888889)</f>
        <v>2.0138888888889001E-2</v>
      </c>
      <c r="F248" s="1" t="s">
        <v>8</v>
      </c>
    </row>
    <row r="249" spans="1:6" x14ac:dyDescent="0.25">
      <c r="A249" s="11">
        <v>42005</v>
      </c>
      <c r="B249" s="7">
        <v>0.47083333333333338</v>
      </c>
      <c r="C249" s="7">
        <v>0.50347222222222221</v>
      </c>
      <c r="D249" s="7">
        <f>(0.503472222222222-0.470833333333333)</f>
        <v>3.2638888888888995E-2</v>
      </c>
      <c r="E249" s="7">
        <f>ABS(0.032638888888889-0.0166666666666661)</f>
        <v>1.5972222222222901E-2</v>
      </c>
      <c r="F249" s="1" t="s">
        <v>8</v>
      </c>
    </row>
    <row r="250" spans="1:6" x14ac:dyDescent="0.25">
      <c r="A250" s="11">
        <v>42005</v>
      </c>
      <c r="B250" s="7">
        <v>0.62430555555555556</v>
      </c>
      <c r="C250" s="7">
        <v>0.64097222222222217</v>
      </c>
      <c r="D250" s="7">
        <f>(0.640972222222222-0.624305555555556)</f>
        <v>1.6666666666666052E-2</v>
      </c>
      <c r="E250" s="7"/>
      <c r="F250" s="1" t="s">
        <v>8</v>
      </c>
    </row>
    <row r="251" spans="1:6" x14ac:dyDescent="0.25">
      <c r="A251" s="11">
        <v>42005</v>
      </c>
      <c r="B251" s="7">
        <v>1.0138888888888888</v>
      </c>
      <c r="C251" s="7">
        <v>1.0256944444444445</v>
      </c>
      <c r="D251" s="7">
        <f>(1.02569444444444-1.01388888888889)</f>
        <v>1.1805555555550074E-2</v>
      </c>
      <c r="E251" s="7">
        <f>ABS(0.0118055555555501-0.0104166666666667)</f>
        <v>1.3888888888833988E-3</v>
      </c>
      <c r="F251" s="1" t="s">
        <v>11</v>
      </c>
    </row>
    <row r="252" spans="1:6" x14ac:dyDescent="0.25">
      <c r="A252" s="11">
        <v>42005</v>
      </c>
      <c r="B252" s="7">
        <v>6.8749999999999992E-2</v>
      </c>
      <c r="C252" s="7">
        <v>7.9166666666666663E-2</v>
      </c>
      <c r="D252" s="7">
        <f>(0.0791666666666667-0.06875)</f>
        <v>1.0416666666666699E-2</v>
      </c>
      <c r="E252" s="7">
        <f>ABS(0.0104166666666667-0.020833333333333)</f>
        <v>1.0416666666666298E-2</v>
      </c>
      <c r="F252" s="1" t="s">
        <v>11</v>
      </c>
    </row>
    <row r="253" spans="1:6" x14ac:dyDescent="0.25">
      <c r="A253" s="11">
        <v>42005</v>
      </c>
      <c r="B253" s="7">
        <v>0.46180555555555558</v>
      </c>
      <c r="C253" s="7">
        <v>0.4826388888888889</v>
      </c>
      <c r="D253" s="7">
        <f>(0.482638888888889-0.461805555555556)</f>
        <v>2.0833333333332982E-2</v>
      </c>
      <c r="E253" s="7">
        <f>ABS(0.020833333333333-0.0201388888888889)</f>
        <v>6.944444444440985E-4</v>
      </c>
      <c r="F253" s="1" t="s">
        <v>11</v>
      </c>
    </row>
    <row r="254" spans="1:6" x14ac:dyDescent="0.25">
      <c r="A254" s="11">
        <v>42005</v>
      </c>
      <c r="B254" s="7">
        <v>0.70416666666666661</v>
      </c>
      <c r="C254" s="7">
        <v>0.72430555555555554</v>
      </c>
      <c r="D254" s="7">
        <f>(0.724305555555556-0.704166666666667)</f>
        <v>2.0138888888888928E-2</v>
      </c>
      <c r="E254" s="7">
        <f>ABS(0.0201388888888889-0.01875)</f>
        <v>1.3888888888889013E-3</v>
      </c>
      <c r="F254" s="1" t="s">
        <v>11</v>
      </c>
    </row>
    <row r="255" spans="1:6" x14ac:dyDescent="0.25">
      <c r="A255" s="11">
        <v>42005</v>
      </c>
      <c r="B255" s="7">
        <v>0.44791666666666669</v>
      </c>
      <c r="C255" s="7">
        <v>0.46666666666666662</v>
      </c>
      <c r="D255" s="7">
        <f>(0.466666666666667-0.447916666666667)</f>
        <v>1.8749999999999989E-2</v>
      </c>
      <c r="E255" s="7">
        <f>ABS(0.01875-0.023611111111111)</f>
        <v>4.8611111111110002E-3</v>
      </c>
      <c r="F255" s="1" t="s">
        <v>11</v>
      </c>
    </row>
    <row r="256" spans="1:6" x14ac:dyDescent="0.25">
      <c r="A256" s="11">
        <v>42005</v>
      </c>
      <c r="B256" s="7">
        <v>0.60277777777777775</v>
      </c>
      <c r="C256" s="7">
        <v>0.62638888888888888</v>
      </c>
      <c r="D256" s="7">
        <f>(0.626388888888889-0.602777777777778)</f>
        <v>2.3611111111111027E-2</v>
      </c>
      <c r="E256" s="7">
        <f>ABS(0.023611111111111-0.0236111111111109)</f>
        <v>1.0061396160665481E-16</v>
      </c>
      <c r="F256" s="1" t="s">
        <v>11</v>
      </c>
    </row>
    <row r="257" spans="1:6" x14ac:dyDescent="0.25">
      <c r="A257" s="11">
        <v>42005</v>
      </c>
      <c r="B257" s="7">
        <v>0.83263888888888893</v>
      </c>
      <c r="C257" s="7">
        <v>0.85625000000000007</v>
      </c>
      <c r="D257" s="7">
        <f>(0.85625-0.832638888888889)</f>
        <v>2.3611111111110916E-2</v>
      </c>
      <c r="E257" s="7">
        <f>ABS(0.0236111111111109-0.027777777777777)</f>
        <v>4.1666666666661002E-3</v>
      </c>
      <c r="F257" s="1" t="s">
        <v>11</v>
      </c>
    </row>
    <row r="258" spans="1:6" x14ac:dyDescent="0.25">
      <c r="A258" s="11">
        <v>42005</v>
      </c>
      <c r="B258" s="7">
        <v>0.29166666666666669</v>
      </c>
      <c r="C258" s="7">
        <v>0.31944444444444448</v>
      </c>
      <c r="D258" s="7">
        <f>(0.319444444444444-0.291666666666667)</f>
        <v>2.7777777777776957E-2</v>
      </c>
      <c r="E258" s="7">
        <f>ABS(0.027777777777777-0.022222222222222)</f>
        <v>5.5555555555549981E-3</v>
      </c>
      <c r="F258" s="1" t="s">
        <v>11</v>
      </c>
    </row>
    <row r="259" spans="1:6" x14ac:dyDescent="0.25">
      <c r="A259" s="11">
        <v>42005</v>
      </c>
      <c r="B259" s="7">
        <v>0.10416666666666667</v>
      </c>
      <c r="C259" s="7">
        <v>0.12638888888888888</v>
      </c>
      <c r="D259" s="7">
        <f>(0.126388888888889-0.104166666666667)</f>
        <v>2.2222222222221991E-2</v>
      </c>
      <c r="E259" s="7">
        <f>ABS(0.022222222222222-0.011805555555555)</f>
        <v>1.0416666666667001E-2</v>
      </c>
      <c r="F259" s="1" t="s">
        <v>11</v>
      </c>
    </row>
    <row r="260" spans="1:6" x14ac:dyDescent="0.25">
      <c r="A260" s="11">
        <v>42005</v>
      </c>
      <c r="B260" s="7">
        <v>0.2638888888888889</v>
      </c>
      <c r="C260" s="7">
        <v>0.27569444444444446</v>
      </c>
      <c r="D260" s="7">
        <f>(0.275694444444444-0.263888888888889)</f>
        <v>1.1805555555555014E-2</v>
      </c>
      <c r="E260" s="7">
        <f>ABS(0.011805555555555-0.025)</f>
        <v>1.3194444444445001E-2</v>
      </c>
      <c r="F260" s="1" t="s">
        <v>11</v>
      </c>
    </row>
    <row r="261" spans="1:6" x14ac:dyDescent="0.25">
      <c r="A261" s="11">
        <v>42005</v>
      </c>
      <c r="B261" s="7">
        <v>0.46597222222222223</v>
      </c>
      <c r="C261" s="7">
        <v>0.4909722222222222</v>
      </c>
      <c r="D261" s="7">
        <f>(0.490972222222222-0.465972222222222)</f>
        <v>2.4999999999999967E-2</v>
      </c>
      <c r="E261" s="7">
        <f>ABS(0.025-0.020138888888889)</f>
        <v>4.8611111111110002E-3</v>
      </c>
      <c r="F261" s="1" t="s">
        <v>11</v>
      </c>
    </row>
    <row r="262" spans="1:6" x14ac:dyDescent="0.25">
      <c r="A262" s="11">
        <v>42005</v>
      </c>
      <c r="B262" s="7">
        <v>0.53611111111111109</v>
      </c>
      <c r="C262" s="7">
        <v>0.55625000000000002</v>
      </c>
      <c r="D262" s="7">
        <f>(0.55625-0.536111111111111)</f>
        <v>2.0138888888889039E-2</v>
      </c>
      <c r="E262" s="7">
        <f>ABS(0.020138888888889-0.01875)</f>
        <v>1.3888888888890019E-3</v>
      </c>
      <c r="F262" s="1" t="s">
        <v>11</v>
      </c>
    </row>
    <row r="263" spans="1:6" x14ac:dyDescent="0.25">
      <c r="A263" s="11">
        <v>42005</v>
      </c>
      <c r="B263" s="7">
        <v>0.92013888888888884</v>
      </c>
      <c r="C263" s="7">
        <v>0.93888888888888899</v>
      </c>
      <c r="D263" s="7">
        <f>(0.938888888888889-0.920138888888889)</f>
        <v>1.8750000000000044E-2</v>
      </c>
      <c r="E263" s="7">
        <f>ABS(0.01875-0.029166666666667)</f>
        <v>1.0416666666667001E-2</v>
      </c>
      <c r="F263" s="1" t="s">
        <v>11</v>
      </c>
    </row>
    <row r="264" spans="1:6" x14ac:dyDescent="0.25">
      <c r="A264" s="11">
        <v>42005</v>
      </c>
      <c r="B264" s="7">
        <v>0.95833333333333337</v>
      </c>
      <c r="C264" s="7">
        <v>0.98749999999999993</v>
      </c>
      <c r="D264" s="7">
        <f>(0.9875-0.958333333333333)</f>
        <v>2.9166666666667007E-2</v>
      </c>
      <c r="E264" s="7">
        <f>ABS(0.029166666666667-0.020138888888889)</f>
        <v>9.027777777777999E-3</v>
      </c>
      <c r="F264" s="1" t="s">
        <v>11</v>
      </c>
    </row>
    <row r="265" spans="1:6" x14ac:dyDescent="0.25">
      <c r="A265" s="11">
        <v>42005</v>
      </c>
      <c r="B265" s="7">
        <v>0.97986111111111107</v>
      </c>
      <c r="C265" s="7">
        <v>1</v>
      </c>
      <c r="D265" s="7">
        <f>(1-0.979861111111111)</f>
        <v>2.0138888888889039E-2</v>
      </c>
      <c r="E265" s="7">
        <f>ABS(0.020138888888889-0.022916666666666)</f>
        <v>2.7777777777769977E-3</v>
      </c>
      <c r="F265" s="1" t="s">
        <v>11</v>
      </c>
    </row>
    <row r="266" spans="1:6" x14ac:dyDescent="0.25">
      <c r="A266" s="11">
        <v>42005</v>
      </c>
      <c r="B266" s="7">
        <v>0.21527777777777779</v>
      </c>
      <c r="C266" s="7">
        <v>0.23819444444444446</v>
      </c>
      <c r="D266" s="7">
        <f>(0.238194444444444-0.215277777777778)</f>
        <v>2.2916666666665975E-2</v>
      </c>
      <c r="E266" s="7">
        <f>ABS(0.022916666666666-0.025)</f>
        <v>2.0833333333340025E-3</v>
      </c>
      <c r="F266" s="1" t="s">
        <v>11</v>
      </c>
    </row>
    <row r="267" spans="1:6" x14ac:dyDescent="0.25">
      <c r="A267" s="11">
        <v>42005</v>
      </c>
      <c r="B267" s="7">
        <v>0.2388888888888889</v>
      </c>
      <c r="C267" s="7">
        <v>0.2638888888888889</v>
      </c>
      <c r="D267" s="7">
        <f>(0.263888888888889-0.238888888888889)</f>
        <v>2.4999999999999994E-2</v>
      </c>
      <c r="E267" s="7">
        <f>ABS(0.025-0.021527777777778)</f>
        <v>3.4722222222220017E-3</v>
      </c>
      <c r="F267" s="1" t="s">
        <v>11</v>
      </c>
    </row>
    <row r="268" spans="1:6" x14ac:dyDescent="0.25">
      <c r="A268" s="11">
        <v>42005</v>
      </c>
      <c r="B268" s="7">
        <v>0.75069444444444444</v>
      </c>
      <c r="C268" s="7">
        <v>0.77222222222222225</v>
      </c>
      <c r="D268" s="7">
        <f>(0.772222222222222-0.750694444444444)</f>
        <v>2.1527777777778034E-2</v>
      </c>
      <c r="E268" s="7">
        <f>ABS(0.021527777777778-0.022916666666666)</f>
        <v>1.3888888888879992E-3</v>
      </c>
      <c r="F268" s="1" t="s">
        <v>11</v>
      </c>
    </row>
    <row r="269" spans="1:6" x14ac:dyDescent="0.25">
      <c r="A269" s="11">
        <v>42005</v>
      </c>
      <c r="B269" s="7">
        <v>0.79027777777777775</v>
      </c>
      <c r="C269" s="7">
        <v>0.81319444444444444</v>
      </c>
      <c r="D269" s="7">
        <f>(0.813194444444444-0.790277777777778)</f>
        <v>2.291666666666603E-2</v>
      </c>
      <c r="E269" s="7">
        <f>ABS(0.022916666666666-0.022916666666667)</f>
        <v>1.0026701691145945E-15</v>
      </c>
      <c r="F269" s="1" t="s">
        <v>11</v>
      </c>
    </row>
    <row r="270" spans="1:6" x14ac:dyDescent="0.25">
      <c r="A270" s="11">
        <v>42005</v>
      </c>
      <c r="B270" s="7">
        <v>0.84236111111111101</v>
      </c>
      <c r="C270" s="7">
        <v>0.8652777777777777</v>
      </c>
      <c r="D270" s="7">
        <f>(0.865277777777778-0.842361111111111)</f>
        <v>2.2916666666667029E-2</v>
      </c>
      <c r="E270" s="7">
        <f>ABS(0.022916666666667-0.0229166666666667)</f>
        <v>3.0184188481996443E-16</v>
      </c>
      <c r="F270" s="1" t="s">
        <v>11</v>
      </c>
    </row>
    <row r="271" spans="1:6" x14ac:dyDescent="0.25">
      <c r="A271" s="11">
        <v>42005</v>
      </c>
      <c r="B271" s="7">
        <v>6.3194444444444442E-2</v>
      </c>
      <c r="C271" s="7">
        <v>8.6111111111111124E-2</v>
      </c>
      <c r="D271" s="7">
        <f>(0.0861111111111111-0.0631944444444444)</f>
        <v>2.2916666666666696E-2</v>
      </c>
      <c r="E271" s="7">
        <f>ABS(0.0229166666666667-0.025694444444444)</f>
        <v>2.7777777777772995E-3</v>
      </c>
      <c r="F271" s="1" t="s">
        <v>11</v>
      </c>
    </row>
    <row r="272" spans="1:6" x14ac:dyDescent="0.25">
      <c r="A272" s="11">
        <v>42005</v>
      </c>
      <c r="B272" s="7">
        <v>0.46666666666666662</v>
      </c>
      <c r="C272" s="7">
        <v>0.49236111111111108</v>
      </c>
      <c r="D272" s="7">
        <f>(0.492361111111111-0.466666666666667)</f>
        <v>2.569444444444402E-2</v>
      </c>
      <c r="E272" s="7">
        <f>ABS(0.025694444444444-0.0222222222222219)</f>
        <v>3.4722222222220989E-3</v>
      </c>
      <c r="F272" s="1" t="s">
        <v>11</v>
      </c>
    </row>
    <row r="273" spans="1:6" x14ac:dyDescent="0.25">
      <c r="A273" s="11">
        <v>42005</v>
      </c>
      <c r="B273" s="7">
        <v>0.61249999999999993</v>
      </c>
      <c r="C273" s="7">
        <v>0.63472222222222219</v>
      </c>
      <c r="D273" s="7">
        <f>(0.634722222222222-0.6125)</f>
        <v>2.2222222222221921E-2</v>
      </c>
      <c r="E273" s="7">
        <f>ABS(0.0222222222222219-0.0194444444444439)</f>
        <v>2.7777777777780004E-3</v>
      </c>
      <c r="F273" s="1" t="s">
        <v>11</v>
      </c>
    </row>
    <row r="274" spans="1:6" x14ac:dyDescent="0.25">
      <c r="A274" s="11">
        <v>42005</v>
      </c>
      <c r="B274" s="7">
        <v>0.67291666666666661</v>
      </c>
      <c r="C274" s="7">
        <v>0.69236111111111109</v>
      </c>
      <c r="D274" s="7">
        <f>(0.692361111111111-0.672916666666667)</f>
        <v>1.9444444444443931E-2</v>
      </c>
      <c r="E274" s="7">
        <f>ABS(0.0194444444444439-0.0173611111111109)</f>
        <v>2.0833333333329998E-3</v>
      </c>
      <c r="F274" s="1" t="s">
        <v>11</v>
      </c>
    </row>
    <row r="275" spans="1:6" x14ac:dyDescent="0.25">
      <c r="A275" s="11">
        <v>42005</v>
      </c>
      <c r="B275" s="7">
        <v>0.95763888888888893</v>
      </c>
      <c r="C275" s="7">
        <v>0.97499999999999998</v>
      </c>
      <c r="D275" s="7">
        <f>(0.975-0.957638888888889)</f>
        <v>1.7361111111110938E-2</v>
      </c>
      <c r="E275" s="7">
        <f>ABS(0.0173611111111109-0.033333333333333)</f>
        <v>1.59722222222221E-2</v>
      </c>
      <c r="F275" s="1" t="s">
        <v>11</v>
      </c>
    </row>
    <row r="276" spans="1:6" x14ac:dyDescent="0.25">
      <c r="A276" s="11">
        <v>42005</v>
      </c>
      <c r="B276" s="7">
        <v>0.59861111111111109</v>
      </c>
      <c r="C276" s="7">
        <v>0.63194444444444442</v>
      </c>
      <c r="D276" s="7">
        <f>(0.631944444444444-0.598611111111111)</f>
        <v>3.3333333333332993E-2</v>
      </c>
      <c r="E276" s="7">
        <f>ABS(0.033333333333333-0.0125)</f>
        <v>2.0833333333332999E-2</v>
      </c>
      <c r="F276" s="1" t="s">
        <v>11</v>
      </c>
    </row>
    <row r="277" spans="1:6" x14ac:dyDescent="0.25">
      <c r="A277" s="11">
        <v>42005</v>
      </c>
      <c r="B277" s="7">
        <v>0.49444444444444446</v>
      </c>
      <c r="C277" s="7">
        <v>0.50694444444444442</v>
      </c>
      <c r="D277" s="7">
        <f>(0.506944444444444-0.494444444444444)</f>
        <v>1.2499999999999956E-2</v>
      </c>
      <c r="E277" s="7">
        <f>ABS(0.0125-0.040972222222222)</f>
        <v>2.8472222222222E-2</v>
      </c>
      <c r="F277" s="1" t="s">
        <v>11</v>
      </c>
    </row>
    <row r="278" spans="1:6" x14ac:dyDescent="0.25">
      <c r="A278" s="11">
        <v>42005</v>
      </c>
      <c r="B278" s="7">
        <v>0.21111111111111111</v>
      </c>
      <c r="C278" s="7">
        <v>0.25208333333333333</v>
      </c>
      <c r="D278" s="7">
        <f>(0.252083333333333-0.211111111111111)</f>
        <v>4.0972222222221993E-2</v>
      </c>
      <c r="E278" s="7">
        <f>ABS(0.040972222222222-0.0243055555555557)</f>
        <v>1.6666666666666299E-2</v>
      </c>
      <c r="F278" s="1" t="s">
        <v>11</v>
      </c>
    </row>
    <row r="279" spans="1:6" x14ac:dyDescent="0.25">
      <c r="A279" s="11">
        <v>42005</v>
      </c>
      <c r="B279" s="7">
        <v>9.5833333333333326E-2</v>
      </c>
      <c r="C279" s="7">
        <v>0.12013888888888889</v>
      </c>
      <c r="D279" s="7">
        <f>(0.120138888888889-0.0958333333333333)</f>
        <v>2.4305555555555705E-2</v>
      </c>
      <c r="E279" s="7">
        <f>ABS(0.0243055555555557-0.0166666666666671)</f>
        <v>7.6388888888886015E-3</v>
      </c>
      <c r="F279" s="1" t="s">
        <v>11</v>
      </c>
    </row>
    <row r="280" spans="1:6" x14ac:dyDescent="0.25">
      <c r="A280" s="11">
        <v>42005</v>
      </c>
      <c r="B280" s="7">
        <v>0.95138888888888884</v>
      </c>
      <c r="C280" s="7">
        <v>0.96805555555555556</v>
      </c>
      <c r="D280" s="7">
        <f>(0.968055555555556-0.951388888888889)</f>
        <v>1.6666666666667052E-2</v>
      </c>
      <c r="E280" s="7">
        <f>ABS(0.0166666666666671-0.022916666666666)</f>
        <v>6.2499999999988988E-3</v>
      </c>
      <c r="F280" s="1" t="s">
        <v>11</v>
      </c>
    </row>
    <row r="281" spans="1:6" x14ac:dyDescent="0.25">
      <c r="A281" s="11">
        <v>42005</v>
      </c>
      <c r="B281" s="7">
        <v>0.93888888888888899</v>
      </c>
      <c r="C281" s="7">
        <v>0.96180555555555547</v>
      </c>
      <c r="D281" s="7">
        <f>(0.961805555555555-0.938888888888889)</f>
        <v>2.291666666666603E-2</v>
      </c>
      <c r="E281" s="7">
        <f>ABS(0.022916666666666-0.0249999999999999)</f>
        <v>2.0833333333339019E-3</v>
      </c>
      <c r="F281" s="1" t="s">
        <v>11</v>
      </c>
    </row>
    <row r="282" spans="1:6" x14ac:dyDescent="0.25">
      <c r="A282" s="11">
        <v>42005</v>
      </c>
      <c r="B282" s="7">
        <v>0.58402777777777781</v>
      </c>
      <c r="C282" s="7">
        <v>0.60902777777777783</v>
      </c>
      <c r="D282" s="7">
        <f>(0.609027777777778-0.584027777777778)</f>
        <v>2.4999999999999911E-2</v>
      </c>
      <c r="E282" s="7">
        <f>ABS(0.0249999999999999-0.017361111111111)</f>
        <v>7.6388888888888999E-3</v>
      </c>
      <c r="F282" s="1" t="s">
        <v>11</v>
      </c>
    </row>
    <row r="283" spans="1:6" x14ac:dyDescent="0.25">
      <c r="A283" s="11">
        <v>42005</v>
      </c>
      <c r="B283" s="7">
        <v>0.19097222222222221</v>
      </c>
      <c r="C283" s="7">
        <v>0.20833333333333334</v>
      </c>
      <c r="D283" s="7">
        <f>(0.208333333333333-0.190972222222222)</f>
        <v>1.7361111111111022E-2</v>
      </c>
      <c r="E283" s="7">
        <f>ABS(0.017361111111111-0.025)</f>
        <v>7.6388888888890005E-3</v>
      </c>
      <c r="F283" s="1" t="s">
        <v>11</v>
      </c>
    </row>
    <row r="284" spans="1:6" x14ac:dyDescent="0.25">
      <c r="A284" s="11">
        <v>42005</v>
      </c>
      <c r="B284" s="7">
        <v>0.74375000000000002</v>
      </c>
      <c r="C284" s="7">
        <v>0.76874999999999993</v>
      </c>
      <c r="D284" s="7">
        <f>(0.76875-0.74375)</f>
        <v>2.5000000000000022E-2</v>
      </c>
      <c r="E284" s="7">
        <f>ABS(0.025-0.026388888888889)</f>
        <v>1.3888888888889984E-3</v>
      </c>
      <c r="F284" s="1" t="s">
        <v>11</v>
      </c>
    </row>
    <row r="285" spans="1:6" x14ac:dyDescent="0.25">
      <c r="A285" s="11">
        <v>42005</v>
      </c>
      <c r="B285" s="7">
        <v>0.8041666666666667</v>
      </c>
      <c r="C285" s="7">
        <v>0.8305555555555556</v>
      </c>
      <c r="D285" s="7">
        <f>(0.830555555555556-0.804166666666667)</f>
        <v>2.6388888888889017E-2</v>
      </c>
      <c r="E285" s="7">
        <f>ABS(0.026388888888889-0.022916666666667)</f>
        <v>3.4722222222219983E-3</v>
      </c>
      <c r="F285" s="1" t="s">
        <v>11</v>
      </c>
    </row>
    <row r="286" spans="1:6" x14ac:dyDescent="0.25">
      <c r="A286" s="11">
        <v>42005</v>
      </c>
      <c r="B286" s="7">
        <v>0.55763888888888891</v>
      </c>
      <c r="C286" s="7">
        <v>0.5805555555555556</v>
      </c>
      <c r="D286" s="7">
        <f>(0.580555555555556-0.557638888888889)</f>
        <v>2.2916666666667029E-2</v>
      </c>
      <c r="E286" s="7">
        <f>ABS(0.022916666666667-0.0222222222222219)</f>
        <v>6.9444444444510117E-4</v>
      </c>
      <c r="F286" s="1" t="s">
        <v>11</v>
      </c>
    </row>
    <row r="287" spans="1:6" x14ac:dyDescent="0.25">
      <c r="A287" s="11">
        <v>42005</v>
      </c>
      <c r="B287" s="7">
        <v>0.5854166666666667</v>
      </c>
      <c r="C287" s="7">
        <v>0.60763888888888895</v>
      </c>
      <c r="D287" s="7">
        <f>(0.607638888888889-0.585416666666667)</f>
        <v>2.2222222222221921E-2</v>
      </c>
      <c r="E287" s="7">
        <f>ABS(0.0222222222222219-0.025)</f>
        <v>2.777777777778101E-3</v>
      </c>
      <c r="F287" s="1" t="s">
        <v>11</v>
      </c>
    </row>
    <row r="288" spans="1:6" x14ac:dyDescent="0.25">
      <c r="A288" s="11">
        <v>42005</v>
      </c>
      <c r="B288" s="7">
        <v>0.30902777777777779</v>
      </c>
      <c r="C288" s="7">
        <v>0.33402777777777781</v>
      </c>
      <c r="D288" s="7">
        <f>(0.334027777777778-0.309027777777778)</f>
        <v>2.4999999999999967E-2</v>
      </c>
      <c r="E288" s="7">
        <f>ABS(0.025-0.019444444444444)</f>
        <v>5.5555555555560007E-3</v>
      </c>
      <c r="F288" s="1" t="s">
        <v>11</v>
      </c>
    </row>
    <row r="289" spans="1:6" x14ac:dyDescent="0.25">
      <c r="A289" s="11">
        <v>42005</v>
      </c>
      <c r="B289" s="7">
        <v>0.24374999999999999</v>
      </c>
      <c r="C289" s="7">
        <v>0.26319444444444445</v>
      </c>
      <c r="D289" s="7">
        <f>(0.263194444444444-0.24375)</f>
        <v>1.9444444444444015E-2</v>
      </c>
      <c r="E289" s="7">
        <f>ABS(0.019444444444444-0.020833333333333)</f>
        <v>1.3888888888889984E-3</v>
      </c>
      <c r="F289" s="1" t="s">
        <v>11</v>
      </c>
    </row>
    <row r="290" spans="1:6" x14ac:dyDescent="0.25">
      <c r="A290" s="11">
        <v>42005</v>
      </c>
      <c r="B290" s="7">
        <v>0.23263888888888887</v>
      </c>
      <c r="C290" s="7">
        <v>0.25347222222222221</v>
      </c>
      <c r="D290" s="7">
        <f>(0.253472222222222-0.232638888888889)</f>
        <v>2.0833333333332982E-2</v>
      </c>
      <c r="E290" s="7">
        <f>ABS(0.020833333333333-0.020833333333334)</f>
        <v>9.9920072216264089E-16</v>
      </c>
      <c r="F290" s="1" t="s">
        <v>11</v>
      </c>
    </row>
    <row r="291" spans="1:6" x14ac:dyDescent="0.25">
      <c r="A291" s="11">
        <v>42005</v>
      </c>
      <c r="B291" s="7">
        <v>0.15694444444444444</v>
      </c>
      <c r="C291" s="7">
        <v>0.17777777777777778</v>
      </c>
      <c r="D291" s="7">
        <f>(0.177777777777778-0.156944444444444)</f>
        <v>2.0833333333334009E-2</v>
      </c>
      <c r="E291" s="7">
        <f>ABS(0.020833333333334-0.020138888888889)</f>
        <v>6.9444444444499709E-4</v>
      </c>
      <c r="F291" s="1" t="s">
        <v>11</v>
      </c>
    </row>
    <row r="292" spans="1:6" x14ac:dyDescent="0.25">
      <c r="A292" s="11">
        <v>42005</v>
      </c>
      <c r="B292" s="7">
        <v>0.25277777777777777</v>
      </c>
      <c r="C292" s="7">
        <v>0.27291666666666664</v>
      </c>
      <c r="D292" s="7">
        <f>(0.272916666666667-0.252777777777778)</f>
        <v>2.0138888888888984E-2</v>
      </c>
      <c r="E292" s="7">
        <f>ABS(0.020138888888889-0.011111111111111)</f>
        <v>9.0277777777780007E-3</v>
      </c>
      <c r="F292" s="1" t="s">
        <v>11</v>
      </c>
    </row>
    <row r="293" spans="1:6" x14ac:dyDescent="0.25">
      <c r="A293" s="11">
        <v>42005</v>
      </c>
      <c r="B293" s="7">
        <v>0.10972222222222222</v>
      </c>
      <c r="C293" s="7">
        <v>0.12083333333333333</v>
      </c>
      <c r="D293" s="7">
        <f>(0.120833333333333-0.109722222222222)</f>
        <v>1.1111111111111002E-2</v>
      </c>
      <c r="E293" s="7">
        <f>ABS(0.011111111111111-0.0152777777777802)</f>
        <v>4.1666666666692002E-3</v>
      </c>
      <c r="F293" s="1" t="s">
        <v>11</v>
      </c>
    </row>
    <row r="294" spans="1:6" x14ac:dyDescent="0.25">
      <c r="A294" s="11">
        <v>42005</v>
      </c>
      <c r="B294" s="7">
        <v>1.0222222222222224</v>
      </c>
      <c r="C294" s="7">
        <v>1.0374999999999999</v>
      </c>
      <c r="D294" s="7">
        <f>(1.0375-1.02222222222222)</f>
        <v>1.5277777777780166E-2</v>
      </c>
      <c r="E294" s="7">
        <f>ABS(0.0152777777777802-0.020138888888889)</f>
        <v>4.8611111111088005E-3</v>
      </c>
      <c r="F294" s="1" t="s">
        <v>11</v>
      </c>
    </row>
    <row r="295" spans="1:6" x14ac:dyDescent="0.25">
      <c r="A295" s="11">
        <v>42005</v>
      </c>
      <c r="B295" s="7">
        <v>0.20208333333333331</v>
      </c>
      <c r="C295" s="7">
        <v>0.22222222222222221</v>
      </c>
      <c r="D295" s="7">
        <f>(0.222222222222222-0.202083333333333)</f>
        <v>2.0138888888888984E-2</v>
      </c>
      <c r="E295" s="7">
        <f>ABS(0.020138888888889-0.027777777777778)</f>
        <v>7.6388888888889971E-3</v>
      </c>
      <c r="F295" s="1" t="s">
        <v>11</v>
      </c>
    </row>
    <row r="296" spans="1:6" x14ac:dyDescent="0.25">
      <c r="A296" s="11">
        <v>42005</v>
      </c>
      <c r="B296" s="7">
        <v>0.94374999999999998</v>
      </c>
      <c r="C296" s="7">
        <v>0.97152777777777777</v>
      </c>
      <c r="D296" s="7">
        <f>(0.971527777777778-0.94375)</f>
        <v>2.7777777777778012E-2</v>
      </c>
      <c r="E296" s="7">
        <f>ABS(0.027777777777778-0.0194444444444449)</f>
        <v>8.333333333333099E-3</v>
      </c>
      <c r="F296" s="1" t="s">
        <v>11</v>
      </c>
    </row>
    <row r="297" spans="1:6" x14ac:dyDescent="0.25">
      <c r="A297" s="11">
        <v>42005</v>
      </c>
      <c r="B297" s="7">
        <v>0.89444444444444438</v>
      </c>
      <c r="C297" s="7">
        <v>0.91388888888888886</v>
      </c>
      <c r="D297" s="7">
        <f>(0.913888888888889-0.894444444444444)</f>
        <v>1.944444444444493E-2</v>
      </c>
      <c r="E297" s="7">
        <f>ABS(0.0194444444444449-0.014583333333334)</f>
        <v>4.8611111111108996E-3</v>
      </c>
      <c r="F297" s="1" t="s">
        <v>11</v>
      </c>
    </row>
    <row r="298" spans="1:6" x14ac:dyDescent="0.25">
      <c r="A298" s="11">
        <v>42005</v>
      </c>
      <c r="B298" s="7">
        <v>0.27847222222222223</v>
      </c>
      <c r="C298" s="7">
        <v>0.29305555555555557</v>
      </c>
      <c r="D298" s="7">
        <f>(0.293055555555556-0.278472222222222)</f>
        <v>1.4583333333334003E-2</v>
      </c>
      <c r="E298" s="7">
        <f>ABS(0.014583333333334--0.976388888888889)</f>
        <v>0.99097222222222292</v>
      </c>
      <c r="F298" s="1" t="s">
        <v>11</v>
      </c>
    </row>
    <row r="299" spans="1:6" x14ac:dyDescent="0.25">
      <c r="A299" s="11">
        <v>42005</v>
      </c>
      <c r="B299" s="7">
        <v>0.99583333333333324</v>
      </c>
      <c r="C299" s="7">
        <v>1.9444444444444445E-2</v>
      </c>
      <c r="D299" s="7">
        <f>(0.0194444444444444-0.995833333333333)</f>
        <v>-0.97638888888888864</v>
      </c>
      <c r="E299" s="7">
        <f>ABS(-0.976388888888889-0.027083333333334)</f>
        <v>1.003472222222223</v>
      </c>
      <c r="F299" s="1" t="s">
        <v>11</v>
      </c>
    </row>
    <row r="300" spans="1:6" x14ac:dyDescent="0.25">
      <c r="A300" s="11">
        <v>42005</v>
      </c>
      <c r="B300" s="7">
        <v>0.70972222222222225</v>
      </c>
      <c r="C300" s="7">
        <v>0.7368055555555556</v>
      </c>
      <c r="D300" s="7">
        <f>(0.736805555555556-0.709722222222222)</f>
        <v>2.7083333333334014E-2</v>
      </c>
      <c r="E300" s="7">
        <f>ABS(0.027083333333334-0.025694444444444)</f>
        <v>1.3888888888900011E-3</v>
      </c>
      <c r="F300" s="1" t="s">
        <v>11</v>
      </c>
    </row>
    <row r="301" spans="1:6" x14ac:dyDescent="0.25">
      <c r="A301" s="11">
        <v>42005</v>
      </c>
      <c r="B301" s="7">
        <v>0.63541666666666663</v>
      </c>
      <c r="C301" s="7">
        <v>0.66111111111111109</v>
      </c>
      <c r="D301" s="7">
        <f>(0.661111111111111-0.635416666666667)</f>
        <v>2.569444444444402E-2</v>
      </c>
      <c r="E301" s="7">
        <f>ABS(0.025694444444444-0.028472222222222)</f>
        <v>2.7777777777780004E-3</v>
      </c>
      <c r="F301" s="1" t="s">
        <v>11</v>
      </c>
    </row>
    <row r="302" spans="1:6" x14ac:dyDescent="0.25">
      <c r="A302" s="11">
        <v>42005</v>
      </c>
      <c r="B302" s="7">
        <v>0.87916666666666676</v>
      </c>
      <c r="C302" s="7">
        <v>0.90763888888888899</v>
      </c>
      <c r="D302" s="7">
        <f>(0.907638888888889-0.879166666666667)</f>
        <v>2.847222222222201E-2</v>
      </c>
      <c r="E302" s="7">
        <f>ABS(0.028472222222222-0.024305555555556)</f>
        <v>4.1666666666659996E-3</v>
      </c>
      <c r="F302" s="1" t="s">
        <v>11</v>
      </c>
    </row>
    <row r="303" spans="1:6" x14ac:dyDescent="0.25">
      <c r="A303" s="11">
        <v>42005</v>
      </c>
      <c r="B303" s="7">
        <v>0.83611111111111114</v>
      </c>
      <c r="C303" s="7">
        <v>0.86041666666666661</v>
      </c>
      <c r="D303" s="7">
        <f>(0.860416666666667-0.836111111111111)</f>
        <v>2.4305555555556024E-2</v>
      </c>
      <c r="E303" s="7">
        <f>ABS(0.024305555555556-0.020138888888889)</f>
        <v>4.1666666666669988E-3</v>
      </c>
      <c r="F303" s="1" t="s">
        <v>11</v>
      </c>
    </row>
    <row r="304" spans="1:6" x14ac:dyDescent="0.25">
      <c r="A304" s="11">
        <v>42005</v>
      </c>
      <c r="B304" s="7">
        <v>0.8833333333333333</v>
      </c>
      <c r="C304" s="7">
        <v>0.90347222222222223</v>
      </c>
      <c r="D304" s="7">
        <f>(0.903472222222222-0.883333333333333)</f>
        <v>2.0138888888889039E-2</v>
      </c>
      <c r="E304" s="7">
        <f>ABS(0.020138888888889-0.0173611111111109)</f>
        <v>2.777777777778101E-3</v>
      </c>
      <c r="F304" s="1" t="s">
        <v>11</v>
      </c>
    </row>
    <row r="305" spans="1:6" x14ac:dyDescent="0.25">
      <c r="A305" s="11">
        <v>42005</v>
      </c>
      <c r="B305" s="7">
        <v>0.99513888888888891</v>
      </c>
      <c r="C305" s="7">
        <v>1.0125</v>
      </c>
      <c r="D305" s="7">
        <f>(1.0125-0.995138888888889)</f>
        <v>1.7361111111110938E-2</v>
      </c>
      <c r="E305" s="7">
        <f>ABS(0.0173611111111109-0.0215277777777779)</f>
        <v>4.1666666666669988E-3</v>
      </c>
      <c r="F305" s="1" t="s">
        <v>11</v>
      </c>
    </row>
    <row r="306" spans="1:6" x14ac:dyDescent="0.25">
      <c r="A306" s="11">
        <v>42005</v>
      </c>
      <c r="B306" s="7">
        <v>0.92499999999999993</v>
      </c>
      <c r="C306" s="7">
        <v>0.94652777777777775</v>
      </c>
      <c r="D306" s="7">
        <f>(0.946527777777778-0.925)</f>
        <v>2.1527777777777923E-2</v>
      </c>
      <c r="E306" s="7">
        <f>ABS(0.0215277777777779-0.0222222222222229)</f>
        <v>6.9444444444500056E-4</v>
      </c>
      <c r="F306" s="1" t="s">
        <v>11</v>
      </c>
    </row>
    <row r="307" spans="1:6" x14ac:dyDescent="0.25">
      <c r="A307" s="11">
        <v>42005</v>
      </c>
      <c r="B307" s="7">
        <v>0.95694444444444438</v>
      </c>
      <c r="C307" s="7">
        <v>0.97916666666666663</v>
      </c>
      <c r="D307" s="7">
        <f>(0.979166666666667-0.956944444444444)</f>
        <v>2.222222222222292E-2</v>
      </c>
      <c r="E307" s="7">
        <f>ABS(0.0222222222222229-0.020833333333333)</f>
        <v>1.3888888888899005E-3</v>
      </c>
      <c r="F307" s="1" t="s">
        <v>11</v>
      </c>
    </row>
    <row r="308" spans="1:6" x14ac:dyDescent="0.25">
      <c r="A308" s="11">
        <v>42005</v>
      </c>
      <c r="B308" s="7">
        <v>0.4069444444444445</v>
      </c>
      <c r="C308" s="7">
        <v>0.42777777777777781</v>
      </c>
      <c r="D308" s="7">
        <f>(0.427777777777778-0.406944444444445)</f>
        <v>2.0833333333332982E-2</v>
      </c>
      <c r="E308" s="7">
        <f>ABS(0.020833333333333-0.020833333333333)</f>
        <v>0</v>
      </c>
      <c r="F308" s="1" t="s">
        <v>11</v>
      </c>
    </row>
    <row r="309" spans="1:6" x14ac:dyDescent="0.25">
      <c r="A309" s="11">
        <v>42005</v>
      </c>
      <c r="B309" s="7">
        <v>0.21875</v>
      </c>
      <c r="C309" s="7">
        <v>0.23958333333333334</v>
      </c>
      <c r="D309" s="7">
        <f>(0.239583333333333-0.21875)</f>
        <v>2.083333333333301E-2</v>
      </c>
      <c r="E309" s="7">
        <f>ABS(0.020833333333333-0.020833333333333)</f>
        <v>0</v>
      </c>
      <c r="F309" s="1" t="s">
        <v>11</v>
      </c>
    </row>
    <row r="310" spans="1:6" x14ac:dyDescent="0.25">
      <c r="A310" s="11">
        <v>42005</v>
      </c>
      <c r="B310" s="7">
        <v>0.21875</v>
      </c>
      <c r="C310" s="7">
        <v>0.23958333333333334</v>
      </c>
      <c r="D310" s="7">
        <f>(0.239583333333333-0.21875)</f>
        <v>2.083333333333301E-2</v>
      </c>
      <c r="E310" s="7">
        <f>ABS(0.020833333333333-0.016666666666666)</f>
        <v>4.1666666666669988E-3</v>
      </c>
      <c r="F310" s="1" t="s">
        <v>11</v>
      </c>
    </row>
    <row r="311" spans="1:6" x14ac:dyDescent="0.25">
      <c r="A311" s="11">
        <v>42005</v>
      </c>
      <c r="B311" s="7">
        <v>0.15277777777777776</v>
      </c>
      <c r="C311" s="7">
        <v>0.16944444444444443</v>
      </c>
      <c r="D311" s="7">
        <f>(0.169444444444444-0.152777777777778)</f>
        <v>1.6666666666665997E-2</v>
      </c>
      <c r="E311" s="7">
        <f>ABS(0.016666666666666-0.025694444444444)</f>
        <v>9.027777777777999E-3</v>
      </c>
      <c r="F311" s="1" t="s">
        <v>11</v>
      </c>
    </row>
    <row r="312" spans="1:6" x14ac:dyDescent="0.25">
      <c r="A312" s="11">
        <v>42005</v>
      </c>
      <c r="B312" s="7">
        <v>0.62916666666666665</v>
      </c>
      <c r="C312" s="7">
        <v>0.65486111111111112</v>
      </c>
      <c r="D312" s="7">
        <f>(0.654861111111111-0.629166666666667)</f>
        <v>2.569444444444402E-2</v>
      </c>
      <c r="E312" s="7">
        <f>ABS(0.025694444444444-0.032638888888888)</f>
        <v>6.9444444444440034E-3</v>
      </c>
      <c r="F312" s="1" t="s">
        <v>11</v>
      </c>
    </row>
    <row r="313" spans="1:6" x14ac:dyDescent="0.25">
      <c r="A313" s="11">
        <v>42005</v>
      </c>
      <c r="B313" s="7">
        <v>0.62430555555555556</v>
      </c>
      <c r="C313" s="7">
        <v>0.65694444444444444</v>
      </c>
      <c r="D313" s="7">
        <f>(0.656944444444444-0.624305555555556)</f>
        <v>3.2638888888887996E-2</v>
      </c>
      <c r="E313" s="7">
        <f>ABS(0.032638888888888-0.020138888888889)</f>
        <v>1.2499999999999001E-2</v>
      </c>
      <c r="F313" s="1" t="s">
        <v>11</v>
      </c>
    </row>
    <row r="314" spans="1:6" x14ac:dyDescent="0.25">
      <c r="A314" s="11">
        <v>42005</v>
      </c>
      <c r="B314" s="7">
        <v>0.52777777777777779</v>
      </c>
      <c r="C314" s="7">
        <v>0.54791666666666672</v>
      </c>
      <c r="D314" s="7">
        <f>(0.547916666666667-0.527777777777778)</f>
        <v>2.0138888888889039E-2</v>
      </c>
      <c r="E314" s="7">
        <f>ABS(0.020138888888889-0.022222222222222)</f>
        <v>2.0833333333329998E-3</v>
      </c>
      <c r="F314" s="1" t="s">
        <v>11</v>
      </c>
    </row>
    <row r="315" spans="1:6" x14ac:dyDescent="0.25">
      <c r="A315" s="11">
        <v>42005</v>
      </c>
      <c r="B315" s="7">
        <v>0.28611111111111115</v>
      </c>
      <c r="C315" s="7">
        <v>0.30833333333333335</v>
      </c>
      <c r="D315" s="7">
        <f>(0.308333333333333-0.286111111111111)</f>
        <v>2.2222222222222032E-2</v>
      </c>
      <c r="E315" s="7">
        <f>ABS(0.022222222222222-0.025694444444445)</f>
        <v>3.4722222222229975E-3</v>
      </c>
      <c r="F315" s="1" t="s">
        <v>11</v>
      </c>
    </row>
    <row r="316" spans="1:6" x14ac:dyDescent="0.25">
      <c r="A316" s="11">
        <v>42005</v>
      </c>
      <c r="B316" s="7">
        <v>0.21458333333333335</v>
      </c>
      <c r="C316" s="7">
        <v>0.24027777777777778</v>
      </c>
      <c r="D316" s="7">
        <f>(0.240277777777778-0.214583333333333)</f>
        <v>2.5694444444445019E-2</v>
      </c>
      <c r="E316" s="7">
        <f>ABS(0.025694444444445-0.019444444444444)</f>
        <v>6.2500000000009978E-3</v>
      </c>
      <c r="F316" s="1" t="s">
        <v>11</v>
      </c>
    </row>
    <row r="317" spans="1:6" x14ac:dyDescent="0.25">
      <c r="A317" s="11">
        <v>42005</v>
      </c>
      <c r="B317" s="7">
        <v>0.4777777777777778</v>
      </c>
      <c r="C317" s="7">
        <v>0.49722222222222223</v>
      </c>
      <c r="D317" s="7">
        <f>(0.497222222222222-0.477777777777778)</f>
        <v>1.9444444444443987E-2</v>
      </c>
      <c r="E317" s="7">
        <f>ABS(0.019444444444444-0.020833333333334)</f>
        <v>1.3888888888899976E-3</v>
      </c>
      <c r="F317" s="1" t="s">
        <v>11</v>
      </c>
    </row>
    <row r="318" spans="1:6" x14ac:dyDescent="0.25">
      <c r="A318" s="11">
        <v>42005</v>
      </c>
      <c r="B318" s="7">
        <v>0.52708333333333335</v>
      </c>
      <c r="C318" s="7">
        <v>0.54791666666666672</v>
      </c>
      <c r="D318" s="7">
        <f>(0.547916666666667-0.527083333333333)</f>
        <v>2.0833333333334036E-2</v>
      </c>
      <c r="E318" s="7">
        <f>ABS(0.020833333333334-0.0236111111111111)</f>
        <v>2.7777777777771018E-3</v>
      </c>
      <c r="F318" s="1" t="s">
        <v>11</v>
      </c>
    </row>
    <row r="319" spans="1:6" x14ac:dyDescent="0.25">
      <c r="A319" s="11">
        <v>42005</v>
      </c>
      <c r="B319" s="7">
        <v>2.1527777777777781E-2</v>
      </c>
      <c r="C319" s="7">
        <v>4.5138888888888888E-2</v>
      </c>
      <c r="D319" s="7">
        <f>(0.0451388888888889-0.0215277777777778)</f>
        <v>2.3611111111111104E-2</v>
      </c>
      <c r="E319" s="7"/>
      <c r="F319" s="1" t="s">
        <v>11</v>
      </c>
    </row>
    <row r="320" spans="1:6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</sheetData>
  <sortState ref="B2:H322">
    <sortCondition ref="F2:F32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17"/>
  <sheetViews>
    <sheetView topLeftCell="E1" workbookViewId="0">
      <selection activeCell="H4" sqref="H4:M8"/>
    </sheetView>
  </sheetViews>
  <sheetFormatPr defaultRowHeight="15" x14ac:dyDescent="0.25"/>
  <cols>
    <col min="1" max="1" width="15.7109375" customWidth="1"/>
    <col min="2" max="5" width="15.7109375" style="2" customWidth="1"/>
    <col min="6" max="6" width="15.7109375" style="1" customWidth="1"/>
    <col min="11" max="11" width="17" bestFit="1" customWidth="1"/>
    <col min="12" max="12" width="12" bestFit="1" customWidth="1"/>
    <col min="13" max="13" width="17" bestFit="1" customWidth="1"/>
  </cols>
  <sheetData>
    <row r="1" spans="1:13" s="1" customFormat="1" x14ac:dyDescent="0.25">
      <c r="A1" s="1" t="s">
        <v>14</v>
      </c>
      <c r="B1" s="2" t="s">
        <v>0</v>
      </c>
      <c r="C1" s="2" t="s">
        <v>1</v>
      </c>
      <c r="D1" s="2" t="s">
        <v>13</v>
      </c>
      <c r="E1" s="2" t="s">
        <v>18</v>
      </c>
      <c r="F1" s="1" t="s">
        <v>2</v>
      </c>
    </row>
    <row r="3" spans="1:13" x14ac:dyDescent="0.25">
      <c r="A3" s="11">
        <v>42036</v>
      </c>
      <c r="B3" s="7">
        <v>0.26319444444444445</v>
      </c>
      <c r="C3" s="7">
        <v>0.28541666666666665</v>
      </c>
      <c r="D3" s="7">
        <f>(0.285416666666667-0.263194444444444)</f>
        <v>2.2222222222222976E-2</v>
      </c>
      <c r="E3" s="7">
        <f>ABS(0.022222222222223-0.017361111111111)</f>
        <v>4.8611111111119994E-3</v>
      </c>
      <c r="F3" s="1" t="s">
        <v>9</v>
      </c>
      <c r="I3" s="1"/>
      <c r="J3" s="1" t="s">
        <v>7</v>
      </c>
      <c r="K3" s="1" t="s">
        <v>15</v>
      </c>
      <c r="L3" s="1" t="s">
        <v>17</v>
      </c>
      <c r="M3" s="1" t="s">
        <v>16</v>
      </c>
    </row>
    <row r="4" spans="1:13" x14ac:dyDescent="0.25">
      <c r="A4" s="11">
        <v>42036</v>
      </c>
      <c r="B4" s="7">
        <v>0.85555555555555562</v>
      </c>
      <c r="C4" s="7">
        <v>0.87291666666666667</v>
      </c>
      <c r="D4" s="7">
        <f>(0.872916666666667-0.855555555555556)</f>
        <v>1.7361111111111049E-2</v>
      </c>
      <c r="E4" s="7">
        <f>ABS(0.017361111111111-0.0138888888888889)</f>
        <v>3.4722222222221006E-3</v>
      </c>
      <c r="F4" s="1" t="s">
        <v>9</v>
      </c>
      <c r="H4" s="14">
        <v>42036</v>
      </c>
      <c r="I4" t="s">
        <v>19</v>
      </c>
      <c r="J4" t="s">
        <v>9</v>
      </c>
      <c r="K4" s="18">
        <v>47</v>
      </c>
      <c r="L4" s="3">
        <f>AVERAGE(D3:D49)</f>
        <v>1.9710401891252925E-2</v>
      </c>
      <c r="M4" s="3">
        <f>AVERAGE(E3:E48)</f>
        <v>1.0024154589372107E-2</v>
      </c>
    </row>
    <row r="5" spans="1:13" x14ac:dyDescent="0.25">
      <c r="A5" s="11">
        <v>42036</v>
      </c>
      <c r="B5" s="7">
        <v>4.7916666666666663E-2</v>
      </c>
      <c r="C5" s="7">
        <v>6.1805555555555558E-2</v>
      </c>
      <c r="D5" s="7">
        <f>(0.0618055555555556-0.0479166666666667)</f>
        <v>1.3888888888888902E-2</v>
      </c>
      <c r="E5" s="7">
        <f>ABS(0.0138888888888889-0.0145833333333333)</f>
        <v>6.9444444444440034E-4</v>
      </c>
      <c r="F5" s="1" t="s">
        <v>9</v>
      </c>
      <c r="H5" s="14">
        <v>42036</v>
      </c>
      <c r="I5" t="s">
        <v>19</v>
      </c>
      <c r="J5" t="s">
        <v>3</v>
      </c>
      <c r="K5" s="18">
        <v>210</v>
      </c>
      <c r="L5" s="3">
        <f>AVERAGE(D50:D259)</f>
        <v>1.2645502645502559E-2</v>
      </c>
      <c r="M5" s="3">
        <f>AVERAGE(E50:E258)</f>
        <v>1.2284024455077194E-2</v>
      </c>
    </row>
    <row r="6" spans="1:13" x14ac:dyDescent="0.25">
      <c r="A6" s="11">
        <v>42036</v>
      </c>
      <c r="B6" s="7">
        <v>4.8611111111111112E-2</v>
      </c>
      <c r="C6" s="7">
        <v>6.3194444444444442E-2</v>
      </c>
      <c r="D6" s="7">
        <f>(0.0631944444444444-0.0486111111111111)</f>
        <v>1.4583333333333302E-2</v>
      </c>
      <c r="E6" s="7">
        <f>ABS(0.0145833333333333-0.038888888888889)</f>
        <v>2.4305555555555698E-2</v>
      </c>
      <c r="F6" s="1" t="s">
        <v>9</v>
      </c>
      <c r="H6" s="14">
        <v>42036</v>
      </c>
      <c r="I6" t="s">
        <v>19</v>
      </c>
      <c r="J6" t="s">
        <v>10</v>
      </c>
      <c r="K6" s="18">
        <v>162</v>
      </c>
      <c r="L6" s="3">
        <f>AVERAGE(D260:D421)</f>
        <v>1.9457304526749007E-2</v>
      </c>
      <c r="M6" s="3">
        <f>AVERAGE(E260:E420)</f>
        <v>8.3548999309868647E-3</v>
      </c>
    </row>
    <row r="7" spans="1:13" x14ac:dyDescent="0.25">
      <c r="A7" s="11">
        <v>42036</v>
      </c>
      <c r="B7" s="7">
        <v>0.11388888888888889</v>
      </c>
      <c r="C7" s="7">
        <v>0.15277777777777776</v>
      </c>
      <c r="D7" s="7">
        <f>(0.152777777777778-0.113888888888889)</f>
        <v>3.8888888888889014E-2</v>
      </c>
      <c r="E7" s="7">
        <f>ABS(0.038888888888889-0.020833333333333)</f>
        <v>1.8055555555556001E-2</v>
      </c>
      <c r="F7" s="1" t="s">
        <v>9</v>
      </c>
      <c r="H7" s="14">
        <v>42036</v>
      </c>
      <c r="I7" t="s">
        <v>19</v>
      </c>
      <c r="J7" t="s">
        <v>8</v>
      </c>
      <c r="K7" s="18">
        <v>12</v>
      </c>
      <c r="L7" s="3">
        <f>AVERAGE(D422:D433)</f>
        <v>1.6840277777777673E-2</v>
      </c>
      <c r="M7" s="3">
        <f>AVERAGE(E422:E432)</f>
        <v>5.9974747474748902E-3</v>
      </c>
    </row>
    <row r="8" spans="1:13" x14ac:dyDescent="0.25">
      <c r="A8" s="11">
        <v>42036</v>
      </c>
      <c r="B8" s="7">
        <v>0.375</v>
      </c>
      <c r="C8" s="7">
        <v>0.39583333333333331</v>
      </c>
      <c r="D8" s="7">
        <f>(0.395833333333333-0.375)</f>
        <v>2.0833333333332982E-2</v>
      </c>
      <c r="E8" s="7">
        <f>ABS(0.020833333333333-0.0131944444444441)</f>
        <v>7.6388888888888999E-3</v>
      </c>
      <c r="F8" s="1" t="s">
        <v>9</v>
      </c>
      <c r="H8" s="14">
        <v>42036</v>
      </c>
      <c r="I8" t="s">
        <v>19</v>
      </c>
      <c r="J8" t="s">
        <v>11</v>
      </c>
      <c r="K8" s="18">
        <v>83</v>
      </c>
      <c r="L8" s="3">
        <f>AVERAGE(D434:D516)</f>
        <v>2.216365461847376E-2</v>
      </c>
      <c r="M8" s="3">
        <f>AVERAGE(E434:E515)</f>
        <v>4.8357046070460728E-3</v>
      </c>
    </row>
    <row r="9" spans="1:13" x14ac:dyDescent="0.25">
      <c r="A9" s="11">
        <v>42036</v>
      </c>
      <c r="B9" s="7">
        <v>0.97152777777777777</v>
      </c>
      <c r="C9" s="7">
        <v>0.98472222222222217</v>
      </c>
      <c r="D9" s="7">
        <f>(0.984722222222222-0.971527777777778)</f>
        <v>1.3194444444444065E-2</v>
      </c>
      <c r="E9" s="7">
        <f>ABS(0.0131944444444441-0.014583333333333)</f>
        <v>1.3888888888889013E-3</v>
      </c>
      <c r="F9" s="1" t="s">
        <v>9</v>
      </c>
    </row>
    <row r="10" spans="1:13" x14ac:dyDescent="0.25">
      <c r="A10" s="11">
        <v>42036</v>
      </c>
      <c r="B10" s="7">
        <v>0.36041666666666666</v>
      </c>
      <c r="C10" s="7">
        <v>0.375</v>
      </c>
      <c r="D10" s="7">
        <f>(0.375-0.360416666666667)</f>
        <v>1.4583333333333004E-2</v>
      </c>
      <c r="E10" s="7">
        <f>ABS(0.014583333333333-0.0923611111111111)</f>
        <v>7.7777777777778098E-2</v>
      </c>
      <c r="F10" s="1" t="s">
        <v>9</v>
      </c>
    </row>
    <row r="11" spans="1:13" x14ac:dyDescent="0.25">
      <c r="A11" s="11">
        <v>42036</v>
      </c>
      <c r="B11" s="7">
        <v>0.4291666666666667</v>
      </c>
      <c r="C11" s="7">
        <v>0.52152777777777781</v>
      </c>
      <c r="D11" s="7">
        <f>(0.521527777777778-0.429166666666667)</f>
        <v>9.2361111111111061E-2</v>
      </c>
      <c r="E11" s="7">
        <f>ABS(0.0923611111111111-0.019444444444445)</f>
        <v>7.2916666666666102E-2</v>
      </c>
      <c r="F11" s="1" t="s">
        <v>9</v>
      </c>
    </row>
    <row r="12" spans="1:13" x14ac:dyDescent="0.25">
      <c r="A12" s="11">
        <v>42036</v>
      </c>
      <c r="B12" s="7">
        <v>0.71597222222222223</v>
      </c>
      <c r="C12" s="7">
        <v>0.73541666666666661</v>
      </c>
      <c r="D12" s="7">
        <f>(0.735416666666667-0.715972222222222)</f>
        <v>1.9444444444445041E-2</v>
      </c>
      <c r="E12" s="7">
        <f>ABS(0.019444444444445-0.029861111111111)</f>
        <v>1.0416666666666002E-2</v>
      </c>
      <c r="F12" s="1" t="s">
        <v>9</v>
      </c>
    </row>
    <row r="13" spans="1:13" x14ac:dyDescent="0.25">
      <c r="A13" s="11">
        <v>42036</v>
      </c>
      <c r="B13" s="7">
        <v>0.28680555555555554</v>
      </c>
      <c r="C13" s="7">
        <v>0.31666666666666665</v>
      </c>
      <c r="D13" s="7">
        <f>(0.316666666666667-0.286805555555556)</f>
        <v>2.9861111111111005E-2</v>
      </c>
      <c r="E13" s="7">
        <f>ABS(0.029861111111111-0.049305555555556)</f>
        <v>1.9444444444444996E-2</v>
      </c>
      <c r="F13" s="1" t="s">
        <v>9</v>
      </c>
    </row>
    <row r="14" spans="1:13" x14ac:dyDescent="0.25">
      <c r="A14" s="11">
        <v>42036</v>
      </c>
      <c r="B14" s="7">
        <v>0.3611111111111111</v>
      </c>
      <c r="C14" s="7">
        <v>0.41041666666666665</v>
      </c>
      <c r="D14" s="7">
        <f>(0.410416666666667-0.361111111111111)</f>
        <v>4.9305555555555991E-2</v>
      </c>
      <c r="E14" s="7">
        <f>ABS(0.049305555555556-0.013888888888889)</f>
        <v>3.5416666666666999E-2</v>
      </c>
      <c r="F14" s="1" t="s">
        <v>9</v>
      </c>
    </row>
    <row r="15" spans="1:13" x14ac:dyDescent="0.25">
      <c r="A15" s="11">
        <v>42036</v>
      </c>
      <c r="B15" s="7">
        <v>0.41319444444444442</v>
      </c>
      <c r="C15" s="7">
        <v>0.42708333333333331</v>
      </c>
      <c r="D15" s="7">
        <f>(0.427083333333333-0.413194444444444)</f>
        <v>1.3888888888889006E-2</v>
      </c>
      <c r="E15" s="7">
        <f>ABS(0.013888888888889-0.0145833333333331)</f>
        <v>6.9444444444410024E-4</v>
      </c>
      <c r="F15" s="1" t="s">
        <v>9</v>
      </c>
    </row>
    <row r="16" spans="1:13" x14ac:dyDescent="0.25">
      <c r="A16" s="11">
        <v>42036</v>
      </c>
      <c r="B16" s="7">
        <v>0.69791666666666663</v>
      </c>
      <c r="C16" s="7">
        <v>0.71250000000000002</v>
      </c>
      <c r="D16" s="7">
        <f>(0.7125-0.697916666666667)</f>
        <v>1.4583333333333059E-2</v>
      </c>
      <c r="E16" s="7">
        <f>ABS(0.0145833333333331-0.015972222222222)</f>
        <v>1.3888888888888996E-3</v>
      </c>
      <c r="F16" s="1" t="s">
        <v>9</v>
      </c>
    </row>
    <row r="17" spans="1:6" x14ac:dyDescent="0.25">
      <c r="A17" s="11">
        <v>42036</v>
      </c>
      <c r="B17" s="7">
        <v>0.33888888888888885</v>
      </c>
      <c r="C17" s="7">
        <v>0.35486111111111113</v>
      </c>
      <c r="D17" s="7">
        <f>(0.354861111111111-0.338888888888889)</f>
        <v>1.5972222222221999E-2</v>
      </c>
      <c r="E17" s="7">
        <f>ABS(0.015972222222222-0.015972222222222)</f>
        <v>0</v>
      </c>
      <c r="F17" s="1" t="s">
        <v>9</v>
      </c>
    </row>
    <row r="18" spans="1:6" x14ac:dyDescent="0.25">
      <c r="A18" s="11">
        <v>42036</v>
      </c>
      <c r="B18" s="7">
        <v>0.33888888888888885</v>
      </c>
      <c r="C18" s="7">
        <v>0.35486111111111113</v>
      </c>
      <c r="D18" s="7">
        <f>(0.354861111111111-0.338888888888889)</f>
        <v>1.5972222222221999E-2</v>
      </c>
      <c r="E18" s="7">
        <f>ABS(0.015972222222222-0.00694444444444403)</f>
        <v>9.0277777777779677E-3</v>
      </c>
      <c r="F18" s="1" t="s">
        <v>9</v>
      </c>
    </row>
    <row r="19" spans="1:6" x14ac:dyDescent="0.25">
      <c r="A19" s="11">
        <v>42036</v>
      </c>
      <c r="B19" s="7">
        <v>0.30416666666666664</v>
      </c>
      <c r="C19" s="7">
        <v>0.31111111111111112</v>
      </c>
      <c r="D19" s="7">
        <f>(0.311111111111111-0.304166666666667)</f>
        <v>6.9444444444440312E-3</v>
      </c>
      <c r="E19" s="7">
        <f>ABS(0.00694444444444403-0.011805555555555)</f>
        <v>4.8611111111109698E-3</v>
      </c>
      <c r="F19" s="1" t="s">
        <v>9</v>
      </c>
    </row>
    <row r="20" spans="1:6" x14ac:dyDescent="0.25">
      <c r="A20" s="11">
        <v>42036</v>
      </c>
      <c r="B20" s="7">
        <v>0.47291666666666665</v>
      </c>
      <c r="C20" s="7">
        <v>0.48472222222222222</v>
      </c>
      <c r="D20" s="7">
        <f>(0.484722222222222-0.472916666666667)</f>
        <v>1.1805555555555014E-2</v>
      </c>
      <c r="E20" s="7">
        <f>ABS(0.011805555555555-0.0138888888888891)</f>
        <v>2.0833333333340996E-3</v>
      </c>
      <c r="F20" s="1" t="s">
        <v>9</v>
      </c>
    </row>
    <row r="21" spans="1:6" x14ac:dyDescent="0.25">
      <c r="A21" s="11">
        <v>42036</v>
      </c>
      <c r="B21" s="7">
        <v>0.53541666666666665</v>
      </c>
      <c r="C21" s="7">
        <v>0.5493055555555556</v>
      </c>
      <c r="D21" s="7">
        <f>(0.549305555555556-0.535416666666667)</f>
        <v>1.3888888888889062E-2</v>
      </c>
      <c r="E21" s="7">
        <f>ABS(0.0138888888888891-0.034722222222222)</f>
        <v>2.0833333333332902E-2</v>
      </c>
      <c r="F21" s="1" t="s">
        <v>9</v>
      </c>
    </row>
    <row r="22" spans="1:6" x14ac:dyDescent="0.25">
      <c r="A22" s="11">
        <v>42036</v>
      </c>
      <c r="B22" s="7">
        <v>0.51180555555555551</v>
      </c>
      <c r="C22" s="7">
        <v>0.54652777777777783</v>
      </c>
      <c r="D22" s="7">
        <f>(0.546527777777778-0.511805555555556)</f>
        <v>3.4722222222221988E-2</v>
      </c>
      <c r="E22" s="7">
        <f>ABS(0.034722222222222-0.020833333333333)</f>
        <v>1.3888888888889003E-2</v>
      </c>
      <c r="F22" s="1" t="s">
        <v>9</v>
      </c>
    </row>
    <row r="23" spans="1:6" x14ac:dyDescent="0.25">
      <c r="A23" s="11">
        <v>42036</v>
      </c>
      <c r="B23" s="7">
        <v>0.71527777777777779</v>
      </c>
      <c r="C23" s="7">
        <v>0.73611111111111116</v>
      </c>
      <c r="D23" s="7">
        <f>(0.736111111111111-0.715277777777778)</f>
        <v>2.0833333333333037E-2</v>
      </c>
      <c r="E23" s="7">
        <f>ABS(0.020833333333333-0.0138888888888881)</f>
        <v>6.9444444444448986E-3</v>
      </c>
      <c r="F23" s="1" t="s">
        <v>9</v>
      </c>
    </row>
    <row r="24" spans="1:6" x14ac:dyDescent="0.25">
      <c r="A24" s="11">
        <v>42036</v>
      </c>
      <c r="B24" s="7">
        <v>0.78680555555555554</v>
      </c>
      <c r="C24" s="7">
        <v>0.80069444444444438</v>
      </c>
      <c r="D24" s="7">
        <f>(0.800694444444444-0.786805555555556)</f>
        <v>1.3888888888888062E-2</v>
      </c>
      <c r="E24" s="7">
        <f>ABS(0.0138888888888881-0.020833333333333)</f>
        <v>6.9444444444448986E-3</v>
      </c>
      <c r="F24" s="1" t="s">
        <v>9</v>
      </c>
    </row>
    <row r="25" spans="1:6" x14ac:dyDescent="0.25">
      <c r="A25" s="11">
        <v>42036</v>
      </c>
      <c r="B25" s="7">
        <v>0.29652777777777778</v>
      </c>
      <c r="C25" s="7">
        <v>0.31736111111111115</v>
      </c>
      <c r="D25" s="7">
        <f>(0.317361111111111-0.296527777777778)</f>
        <v>2.0833333333332982E-2</v>
      </c>
      <c r="E25" s="7">
        <f>ABS(0.020833333333333-0.038888888888889)</f>
        <v>1.8055555555556001E-2</v>
      </c>
      <c r="F25" s="1" t="s">
        <v>9</v>
      </c>
    </row>
    <row r="26" spans="1:6" x14ac:dyDescent="0.25">
      <c r="A26" s="11">
        <v>42036</v>
      </c>
      <c r="B26" s="7">
        <v>0.36041666666666666</v>
      </c>
      <c r="C26" s="7">
        <v>0.39930555555555558</v>
      </c>
      <c r="D26" s="7">
        <f>(0.399305555555556-0.360416666666667)</f>
        <v>3.8888888888889028E-2</v>
      </c>
      <c r="E26" s="7">
        <f>ABS(0.038888888888889-0.014583333333334)</f>
        <v>2.4305555555555001E-2</v>
      </c>
      <c r="F26" s="1" t="s">
        <v>9</v>
      </c>
    </row>
    <row r="27" spans="1:6" x14ac:dyDescent="0.25">
      <c r="A27" s="11">
        <v>42036</v>
      </c>
      <c r="B27" s="7">
        <v>0.3611111111111111</v>
      </c>
      <c r="C27" s="7">
        <v>0.3756944444444445</v>
      </c>
      <c r="D27" s="7">
        <f>(0.375694444444445-0.361111111111111)</f>
        <v>1.4583333333334003E-2</v>
      </c>
      <c r="E27" s="7">
        <f>ABS(0.014583333333334-0.0125)</f>
        <v>2.083333333333999E-3</v>
      </c>
      <c r="F27" s="1" t="s">
        <v>9</v>
      </c>
    </row>
    <row r="28" spans="1:6" x14ac:dyDescent="0.25">
      <c r="A28" s="11">
        <v>42036</v>
      </c>
      <c r="B28" s="7">
        <v>0.29583333333333334</v>
      </c>
      <c r="C28" s="7">
        <v>0.30833333333333335</v>
      </c>
      <c r="D28" s="7">
        <f>(0.308333333333333-0.295833333333333)</f>
        <v>1.2500000000000011E-2</v>
      </c>
      <c r="E28" s="7">
        <f>ABS(0.0125-0.013888888888889)</f>
        <v>1.3888888888889984E-3</v>
      </c>
      <c r="F28" s="1" t="s">
        <v>9</v>
      </c>
    </row>
    <row r="29" spans="1:6" x14ac:dyDescent="0.25">
      <c r="A29" s="11">
        <v>42036</v>
      </c>
      <c r="B29" s="7">
        <v>0.70694444444444438</v>
      </c>
      <c r="C29" s="7">
        <v>0.72083333333333333</v>
      </c>
      <c r="D29" s="7">
        <f>(0.720833333333333-0.706944444444444)</f>
        <v>1.3888888888888951E-2</v>
      </c>
      <c r="E29" s="7">
        <f>ABS(0.013888888888889-0.00833333333333297)</f>
        <v>5.5555555555560285E-3</v>
      </c>
      <c r="F29" s="1" t="s">
        <v>9</v>
      </c>
    </row>
    <row r="30" spans="1:6" x14ac:dyDescent="0.25">
      <c r="A30" s="11">
        <v>42036</v>
      </c>
      <c r="B30" s="7">
        <v>0.58611111111111114</v>
      </c>
      <c r="C30" s="7">
        <v>0.59444444444444444</v>
      </c>
      <c r="D30" s="7">
        <f>(0.594444444444444-0.586111111111111)</f>
        <v>8.3333333333329707E-3</v>
      </c>
      <c r="E30" s="7">
        <f>ABS(0.00833333333333297-0.015972222222222)</f>
        <v>7.6388888888890283E-3</v>
      </c>
      <c r="F30" s="1" t="s">
        <v>9</v>
      </c>
    </row>
    <row r="31" spans="1:6" x14ac:dyDescent="0.25">
      <c r="A31" s="11">
        <v>42036</v>
      </c>
      <c r="B31" s="7">
        <v>0.14930555555555555</v>
      </c>
      <c r="C31" s="7">
        <v>0.16527777777777777</v>
      </c>
      <c r="D31" s="7">
        <f>(0.165277777777778-0.149305555555556)</f>
        <v>1.5972222222221999E-2</v>
      </c>
      <c r="E31" s="7">
        <f>ABS(0.015972222222222-0.015277777777778)</f>
        <v>6.9444444444399962E-4</v>
      </c>
      <c r="F31" s="1" t="s">
        <v>9</v>
      </c>
    </row>
    <row r="32" spans="1:6" x14ac:dyDescent="0.25">
      <c r="A32" s="11">
        <v>42036</v>
      </c>
      <c r="B32" s="7">
        <v>0.2902777777777778</v>
      </c>
      <c r="C32" s="7">
        <v>0.30555555555555552</v>
      </c>
      <c r="D32" s="7">
        <f>(0.305555555555556-0.290277777777778)</f>
        <v>1.5277777777778001E-2</v>
      </c>
      <c r="E32" s="7">
        <f>ABS(0.015277777777778-0.014583333333333)</f>
        <v>6.9444444444499882E-4</v>
      </c>
      <c r="F32" s="1" t="s">
        <v>9</v>
      </c>
    </row>
    <row r="33" spans="1:6" x14ac:dyDescent="0.25">
      <c r="A33" s="11">
        <v>42036</v>
      </c>
      <c r="B33" s="7">
        <v>0.34375</v>
      </c>
      <c r="C33" s="7">
        <v>0.35833333333333334</v>
      </c>
      <c r="D33" s="7">
        <f>(0.358333333333333-0.34375)</f>
        <v>1.4583333333333004E-2</v>
      </c>
      <c r="E33" s="7">
        <f>ABS(0.014583333333333-0.013888888888889)</f>
        <v>6.9444444444400136E-4</v>
      </c>
      <c r="F33" s="1" t="s">
        <v>9</v>
      </c>
    </row>
    <row r="34" spans="1:6" x14ac:dyDescent="0.25">
      <c r="A34" s="11">
        <v>42036</v>
      </c>
      <c r="B34" s="7">
        <v>0.3923611111111111</v>
      </c>
      <c r="C34" s="7">
        <v>0.40625</v>
      </c>
      <c r="D34" s="7">
        <f>(0.40625-0.392361111111111)</f>
        <v>1.3888888888889006E-2</v>
      </c>
      <c r="E34" s="7">
        <f>ABS(0.013888888888889-0.020138888888889)</f>
        <v>6.2500000000000021E-3</v>
      </c>
      <c r="F34" s="1" t="s">
        <v>9</v>
      </c>
    </row>
    <row r="35" spans="1:6" x14ac:dyDescent="0.25">
      <c r="A35" s="11">
        <v>42036</v>
      </c>
      <c r="B35" s="7">
        <v>0.41666666666666669</v>
      </c>
      <c r="C35" s="7">
        <v>0.4368055555555555</v>
      </c>
      <c r="D35" s="7">
        <f>(0.436805555555556-0.416666666666667)</f>
        <v>2.0138888888888984E-2</v>
      </c>
      <c r="E35" s="7">
        <f>ABS(0.020138888888889-0.0145833333333329)</f>
        <v>5.5555555555561013E-3</v>
      </c>
      <c r="F35" s="1" t="s">
        <v>9</v>
      </c>
    </row>
    <row r="36" spans="1:6" x14ac:dyDescent="0.25">
      <c r="A36" s="11">
        <v>42036</v>
      </c>
      <c r="B36" s="7">
        <v>0.27430555555555552</v>
      </c>
      <c r="C36" s="7">
        <v>0.28888888888888892</v>
      </c>
      <c r="D36" s="7">
        <f>(0.288888888888889-0.274305555555556)</f>
        <v>1.4583333333332948E-2</v>
      </c>
      <c r="E36" s="7">
        <f>ABS(0.0145833333333329-0.015277777777778)</f>
        <v>6.9444444444509944E-4</v>
      </c>
      <c r="F36" s="1" t="s">
        <v>9</v>
      </c>
    </row>
    <row r="37" spans="1:6" x14ac:dyDescent="0.25">
      <c r="A37" s="11">
        <v>42036</v>
      </c>
      <c r="B37" s="7">
        <v>0.35486111111111113</v>
      </c>
      <c r="C37" s="7">
        <v>0.37013888888888885</v>
      </c>
      <c r="D37" s="7">
        <f>(0.370138888888889-0.354861111111111)</f>
        <v>1.5277777777778001E-2</v>
      </c>
      <c r="E37" s="7">
        <f>ABS(0.015277777777778-0.015277777777778)</f>
        <v>0</v>
      </c>
      <c r="F37" s="1" t="s">
        <v>9</v>
      </c>
    </row>
    <row r="38" spans="1:6" x14ac:dyDescent="0.25">
      <c r="A38" s="11">
        <v>42036</v>
      </c>
      <c r="B38" s="7">
        <v>0.35486111111111113</v>
      </c>
      <c r="C38" s="7">
        <v>0.37013888888888885</v>
      </c>
      <c r="D38" s="7">
        <f>(0.370138888888889-0.354861111111111)</f>
        <v>1.5277777777778001E-2</v>
      </c>
      <c r="E38" s="7">
        <f>ABS(0.015277777777778-0.016666666666667)</f>
        <v>1.3888888888890002E-3</v>
      </c>
      <c r="F38" s="1" t="s">
        <v>9</v>
      </c>
    </row>
    <row r="39" spans="1:6" x14ac:dyDescent="0.25">
      <c r="A39" s="11">
        <v>42036</v>
      </c>
      <c r="B39" s="7">
        <v>0.41875000000000001</v>
      </c>
      <c r="C39" s="7">
        <v>0.43541666666666662</v>
      </c>
      <c r="D39" s="7">
        <f>(0.435416666666667-0.41875)</f>
        <v>1.6666666666666996E-2</v>
      </c>
      <c r="E39" s="7">
        <f>ABS(0.016666666666667-0.0125000000000001)</f>
        <v>4.1666666666668999E-3</v>
      </c>
      <c r="F39" s="1" t="s">
        <v>9</v>
      </c>
    </row>
    <row r="40" spans="1:6" x14ac:dyDescent="0.25">
      <c r="A40" s="11">
        <v>42036</v>
      </c>
      <c r="B40" s="7">
        <v>0.87986111111111109</v>
      </c>
      <c r="C40" s="7">
        <v>0.89236111111111116</v>
      </c>
      <c r="D40" s="7">
        <f>(0.892361111111111-0.879861111111111)</f>
        <v>1.2500000000000067E-2</v>
      </c>
      <c r="E40" s="7">
        <f>ABS(0.0125000000000001-0.013194444444445)</f>
        <v>6.9444444444489994E-4</v>
      </c>
      <c r="F40" s="1" t="s">
        <v>9</v>
      </c>
    </row>
    <row r="41" spans="1:6" x14ac:dyDescent="0.25">
      <c r="A41" s="11">
        <v>42036</v>
      </c>
      <c r="B41" s="7">
        <v>0.27361111111111108</v>
      </c>
      <c r="C41" s="7">
        <v>0.28680555555555554</v>
      </c>
      <c r="D41" s="7">
        <f>(0.286805555555556-0.273611111111111)</f>
        <v>1.3194444444444953E-2</v>
      </c>
      <c r="E41" s="7">
        <f>ABS(0.013194444444445-0.0125)</f>
        <v>6.9444444444499882E-4</v>
      </c>
      <c r="F41" s="1" t="s">
        <v>9</v>
      </c>
    </row>
    <row r="42" spans="1:6" x14ac:dyDescent="0.25">
      <c r="A42" s="11">
        <v>42036</v>
      </c>
      <c r="B42" s="7">
        <v>0.3347222222222222</v>
      </c>
      <c r="C42" s="7">
        <v>0.34722222222222227</v>
      </c>
      <c r="D42" s="7">
        <f>(0.347222222222222-0.334722222222222)</f>
        <v>1.2500000000000011E-2</v>
      </c>
      <c r="E42" s="7">
        <f>ABS(0.0125-0.027777777777778)</f>
        <v>1.5277777777777998E-2</v>
      </c>
      <c r="F42" s="1" t="s">
        <v>9</v>
      </c>
    </row>
    <row r="43" spans="1:6" x14ac:dyDescent="0.25">
      <c r="A43" s="11">
        <v>42036</v>
      </c>
      <c r="B43" s="7">
        <v>0.60763888888888895</v>
      </c>
      <c r="C43" s="7">
        <v>0.63541666666666663</v>
      </c>
      <c r="D43" s="7">
        <f>(0.635416666666667-0.607638888888889)</f>
        <v>2.7777777777778012E-2</v>
      </c>
      <c r="E43" s="7">
        <f>ABS(0.027777777777778-0.023611111111111)</f>
        <v>4.1666666666669988E-3</v>
      </c>
      <c r="F43" s="1" t="s">
        <v>9</v>
      </c>
    </row>
    <row r="44" spans="1:6" x14ac:dyDescent="0.25">
      <c r="A44" s="11">
        <v>42036</v>
      </c>
      <c r="B44" s="7">
        <v>0.63263888888888886</v>
      </c>
      <c r="C44" s="7">
        <v>0.65625</v>
      </c>
      <c r="D44" s="7">
        <f>(0.65625-0.632638888888889)</f>
        <v>2.3611111111111027E-2</v>
      </c>
      <c r="E44" s="7">
        <f>ABS(0.023611111111111-0.017361111111112)</f>
        <v>6.2499999999989994E-3</v>
      </c>
      <c r="F44" s="1" t="s">
        <v>9</v>
      </c>
    </row>
    <row r="45" spans="1:6" x14ac:dyDescent="0.25">
      <c r="A45" s="11">
        <v>42036</v>
      </c>
      <c r="B45" s="7">
        <v>0.8569444444444444</v>
      </c>
      <c r="C45" s="7">
        <v>0.87430555555555556</v>
      </c>
      <c r="D45" s="7">
        <f>(0.874305555555556-0.856944444444444)</f>
        <v>1.7361111111112049E-2</v>
      </c>
      <c r="E45" s="7">
        <f>ABS(0.017361111111112-0.011805555555555)</f>
        <v>5.5555555555569999E-3</v>
      </c>
      <c r="F45" s="1" t="s">
        <v>9</v>
      </c>
    </row>
    <row r="46" spans="1:6" x14ac:dyDescent="0.25">
      <c r="A46" s="11">
        <v>42036</v>
      </c>
      <c r="B46" s="7">
        <v>0.36805555555555558</v>
      </c>
      <c r="C46" s="7">
        <v>0.37986111111111115</v>
      </c>
      <c r="D46" s="7">
        <f>(0.379861111111111-0.368055555555556)</f>
        <v>1.1805555555554959E-2</v>
      </c>
      <c r="E46" s="7">
        <f>ABS(0.011805555555555-0.015972222222222)</f>
        <v>4.1666666666669988E-3</v>
      </c>
      <c r="F46" s="1" t="s">
        <v>9</v>
      </c>
    </row>
    <row r="47" spans="1:6" x14ac:dyDescent="0.25">
      <c r="A47" s="11">
        <v>42036</v>
      </c>
      <c r="B47" s="7">
        <v>0.28055555555555556</v>
      </c>
      <c r="C47" s="7">
        <v>0.29652777777777778</v>
      </c>
      <c r="D47" s="7">
        <f>(0.296527777777778-0.280555555555556)</f>
        <v>1.5972222222221999E-2</v>
      </c>
      <c r="E47" s="7">
        <f>ABS(0.015972222222222-0.016666666666666)</f>
        <v>6.9444444444400136E-4</v>
      </c>
      <c r="F47" s="1" t="s">
        <v>9</v>
      </c>
    </row>
    <row r="48" spans="1:6" x14ac:dyDescent="0.25">
      <c r="A48" s="11">
        <v>42036</v>
      </c>
      <c r="B48" s="7">
        <v>0.29305555555555557</v>
      </c>
      <c r="C48" s="7">
        <v>0.30972222222222223</v>
      </c>
      <c r="D48" s="7">
        <f>(0.309722222222222-0.293055555555556)</f>
        <v>1.6666666666665997E-2</v>
      </c>
      <c r="E48" s="7">
        <f>ABS(0.016666666666666-0.015277777777778)</f>
        <v>1.388888888888001E-3</v>
      </c>
      <c r="F48" s="1" t="s">
        <v>9</v>
      </c>
    </row>
    <row r="49" spans="1:6" x14ac:dyDescent="0.25">
      <c r="A49" s="11">
        <v>42036</v>
      </c>
      <c r="B49" s="7">
        <v>0.3888888888888889</v>
      </c>
      <c r="C49" s="7">
        <v>0.40416666666666662</v>
      </c>
      <c r="D49" s="7">
        <f>(0.404166666666667-0.388888888888889)</f>
        <v>1.5277777777778001E-2</v>
      </c>
      <c r="E49" s="7"/>
      <c r="F49" s="1" t="s">
        <v>9</v>
      </c>
    </row>
    <row r="50" spans="1:6" x14ac:dyDescent="0.25">
      <c r="A50" s="11">
        <v>42036</v>
      </c>
      <c r="B50" s="7">
        <v>7.0833333333333331E-2</v>
      </c>
      <c r="C50" s="7">
        <v>9.375E-2</v>
      </c>
      <c r="D50" s="7">
        <f>(0.09375-0.0708333333333333)</f>
        <v>2.2916666666666696E-2</v>
      </c>
      <c r="E50" s="7">
        <f>ABS(0.0229166666666667-0.00624999999999998)</f>
        <v>1.6666666666666718E-2</v>
      </c>
      <c r="F50" s="1" t="s">
        <v>3</v>
      </c>
    </row>
    <row r="51" spans="1:6" x14ac:dyDescent="0.25">
      <c r="A51" s="11">
        <v>42036</v>
      </c>
      <c r="B51" s="7">
        <v>0.26319444444444445</v>
      </c>
      <c r="C51" s="7">
        <v>0.26944444444444443</v>
      </c>
      <c r="D51" s="7">
        <f>(0.269444444444444-0.263194444444444)</f>
        <v>6.2499999999999778E-3</v>
      </c>
      <c r="E51" s="7">
        <f>ABS(0.00624999999999998-0.00486111111111098)</f>
        <v>1.3888888888890002E-3</v>
      </c>
      <c r="F51" s="1" t="s">
        <v>3</v>
      </c>
    </row>
    <row r="52" spans="1:6" x14ac:dyDescent="0.25">
      <c r="A52" s="11">
        <v>42036</v>
      </c>
      <c r="B52" s="7">
        <v>0.29166666666666669</v>
      </c>
      <c r="C52" s="7">
        <v>0.29652777777777778</v>
      </c>
      <c r="D52" s="7">
        <f>(0.296527777777778-0.291666666666667)</f>
        <v>4.8611111111109828E-3</v>
      </c>
      <c r="E52" s="7">
        <f>ABS(0.00486111111111098-0.013194444444444)</f>
        <v>8.3333333333330192E-3</v>
      </c>
      <c r="F52" s="1" t="s">
        <v>3</v>
      </c>
    </row>
    <row r="53" spans="1:6" x14ac:dyDescent="0.25">
      <c r="A53" s="11">
        <v>42036</v>
      </c>
      <c r="B53" s="7">
        <v>0.49305555555555558</v>
      </c>
      <c r="C53" s="7">
        <v>0.50624999999999998</v>
      </c>
      <c r="D53" s="7">
        <f>(0.50625-0.493055555555556)</f>
        <v>1.3194444444443953E-2</v>
      </c>
      <c r="E53" s="7">
        <f>ABS(0.013194444444444-0.026388888888889)</f>
        <v>1.3194444444445E-2</v>
      </c>
      <c r="F53" s="1" t="s">
        <v>3</v>
      </c>
    </row>
    <row r="54" spans="1:6" x14ac:dyDescent="0.25">
      <c r="A54" s="11">
        <v>42036</v>
      </c>
      <c r="B54" s="7">
        <v>0.52847222222222223</v>
      </c>
      <c r="C54" s="7">
        <v>0.55486111111111114</v>
      </c>
      <c r="D54" s="7">
        <f>(0.554861111111111-0.528472222222222)</f>
        <v>2.6388888888889017E-2</v>
      </c>
      <c r="E54" s="7">
        <f>ABS(0.026388888888889-0.00486111111111098)</f>
        <v>2.152777777777802E-2</v>
      </c>
      <c r="F54" s="1" t="s">
        <v>3</v>
      </c>
    </row>
    <row r="55" spans="1:6" x14ac:dyDescent="0.25">
      <c r="A55" s="11">
        <v>42036</v>
      </c>
      <c r="B55" s="7">
        <v>0.59027777777777779</v>
      </c>
      <c r="C55" s="7">
        <v>0.59513888888888888</v>
      </c>
      <c r="D55" s="7">
        <f>(0.595138888888889-0.590277777777778)</f>
        <v>4.8611111111109828E-3</v>
      </c>
      <c r="E55" s="7">
        <f>ABS(0.00486111111111098-0.00347222222222199)</f>
        <v>1.3888888888889902E-3</v>
      </c>
      <c r="F55" s="1" t="s">
        <v>3</v>
      </c>
    </row>
    <row r="56" spans="1:6" x14ac:dyDescent="0.25">
      <c r="A56" s="11">
        <v>42036</v>
      </c>
      <c r="B56" s="7">
        <v>0.60347222222222219</v>
      </c>
      <c r="C56" s="7">
        <v>0.6069444444444444</v>
      </c>
      <c r="D56" s="7">
        <f>(0.606944444444444-0.603472222222222)</f>
        <v>3.4722222222219878E-3</v>
      </c>
      <c r="E56" s="7">
        <f>ABS(0.00347222222222199-0.00555555555555598)</f>
        <v>2.0833333333339899E-3</v>
      </c>
      <c r="F56" s="1" t="s">
        <v>3</v>
      </c>
    </row>
    <row r="57" spans="1:6" x14ac:dyDescent="0.25">
      <c r="A57" s="11">
        <v>42036</v>
      </c>
      <c r="B57" s="7">
        <v>0.59722222222222221</v>
      </c>
      <c r="C57" s="7">
        <v>0.60277777777777775</v>
      </c>
      <c r="D57" s="7">
        <f>(0.602777777777778-0.597222222222222)</f>
        <v>5.5555555555559799E-3</v>
      </c>
      <c r="E57" s="7">
        <f>ABS(0.00555555555555598-0.0041666666666671)</f>
        <v>1.3888888888888796E-3</v>
      </c>
      <c r="F57" s="1" t="s">
        <v>3</v>
      </c>
    </row>
    <row r="58" spans="1:6" x14ac:dyDescent="0.25">
      <c r="A58" s="11">
        <v>42036</v>
      </c>
      <c r="B58" s="7">
        <v>0.66875000000000007</v>
      </c>
      <c r="C58" s="7">
        <v>0.67291666666666661</v>
      </c>
      <c r="D58" s="7">
        <f>(0.672916666666667-0.66875)</f>
        <v>4.166666666667096E-3</v>
      </c>
      <c r="E58" s="7">
        <f>ABS(0.0041666666666671-0.00902777777777797)</f>
        <v>4.8611111111108692E-3</v>
      </c>
      <c r="F58" s="1" t="s">
        <v>3</v>
      </c>
    </row>
    <row r="59" spans="1:6" x14ac:dyDescent="0.25">
      <c r="A59" s="11">
        <v>42036</v>
      </c>
      <c r="B59" s="7">
        <v>0.70486111111111116</v>
      </c>
      <c r="C59" s="7">
        <v>0.71388888888888891</v>
      </c>
      <c r="D59" s="7">
        <f>(0.713888888888889-0.704861111111111)</f>
        <v>9.0277777777779677E-3</v>
      </c>
      <c r="E59" s="7">
        <f>ABS(0.00902777777777797-0.00347222222222199)</f>
        <v>5.5555555555559799E-3</v>
      </c>
      <c r="F59" s="1" t="s">
        <v>3</v>
      </c>
    </row>
    <row r="60" spans="1:6" x14ac:dyDescent="0.25">
      <c r="A60" s="11">
        <v>42036</v>
      </c>
      <c r="B60" s="7">
        <v>0.72499999999999998</v>
      </c>
      <c r="C60" s="7">
        <v>0.7284722222222223</v>
      </c>
      <c r="D60" s="7">
        <f>(0.728472222222222-0.725)</f>
        <v>3.4722222222219878E-3</v>
      </c>
      <c r="E60" s="7">
        <f>ABS(0.00347222222222199-0.00347222222222199)</f>
        <v>0</v>
      </c>
      <c r="F60" s="1" t="s">
        <v>3</v>
      </c>
    </row>
    <row r="61" spans="1:6" x14ac:dyDescent="0.25">
      <c r="A61" s="11">
        <v>42036</v>
      </c>
      <c r="B61" s="7">
        <v>0.7993055555555556</v>
      </c>
      <c r="C61" s="7">
        <v>0.8027777777777777</v>
      </c>
      <c r="D61" s="7">
        <f>(0.802777777777778-0.799305555555556)</f>
        <v>3.4722222222219878E-3</v>
      </c>
      <c r="E61" s="7">
        <f>ABS(0.00347222222222199-0.0041666666666661)</f>
        <v>6.9444444444411021E-4</v>
      </c>
      <c r="F61" s="1" t="s">
        <v>3</v>
      </c>
    </row>
    <row r="62" spans="1:6" x14ac:dyDescent="0.25">
      <c r="A62" s="11">
        <v>42036</v>
      </c>
      <c r="B62" s="7">
        <v>0.85555555555555562</v>
      </c>
      <c r="C62" s="7">
        <v>0.85972222222222217</v>
      </c>
      <c r="D62" s="7">
        <f>(0.859722222222222-0.855555555555556)</f>
        <v>4.1666666666660968E-3</v>
      </c>
      <c r="E62" s="7">
        <f>ABS(0.0041666666666661-0.0076388888888889)</f>
        <v>3.4722222222227997E-3</v>
      </c>
      <c r="F62" s="1" t="s">
        <v>3</v>
      </c>
    </row>
    <row r="63" spans="1:6" x14ac:dyDescent="0.25">
      <c r="A63" s="11">
        <v>42036</v>
      </c>
      <c r="B63" s="7">
        <v>4.7916666666666663E-2</v>
      </c>
      <c r="C63" s="7">
        <v>5.5555555555555552E-2</v>
      </c>
      <c r="D63" s="7">
        <f>(0.0555555555555556-0.0479166666666667)</f>
        <v>7.6388888888889034E-3</v>
      </c>
      <c r="E63" s="7">
        <f>ABS(0.0076388888888889-0.0138888888888889)</f>
        <v>6.2500000000000003E-3</v>
      </c>
      <c r="F63" s="1" t="s">
        <v>3</v>
      </c>
    </row>
    <row r="64" spans="1:6" x14ac:dyDescent="0.25">
      <c r="A64" s="11">
        <v>42036</v>
      </c>
      <c r="B64" s="7">
        <v>4.7916666666666663E-2</v>
      </c>
      <c r="C64" s="7">
        <v>6.1805555555555558E-2</v>
      </c>
      <c r="D64" s="7">
        <f>(0.0618055555555556-0.0479166666666667)</f>
        <v>1.3888888888888902E-2</v>
      </c>
      <c r="E64" s="7">
        <f>ABS(0.0138888888888889-0.047916666666667)</f>
        <v>3.4027777777778101E-2</v>
      </c>
      <c r="F64" s="1" t="s">
        <v>3</v>
      </c>
    </row>
    <row r="65" spans="1:6" x14ac:dyDescent="0.25">
      <c r="A65" s="11">
        <v>42036</v>
      </c>
      <c r="B65" s="7">
        <v>0.11388888888888889</v>
      </c>
      <c r="C65" s="7">
        <v>0.16180555555555556</v>
      </c>
      <c r="D65" s="7">
        <f>(0.161805555555556-0.113888888888889)</f>
        <v>4.791666666666701E-2</v>
      </c>
      <c r="E65" s="7">
        <f>ABS(0.047916666666667-0.006944444444445)</f>
        <v>4.0972222222222E-2</v>
      </c>
      <c r="F65" s="1" t="s">
        <v>3</v>
      </c>
    </row>
    <row r="66" spans="1:6" x14ac:dyDescent="0.25">
      <c r="A66" s="11">
        <v>42036</v>
      </c>
      <c r="B66" s="7">
        <v>0.22361111111111109</v>
      </c>
      <c r="C66" s="7">
        <v>0.23055555555555554</v>
      </c>
      <c r="D66" s="7">
        <f>(0.230555555555556-0.223611111111111)</f>
        <v>6.9444444444450026E-3</v>
      </c>
      <c r="E66" s="7">
        <f>ABS(0.006944444444445-0.00625000000000003)</f>
        <v>6.944444444449702E-4</v>
      </c>
      <c r="F66" s="1" t="s">
        <v>3</v>
      </c>
    </row>
    <row r="67" spans="1:6" x14ac:dyDescent="0.25">
      <c r="A67" s="11">
        <v>42036</v>
      </c>
      <c r="B67" s="7">
        <v>0.34930555555555554</v>
      </c>
      <c r="C67" s="7">
        <v>0.35555555555555557</v>
      </c>
      <c r="D67" s="7">
        <f>(0.355555555555556-0.349305555555556)</f>
        <v>6.2500000000000333E-3</v>
      </c>
      <c r="E67" s="7">
        <f>ABS(0.00625000000000003-0.029861111111111)</f>
        <v>2.3611111111110972E-2</v>
      </c>
      <c r="F67" s="1" t="s">
        <v>3</v>
      </c>
    </row>
    <row r="68" spans="1:6" x14ac:dyDescent="0.25">
      <c r="A68" s="11">
        <v>42036</v>
      </c>
      <c r="B68" s="7">
        <v>0.58888888888888891</v>
      </c>
      <c r="C68" s="7">
        <v>0.61875000000000002</v>
      </c>
      <c r="D68" s="7">
        <f>(0.61875-0.588888888888889)</f>
        <v>2.9861111111111005E-2</v>
      </c>
      <c r="E68" s="7">
        <f>ABS(0.029861111111111-0.00555555555555498)</f>
        <v>2.4305555555556021E-2</v>
      </c>
      <c r="F68" s="1" t="s">
        <v>3</v>
      </c>
    </row>
    <row r="69" spans="1:6" x14ac:dyDescent="0.25">
      <c r="A69" s="11">
        <v>42036</v>
      </c>
      <c r="B69" s="7">
        <v>0.64652777777777781</v>
      </c>
      <c r="C69" s="7">
        <v>0.65208333333333335</v>
      </c>
      <c r="D69" s="7">
        <f>(0.652083333333333-0.646527777777778)</f>
        <v>5.5555555555549807E-3</v>
      </c>
      <c r="E69" s="7">
        <f>ABS(0.00555555555555498-0.0194444444444439)</f>
        <v>1.3888888888888919E-2</v>
      </c>
      <c r="F69" s="1" t="s">
        <v>3</v>
      </c>
    </row>
    <row r="70" spans="1:6" x14ac:dyDescent="0.25">
      <c r="A70" s="11">
        <v>42036</v>
      </c>
      <c r="B70" s="7">
        <v>0.64513888888888882</v>
      </c>
      <c r="C70" s="7">
        <v>0.6645833333333333</v>
      </c>
      <c r="D70" s="7">
        <f>(0.664583333333333-0.645138888888889)</f>
        <v>1.9444444444443931E-2</v>
      </c>
      <c r="E70" s="7">
        <f>ABS(0.0194444444444439-0.00694444444444398)</f>
        <v>1.2499999999999921E-2</v>
      </c>
      <c r="F70" s="1" t="s">
        <v>3</v>
      </c>
    </row>
    <row r="71" spans="1:6" x14ac:dyDescent="0.25">
      <c r="A71" s="11">
        <v>42036</v>
      </c>
      <c r="B71" s="7">
        <v>0.64513888888888882</v>
      </c>
      <c r="C71" s="7">
        <v>0.65208333333333335</v>
      </c>
      <c r="D71" s="7">
        <f>(0.652083333333333-0.645138888888889)</f>
        <v>6.9444444444439757E-3</v>
      </c>
      <c r="E71" s="7">
        <f>ABS(0.00694444444444398-0.0111111111111111)</f>
        <v>4.1666666666671194E-3</v>
      </c>
      <c r="F71" s="1" t="s">
        <v>3</v>
      </c>
    </row>
    <row r="72" spans="1:6" x14ac:dyDescent="0.25">
      <c r="A72" s="11">
        <v>42036</v>
      </c>
      <c r="B72" s="7">
        <v>0.70138888888888884</v>
      </c>
      <c r="C72" s="7">
        <v>0.71250000000000002</v>
      </c>
      <c r="D72" s="7">
        <f>(0.7125-0.701388888888889)</f>
        <v>1.1111111111111072E-2</v>
      </c>
      <c r="E72" s="7">
        <f>ABS(0.0111111111111111-0.00416666666666698)</f>
        <v>6.9444444444441197E-3</v>
      </c>
      <c r="F72" s="1" t="s">
        <v>3</v>
      </c>
    </row>
    <row r="73" spans="1:6" x14ac:dyDescent="0.25">
      <c r="A73" s="11">
        <v>42036</v>
      </c>
      <c r="B73" s="7">
        <v>0.69027777777777777</v>
      </c>
      <c r="C73" s="7">
        <v>0.69444444444444453</v>
      </c>
      <c r="D73" s="7">
        <f>(0.694444444444445-0.690277777777778)</f>
        <v>4.1666666666669849E-3</v>
      </c>
      <c r="E73" s="7">
        <f>ABS(0.00416666666666698-0.0583333333333339)</f>
        <v>5.4166666666666925E-2</v>
      </c>
      <c r="F73" s="1" t="s">
        <v>3</v>
      </c>
    </row>
    <row r="74" spans="1:6" x14ac:dyDescent="0.25">
      <c r="A74" s="11">
        <v>42036</v>
      </c>
      <c r="B74" s="7">
        <v>0.73472222222222217</v>
      </c>
      <c r="C74" s="7">
        <v>0.79305555555555562</v>
      </c>
      <c r="D74" s="7">
        <f>(0.793055555555556-0.734722222222222)</f>
        <v>5.8333333333333903E-2</v>
      </c>
      <c r="E74" s="7">
        <f>ABS(0.0583333333333339-0.010416666666667)</f>
        <v>4.7916666666666906E-2</v>
      </c>
      <c r="F74" s="1" t="s">
        <v>3</v>
      </c>
    </row>
    <row r="75" spans="1:6" x14ac:dyDescent="0.25">
      <c r="A75" s="11">
        <v>42036</v>
      </c>
      <c r="B75" s="7">
        <v>0.87152777777777779</v>
      </c>
      <c r="C75" s="7">
        <v>0.88194444444444453</v>
      </c>
      <c r="D75" s="7">
        <f>(0.881944444444445-0.871527777777778)</f>
        <v>1.0416666666666963E-2</v>
      </c>
      <c r="E75" s="7">
        <f>ABS(0.010416666666667-0.00763888888888908)</f>
        <v>2.7777777777779188E-3</v>
      </c>
      <c r="F75" s="1" t="s">
        <v>3</v>
      </c>
    </row>
    <row r="76" spans="1:6" x14ac:dyDescent="0.25">
      <c r="A76" s="11">
        <v>42036</v>
      </c>
      <c r="B76" s="7">
        <v>0.9194444444444444</v>
      </c>
      <c r="C76" s="7">
        <v>0.92708333333333337</v>
      </c>
      <c r="D76" s="7">
        <f>(0.927083333333333-0.919444444444444)</f>
        <v>7.6388888888890838E-3</v>
      </c>
      <c r="E76" s="7">
        <f>ABS(0.00763888888888908-0.00694444444444398)</f>
        <v>6.944444444451003E-4</v>
      </c>
      <c r="F76" s="1" t="s">
        <v>3</v>
      </c>
    </row>
    <row r="77" spans="1:6" x14ac:dyDescent="0.25">
      <c r="A77" s="11">
        <v>42036</v>
      </c>
      <c r="B77" s="7">
        <v>0.9555555555555556</v>
      </c>
      <c r="C77" s="7">
        <v>0.96250000000000002</v>
      </c>
      <c r="D77" s="7">
        <f>(0.9625-0.955555555555556)</f>
        <v>6.9444444444439757E-3</v>
      </c>
      <c r="E77" s="7">
        <f>ABS(0.00694444444444398-0.00694444444444441)</f>
        <v>4.3021142204224816E-16</v>
      </c>
      <c r="F77" s="1" t="s">
        <v>3</v>
      </c>
    </row>
    <row r="78" spans="1:6" x14ac:dyDescent="0.25">
      <c r="A78" s="11">
        <v>42036</v>
      </c>
      <c r="B78" s="7">
        <v>7.4305555555555555E-2</v>
      </c>
      <c r="C78" s="7">
        <v>8.1250000000000003E-2</v>
      </c>
      <c r="D78" s="7">
        <f>(0.08125-0.0743055555555556)</f>
        <v>6.9444444444444059E-3</v>
      </c>
      <c r="E78" s="7">
        <f>ABS(0.00694444444444441-0.00347222222222199)</f>
        <v>3.4722222222224202E-3</v>
      </c>
      <c r="F78" s="1" t="s">
        <v>3</v>
      </c>
    </row>
    <row r="79" spans="1:6" x14ac:dyDescent="0.25">
      <c r="A79" s="11">
        <v>42036</v>
      </c>
      <c r="B79" s="7">
        <v>0.21597222222222223</v>
      </c>
      <c r="C79" s="7">
        <v>0.21944444444444444</v>
      </c>
      <c r="D79" s="7">
        <f>(0.219444444444444-0.215972222222222)</f>
        <v>3.4722222222219878E-3</v>
      </c>
      <c r="E79" s="7">
        <f>ABS(0.00347222222222199-0.013888888888889)</f>
        <v>1.041666666666701E-2</v>
      </c>
      <c r="F79" s="1" t="s">
        <v>3</v>
      </c>
    </row>
    <row r="80" spans="1:6" x14ac:dyDescent="0.25">
      <c r="A80" s="11">
        <v>42036</v>
      </c>
      <c r="B80" s="7">
        <v>0.375</v>
      </c>
      <c r="C80" s="7">
        <v>0.3888888888888889</v>
      </c>
      <c r="D80" s="7">
        <f>(0.388888888888889-0.375)</f>
        <v>1.3888888888889006E-2</v>
      </c>
      <c r="E80" s="7">
        <f>ABS(0.013888888888889-0.022222222222223)</f>
        <v>8.3333333333340011E-3</v>
      </c>
      <c r="F80" s="1" t="s">
        <v>3</v>
      </c>
    </row>
    <row r="81" spans="1:6" x14ac:dyDescent="0.25">
      <c r="A81" s="11">
        <v>42036</v>
      </c>
      <c r="B81" s="7">
        <v>0.35694444444444445</v>
      </c>
      <c r="C81" s="7">
        <v>0.37916666666666665</v>
      </c>
      <c r="D81" s="7">
        <f>(0.379166666666667-0.356944444444444)</f>
        <v>2.2222222222222976E-2</v>
      </c>
      <c r="E81" s="7">
        <f>ABS(0.022222222222223-0.015277777777778)</f>
        <v>6.9444444444450009E-3</v>
      </c>
      <c r="F81" s="1" t="s">
        <v>3</v>
      </c>
    </row>
    <row r="82" spans="1:6" x14ac:dyDescent="0.25">
      <c r="A82" s="11">
        <v>42036</v>
      </c>
      <c r="B82" s="7">
        <v>0.4236111111111111</v>
      </c>
      <c r="C82" s="7">
        <v>0.43888888888888888</v>
      </c>
      <c r="D82" s="7">
        <f>(0.438888888888889-0.423611111111111)</f>
        <v>1.5277777777778001E-2</v>
      </c>
      <c r="E82" s="7">
        <f>ABS(0.015277777777778-0.015277777777778)</f>
        <v>0</v>
      </c>
      <c r="F82" s="1" t="s">
        <v>3</v>
      </c>
    </row>
    <row r="83" spans="1:6" x14ac:dyDescent="0.25">
      <c r="A83" s="11">
        <v>42036</v>
      </c>
      <c r="B83" s="7">
        <v>0.46458333333333335</v>
      </c>
      <c r="C83" s="7">
        <v>0.47986111111111113</v>
      </c>
      <c r="D83" s="7">
        <f>(0.479861111111111-0.464583333333333)</f>
        <v>1.5277777777778001E-2</v>
      </c>
      <c r="E83" s="7">
        <f>ABS(0.015277777777778-0.010416666666667)</f>
        <v>4.8611111111110002E-3</v>
      </c>
      <c r="F83" s="1" t="s">
        <v>3</v>
      </c>
    </row>
    <row r="84" spans="1:6" x14ac:dyDescent="0.25">
      <c r="A84" s="11">
        <v>42036</v>
      </c>
      <c r="B84" s="7">
        <v>0.47638888888888892</v>
      </c>
      <c r="C84" s="7">
        <v>0.48680555555555555</v>
      </c>
      <c r="D84" s="7">
        <f>(0.486805555555556-0.476388888888889)</f>
        <v>1.0416666666667018E-2</v>
      </c>
      <c r="E84" s="7">
        <f>ABS(0.010416666666667-0.00694444444444398)</f>
        <v>3.4722222222230191E-3</v>
      </c>
      <c r="F84" s="1" t="s">
        <v>3</v>
      </c>
    </row>
    <row r="85" spans="1:6" x14ac:dyDescent="0.25">
      <c r="A85" s="11">
        <v>42036</v>
      </c>
      <c r="B85" s="7">
        <v>0.54999999999999993</v>
      </c>
      <c r="C85" s="7">
        <v>0.55694444444444446</v>
      </c>
      <c r="D85" s="7">
        <f>(0.556944444444444-0.55)</f>
        <v>6.9444444444439757E-3</v>
      </c>
      <c r="E85" s="7">
        <f>ABS(0.00694444444444398-0.024305555555556)</f>
        <v>1.7361111111112021E-2</v>
      </c>
      <c r="F85" s="1" t="s">
        <v>3</v>
      </c>
    </row>
    <row r="86" spans="1:6" x14ac:dyDescent="0.25">
      <c r="A86" s="11">
        <v>42036</v>
      </c>
      <c r="B86" s="7">
        <v>0.58958333333333335</v>
      </c>
      <c r="C86" s="7">
        <v>0.61388888888888882</v>
      </c>
      <c r="D86" s="7">
        <f>(0.613888888888889-0.589583333333333)</f>
        <v>2.4305555555556024E-2</v>
      </c>
      <c r="E86" s="7">
        <f>ABS(0.024305555555556-0.00763888888888908)</f>
        <v>1.666666666666692E-2</v>
      </c>
      <c r="F86" s="1" t="s">
        <v>3</v>
      </c>
    </row>
    <row r="87" spans="1:6" x14ac:dyDescent="0.25">
      <c r="A87" s="11">
        <v>42036</v>
      </c>
      <c r="B87" s="7">
        <v>0.67152777777777783</v>
      </c>
      <c r="C87" s="7">
        <v>0.6791666666666667</v>
      </c>
      <c r="D87" s="7">
        <f>(0.679166666666667-0.671527777777778)</f>
        <v>7.6388888888890838E-3</v>
      </c>
      <c r="E87" s="7">
        <f>ABS(0.00763888888888908-0.00347222222222199)</f>
        <v>4.1666666666670907E-3</v>
      </c>
      <c r="F87" s="1" t="s">
        <v>3</v>
      </c>
    </row>
    <row r="88" spans="1:6" x14ac:dyDescent="0.25">
      <c r="A88" s="11">
        <v>42036</v>
      </c>
      <c r="B88" s="7">
        <v>0.81111111111111101</v>
      </c>
      <c r="C88" s="7">
        <v>0.81458333333333333</v>
      </c>
      <c r="D88" s="7">
        <f>(0.814583333333333-0.811111111111111)</f>
        <v>3.4722222222219878E-3</v>
      </c>
      <c r="E88" s="7">
        <f>ABS(0.00347222222222199-0.020833333333334)</f>
        <v>1.7361111111112007E-2</v>
      </c>
      <c r="F88" s="1" t="s">
        <v>3</v>
      </c>
    </row>
    <row r="89" spans="1:6" x14ac:dyDescent="0.25">
      <c r="A89" s="11">
        <v>42036</v>
      </c>
      <c r="B89" s="7">
        <v>0.90833333333333333</v>
      </c>
      <c r="C89" s="7">
        <v>0.9291666666666667</v>
      </c>
      <c r="D89" s="7">
        <f>(0.929166666666667-0.908333333333333)</f>
        <v>2.0833333333334036E-2</v>
      </c>
      <c r="E89" s="7">
        <f>ABS(0.020833333333334-0.00555555555555609)</f>
        <v>1.5277777777777907E-2</v>
      </c>
      <c r="F89" s="1" t="s">
        <v>3</v>
      </c>
    </row>
    <row r="90" spans="1:6" x14ac:dyDescent="0.25">
      <c r="A90" s="11">
        <v>42036</v>
      </c>
      <c r="B90" s="7">
        <v>0.94861111111111107</v>
      </c>
      <c r="C90" s="7">
        <v>0.95416666666666661</v>
      </c>
      <c r="D90" s="7">
        <f>(0.954166666666667-0.948611111111111)</f>
        <v>5.5555555555560909E-3</v>
      </c>
      <c r="E90" s="7">
        <f>ABS(0.00555555555555609-0.00555555555555598)</f>
        <v>1.1015494072452725E-16</v>
      </c>
      <c r="F90" s="1" t="s">
        <v>3</v>
      </c>
    </row>
    <row r="91" spans="1:6" x14ac:dyDescent="0.25">
      <c r="A91" s="11">
        <v>42036</v>
      </c>
      <c r="B91" s="7">
        <v>0.96180555555555547</v>
      </c>
      <c r="C91" s="7">
        <v>0.96736111111111101</v>
      </c>
      <c r="D91" s="7">
        <f>(0.967361111111111-0.961805555555555)</f>
        <v>5.5555555555559799E-3</v>
      </c>
      <c r="E91" s="7">
        <f>ABS(0.00555555555555598-0.00347222222222199)</f>
        <v>2.0833333333339899E-3</v>
      </c>
      <c r="F91" s="1" t="s">
        <v>3</v>
      </c>
    </row>
    <row r="92" spans="1:6" x14ac:dyDescent="0.25">
      <c r="A92" s="11">
        <v>42036</v>
      </c>
      <c r="B92" s="7">
        <v>0.97152777777777777</v>
      </c>
      <c r="C92" s="7">
        <v>0.97499999999999998</v>
      </c>
      <c r="D92" s="7">
        <f>(0.975-0.971527777777778)</f>
        <v>3.4722222222219878E-3</v>
      </c>
      <c r="E92" s="7">
        <f>ABS(0.00347222222222199-0.024305555555556)</f>
        <v>2.0833333333334009E-2</v>
      </c>
      <c r="F92" s="1" t="s">
        <v>3</v>
      </c>
    </row>
    <row r="93" spans="1:6" x14ac:dyDescent="0.25">
      <c r="A93" s="11">
        <v>42036</v>
      </c>
      <c r="B93" s="7">
        <v>9.9999999999999992E-2</v>
      </c>
      <c r="C93" s="7">
        <v>0.12430555555555556</v>
      </c>
      <c r="D93" s="7">
        <f>(0.124305555555556-0.1)</f>
        <v>2.4305555555555997E-2</v>
      </c>
      <c r="E93" s="7">
        <f>ABS(0.024305555555556-0.00416666666666599)</f>
        <v>2.0138888888890011E-2</v>
      </c>
      <c r="F93" s="1" t="s">
        <v>3</v>
      </c>
    </row>
    <row r="94" spans="1:6" x14ac:dyDescent="0.25">
      <c r="A94" s="11">
        <v>42036</v>
      </c>
      <c r="B94" s="7">
        <v>0.36041666666666666</v>
      </c>
      <c r="C94" s="7">
        <v>0.36458333333333331</v>
      </c>
      <c r="D94" s="7">
        <f>(0.364583333333333-0.360416666666667)</f>
        <v>4.1666666666659857E-3</v>
      </c>
      <c r="E94" s="7">
        <f>ABS(0.00416666666666599-0.015972222222222)</f>
        <v>1.180555555555601E-2</v>
      </c>
      <c r="F94" s="1" t="s">
        <v>3</v>
      </c>
    </row>
    <row r="95" spans="1:6" x14ac:dyDescent="0.25">
      <c r="A95" s="11">
        <v>42036</v>
      </c>
      <c r="B95" s="7">
        <v>0.4291666666666667</v>
      </c>
      <c r="C95" s="7">
        <v>0.44513888888888892</v>
      </c>
      <c r="D95" s="7">
        <f>(0.445138888888889-0.429166666666667)</f>
        <v>1.5972222222221999E-2</v>
      </c>
      <c r="E95" s="7">
        <f>ABS(0.015972222222222-0.00555555555555598)</f>
        <v>1.0416666666666019E-2</v>
      </c>
      <c r="F95" s="1" t="s">
        <v>3</v>
      </c>
    </row>
    <row r="96" spans="1:6" x14ac:dyDescent="0.25">
      <c r="A96" s="11">
        <v>42036</v>
      </c>
      <c r="B96" s="7">
        <v>0.41944444444444445</v>
      </c>
      <c r="C96" s="7">
        <v>0.42499999999999999</v>
      </c>
      <c r="D96" s="7">
        <f>(0.425-0.419444444444444)</f>
        <v>5.5555555555559799E-3</v>
      </c>
      <c r="E96" s="7">
        <f>ABS(0.00555555555555598-0.011805555555555)</f>
        <v>6.2499999999990202E-3</v>
      </c>
      <c r="F96" s="1" t="s">
        <v>3</v>
      </c>
    </row>
    <row r="97" spans="1:6" x14ac:dyDescent="0.25">
      <c r="A97" s="11">
        <v>42036</v>
      </c>
      <c r="B97" s="7">
        <v>0.4465277777777778</v>
      </c>
      <c r="C97" s="7">
        <v>0.45833333333333331</v>
      </c>
      <c r="D97" s="7">
        <f>(0.458333333333333-0.446527777777778)</f>
        <v>1.1805555555554959E-2</v>
      </c>
      <c r="E97" s="7">
        <f>ABS(0.011805555555555-0.00972222222222296)</f>
        <v>2.0833333333320405E-3</v>
      </c>
      <c r="F97" s="1" t="s">
        <v>3</v>
      </c>
    </row>
    <row r="98" spans="1:6" x14ac:dyDescent="0.25">
      <c r="A98" s="11">
        <v>42036</v>
      </c>
      <c r="B98" s="7">
        <v>0.71597222222222223</v>
      </c>
      <c r="C98" s="7">
        <v>0.72569444444444453</v>
      </c>
      <c r="D98" s="7">
        <f>(0.725694444444445-0.715972222222222)</f>
        <v>9.7222222222229648E-3</v>
      </c>
      <c r="E98" s="7">
        <f>ABS(0.00972222222222296-0.00625000000000009)</f>
        <v>3.4722222222228699E-3</v>
      </c>
      <c r="F98" s="1" t="s">
        <v>3</v>
      </c>
    </row>
    <row r="99" spans="1:6" x14ac:dyDescent="0.25">
      <c r="A99" s="11">
        <v>42036</v>
      </c>
      <c r="B99" s="7">
        <v>0.6069444444444444</v>
      </c>
      <c r="C99" s="7">
        <v>0.61319444444444449</v>
      </c>
      <c r="D99" s="7">
        <f>(0.613194444444444-0.606944444444444)</f>
        <v>6.2500000000000888E-3</v>
      </c>
      <c r="E99" s="7">
        <f>ABS(0.00625000000000009-0.011111111111111)</f>
        <v>4.8611111111109108E-3</v>
      </c>
      <c r="F99" s="1" t="s">
        <v>3</v>
      </c>
    </row>
    <row r="100" spans="1:6" x14ac:dyDescent="0.25">
      <c r="A100" s="11">
        <v>42036</v>
      </c>
      <c r="B100" s="7">
        <v>0.62708333333333333</v>
      </c>
      <c r="C100" s="7">
        <v>0.6381944444444444</v>
      </c>
      <c r="D100" s="7">
        <f>(0.638194444444444-0.627083333333333)</f>
        <v>1.1111111111110961E-2</v>
      </c>
      <c r="E100" s="7">
        <f>ABS(0.011111111111111-0.00972222222222197)</f>
        <v>1.3888888888890297E-3</v>
      </c>
      <c r="F100" s="1" t="s">
        <v>3</v>
      </c>
    </row>
    <row r="101" spans="1:6" x14ac:dyDescent="0.25">
      <c r="A101" s="11">
        <v>42036</v>
      </c>
      <c r="B101" s="7">
        <v>0.69027777777777777</v>
      </c>
      <c r="C101" s="7">
        <v>0.70000000000000007</v>
      </c>
      <c r="D101" s="7">
        <f>(0.7-0.690277777777778)</f>
        <v>9.7222222222219656E-3</v>
      </c>
      <c r="E101" s="7">
        <f>ABS(0.00972222222222197-0.0159722222222221)</f>
        <v>6.2500000000001287E-3</v>
      </c>
      <c r="F101" s="1" t="s">
        <v>3</v>
      </c>
    </row>
    <row r="102" spans="1:6" x14ac:dyDescent="0.25">
      <c r="A102" s="11">
        <v>42036</v>
      </c>
      <c r="B102" s="7">
        <v>0.65972222222222221</v>
      </c>
      <c r="C102" s="7">
        <v>0.67569444444444438</v>
      </c>
      <c r="D102" s="7">
        <f>(0.675694444444444-0.659722222222222)</f>
        <v>1.5972222222222054E-2</v>
      </c>
      <c r="E102" s="7">
        <f>ABS(0.0159722222222221-0.00972222222222197)</f>
        <v>6.2500000000001287E-3</v>
      </c>
      <c r="F102" s="1" t="s">
        <v>3</v>
      </c>
    </row>
    <row r="103" spans="1:6" x14ac:dyDescent="0.25">
      <c r="A103" s="11">
        <v>42036</v>
      </c>
      <c r="B103" s="7">
        <v>0.71250000000000002</v>
      </c>
      <c r="C103" s="7">
        <v>0.72222222222222221</v>
      </c>
      <c r="D103" s="7">
        <f>(0.722222222222222-0.7125)</f>
        <v>9.7222222222219656E-3</v>
      </c>
      <c r="E103" s="7">
        <f>ABS(0.00972222222222197-0.0145833333333329)</f>
        <v>4.861111111110929E-3</v>
      </c>
      <c r="F103" s="1" t="s">
        <v>3</v>
      </c>
    </row>
    <row r="104" spans="1:6" x14ac:dyDescent="0.25">
      <c r="A104" s="11">
        <v>42036</v>
      </c>
      <c r="B104" s="7">
        <v>0.74861111111111101</v>
      </c>
      <c r="C104" s="7">
        <v>0.7631944444444444</v>
      </c>
      <c r="D104" s="7">
        <f>(0.763194444444444-0.748611111111111)</f>
        <v>1.4583333333332948E-2</v>
      </c>
      <c r="E104" s="7">
        <f>ABS(0.0145833333333329-0.00833333333333308)</f>
        <v>6.2499999999998199E-3</v>
      </c>
      <c r="F104" s="1" t="s">
        <v>3</v>
      </c>
    </row>
    <row r="105" spans="1:6" x14ac:dyDescent="0.25">
      <c r="A105" s="11">
        <v>42036</v>
      </c>
      <c r="B105" s="7">
        <v>0.88888888888888884</v>
      </c>
      <c r="C105" s="7">
        <v>0.89722222222222225</v>
      </c>
      <c r="D105" s="7">
        <f>(0.897222222222222-0.888888888888889)</f>
        <v>8.3333333333330817E-3</v>
      </c>
      <c r="E105" s="7">
        <f>ABS(0.00833333333333308-0.00416666666666671)</f>
        <v>4.16666666666637E-3</v>
      </c>
      <c r="F105" s="1" t="s">
        <v>3</v>
      </c>
    </row>
    <row r="106" spans="1:6" x14ac:dyDescent="0.25">
      <c r="A106" s="11">
        <v>42036</v>
      </c>
      <c r="B106" s="7">
        <v>7.3611111111111113E-2</v>
      </c>
      <c r="C106" s="7">
        <v>7.7777777777777779E-2</v>
      </c>
      <c r="D106" s="7">
        <f>(0.0777777777777778-0.0736111111111111)</f>
        <v>4.1666666666667074E-3</v>
      </c>
      <c r="E106" s="7">
        <f>ABS(0.00416666666666671-0.011805555555555)</f>
        <v>7.6388888888882902E-3</v>
      </c>
      <c r="F106" s="1" t="s">
        <v>3</v>
      </c>
    </row>
    <row r="107" spans="1:6" x14ac:dyDescent="0.25">
      <c r="A107" s="11">
        <v>42036</v>
      </c>
      <c r="B107" s="7">
        <v>0.15416666666666667</v>
      </c>
      <c r="C107" s="7">
        <v>0.16597222222222222</v>
      </c>
      <c r="D107" s="7">
        <f>(0.165972222222222-0.154166666666667)</f>
        <v>1.1805555555554986E-2</v>
      </c>
      <c r="E107" s="7">
        <f>ABS(0.011805555555555-0.010416666666666)</f>
        <v>1.3888888888890002E-3</v>
      </c>
      <c r="F107" s="1" t="s">
        <v>3</v>
      </c>
    </row>
    <row r="108" spans="1:6" x14ac:dyDescent="0.25">
      <c r="A108" s="11">
        <v>42036</v>
      </c>
      <c r="B108" s="7">
        <v>0.19027777777777777</v>
      </c>
      <c r="C108" s="7">
        <v>0.20069444444444443</v>
      </c>
      <c r="D108" s="7">
        <f>(0.200694444444444-0.190277777777778)</f>
        <v>1.0416666666666019E-2</v>
      </c>
      <c r="E108" s="7">
        <f>ABS(0.010416666666666-0.015972222222222)</f>
        <v>5.555555555555999E-3</v>
      </c>
      <c r="F108" s="1" t="s">
        <v>3</v>
      </c>
    </row>
    <row r="109" spans="1:6" x14ac:dyDescent="0.25">
      <c r="A109" s="11">
        <v>42036</v>
      </c>
      <c r="B109" s="7">
        <v>0.3611111111111111</v>
      </c>
      <c r="C109" s="7">
        <v>0.37708333333333338</v>
      </c>
      <c r="D109" s="7">
        <f>(0.377083333333333-0.361111111111111)</f>
        <v>1.5972222222221999E-2</v>
      </c>
      <c r="E109" s="7">
        <f>ABS(0.015972222222222-0.017361111111111)</f>
        <v>1.3888888888890019E-3</v>
      </c>
      <c r="F109" s="1" t="s">
        <v>3</v>
      </c>
    </row>
    <row r="110" spans="1:6" x14ac:dyDescent="0.25">
      <c r="A110" s="11">
        <v>42036</v>
      </c>
      <c r="B110" s="7">
        <v>0.39374999999999999</v>
      </c>
      <c r="C110" s="7">
        <v>0.41111111111111115</v>
      </c>
      <c r="D110" s="7">
        <f>(0.411111111111111-0.39375)</f>
        <v>1.7361111111110994E-2</v>
      </c>
      <c r="E110" s="7">
        <f>ABS(0.017361111111111-0.026388888888889)</f>
        <v>9.027777777777999E-3</v>
      </c>
      <c r="F110" s="1" t="s">
        <v>3</v>
      </c>
    </row>
    <row r="111" spans="1:6" x14ac:dyDescent="0.25">
      <c r="A111" s="11">
        <v>42036</v>
      </c>
      <c r="B111" s="7">
        <v>0.39583333333333331</v>
      </c>
      <c r="C111" s="7">
        <v>0.42222222222222222</v>
      </c>
      <c r="D111" s="7">
        <f>(0.422222222222222-0.395833333333333)</f>
        <v>2.6388888888889017E-2</v>
      </c>
      <c r="E111" s="7">
        <f>ABS(0.026388888888889-0.00694444444444403)</f>
        <v>1.9444444444444969E-2</v>
      </c>
      <c r="F111" s="1" t="s">
        <v>3</v>
      </c>
    </row>
    <row r="112" spans="1:6" x14ac:dyDescent="0.25">
      <c r="A112" s="11">
        <v>42036</v>
      </c>
      <c r="B112" s="7">
        <v>0.47291666666666665</v>
      </c>
      <c r="C112" s="7">
        <v>0.47986111111111113</v>
      </c>
      <c r="D112" s="7">
        <f>(0.479861111111111-0.472916666666667)</f>
        <v>6.9444444444440312E-3</v>
      </c>
      <c r="E112" s="7">
        <f>ABS(0.00694444444444403-0.00416666666666698)</f>
        <v>2.7777777777770506E-3</v>
      </c>
      <c r="F112" s="1" t="s">
        <v>3</v>
      </c>
    </row>
    <row r="113" spans="1:6" x14ac:dyDescent="0.25">
      <c r="A113" s="11">
        <v>42036</v>
      </c>
      <c r="B113" s="7">
        <v>0.46736111111111112</v>
      </c>
      <c r="C113" s="7">
        <v>0.47152777777777777</v>
      </c>
      <c r="D113" s="7">
        <f>(0.471527777777778-0.467361111111111)</f>
        <v>4.1666666666669849E-3</v>
      </c>
      <c r="E113" s="7">
        <f>ABS(0.00416666666666698-0.00208333333333399)</f>
        <v>2.0833333333329898E-3</v>
      </c>
      <c r="F113" s="1" t="s">
        <v>3</v>
      </c>
    </row>
    <row r="114" spans="1:6" x14ac:dyDescent="0.25">
      <c r="A114" s="11">
        <v>42036</v>
      </c>
      <c r="B114" s="7">
        <v>0.59722222222222221</v>
      </c>
      <c r="C114" s="7">
        <v>0.59930555555555554</v>
      </c>
      <c r="D114" s="7">
        <f>(0.599305555555556-0.597222222222222)</f>
        <v>2.0833333333339921E-3</v>
      </c>
      <c r="E114" s="7">
        <f>ABS(0.00208333333333399-0.0166666666666659)</f>
        <v>1.4583333333331909E-2</v>
      </c>
      <c r="F114" s="1" t="s">
        <v>3</v>
      </c>
    </row>
    <row r="115" spans="1:6" x14ac:dyDescent="0.25">
      <c r="A115" s="11">
        <v>42036</v>
      </c>
      <c r="B115" s="7">
        <v>0.79791666666666661</v>
      </c>
      <c r="C115" s="7">
        <v>0.81458333333333333</v>
      </c>
      <c r="D115" s="7">
        <f>(0.814583333333333-0.797916666666667)</f>
        <v>1.6666666666665941E-2</v>
      </c>
      <c r="E115" s="7">
        <f>ABS(0.0166666666666659-0.00624999999999998)</f>
        <v>1.0416666666665918E-2</v>
      </c>
      <c r="F115" s="1" t="s">
        <v>3</v>
      </c>
    </row>
    <row r="116" spans="1:6" x14ac:dyDescent="0.25">
      <c r="A116" s="11">
        <v>42036</v>
      </c>
      <c r="B116" s="7">
        <v>0.95763888888888893</v>
      </c>
      <c r="C116" s="7">
        <v>0.96388888888888891</v>
      </c>
      <c r="D116" s="7">
        <f>(0.963888888888889-0.957638888888889)</f>
        <v>6.2499999999999778E-3</v>
      </c>
      <c r="E116" s="7">
        <f>ABS(0.00624999999999998-0.00625000000000009)</f>
        <v>1.0928757898653885E-16</v>
      </c>
      <c r="F116" s="1" t="s">
        <v>3</v>
      </c>
    </row>
    <row r="117" spans="1:6" x14ac:dyDescent="0.25">
      <c r="A117" s="11">
        <v>42036</v>
      </c>
      <c r="B117" s="7">
        <v>1.0277777777777779</v>
      </c>
      <c r="C117" s="7">
        <v>1.0340277777777778</v>
      </c>
      <c r="D117" s="7">
        <f>(1.03402777777778-1.02777777777778)</f>
        <v>6.2500000000000888E-3</v>
      </c>
      <c r="E117" s="7">
        <f>ABS(0.00625000000000009-0.507638888888888)</f>
        <v>0.50138888888888788</v>
      </c>
      <c r="F117" s="1" t="s">
        <v>3</v>
      </c>
    </row>
    <row r="118" spans="1:6" x14ac:dyDescent="0.25">
      <c r="A118" s="11">
        <v>42036</v>
      </c>
      <c r="B118" s="7">
        <v>0.15555555555555556</v>
      </c>
      <c r="C118" s="7">
        <v>0.66319444444444442</v>
      </c>
      <c r="D118" s="7">
        <f>(0.663194444444444-0.155555555555556)</f>
        <v>0.50763888888888797</v>
      </c>
      <c r="E118" s="7">
        <f>ABS(0.507638888888888-0.014583333333333)</f>
        <v>0.49305555555555497</v>
      </c>
      <c r="F118" s="1" t="s">
        <v>3</v>
      </c>
    </row>
    <row r="119" spans="1:6" x14ac:dyDescent="0.25">
      <c r="A119" s="11">
        <v>42036</v>
      </c>
      <c r="B119" s="7">
        <v>0.33888888888888885</v>
      </c>
      <c r="C119" s="7">
        <v>0.35347222222222219</v>
      </c>
      <c r="D119" s="7">
        <f>(0.353472222222222-0.338888888888889)</f>
        <v>1.4583333333333004E-2</v>
      </c>
      <c r="E119" s="7">
        <f>ABS(0.014583333333333-0.00763888888888903)</f>
        <v>6.9444444444439705E-3</v>
      </c>
      <c r="F119" s="1" t="s">
        <v>3</v>
      </c>
    </row>
    <row r="120" spans="1:6" x14ac:dyDescent="0.25">
      <c r="A120" s="11">
        <v>42036</v>
      </c>
      <c r="B120" s="7">
        <v>0.47013888888888888</v>
      </c>
      <c r="C120" s="7">
        <v>0.4777777777777778</v>
      </c>
      <c r="D120" s="7">
        <f>(0.477777777777778-0.470138888888889)</f>
        <v>7.6388888888890283E-3</v>
      </c>
      <c r="E120" s="7">
        <f>ABS(0.00763888888888903-0.00208333333333299)</f>
        <v>5.5555555555560406E-3</v>
      </c>
      <c r="F120" s="1" t="s">
        <v>3</v>
      </c>
    </row>
    <row r="121" spans="1:6" x14ac:dyDescent="0.25">
      <c r="A121" s="11">
        <v>42036</v>
      </c>
      <c r="B121" s="7">
        <v>0.52777777777777779</v>
      </c>
      <c r="C121" s="7">
        <v>0.52986111111111112</v>
      </c>
      <c r="D121" s="7">
        <f>(0.529861111111111-0.527777777777778)</f>
        <v>2.0833333333329929E-3</v>
      </c>
      <c r="E121" s="7">
        <f>ABS(0.00208333333333299-0.00555555555555498)</f>
        <v>3.47222222222199E-3</v>
      </c>
      <c r="F121" s="1" t="s">
        <v>3</v>
      </c>
    </row>
    <row r="122" spans="1:6" x14ac:dyDescent="0.25">
      <c r="A122" s="11">
        <v>42036</v>
      </c>
      <c r="B122" s="7">
        <v>0.89513888888888893</v>
      </c>
      <c r="C122" s="7">
        <v>0.90069444444444446</v>
      </c>
      <c r="D122" s="7">
        <f>(0.900694444444444-0.895138888888889)</f>
        <v>5.5555555555549807E-3</v>
      </c>
      <c r="E122" s="7">
        <f>ABS(0.00555555555555498-0.00833333333333297)</f>
        <v>2.7777777777779908E-3</v>
      </c>
      <c r="F122" s="1" t="s">
        <v>3</v>
      </c>
    </row>
    <row r="123" spans="1:6" x14ac:dyDescent="0.25">
      <c r="A123" s="11">
        <v>42036</v>
      </c>
      <c r="B123" s="7">
        <v>0.97499999999999998</v>
      </c>
      <c r="C123" s="7">
        <v>0.98333333333333339</v>
      </c>
      <c r="D123" s="7">
        <f>(0.983333333333333-0.975)</f>
        <v>8.3333333333329707E-3</v>
      </c>
      <c r="E123" s="7">
        <f>ABS(0.00833333333333297-0.00972222222222199)</f>
        <v>1.3888888888890193E-3</v>
      </c>
      <c r="F123" s="1" t="s">
        <v>3</v>
      </c>
    </row>
    <row r="124" spans="1:6" x14ac:dyDescent="0.25">
      <c r="A124" s="11">
        <v>42036</v>
      </c>
      <c r="B124" s="7">
        <v>0.10486111111111111</v>
      </c>
      <c r="C124" s="7">
        <v>0.11458333333333333</v>
      </c>
      <c r="D124" s="7">
        <f>(0.114583333333333-0.104861111111111)</f>
        <v>9.7222222222219934E-3</v>
      </c>
      <c r="E124" s="7">
        <f>ABS(0.00972222222222199-0.00416666666666604)</f>
        <v>5.5555555555559495E-3</v>
      </c>
      <c r="F124" s="1" t="s">
        <v>3</v>
      </c>
    </row>
    <row r="125" spans="1:6" x14ac:dyDescent="0.25">
      <c r="A125" s="11">
        <v>42036</v>
      </c>
      <c r="B125" s="7">
        <v>0.4291666666666667</v>
      </c>
      <c r="C125" s="7">
        <v>0.43333333333333335</v>
      </c>
      <c r="D125" s="7">
        <f>(0.433333333333333-0.429166666666667)</f>
        <v>4.1666666666660412E-3</v>
      </c>
      <c r="E125" s="7">
        <f>ABS(0.00416666666666604-0.00416666666666599)</f>
        <v>5.0306980803327406E-17</v>
      </c>
      <c r="F125" s="1" t="s">
        <v>3</v>
      </c>
    </row>
    <row r="126" spans="1:6" x14ac:dyDescent="0.25">
      <c r="A126" s="11">
        <v>42036</v>
      </c>
      <c r="B126" s="7">
        <v>0.55902777777777779</v>
      </c>
      <c r="C126" s="7">
        <v>0.56319444444444444</v>
      </c>
      <c r="D126" s="7">
        <f>(0.563194444444444-0.559027777777778)</f>
        <v>4.1666666666659857E-3</v>
      </c>
      <c r="E126" s="7">
        <f>ABS(0.00416666666666599-0.00347222222222199)</f>
        <v>6.9444444444400006E-4</v>
      </c>
      <c r="F126" s="1" t="s">
        <v>3</v>
      </c>
    </row>
    <row r="127" spans="1:6" x14ac:dyDescent="0.25">
      <c r="A127" s="11">
        <v>42036</v>
      </c>
      <c r="B127" s="7">
        <v>0.68888888888888899</v>
      </c>
      <c r="C127" s="7">
        <v>0.69236111111111109</v>
      </c>
      <c r="D127" s="7">
        <f>(0.692361111111111-0.688888888888889)</f>
        <v>3.4722222222219878E-3</v>
      </c>
      <c r="E127" s="7">
        <f>ABS(0.00347222222222199-0.00972222222222108)</f>
        <v>6.2499999999990896E-3</v>
      </c>
      <c r="F127" s="1" t="s">
        <v>3</v>
      </c>
    </row>
    <row r="128" spans="1:6" x14ac:dyDescent="0.25">
      <c r="A128" s="11">
        <v>42036</v>
      </c>
      <c r="B128" s="7">
        <v>0.99513888888888891</v>
      </c>
      <c r="C128" s="7">
        <v>1.0048611111111112</v>
      </c>
      <c r="D128" s="7">
        <f>(1.00486111111111-0.995138888888889)</f>
        <v>9.7222222222210775E-3</v>
      </c>
      <c r="E128" s="7">
        <f>ABS(0.00972222222222108-0.00694444444444403)</f>
        <v>2.7777777777770489E-3</v>
      </c>
      <c r="F128" s="1" t="s">
        <v>3</v>
      </c>
    </row>
    <row r="129" spans="1:6" x14ac:dyDescent="0.25">
      <c r="A129" s="11">
        <v>42036</v>
      </c>
      <c r="B129" s="7">
        <v>0.30416666666666664</v>
      </c>
      <c r="C129" s="7">
        <v>0.31111111111111112</v>
      </c>
      <c r="D129" s="7">
        <f>(0.311111111111111-0.304166666666667)</f>
        <v>6.9444444444440312E-3</v>
      </c>
      <c r="E129" s="7">
        <f>ABS(0.00694444444444403-0.00486111111111098)</f>
        <v>2.0833333333330501E-3</v>
      </c>
      <c r="F129" s="1" t="s">
        <v>3</v>
      </c>
    </row>
    <row r="130" spans="1:6" x14ac:dyDescent="0.25">
      <c r="A130" s="11">
        <v>42036</v>
      </c>
      <c r="B130" s="7">
        <v>0.40763888888888888</v>
      </c>
      <c r="C130" s="7">
        <v>0.41250000000000003</v>
      </c>
      <c r="D130" s="7">
        <f>(0.4125-0.407638888888889)</f>
        <v>4.8611111111109828E-3</v>
      </c>
      <c r="E130" s="7">
        <f>ABS(0.00486111111111098-0.00624999999999998)</f>
        <v>1.3888888888890002E-3</v>
      </c>
      <c r="F130" s="1" t="s">
        <v>3</v>
      </c>
    </row>
    <row r="131" spans="1:6" x14ac:dyDescent="0.25">
      <c r="A131" s="11">
        <v>42036</v>
      </c>
      <c r="B131" s="7">
        <v>0.52500000000000002</v>
      </c>
      <c r="C131" s="7">
        <v>0.53125</v>
      </c>
      <c r="D131" s="7">
        <f>(0.53125-0.525)</f>
        <v>6.2499999999999778E-3</v>
      </c>
      <c r="E131" s="7">
        <f>ABS(0.00624999999999998-0.011805555555555)</f>
        <v>5.5555555555550197E-3</v>
      </c>
      <c r="F131" s="1" t="s">
        <v>3</v>
      </c>
    </row>
    <row r="132" spans="1:6" x14ac:dyDescent="0.25">
      <c r="A132" s="11">
        <v>42036</v>
      </c>
      <c r="B132" s="7">
        <v>0.56527777777777777</v>
      </c>
      <c r="C132" s="7">
        <v>0.57708333333333328</v>
      </c>
      <c r="D132" s="7">
        <f>(0.577083333333333-0.565277777777778)</f>
        <v>1.1805555555554959E-2</v>
      </c>
      <c r="E132" s="7">
        <f>ABS(0.011805555555555-0.00763888888888908)</f>
        <v>4.1666666666659198E-3</v>
      </c>
      <c r="F132" s="1" t="s">
        <v>3</v>
      </c>
    </row>
    <row r="133" spans="1:6" x14ac:dyDescent="0.25">
      <c r="A133" s="11">
        <v>42036</v>
      </c>
      <c r="B133" s="7">
        <v>0.60902777777777783</v>
      </c>
      <c r="C133" s="7">
        <v>0.6166666666666667</v>
      </c>
      <c r="D133" s="7">
        <f>(0.616666666666667-0.609027777777778)</f>
        <v>7.6388888888890838E-3</v>
      </c>
      <c r="E133" s="7">
        <f>ABS(0.00763888888888908-0.00486111111111098)</f>
        <v>2.7777777777781001E-3</v>
      </c>
      <c r="F133" s="1" t="s">
        <v>3</v>
      </c>
    </row>
    <row r="134" spans="1:6" x14ac:dyDescent="0.25">
      <c r="A134" s="11">
        <v>42036</v>
      </c>
      <c r="B134" s="7">
        <v>0.62916666666666665</v>
      </c>
      <c r="C134" s="7">
        <v>0.63402777777777775</v>
      </c>
      <c r="D134" s="7">
        <f>(0.634027777777778-0.629166666666667)</f>
        <v>4.8611111111109828E-3</v>
      </c>
      <c r="E134" s="7">
        <f>ABS(0.00486111111111098-0.00624999999999998)</f>
        <v>1.3888888888890002E-3</v>
      </c>
      <c r="F134" s="1" t="s">
        <v>3</v>
      </c>
    </row>
    <row r="135" spans="1:6" x14ac:dyDescent="0.25">
      <c r="A135" s="11">
        <v>42036</v>
      </c>
      <c r="B135" s="7">
        <v>0.6958333333333333</v>
      </c>
      <c r="C135" s="7">
        <v>0.70208333333333339</v>
      </c>
      <c r="D135" s="7">
        <f>(0.702083333333333-0.695833333333333)</f>
        <v>6.2499999999999778E-3</v>
      </c>
      <c r="E135" s="7">
        <f>ABS(0.00624999999999998-0.00208333333333299)</f>
        <v>4.1666666666669901E-3</v>
      </c>
      <c r="F135" s="1" t="s">
        <v>3</v>
      </c>
    </row>
    <row r="136" spans="1:6" x14ac:dyDescent="0.25">
      <c r="A136" s="11">
        <v>42036</v>
      </c>
      <c r="B136" s="7">
        <v>0.73055555555555562</v>
      </c>
      <c r="C136" s="7">
        <v>0.73263888888888884</v>
      </c>
      <c r="D136" s="7">
        <f>(0.732638888888889-0.730555555555556)</f>
        <v>2.0833333333329929E-3</v>
      </c>
      <c r="E136" s="7">
        <f>ABS(0.00208333333333299-0.00624999999999998)</f>
        <v>4.1666666666669901E-3</v>
      </c>
      <c r="F136" s="1" t="s">
        <v>3</v>
      </c>
    </row>
    <row r="137" spans="1:6" x14ac:dyDescent="0.25">
      <c r="A137" s="11">
        <v>42036</v>
      </c>
      <c r="B137" s="7">
        <v>0.74513888888888891</v>
      </c>
      <c r="C137" s="7">
        <v>0.75138888888888899</v>
      </c>
      <c r="D137" s="7">
        <f>(0.751388888888889-0.745138888888889)</f>
        <v>6.2499999999999778E-3</v>
      </c>
      <c r="E137" s="7">
        <f>ABS(0.00624999999999998-0.0166666666666671)</f>
        <v>1.0416666666667119E-2</v>
      </c>
      <c r="F137" s="1" t="s">
        <v>3</v>
      </c>
    </row>
    <row r="138" spans="1:6" x14ac:dyDescent="0.25">
      <c r="A138" s="11">
        <v>42036</v>
      </c>
      <c r="B138" s="7">
        <v>0.79513888888888884</v>
      </c>
      <c r="C138" s="7">
        <v>0.81180555555555556</v>
      </c>
      <c r="D138" s="7">
        <f>(0.811805555555556-0.795138888888889)</f>
        <v>1.6666666666667052E-2</v>
      </c>
      <c r="E138" s="7">
        <f>ABS(0.0166666666666671-0.00416666666666604)</f>
        <v>1.2500000000001059E-2</v>
      </c>
      <c r="F138" s="1" t="s">
        <v>3</v>
      </c>
    </row>
    <row r="139" spans="1:6" x14ac:dyDescent="0.25">
      <c r="A139" s="11">
        <v>42036</v>
      </c>
      <c r="B139" s="7">
        <v>0.47291666666666665</v>
      </c>
      <c r="C139" s="7">
        <v>0.4770833333333333</v>
      </c>
      <c r="D139" s="7">
        <f>(0.477083333333333-0.472916666666667)</f>
        <v>4.1666666666660412E-3</v>
      </c>
      <c r="E139" s="7">
        <f>ABS(0.00416666666666604-0.0034722222222201)</f>
        <v>6.9444444444594034E-4</v>
      </c>
      <c r="F139" s="1" t="s">
        <v>3</v>
      </c>
    </row>
    <row r="140" spans="1:6" x14ac:dyDescent="0.25">
      <c r="A140" s="11">
        <v>42036</v>
      </c>
      <c r="B140" s="7">
        <v>1.0013888888888889</v>
      </c>
      <c r="C140" s="7">
        <v>1.0048611111111112</v>
      </c>
      <c r="D140" s="7">
        <f>(1.00486111111111-1.00138888888889)</f>
        <v>3.4722222222201005E-3</v>
      </c>
      <c r="E140" s="7">
        <f>ABS(0.0034722222222201-0.010416666666667)</f>
        <v>6.9444444444468987E-3</v>
      </c>
      <c r="F140" s="1" t="s">
        <v>3</v>
      </c>
    </row>
    <row r="141" spans="1:6" x14ac:dyDescent="0.25">
      <c r="A141" s="11">
        <v>42036</v>
      </c>
      <c r="B141" s="7">
        <v>0.43194444444444446</v>
      </c>
      <c r="C141" s="7">
        <v>0.44236111111111115</v>
      </c>
      <c r="D141" s="7">
        <f>(0.442361111111111-0.431944444444444)</f>
        <v>1.0416666666666963E-2</v>
      </c>
      <c r="E141" s="7">
        <f>ABS(0.010416666666667-0.00972222222222197)</f>
        <v>6.9444444444502831E-4</v>
      </c>
      <c r="F141" s="1" t="s">
        <v>3</v>
      </c>
    </row>
    <row r="142" spans="1:6" x14ac:dyDescent="0.25">
      <c r="A142" s="11">
        <v>42036</v>
      </c>
      <c r="B142" s="7">
        <v>0.48055555555555557</v>
      </c>
      <c r="C142" s="7">
        <v>0.49027777777777781</v>
      </c>
      <c r="D142" s="7">
        <f>(0.490277777777778-0.480555555555556)</f>
        <v>9.7222222222219656E-3</v>
      </c>
      <c r="E142" s="7">
        <f>ABS(0.00972222222222197-0.00833333333333297)</f>
        <v>1.3888888888890002E-3</v>
      </c>
      <c r="F142" s="1" t="s">
        <v>3</v>
      </c>
    </row>
    <row r="143" spans="1:6" x14ac:dyDescent="0.25">
      <c r="A143" s="11">
        <v>42036</v>
      </c>
      <c r="B143" s="7">
        <v>0.53541666666666665</v>
      </c>
      <c r="C143" s="7">
        <v>0.54375000000000007</v>
      </c>
      <c r="D143" s="7">
        <f>(0.54375-0.535416666666667)</f>
        <v>8.3333333333329707E-3</v>
      </c>
      <c r="E143" s="7">
        <f>ABS(0.00833333333333297-0.027777777777778)</f>
        <v>1.9444444444445028E-2</v>
      </c>
      <c r="F143" s="1" t="s">
        <v>3</v>
      </c>
    </row>
    <row r="144" spans="1:6" x14ac:dyDescent="0.25">
      <c r="A144" s="11">
        <v>42036</v>
      </c>
      <c r="B144" s="7">
        <v>0.50069444444444444</v>
      </c>
      <c r="C144" s="7">
        <v>0.52847222222222223</v>
      </c>
      <c r="D144" s="7">
        <f>(0.528472222222222-0.500694444444444)</f>
        <v>2.7777777777778012E-2</v>
      </c>
      <c r="E144" s="7">
        <f>ABS(0.027777777777778-0.020833333333334)</f>
        <v>6.944444444444E-3</v>
      </c>
      <c r="F144" s="1" t="s">
        <v>3</v>
      </c>
    </row>
    <row r="145" spans="1:6" x14ac:dyDescent="0.25">
      <c r="A145" s="11">
        <v>42036</v>
      </c>
      <c r="B145" s="7">
        <v>0.50694444444444442</v>
      </c>
      <c r="C145" s="7">
        <v>0.52777777777777779</v>
      </c>
      <c r="D145" s="7">
        <f>(0.527777777777778-0.506944444444444)</f>
        <v>2.0833333333334036E-2</v>
      </c>
      <c r="E145" s="7">
        <f>ABS(0.020833333333334-0.00347222222222299)</f>
        <v>1.7361111111111008E-2</v>
      </c>
      <c r="F145" s="1" t="s">
        <v>3</v>
      </c>
    </row>
    <row r="146" spans="1:6" x14ac:dyDescent="0.25">
      <c r="A146" s="11">
        <v>42036</v>
      </c>
      <c r="B146" s="7">
        <v>0.68819444444444444</v>
      </c>
      <c r="C146" s="7">
        <v>0.69166666666666676</v>
      </c>
      <c r="D146" s="7">
        <f>(0.691666666666667-0.688194444444444)</f>
        <v>3.472222222222987E-3</v>
      </c>
      <c r="E146" s="7">
        <f>ABS(0.00347222222222299-0.00763888888888908)</f>
        <v>4.1666666666660898E-3</v>
      </c>
      <c r="F146" s="1" t="s">
        <v>3</v>
      </c>
    </row>
    <row r="147" spans="1:6" x14ac:dyDescent="0.25">
      <c r="A147" s="11">
        <v>42036</v>
      </c>
      <c r="B147" s="7">
        <v>0.9770833333333333</v>
      </c>
      <c r="C147" s="7">
        <v>0.98472222222222217</v>
      </c>
      <c r="D147" s="7">
        <f>(0.984722222222222-0.977083333333333)</f>
        <v>7.6388888888890838E-3</v>
      </c>
      <c r="E147" s="7">
        <f>ABS(0.00763888888888908-0.00972222222222197)</f>
        <v>2.0833333333328905E-3</v>
      </c>
      <c r="F147" s="1" t="s">
        <v>3</v>
      </c>
    </row>
    <row r="148" spans="1:6" x14ac:dyDescent="0.25">
      <c r="A148" s="11">
        <v>42036</v>
      </c>
      <c r="B148" s="7">
        <v>0.36805555555555558</v>
      </c>
      <c r="C148" s="7">
        <v>0.37777777777777777</v>
      </c>
      <c r="D148" s="7">
        <f>(0.377777777777778-0.368055555555556)</f>
        <v>9.7222222222219656E-3</v>
      </c>
      <c r="E148" s="7">
        <f>ABS(0.00972222222222197-0.0125)</f>
        <v>2.7777777777780299E-3</v>
      </c>
      <c r="F148" s="1" t="s">
        <v>3</v>
      </c>
    </row>
    <row r="149" spans="1:6" x14ac:dyDescent="0.25">
      <c r="A149" s="11">
        <v>42036</v>
      </c>
      <c r="B149" s="7">
        <v>0.44791666666666669</v>
      </c>
      <c r="C149" s="7">
        <v>0.4604166666666667</v>
      </c>
      <c r="D149" s="7">
        <f>(0.460416666666667-0.447916666666667)</f>
        <v>1.2499999999999956E-2</v>
      </c>
      <c r="E149" s="7">
        <f>ABS(0.0125-0.029166666666667)</f>
        <v>1.6666666666667E-2</v>
      </c>
      <c r="F149" s="1" t="s">
        <v>3</v>
      </c>
    </row>
    <row r="150" spans="1:6" x14ac:dyDescent="0.25">
      <c r="A150" s="11">
        <v>42036</v>
      </c>
      <c r="B150" s="7">
        <v>0.47222222222222227</v>
      </c>
      <c r="C150" s="7">
        <v>0.50138888888888888</v>
      </c>
      <c r="D150" s="7">
        <f>(0.501388888888889-0.472222222222222)</f>
        <v>2.9166666666667007E-2</v>
      </c>
      <c r="E150" s="7">
        <f>ABS(0.029166666666667-0.00625000000000009)</f>
        <v>2.2916666666666911E-2</v>
      </c>
      <c r="F150" s="1" t="s">
        <v>3</v>
      </c>
    </row>
    <row r="151" spans="1:6" x14ac:dyDescent="0.25">
      <c r="A151" s="11">
        <v>42036</v>
      </c>
      <c r="B151" s="7">
        <v>0.51180555555555551</v>
      </c>
      <c r="C151" s="7">
        <v>0.5180555555555556</v>
      </c>
      <c r="D151" s="7">
        <f>(0.518055555555556-0.511805555555556)</f>
        <v>6.2500000000000888E-3</v>
      </c>
      <c r="E151" s="7">
        <f>ABS(0.00625000000000009-0.00902777777777797)</f>
        <v>2.7777777777778798E-3</v>
      </c>
      <c r="F151" s="1" t="s">
        <v>3</v>
      </c>
    </row>
    <row r="152" spans="1:6" x14ac:dyDescent="0.25">
      <c r="A152" s="11">
        <v>42036</v>
      </c>
      <c r="B152" s="7">
        <v>0.51736111111111105</v>
      </c>
      <c r="C152" s="7">
        <v>0.52638888888888891</v>
      </c>
      <c r="D152" s="7">
        <f>(0.526388888888889-0.517361111111111)</f>
        <v>9.0277777777779677E-3</v>
      </c>
      <c r="E152" s="7">
        <f>ABS(0.00902777777777797-0.00624999999999998)</f>
        <v>2.7777777777779891E-3</v>
      </c>
      <c r="F152" s="1" t="s">
        <v>3</v>
      </c>
    </row>
    <row r="153" spans="1:6" x14ac:dyDescent="0.25">
      <c r="A153" s="11">
        <v>42036</v>
      </c>
      <c r="B153" s="7">
        <v>0.57847222222222217</v>
      </c>
      <c r="C153" s="7">
        <v>0.58472222222222225</v>
      </c>
      <c r="D153" s="7">
        <f>(0.584722222222222-0.578472222222222)</f>
        <v>6.2499999999999778E-3</v>
      </c>
      <c r="E153" s="7">
        <f>ABS(0.00624999999999998-0.00624999999999998)</f>
        <v>0</v>
      </c>
      <c r="F153" s="1" t="s">
        <v>3</v>
      </c>
    </row>
    <row r="154" spans="1:6" x14ac:dyDescent="0.25">
      <c r="A154" s="11">
        <v>42036</v>
      </c>
      <c r="B154" s="7">
        <v>0.62777777777777777</v>
      </c>
      <c r="C154" s="7">
        <v>0.63402777777777775</v>
      </c>
      <c r="D154" s="7">
        <f>(0.634027777777778-0.627777777777778)</f>
        <v>6.2499999999999778E-3</v>
      </c>
      <c r="E154" s="7">
        <f>ABS(0.00624999999999998-0.0187499999999999)</f>
        <v>1.2499999999999917E-2</v>
      </c>
      <c r="F154" s="1" t="s">
        <v>3</v>
      </c>
    </row>
    <row r="155" spans="1:6" x14ac:dyDescent="0.25">
      <c r="A155" s="11">
        <v>42036</v>
      </c>
      <c r="B155" s="7">
        <v>0.64930555555555558</v>
      </c>
      <c r="C155" s="7">
        <v>0.66805555555555562</v>
      </c>
      <c r="D155" s="7">
        <f>(0.668055555555556-0.649305555555556)</f>
        <v>1.8749999999999933E-2</v>
      </c>
      <c r="E155" s="7">
        <f>ABS(0.0187499999999999-0.00555555555555498)</f>
        <v>1.3194444444444918E-2</v>
      </c>
      <c r="F155" s="1" t="s">
        <v>3</v>
      </c>
    </row>
    <row r="156" spans="1:6" x14ac:dyDescent="0.25">
      <c r="A156" s="11">
        <v>42036</v>
      </c>
      <c r="B156" s="7">
        <v>0.71527777777777779</v>
      </c>
      <c r="C156" s="7">
        <v>0.72083333333333333</v>
      </c>
      <c r="D156" s="7">
        <f>(0.720833333333333-0.715277777777778)</f>
        <v>5.5555555555549807E-3</v>
      </c>
      <c r="E156" s="7">
        <f>ABS(0.00555555555555498-0.0125)</f>
        <v>6.9444444444450209E-3</v>
      </c>
      <c r="F156" s="1" t="s">
        <v>3</v>
      </c>
    </row>
    <row r="157" spans="1:6" x14ac:dyDescent="0.25">
      <c r="A157" s="11">
        <v>42036</v>
      </c>
      <c r="B157" s="7">
        <v>0.7368055555555556</v>
      </c>
      <c r="C157" s="7">
        <v>0.74930555555555556</v>
      </c>
      <c r="D157" s="7">
        <f>(0.749305555555556-0.736805555555556)</f>
        <v>1.2499999999999956E-2</v>
      </c>
      <c r="E157" s="7">
        <f>ABS(0.0125-0.00624999999999998)</f>
        <v>6.2500000000000203E-3</v>
      </c>
      <c r="F157" s="1" t="s">
        <v>3</v>
      </c>
    </row>
    <row r="158" spans="1:6" x14ac:dyDescent="0.25">
      <c r="A158" s="11">
        <v>42036</v>
      </c>
      <c r="B158" s="7">
        <v>0.78680555555555554</v>
      </c>
      <c r="C158" s="7">
        <v>0.79305555555555562</v>
      </c>
      <c r="D158" s="7">
        <f>(0.793055555555556-0.786805555555556)</f>
        <v>6.2499999999999778E-3</v>
      </c>
      <c r="E158" s="7">
        <f>ABS(0.00624999999999998-0.00555555555555598)</f>
        <v>6.9444444444400049E-4</v>
      </c>
      <c r="F158" s="1" t="s">
        <v>3</v>
      </c>
    </row>
    <row r="159" spans="1:6" x14ac:dyDescent="0.25">
      <c r="A159" s="11">
        <v>42036</v>
      </c>
      <c r="B159" s="7">
        <v>0.80555555555555547</v>
      </c>
      <c r="C159" s="7">
        <v>0.81111111111111101</v>
      </c>
      <c r="D159" s="7">
        <f>(0.811111111111111-0.805555555555555)</f>
        <v>5.5555555555559799E-3</v>
      </c>
      <c r="E159" s="7">
        <f>ABS(0.00555555555555598-0.00486111111111101)</f>
        <v>6.944444444449702E-4</v>
      </c>
      <c r="F159" s="1" t="s">
        <v>3</v>
      </c>
    </row>
    <row r="160" spans="1:6" x14ac:dyDescent="0.25">
      <c r="A160" s="11">
        <v>42036</v>
      </c>
      <c r="B160" s="7">
        <v>0.11041666666666666</v>
      </c>
      <c r="C160" s="7">
        <v>0.11527777777777777</v>
      </c>
      <c r="D160" s="7">
        <f>(0.115277777777778-0.110416666666667)</f>
        <v>4.8611111111110106E-3</v>
      </c>
      <c r="E160" s="7">
        <f>ABS(0.00486111111111101-0.00624999999999998)</f>
        <v>1.3888888888889707E-3</v>
      </c>
      <c r="F160" s="1" t="s">
        <v>3</v>
      </c>
    </row>
    <row r="161" spans="1:6" x14ac:dyDescent="0.25">
      <c r="A161" s="11">
        <v>42036</v>
      </c>
      <c r="B161" s="7">
        <v>0.29652777777777778</v>
      </c>
      <c r="C161" s="7">
        <v>0.30277777777777776</v>
      </c>
      <c r="D161" s="7">
        <f>(0.302777777777778-0.296527777777778)</f>
        <v>6.2499999999999778E-3</v>
      </c>
      <c r="E161" s="7">
        <f>ABS(0.00624999999999998-0.00625000000000003)</f>
        <v>4.9439619065339002E-17</v>
      </c>
      <c r="F161" s="1" t="s">
        <v>3</v>
      </c>
    </row>
    <row r="162" spans="1:6" x14ac:dyDescent="0.25">
      <c r="A162" s="11">
        <v>42036</v>
      </c>
      <c r="B162" s="7">
        <v>0.3611111111111111</v>
      </c>
      <c r="C162" s="7">
        <v>0.36736111111111108</v>
      </c>
      <c r="D162" s="7">
        <f>(0.367361111111111-0.361111111111111)</f>
        <v>6.2500000000000333E-3</v>
      </c>
      <c r="E162" s="7">
        <f>ABS(0.00625000000000003-0.00555555555555498)</f>
        <v>6.9444444444505E-4</v>
      </c>
      <c r="F162" s="1" t="s">
        <v>3</v>
      </c>
    </row>
    <row r="163" spans="1:6" x14ac:dyDescent="0.25">
      <c r="A163" s="11">
        <v>42036</v>
      </c>
      <c r="B163" s="7">
        <v>0.4993055555555555</v>
      </c>
      <c r="C163" s="7">
        <v>0.50486111111111109</v>
      </c>
      <c r="D163" s="7">
        <f>(0.504861111111111-0.499305555555556)</f>
        <v>5.5555555555549807E-3</v>
      </c>
      <c r="E163" s="7">
        <f>ABS(0.00555555555555498-0.00347222222222199)</f>
        <v>2.0833333333329898E-3</v>
      </c>
      <c r="F163" s="1" t="s">
        <v>3</v>
      </c>
    </row>
    <row r="164" spans="1:6" x14ac:dyDescent="0.25">
      <c r="A164" s="11">
        <v>42036</v>
      </c>
      <c r="B164" s="7">
        <v>0.92986111111111114</v>
      </c>
      <c r="C164" s="7">
        <v>0.93333333333333324</v>
      </c>
      <c r="D164" s="7">
        <f>(0.933333333333333-0.929861111111111)</f>
        <v>3.4722222222219878E-3</v>
      </c>
      <c r="E164" s="7">
        <f>ABS(0.00347222222222199-0.00555555555555561)</f>
        <v>2.0833333333336204E-3</v>
      </c>
      <c r="F164" s="1" t="s">
        <v>3</v>
      </c>
    </row>
    <row r="165" spans="1:6" x14ac:dyDescent="0.25">
      <c r="A165" s="11">
        <v>42036</v>
      </c>
      <c r="B165" s="7">
        <v>8.3333333333333329E-2</v>
      </c>
      <c r="C165" s="7">
        <v>8.8888888888888892E-2</v>
      </c>
      <c r="D165" s="7">
        <f>(0.0888888888888889-0.0833333333333333)</f>
        <v>5.5555555555556052E-3</v>
      </c>
      <c r="E165" s="7">
        <f>ABS(0.00555555555555561-0.00972222222222199)</f>
        <v>4.1666666666663795E-3</v>
      </c>
      <c r="F165" s="1" t="s">
        <v>3</v>
      </c>
    </row>
    <row r="166" spans="1:6" x14ac:dyDescent="0.25">
      <c r="A166" s="11">
        <v>42036</v>
      </c>
      <c r="B166" s="7">
        <v>0.19930555555555554</v>
      </c>
      <c r="C166" s="7">
        <v>0.20902777777777778</v>
      </c>
      <c r="D166" s="7">
        <f>(0.209027777777778-0.199305555555556)</f>
        <v>9.7222222222219934E-3</v>
      </c>
      <c r="E166" s="7">
        <f>ABS(0.00972222222222199-0.00625000000000003)</f>
        <v>3.4722222222219601E-3</v>
      </c>
      <c r="F166" s="1" t="s">
        <v>3</v>
      </c>
    </row>
    <row r="167" spans="1:6" x14ac:dyDescent="0.25">
      <c r="A167" s="11">
        <v>42036</v>
      </c>
      <c r="B167" s="7">
        <v>0.36388888888888887</v>
      </c>
      <c r="C167" s="7">
        <v>0.37013888888888885</v>
      </c>
      <c r="D167" s="7">
        <f>(0.370138888888889-0.363888888888889)</f>
        <v>6.2500000000000333E-3</v>
      </c>
      <c r="E167" s="7">
        <f>ABS(0.00625000000000003-0.011111111111111)</f>
        <v>4.8611111111109707E-3</v>
      </c>
      <c r="F167" s="1" t="s">
        <v>3</v>
      </c>
    </row>
    <row r="168" spans="1:6" x14ac:dyDescent="0.25">
      <c r="A168" s="11">
        <v>42036</v>
      </c>
      <c r="B168" s="7">
        <v>0.53125</v>
      </c>
      <c r="C168" s="7">
        <v>0.54236111111111118</v>
      </c>
      <c r="D168" s="7">
        <f>(0.542361111111111-0.53125)</f>
        <v>1.1111111111110961E-2</v>
      </c>
      <c r="E168" s="7">
        <f>ABS(0.011111111111111-0.00416666666666599)</f>
        <v>6.9444444444450104E-3</v>
      </c>
      <c r="F168" s="1" t="s">
        <v>3</v>
      </c>
    </row>
    <row r="169" spans="1:6" x14ac:dyDescent="0.25">
      <c r="A169" s="11">
        <v>42036</v>
      </c>
      <c r="B169" s="7">
        <v>0.5180555555555556</v>
      </c>
      <c r="C169" s="7">
        <v>0.52222222222222225</v>
      </c>
      <c r="D169" s="7">
        <f>(0.522222222222222-0.518055555555556)</f>
        <v>4.1666666666659857E-3</v>
      </c>
      <c r="E169" s="7">
        <f>ABS(0.00416666666666599-0.00902777777777797)</f>
        <v>4.8611111111119794E-3</v>
      </c>
      <c r="F169" s="1" t="s">
        <v>3</v>
      </c>
    </row>
    <row r="170" spans="1:6" x14ac:dyDescent="0.25">
      <c r="A170" s="11">
        <v>42036</v>
      </c>
      <c r="B170" s="7">
        <v>0.70694444444444438</v>
      </c>
      <c r="C170" s="7">
        <v>0.71597222222222223</v>
      </c>
      <c r="D170" s="7">
        <f>(0.715972222222222-0.706944444444444)</f>
        <v>9.0277777777779677E-3</v>
      </c>
      <c r="E170" s="7">
        <f>ABS(0.00902777777777797-0.00486111111111098)</f>
        <v>4.1666666666669893E-3</v>
      </c>
      <c r="F170" s="1" t="s">
        <v>3</v>
      </c>
    </row>
    <row r="171" spans="1:6" x14ac:dyDescent="0.25">
      <c r="A171" s="11">
        <v>42036</v>
      </c>
      <c r="B171" s="7">
        <v>0.75277777777777777</v>
      </c>
      <c r="C171" s="7">
        <v>0.75763888888888886</v>
      </c>
      <c r="D171" s="7">
        <f>(0.757638888888889-0.752777777777778)</f>
        <v>4.8611111111109828E-3</v>
      </c>
      <c r="E171" s="7">
        <f>ABS(0.00486111111111098-0.00555555555555598)</f>
        <v>6.9444444444499969E-4</v>
      </c>
      <c r="F171" s="1" t="s">
        <v>3</v>
      </c>
    </row>
    <row r="172" spans="1:6" x14ac:dyDescent="0.25">
      <c r="A172" s="11">
        <v>42036</v>
      </c>
      <c r="B172" s="7">
        <v>0.80069444444444438</v>
      </c>
      <c r="C172" s="7">
        <v>0.80625000000000002</v>
      </c>
      <c r="D172" s="7">
        <f>(0.80625-0.800694444444444)</f>
        <v>5.5555555555559799E-3</v>
      </c>
      <c r="E172" s="7">
        <f>ABS(0.00555555555555598-0.00347222222222199)</f>
        <v>2.0833333333339899E-3</v>
      </c>
      <c r="F172" s="1" t="s">
        <v>3</v>
      </c>
    </row>
    <row r="173" spans="1:6" x14ac:dyDescent="0.25">
      <c r="A173" s="11">
        <v>42036</v>
      </c>
      <c r="B173" s="7">
        <v>0.83124999999999993</v>
      </c>
      <c r="C173" s="7">
        <v>0.83472222222222225</v>
      </c>
      <c r="D173" s="7">
        <f>(0.834722222222222-0.83125)</f>
        <v>3.4722222222219878E-3</v>
      </c>
      <c r="E173" s="7">
        <f>ABS(0.00347222222222199-0.00624999999999998)</f>
        <v>2.7777777777779904E-3</v>
      </c>
      <c r="F173" s="1" t="s">
        <v>3</v>
      </c>
    </row>
    <row r="174" spans="1:6" x14ac:dyDescent="0.25">
      <c r="A174" s="11">
        <v>42036</v>
      </c>
      <c r="B174" s="7">
        <v>0.93680555555555556</v>
      </c>
      <c r="C174" s="7">
        <v>0.94305555555555554</v>
      </c>
      <c r="D174" s="7">
        <f>(0.943055555555556-0.936805555555556)</f>
        <v>6.2499999999999778E-3</v>
      </c>
      <c r="E174" s="7">
        <f>ABS(0.00624999999999998-0.0152777777777771)</f>
        <v>9.0277777777771212E-3</v>
      </c>
      <c r="F174" s="1" t="s">
        <v>3</v>
      </c>
    </row>
    <row r="175" spans="1:6" x14ac:dyDescent="0.25">
      <c r="A175" s="11">
        <v>42036</v>
      </c>
      <c r="B175" s="7">
        <v>0.94305555555555554</v>
      </c>
      <c r="C175" s="7">
        <v>0.95833333333333337</v>
      </c>
      <c r="D175" s="7">
        <f>(0.958333333333333-0.943055555555556)</f>
        <v>1.5277777777777057E-2</v>
      </c>
      <c r="E175" s="7">
        <f>ABS(0.0152777777777771-0.00694444444444398)</f>
        <v>8.3333333333331198E-3</v>
      </c>
      <c r="F175" s="1" t="s">
        <v>3</v>
      </c>
    </row>
    <row r="176" spans="1:6" x14ac:dyDescent="0.25">
      <c r="A176" s="11">
        <v>42036</v>
      </c>
      <c r="B176" s="7">
        <v>0.9916666666666667</v>
      </c>
      <c r="C176" s="7">
        <v>0.99861111111111101</v>
      </c>
      <c r="D176" s="7">
        <f>(0.998611111111111-0.991666666666667)</f>
        <v>6.9444444444439757E-3</v>
      </c>
      <c r="E176" s="7">
        <f>ABS(0.00694444444444398-0.00694444444443998)</f>
        <v>4.0002723356025172E-15</v>
      </c>
      <c r="F176" s="1" t="s">
        <v>3</v>
      </c>
    </row>
    <row r="177" spans="1:6" x14ac:dyDescent="0.25">
      <c r="A177" s="11">
        <v>42036</v>
      </c>
      <c r="B177" s="7">
        <v>1.01875</v>
      </c>
      <c r="C177" s="7">
        <v>1.0256944444444445</v>
      </c>
      <c r="D177" s="7">
        <f>(1.02569444444444-1.01875)</f>
        <v>6.9444444444399789E-3</v>
      </c>
      <c r="E177" s="7">
        <f>ABS(0.00694444444443998-0.00416666666666599)</f>
        <v>2.7777777777739897E-3</v>
      </c>
      <c r="F177" s="1" t="s">
        <v>3</v>
      </c>
    </row>
    <row r="178" spans="1:6" x14ac:dyDescent="0.25">
      <c r="A178" s="11">
        <v>42036</v>
      </c>
      <c r="B178" s="7">
        <v>0.52777777777777779</v>
      </c>
      <c r="C178" s="7">
        <v>0.53194444444444444</v>
      </c>
      <c r="D178" s="7">
        <f>(0.531944444444444-0.527777777777778)</f>
        <v>4.1666666666659857E-3</v>
      </c>
      <c r="E178" s="7">
        <f>ABS(0.00416666666666599-0.00694444444444398)</f>
        <v>2.77777777777799E-3</v>
      </c>
      <c r="F178" s="1" t="s">
        <v>3</v>
      </c>
    </row>
    <row r="179" spans="1:6" x14ac:dyDescent="0.25">
      <c r="A179" s="11">
        <v>42036</v>
      </c>
      <c r="B179" s="7">
        <v>0.55138888888888882</v>
      </c>
      <c r="C179" s="7">
        <v>0.55833333333333335</v>
      </c>
      <c r="D179" s="7">
        <f>(0.558333333333333-0.551388888888889)</f>
        <v>6.9444444444439757E-3</v>
      </c>
      <c r="E179" s="7">
        <f>ABS(0.00694444444444398-0.0041666666666671)</f>
        <v>2.7777777777768797E-3</v>
      </c>
      <c r="F179" s="1" t="s">
        <v>3</v>
      </c>
    </row>
    <row r="180" spans="1:6" x14ac:dyDescent="0.25">
      <c r="A180" s="11">
        <v>42036</v>
      </c>
      <c r="B180" s="7">
        <v>0.54375000000000007</v>
      </c>
      <c r="C180" s="7">
        <v>0.54791666666666672</v>
      </c>
      <c r="D180" s="7">
        <f>(0.547916666666667-0.54375)</f>
        <v>4.166666666667096E-3</v>
      </c>
      <c r="E180" s="7">
        <f>ABS(0.0041666666666671-0.00416666666666698)</f>
        <v>1.2056328158038809E-16</v>
      </c>
      <c r="F180" s="1" t="s">
        <v>3</v>
      </c>
    </row>
    <row r="181" spans="1:6" x14ac:dyDescent="0.25">
      <c r="A181" s="11">
        <v>42036</v>
      </c>
      <c r="B181" s="7">
        <v>0.61736111111111114</v>
      </c>
      <c r="C181" s="7">
        <v>0.62152777777777779</v>
      </c>
      <c r="D181" s="7">
        <f>(0.621527777777778-0.617361111111111)</f>
        <v>4.1666666666669849E-3</v>
      </c>
      <c r="E181" s="7">
        <f>ABS(0.00416666666666698-0.013194444444445)</f>
        <v>9.0277777777780198E-3</v>
      </c>
      <c r="F181" s="1" t="s">
        <v>3</v>
      </c>
    </row>
    <row r="182" spans="1:6" x14ac:dyDescent="0.25">
      <c r="A182" s="11">
        <v>42036</v>
      </c>
      <c r="B182" s="7">
        <v>0.74305555555555547</v>
      </c>
      <c r="C182" s="7">
        <v>0.75624999999999998</v>
      </c>
      <c r="D182" s="7">
        <f>(0.75625-0.743055555555555)</f>
        <v>1.3194444444444953E-2</v>
      </c>
      <c r="E182" s="7">
        <f>ABS(0.013194444444445-0.00138888888888911)</f>
        <v>1.180555555555589E-2</v>
      </c>
      <c r="F182" s="1" t="s">
        <v>3</v>
      </c>
    </row>
    <row r="183" spans="1:6" x14ac:dyDescent="0.25">
      <c r="A183" s="11">
        <v>42036</v>
      </c>
      <c r="B183" s="7">
        <v>0.79652777777777783</v>
      </c>
      <c r="C183" s="7">
        <v>0.79791666666666661</v>
      </c>
      <c r="D183" s="7">
        <f>(0.797916666666667-0.796527777777778)</f>
        <v>1.388888888889106E-3</v>
      </c>
      <c r="E183" s="7">
        <f>ABS(0.00138888888888911-0.00486111111111098)</f>
        <v>3.4722222222218703E-3</v>
      </c>
      <c r="F183" s="1" t="s">
        <v>3</v>
      </c>
    </row>
    <row r="184" spans="1:6" x14ac:dyDescent="0.25">
      <c r="A184" s="11">
        <v>42036</v>
      </c>
      <c r="B184" s="7">
        <v>0.86319444444444438</v>
      </c>
      <c r="C184" s="7">
        <v>0.86805555555555547</v>
      </c>
      <c r="D184" s="7">
        <f>(0.868055555555555-0.863194444444444)</f>
        <v>4.8611111111109828E-3</v>
      </c>
      <c r="E184" s="7">
        <f>ABS(0.00486111111111098-0.00694444444444409)</f>
        <v>2.08333333333311E-3</v>
      </c>
      <c r="F184" s="1" t="s">
        <v>3</v>
      </c>
    </row>
    <row r="185" spans="1:6" x14ac:dyDescent="0.25">
      <c r="A185" s="11">
        <v>42036</v>
      </c>
      <c r="B185" s="7">
        <v>0.95277777777777783</v>
      </c>
      <c r="C185" s="7">
        <v>0.95972222222222225</v>
      </c>
      <c r="D185" s="7">
        <f>(0.959722222222222-0.952777777777778)</f>
        <v>6.9444444444440867E-3</v>
      </c>
      <c r="E185" s="7">
        <f>ABS(0.00694444444444409-0.018055555555556)</f>
        <v>1.1111111111111911E-2</v>
      </c>
      <c r="F185" s="1" t="s">
        <v>3</v>
      </c>
    </row>
    <row r="186" spans="1:6" x14ac:dyDescent="0.25">
      <c r="A186" s="11">
        <v>42036</v>
      </c>
      <c r="B186" s="7">
        <v>0.19444444444444445</v>
      </c>
      <c r="C186" s="7">
        <v>0.21249999999999999</v>
      </c>
      <c r="D186" s="7">
        <f>(0.2125-0.194444444444444)</f>
        <v>1.8055555555555991E-2</v>
      </c>
      <c r="E186" s="7">
        <f>ABS(0.018055555555556-0.035416666666667)</f>
        <v>1.7361111111110997E-2</v>
      </c>
      <c r="F186" s="1" t="s">
        <v>3</v>
      </c>
    </row>
    <row r="187" spans="1:6" x14ac:dyDescent="0.25">
      <c r="A187" s="11">
        <v>42036</v>
      </c>
      <c r="B187" s="7">
        <v>0.37986111111111115</v>
      </c>
      <c r="C187" s="7">
        <v>0.4152777777777778</v>
      </c>
      <c r="D187" s="7">
        <f>(0.415277777777778-0.379861111111111)</f>
        <v>3.541666666666704E-2</v>
      </c>
      <c r="E187" s="7">
        <f>ABS(0.035416666666667-0.00486111111111098)</f>
        <v>3.0555555555556019E-2</v>
      </c>
      <c r="F187" s="1" t="s">
        <v>3</v>
      </c>
    </row>
    <row r="188" spans="1:6" x14ac:dyDescent="0.25">
      <c r="A188" s="11">
        <v>42036</v>
      </c>
      <c r="B188" s="7">
        <v>0.38472222222222219</v>
      </c>
      <c r="C188" s="7">
        <v>0.38958333333333334</v>
      </c>
      <c r="D188" s="7">
        <f>(0.389583333333333-0.384722222222222)</f>
        <v>4.8611111111109828E-3</v>
      </c>
      <c r="E188" s="7">
        <f>ABS(0.00486111111111098-0.00486111111111104)</f>
        <v>5.9847959921199845E-17</v>
      </c>
      <c r="F188" s="1" t="s">
        <v>3</v>
      </c>
    </row>
    <row r="189" spans="1:6" x14ac:dyDescent="0.25">
      <c r="A189" s="11">
        <v>42036</v>
      </c>
      <c r="B189" s="7">
        <v>0.49027777777777781</v>
      </c>
      <c r="C189" s="7">
        <v>0.49513888888888885</v>
      </c>
      <c r="D189" s="7">
        <f>(0.495138888888889-0.490277777777778)</f>
        <v>4.8611111111110383E-3</v>
      </c>
      <c r="E189" s="7">
        <f>ABS(0.00486111111111104-0.015972222222222)</f>
        <v>1.1111111111110959E-2</v>
      </c>
      <c r="F189" s="1" t="s">
        <v>3</v>
      </c>
    </row>
    <row r="190" spans="1:6" x14ac:dyDescent="0.25">
      <c r="A190" s="11">
        <v>42036</v>
      </c>
      <c r="B190" s="7">
        <v>0.33402777777777781</v>
      </c>
      <c r="C190" s="7">
        <v>0.35000000000000003</v>
      </c>
      <c r="D190" s="7">
        <f>(0.35-0.334027777777778)</f>
        <v>1.5972222222221999E-2</v>
      </c>
      <c r="E190" s="7">
        <f>ABS(0.015972222222222-0.022222222222222)</f>
        <v>6.2500000000000021E-3</v>
      </c>
      <c r="F190" s="1" t="s">
        <v>3</v>
      </c>
    </row>
    <row r="191" spans="1:6" x14ac:dyDescent="0.25">
      <c r="A191" s="11">
        <v>42036</v>
      </c>
      <c r="B191" s="7">
        <v>0.66180555555555554</v>
      </c>
      <c r="C191" s="7">
        <v>0.68402777777777779</v>
      </c>
      <c r="D191" s="7">
        <f>(0.684027777777778-0.661805555555556)</f>
        <v>2.2222222222222032E-2</v>
      </c>
      <c r="E191" s="7">
        <f>ABS(0.022222222222222-0.0111111111111111)</f>
        <v>1.1111111111110902E-2</v>
      </c>
      <c r="F191" s="1" t="s">
        <v>3</v>
      </c>
    </row>
    <row r="192" spans="1:6" x14ac:dyDescent="0.25">
      <c r="A192" s="11">
        <v>42036</v>
      </c>
      <c r="B192" s="7">
        <v>0.66180555555555554</v>
      </c>
      <c r="C192" s="7">
        <v>0.67291666666666661</v>
      </c>
      <c r="D192" s="7">
        <f>(0.672916666666667-0.661805555555556)</f>
        <v>1.1111111111111072E-2</v>
      </c>
      <c r="E192" s="7">
        <f>ABS(0.0111111111111111-0.00694444444444398)</f>
        <v>4.1666666666671194E-3</v>
      </c>
      <c r="F192" s="1" t="s">
        <v>3</v>
      </c>
    </row>
    <row r="193" spans="1:6" x14ac:dyDescent="0.25">
      <c r="A193" s="11">
        <v>42036</v>
      </c>
      <c r="B193" s="7">
        <v>0.68541666666666667</v>
      </c>
      <c r="C193" s="7">
        <v>0.69236111111111109</v>
      </c>
      <c r="D193" s="7">
        <f>(0.692361111111111-0.685416666666667)</f>
        <v>6.9444444444439757E-3</v>
      </c>
      <c r="E193" s="7">
        <f>ABS(0.00694444444444398-0.0027777777777781)</f>
        <v>4.1666666666658799E-3</v>
      </c>
      <c r="F193" s="1" t="s">
        <v>3</v>
      </c>
    </row>
    <row r="194" spans="1:6" x14ac:dyDescent="0.25">
      <c r="A194" s="11">
        <v>42036</v>
      </c>
      <c r="B194" s="7">
        <v>0.70277777777777783</v>
      </c>
      <c r="C194" s="7">
        <v>0.7055555555555556</v>
      </c>
      <c r="D194" s="7">
        <f>(0.705555555555556-0.702777777777778)</f>
        <v>2.777777777778101E-3</v>
      </c>
      <c r="E194" s="7">
        <f>ABS(0.0027777777777781-0.00416666666666698)</f>
        <v>1.3888888888888796E-3</v>
      </c>
      <c r="F194" s="1" t="s">
        <v>3</v>
      </c>
    </row>
    <row r="195" spans="1:6" x14ac:dyDescent="0.25">
      <c r="A195" s="11">
        <v>42036</v>
      </c>
      <c r="B195" s="7">
        <v>0.73749999999999993</v>
      </c>
      <c r="C195" s="7">
        <v>0.7416666666666667</v>
      </c>
      <c r="D195" s="7">
        <f>(0.741666666666667-0.7375)</f>
        <v>4.1666666666669849E-3</v>
      </c>
      <c r="E195" s="7">
        <f>ABS(0.00416666666666698-0.00833333333333297)</f>
        <v>4.1666666666659909E-3</v>
      </c>
      <c r="F195" s="1" t="s">
        <v>3</v>
      </c>
    </row>
    <row r="196" spans="1:6" x14ac:dyDescent="0.25">
      <c r="A196" s="11">
        <v>42036</v>
      </c>
      <c r="B196" s="7">
        <v>0.72361111111111109</v>
      </c>
      <c r="C196" s="7">
        <v>0.7319444444444444</v>
      </c>
      <c r="D196" s="7">
        <f>(0.731944444444444-0.723611111111111)</f>
        <v>8.3333333333329707E-3</v>
      </c>
      <c r="E196" s="7">
        <f>ABS(0.00833333333333297-0.00486111111111109)</f>
        <v>3.4722222222218803E-3</v>
      </c>
      <c r="F196" s="1" t="s">
        <v>3</v>
      </c>
    </row>
    <row r="197" spans="1:6" x14ac:dyDescent="0.25">
      <c r="A197" s="11">
        <v>42036</v>
      </c>
      <c r="B197" s="7">
        <v>0.76111111111111107</v>
      </c>
      <c r="C197" s="7">
        <v>0.76597222222222217</v>
      </c>
      <c r="D197" s="7">
        <f>(0.765972222222222-0.761111111111111)</f>
        <v>4.8611111111110938E-3</v>
      </c>
      <c r="E197" s="7">
        <f>ABS(0.00486111111111109-0.00694444444444398)</f>
        <v>2.0833333333328896E-3</v>
      </c>
      <c r="F197" s="1" t="s">
        <v>3</v>
      </c>
    </row>
    <row r="198" spans="1:6" x14ac:dyDescent="0.25">
      <c r="A198" s="11">
        <v>42036</v>
      </c>
      <c r="B198" s="7">
        <v>0.82013888888888886</v>
      </c>
      <c r="C198" s="7">
        <v>0.82708333333333339</v>
      </c>
      <c r="D198" s="7">
        <f>(0.827083333333333-0.820138888888889)</f>
        <v>6.9444444444439757E-3</v>
      </c>
      <c r="E198" s="7">
        <f>ABS(0.00694444444444398-0.00763888888888903)</f>
        <v>6.9444444444505E-4</v>
      </c>
      <c r="F198" s="1" t="s">
        <v>3</v>
      </c>
    </row>
    <row r="199" spans="1:6" x14ac:dyDescent="0.25">
      <c r="A199" s="11">
        <v>42036</v>
      </c>
      <c r="B199" s="7">
        <v>0.32013888888888892</v>
      </c>
      <c r="C199" s="7">
        <v>0.32777777777777778</v>
      </c>
      <c r="D199" s="7">
        <f>(0.327777777777778-0.320138888888889)</f>
        <v>7.6388888888890283E-3</v>
      </c>
      <c r="E199" s="7">
        <f>ABS(0.00763888888888903-0.00486111111111098)</f>
        <v>2.7777777777780498E-3</v>
      </c>
      <c r="F199" s="1" t="s">
        <v>3</v>
      </c>
    </row>
    <row r="200" spans="1:6" x14ac:dyDescent="0.25">
      <c r="A200" s="11">
        <v>42036</v>
      </c>
      <c r="B200" s="7">
        <v>0.37708333333333338</v>
      </c>
      <c r="C200" s="7">
        <v>0.38194444444444442</v>
      </c>
      <c r="D200" s="7">
        <f>(0.381944444444444-0.377083333333333)</f>
        <v>4.8611111111109828E-3</v>
      </c>
      <c r="E200" s="7">
        <f>ABS(0.00486111111111098-0.013194444444444)</f>
        <v>8.3333333333330192E-3</v>
      </c>
      <c r="F200" s="1" t="s">
        <v>3</v>
      </c>
    </row>
    <row r="201" spans="1:6" x14ac:dyDescent="0.25">
      <c r="A201" s="11">
        <v>42036</v>
      </c>
      <c r="B201" s="7">
        <v>0.3840277777777778</v>
      </c>
      <c r="C201" s="7">
        <v>0.3972222222222222</v>
      </c>
      <c r="D201" s="7">
        <f>(0.397222222222222-0.384027777777778)</f>
        <v>1.3194444444443953E-2</v>
      </c>
      <c r="E201" s="7">
        <f>ABS(0.013194444444444-0.00625000000000003)</f>
        <v>6.9444444444439705E-3</v>
      </c>
      <c r="F201" s="1" t="s">
        <v>3</v>
      </c>
    </row>
    <row r="202" spans="1:6" x14ac:dyDescent="0.25">
      <c r="A202" s="11">
        <v>42036</v>
      </c>
      <c r="B202" s="7">
        <v>0.44166666666666665</v>
      </c>
      <c r="C202" s="7">
        <v>0.44791666666666669</v>
      </c>
      <c r="D202" s="7">
        <f>(0.447916666666667-0.441666666666667)</f>
        <v>6.2500000000000333E-3</v>
      </c>
      <c r="E202" s="7">
        <f>ABS(0.00625000000000003-0.00694444444444409)</f>
        <v>6.9444444444406034E-4</v>
      </c>
      <c r="F202" s="1" t="s">
        <v>3</v>
      </c>
    </row>
    <row r="203" spans="1:6" x14ac:dyDescent="0.25">
      <c r="A203" s="11">
        <v>42036</v>
      </c>
      <c r="B203" s="7">
        <v>0.66805555555555562</v>
      </c>
      <c r="C203" s="7">
        <v>0.67499999999999993</v>
      </c>
      <c r="D203" s="7">
        <f>(0.675-0.668055555555556)</f>
        <v>6.9444444444440867E-3</v>
      </c>
      <c r="E203" s="7">
        <f>ABS(0.00694444444444409-0.00486111111111098)</f>
        <v>2.08333333333311E-3</v>
      </c>
      <c r="F203" s="1" t="s">
        <v>3</v>
      </c>
    </row>
    <row r="204" spans="1:6" x14ac:dyDescent="0.25">
      <c r="A204" s="11">
        <v>42036</v>
      </c>
      <c r="B204" s="7">
        <v>0.9472222222222223</v>
      </c>
      <c r="C204" s="7">
        <v>0.95208333333333339</v>
      </c>
      <c r="D204" s="7">
        <f>(0.952083333333333-0.947222222222222)</f>
        <v>4.8611111111109828E-3</v>
      </c>
      <c r="E204" s="7">
        <f>ABS(0.00486111111111098-0.00486111111111109)</f>
        <v>1.1015494072452725E-16</v>
      </c>
      <c r="F204" s="1" t="s">
        <v>3</v>
      </c>
    </row>
    <row r="205" spans="1:6" x14ac:dyDescent="0.25">
      <c r="A205" s="11">
        <v>42036</v>
      </c>
      <c r="B205" s="7">
        <v>0.98055555555555562</v>
      </c>
      <c r="C205" s="7">
        <v>0.98541666666666661</v>
      </c>
      <c r="D205" s="7">
        <f>(0.985416666666667-0.980555555555556)</f>
        <v>4.8611111111110938E-3</v>
      </c>
      <c r="E205" s="7">
        <f>ABS(0.00486111111111109-0.00972222222222199)</f>
        <v>4.8611111111108996E-3</v>
      </c>
      <c r="F205" s="1" t="s">
        <v>3</v>
      </c>
    </row>
    <row r="206" spans="1:6" x14ac:dyDescent="0.25">
      <c r="A206" s="11">
        <v>42036</v>
      </c>
      <c r="B206" s="7">
        <v>0.14930555555555555</v>
      </c>
      <c r="C206" s="7">
        <v>0.15902777777777777</v>
      </c>
      <c r="D206" s="7">
        <f>(0.159027777777778-0.149305555555556)</f>
        <v>9.7222222222219934E-3</v>
      </c>
      <c r="E206" s="7">
        <f>ABS(0.00972222222222199-0.00486111111111101)</f>
        <v>4.8611111111109802E-3</v>
      </c>
      <c r="F206" s="1" t="s">
        <v>3</v>
      </c>
    </row>
    <row r="207" spans="1:6" x14ac:dyDescent="0.25">
      <c r="A207" s="11">
        <v>42036</v>
      </c>
      <c r="B207" s="7">
        <v>0.19513888888888889</v>
      </c>
      <c r="C207" s="7">
        <v>0.19999999999999998</v>
      </c>
      <c r="D207" s="7">
        <f>(0.2-0.195138888888889)</f>
        <v>4.8611111111110106E-3</v>
      </c>
      <c r="E207" s="7">
        <f>ABS(0.00486111111111101-0.00138888888888899)</f>
        <v>3.4722222222220199E-3</v>
      </c>
      <c r="F207" s="1" t="s">
        <v>3</v>
      </c>
    </row>
    <row r="208" spans="1:6" x14ac:dyDescent="0.25">
      <c r="A208" s="11">
        <v>42036</v>
      </c>
      <c r="B208" s="7">
        <v>0.3923611111111111</v>
      </c>
      <c r="C208" s="7">
        <v>0.39374999999999999</v>
      </c>
      <c r="D208" s="7">
        <f>(0.39375-0.392361111111111)</f>
        <v>1.388888888888995E-3</v>
      </c>
      <c r="E208" s="7">
        <f>ABS(0.00138888888888899-0.00486111111111098)</f>
        <v>3.4722222222219904E-3</v>
      </c>
      <c r="F208" s="1" t="s">
        <v>3</v>
      </c>
    </row>
    <row r="209" spans="1:6" x14ac:dyDescent="0.25">
      <c r="A209" s="11">
        <v>42036</v>
      </c>
      <c r="B209" s="7">
        <v>0.41666666666666669</v>
      </c>
      <c r="C209" s="7">
        <v>0.42152777777777778</v>
      </c>
      <c r="D209" s="7">
        <f>(0.421527777777778-0.416666666666667)</f>
        <v>4.8611111111109828E-3</v>
      </c>
      <c r="E209" s="7">
        <f>ABS(0.00486111111111098-0.00624999999999998)</f>
        <v>1.3888888888890002E-3</v>
      </c>
      <c r="F209" s="1" t="s">
        <v>3</v>
      </c>
    </row>
    <row r="210" spans="1:6" x14ac:dyDescent="0.25">
      <c r="A210" s="11">
        <v>42036</v>
      </c>
      <c r="B210" s="7">
        <v>0.25</v>
      </c>
      <c r="C210" s="7">
        <v>0.25625000000000003</v>
      </c>
      <c r="D210" s="7">
        <f>(0.25625-0.25)</f>
        <v>6.2499999999999778E-3</v>
      </c>
      <c r="E210" s="7">
        <f>ABS(0.00624999999999998-0.00972222222222197)</f>
        <v>3.4722222222219904E-3</v>
      </c>
      <c r="F210" s="1" t="s">
        <v>3</v>
      </c>
    </row>
    <row r="211" spans="1:6" x14ac:dyDescent="0.25">
      <c r="A211" s="11">
        <v>42036</v>
      </c>
      <c r="B211" s="7">
        <v>0.27430555555555552</v>
      </c>
      <c r="C211" s="7">
        <v>0.28402777777777777</v>
      </c>
      <c r="D211" s="7">
        <f>(0.284027777777778-0.274305555555556)</f>
        <v>9.7222222222219656E-3</v>
      </c>
      <c r="E211" s="7">
        <f>ABS(0.00972222222222197-0.00347222222222199)</f>
        <v>6.2499999999999813E-3</v>
      </c>
      <c r="F211" s="1" t="s">
        <v>3</v>
      </c>
    </row>
    <row r="212" spans="1:6" x14ac:dyDescent="0.25">
      <c r="A212" s="11">
        <v>42036</v>
      </c>
      <c r="B212" s="7">
        <v>0.27499999999999997</v>
      </c>
      <c r="C212" s="7">
        <v>0.27847222222222223</v>
      </c>
      <c r="D212" s="7">
        <f>(0.278472222222222-0.275)</f>
        <v>3.4722222222219878E-3</v>
      </c>
      <c r="E212" s="7">
        <f>ABS(0.00347222222222199-0.00486111111111104)</f>
        <v>1.3888888888890501E-3</v>
      </c>
      <c r="F212" s="1" t="s">
        <v>3</v>
      </c>
    </row>
    <row r="213" spans="1:6" x14ac:dyDescent="0.25">
      <c r="A213" s="11">
        <v>42036</v>
      </c>
      <c r="B213" s="7">
        <v>0.30277777777777776</v>
      </c>
      <c r="C213" s="7">
        <v>0.30763888888888891</v>
      </c>
      <c r="D213" s="7">
        <f>(0.307638888888889-0.302777777777778)</f>
        <v>4.8611111111110383E-3</v>
      </c>
      <c r="E213" s="7">
        <f>ABS(0.00486111111111104-0.00347222222222199)</f>
        <v>1.3888888888890501E-3</v>
      </c>
      <c r="F213" s="1" t="s">
        <v>3</v>
      </c>
    </row>
    <row r="214" spans="1:6" x14ac:dyDescent="0.25">
      <c r="A214" s="11">
        <v>42036</v>
      </c>
      <c r="B214" s="7">
        <v>0.35486111111111113</v>
      </c>
      <c r="C214" s="7">
        <v>0.35833333333333334</v>
      </c>
      <c r="D214" s="7">
        <f>(0.358333333333333-0.354861111111111)</f>
        <v>3.4722222222219878E-3</v>
      </c>
      <c r="E214" s="7">
        <f>ABS(0.00347222222222199-0.00833333333333397)</f>
        <v>4.8611111111119803E-3</v>
      </c>
      <c r="F214" s="1" t="s">
        <v>3</v>
      </c>
    </row>
    <row r="215" spans="1:6" x14ac:dyDescent="0.25">
      <c r="A215" s="11">
        <v>42036</v>
      </c>
      <c r="B215" s="7">
        <v>0.50347222222222221</v>
      </c>
      <c r="C215" s="7">
        <v>0.51180555555555551</v>
      </c>
      <c r="D215" s="7">
        <f>(0.511805555555556-0.503472222222222)</f>
        <v>8.3333333333339699E-3</v>
      </c>
      <c r="E215" s="7">
        <f>ABS(0.00833333333333397-0.022916666666667)</f>
        <v>1.4583333333333032E-2</v>
      </c>
      <c r="F215" s="1" t="s">
        <v>3</v>
      </c>
    </row>
    <row r="216" spans="1:6" x14ac:dyDescent="0.25">
      <c r="A216" s="11">
        <v>42036</v>
      </c>
      <c r="B216" s="7">
        <v>0.53749999999999998</v>
      </c>
      <c r="C216" s="7">
        <v>0.56041666666666667</v>
      </c>
      <c r="D216" s="7">
        <f>(0.560416666666667-0.5375)</f>
        <v>2.2916666666667029E-2</v>
      </c>
      <c r="E216" s="7">
        <f>ABS(0.022916666666667-0.032638888888889)</f>
        <v>9.7222222222220003E-3</v>
      </c>
      <c r="F216" s="1" t="s">
        <v>3</v>
      </c>
    </row>
    <row r="217" spans="1:6" x14ac:dyDescent="0.25">
      <c r="A217" s="11">
        <v>42036</v>
      </c>
      <c r="B217" s="7">
        <v>0.54166666666666663</v>
      </c>
      <c r="C217" s="7">
        <v>0.57430555555555551</v>
      </c>
      <c r="D217" s="7">
        <f>(0.574305555555556-0.541666666666667)</f>
        <v>3.2638888888888995E-2</v>
      </c>
      <c r="E217" s="7">
        <f>ABS(0.032638888888889-0.00624999999999998)</f>
        <v>2.6388888888889021E-2</v>
      </c>
      <c r="F217" s="1" t="s">
        <v>3</v>
      </c>
    </row>
    <row r="218" spans="1:6" x14ac:dyDescent="0.25">
      <c r="A218" s="11">
        <v>42036</v>
      </c>
      <c r="B218" s="7">
        <v>0.66180555555555554</v>
      </c>
      <c r="C218" s="7">
        <v>0.66805555555555562</v>
      </c>
      <c r="D218" s="7">
        <f>(0.668055555555556-0.661805555555556)</f>
        <v>6.2499999999999778E-3</v>
      </c>
      <c r="E218" s="7">
        <f>ABS(0.00624999999999998-0.00624999999999898)</f>
        <v>1.0000680839006293E-15</v>
      </c>
      <c r="F218" s="1" t="s">
        <v>3</v>
      </c>
    </row>
    <row r="219" spans="1:6" x14ac:dyDescent="0.25">
      <c r="A219" s="11">
        <v>42036</v>
      </c>
      <c r="B219" s="7">
        <v>0.69444444444444453</v>
      </c>
      <c r="C219" s="7">
        <v>0.7006944444444444</v>
      </c>
      <c r="D219" s="7">
        <f>(0.700694444444444-0.694444444444445)</f>
        <v>6.2499999999989786E-3</v>
      </c>
      <c r="E219" s="7">
        <f>ABS(0.00624999999999898-0.00694444444444398)</f>
        <v>6.9444444444499969E-4</v>
      </c>
      <c r="F219" s="1" t="s">
        <v>3</v>
      </c>
    </row>
    <row r="220" spans="1:6" x14ac:dyDescent="0.25">
      <c r="A220" s="11">
        <v>42036</v>
      </c>
      <c r="B220" s="7">
        <v>0.69374999999999998</v>
      </c>
      <c r="C220" s="7">
        <v>0.7006944444444444</v>
      </c>
      <c r="D220" s="7">
        <f>(0.700694444444444-0.69375)</f>
        <v>6.9444444444439757E-3</v>
      </c>
      <c r="E220" s="7">
        <f>ABS(0.00694444444444398-0.00486111111111098)</f>
        <v>2.0833333333329998E-3</v>
      </c>
      <c r="F220" s="1" t="s">
        <v>3</v>
      </c>
    </row>
    <row r="221" spans="1:6" x14ac:dyDescent="0.25">
      <c r="A221" s="11">
        <v>42036</v>
      </c>
      <c r="B221" s="7">
        <v>0.87986111111111109</v>
      </c>
      <c r="C221" s="7">
        <v>0.8847222222222223</v>
      </c>
      <c r="D221" s="7">
        <f>(0.884722222222222-0.879861111111111)</f>
        <v>4.8611111111109828E-3</v>
      </c>
      <c r="E221" s="7">
        <f>ABS(0.00486111111111098-0.024305555555556)</f>
        <v>1.9444444444445021E-2</v>
      </c>
      <c r="F221" s="1" t="s">
        <v>3</v>
      </c>
    </row>
    <row r="222" spans="1:6" x14ac:dyDescent="0.25">
      <c r="A222" s="11">
        <v>42036</v>
      </c>
      <c r="B222" s="7">
        <v>0.74861111111111101</v>
      </c>
      <c r="C222" s="7">
        <v>0.7729166666666667</v>
      </c>
      <c r="D222" s="7">
        <f>(0.772916666666667-0.748611111111111)</f>
        <v>2.4305555555556024E-2</v>
      </c>
      <c r="E222" s="7">
        <f>ABS(0.024305555555556-0.0111111111111108)</f>
        <v>1.3194444444445201E-2</v>
      </c>
      <c r="F222" s="1" t="s">
        <v>3</v>
      </c>
    </row>
    <row r="223" spans="1:6" x14ac:dyDescent="0.25">
      <c r="A223" s="11">
        <v>42036</v>
      </c>
      <c r="B223" s="7">
        <v>9.0972222222222218E-2</v>
      </c>
      <c r="C223" s="7">
        <v>0.10208333333333335</v>
      </c>
      <c r="D223" s="7">
        <f>(0.102083333333333-0.0909722222222222)</f>
        <v>1.1111111111110794E-2</v>
      </c>
      <c r="E223" s="7">
        <f>ABS(0.0111111111111108-0.00347222222222199)</f>
        <v>7.6388888888888097E-3</v>
      </c>
      <c r="F223" s="1" t="s">
        <v>3</v>
      </c>
    </row>
    <row r="224" spans="1:6" x14ac:dyDescent="0.25">
      <c r="A224" s="11">
        <v>42036</v>
      </c>
      <c r="B224" s="7">
        <v>0.37916666666666665</v>
      </c>
      <c r="C224" s="7">
        <v>0.38263888888888892</v>
      </c>
      <c r="D224" s="7">
        <f>(0.382638888888889-0.379166666666667)</f>
        <v>3.4722222222219878E-3</v>
      </c>
      <c r="E224" s="7">
        <f>ABS(0.00347222222222199-0.021527777777778)</f>
        <v>1.8055555555556008E-2</v>
      </c>
      <c r="F224" s="1" t="s">
        <v>3</v>
      </c>
    </row>
    <row r="225" spans="1:6" x14ac:dyDescent="0.25">
      <c r="A225" s="11">
        <v>42036</v>
      </c>
      <c r="B225" s="7">
        <v>0.47083333333333338</v>
      </c>
      <c r="C225" s="7">
        <v>0.49236111111111108</v>
      </c>
      <c r="D225" s="7">
        <f>(0.492361111111111-0.470833333333333)</f>
        <v>2.1527777777778034E-2</v>
      </c>
      <c r="E225" s="7">
        <f>ABS(0.021527777777778-0.0159722222222219)</f>
        <v>5.5555555555561013E-3</v>
      </c>
      <c r="F225" s="1" t="s">
        <v>3</v>
      </c>
    </row>
    <row r="226" spans="1:6" x14ac:dyDescent="0.25">
      <c r="A226" s="11">
        <v>42036</v>
      </c>
      <c r="B226" s="7">
        <v>0.49722222222222223</v>
      </c>
      <c r="C226" s="7">
        <v>0.5131944444444444</v>
      </c>
      <c r="D226" s="7">
        <f>(0.513194444444444-0.497222222222222)</f>
        <v>1.5972222222221943E-2</v>
      </c>
      <c r="E226" s="7">
        <f>ABS(0.0159722222222219-0.0152777777777769)</f>
        <v>6.9444444444499882E-4</v>
      </c>
      <c r="F226" s="1" t="s">
        <v>3</v>
      </c>
    </row>
    <row r="227" spans="1:6" x14ac:dyDescent="0.25">
      <c r="A227" s="11">
        <v>42036</v>
      </c>
      <c r="B227" s="7">
        <v>0.52916666666666667</v>
      </c>
      <c r="C227" s="7">
        <v>0.5444444444444444</v>
      </c>
      <c r="D227" s="7">
        <f>(0.544444444444444-0.529166666666667)</f>
        <v>1.5277777777776946E-2</v>
      </c>
      <c r="E227" s="7">
        <f>ABS(0.0152777777777769-0.05625)</f>
        <v>4.0972222222223104E-2</v>
      </c>
      <c r="F227" s="1" t="s">
        <v>3</v>
      </c>
    </row>
    <row r="228" spans="1:6" x14ac:dyDescent="0.25">
      <c r="A228" s="11">
        <v>42036</v>
      </c>
      <c r="B228" s="7">
        <v>0.51388888888888895</v>
      </c>
      <c r="C228" s="7">
        <v>0.57013888888888886</v>
      </c>
      <c r="D228" s="7">
        <f>(0.570138888888889-0.513888888888889)</f>
        <v>5.6250000000000022E-2</v>
      </c>
      <c r="E228" s="7">
        <f>ABS(0.05625-0.0145833333333329)</f>
        <v>4.1666666666667102E-2</v>
      </c>
      <c r="F228" s="1" t="s">
        <v>3</v>
      </c>
    </row>
    <row r="229" spans="1:6" x14ac:dyDescent="0.25">
      <c r="A229" s="11">
        <v>42036</v>
      </c>
      <c r="B229" s="7">
        <v>0.55555555555555558</v>
      </c>
      <c r="C229" s="7">
        <v>0.57013888888888886</v>
      </c>
      <c r="D229" s="7">
        <f>(0.570138888888889-0.555555555555556)</f>
        <v>1.4583333333332948E-2</v>
      </c>
      <c r="E229" s="7">
        <f>ABS(0.0145833333333329-0.0333333333333331)</f>
        <v>1.8750000000000197E-2</v>
      </c>
      <c r="F229" s="1" t="s">
        <v>3</v>
      </c>
    </row>
    <row r="230" spans="1:6" x14ac:dyDescent="0.25">
      <c r="A230" s="11">
        <v>42036</v>
      </c>
      <c r="B230" s="7">
        <v>0.60763888888888895</v>
      </c>
      <c r="C230" s="7">
        <v>0.64097222222222217</v>
      </c>
      <c r="D230" s="7">
        <f>(0.640972222222222-0.607638888888889)</f>
        <v>3.3333333333333104E-2</v>
      </c>
      <c r="E230" s="7">
        <f>ABS(0.0333333333333331-0.00416666666666698)</f>
        <v>2.9166666666666119E-2</v>
      </c>
      <c r="F230" s="1" t="s">
        <v>3</v>
      </c>
    </row>
    <row r="231" spans="1:6" x14ac:dyDescent="0.25">
      <c r="A231" s="11">
        <v>42036</v>
      </c>
      <c r="B231" s="7">
        <v>0.63263888888888886</v>
      </c>
      <c r="C231" s="7">
        <v>0.63680555555555551</v>
      </c>
      <c r="D231" s="7">
        <f>(0.636805555555556-0.632638888888889)</f>
        <v>4.1666666666669849E-3</v>
      </c>
      <c r="E231" s="7">
        <f>ABS(0.00416666666666698-0.0159722222222231)</f>
        <v>1.1805555555556119E-2</v>
      </c>
      <c r="F231" s="1" t="s">
        <v>3</v>
      </c>
    </row>
    <row r="232" spans="1:6" x14ac:dyDescent="0.25">
      <c r="A232" s="11">
        <v>42036</v>
      </c>
      <c r="B232" s="7">
        <v>0.65694444444444444</v>
      </c>
      <c r="C232" s="7">
        <v>0.67291666666666661</v>
      </c>
      <c r="D232" s="7">
        <f>(0.672916666666667-0.656944444444444)</f>
        <v>1.5972222222223054E-2</v>
      </c>
      <c r="E232" s="7">
        <f>ABS(0.0159722222222231-0.031944444444445)</f>
        <v>1.5972222222221898E-2</v>
      </c>
      <c r="F232" s="1" t="s">
        <v>3</v>
      </c>
    </row>
    <row r="233" spans="1:6" x14ac:dyDescent="0.25">
      <c r="A233" s="11">
        <v>42036</v>
      </c>
      <c r="B233" s="7">
        <v>0.63958333333333328</v>
      </c>
      <c r="C233" s="7">
        <v>0.67152777777777783</v>
      </c>
      <c r="D233" s="7">
        <f>(0.671527777777778-0.639583333333333)</f>
        <v>3.1944444444444997E-2</v>
      </c>
      <c r="E233" s="7">
        <f>ABS(0.031944444444445-0.013194444444444)</f>
        <v>1.8750000000000995E-2</v>
      </c>
      <c r="F233" s="1" t="s">
        <v>3</v>
      </c>
    </row>
    <row r="234" spans="1:6" x14ac:dyDescent="0.25">
      <c r="A234" s="11">
        <v>42036</v>
      </c>
      <c r="B234" s="7">
        <v>0.65763888888888888</v>
      </c>
      <c r="C234" s="7">
        <v>0.67083333333333339</v>
      </c>
      <c r="D234" s="7">
        <f>(0.670833333333333-0.657638888888889)</f>
        <v>1.3194444444443953E-2</v>
      </c>
      <c r="E234" s="7">
        <f>ABS(0.013194444444444-0.027777777777778)</f>
        <v>1.4583333333333998E-2</v>
      </c>
      <c r="F234" s="1" t="s">
        <v>3</v>
      </c>
    </row>
    <row r="235" spans="1:6" x14ac:dyDescent="0.25">
      <c r="A235" s="11">
        <v>42036</v>
      </c>
      <c r="B235" s="7">
        <v>0.7090277777777777</v>
      </c>
      <c r="C235" s="7">
        <v>0.7368055555555556</v>
      </c>
      <c r="D235" s="7">
        <f>(0.736805555555556-0.709027777777778)</f>
        <v>2.7777777777778012E-2</v>
      </c>
      <c r="E235" s="7">
        <f>ABS(0.027777777777778-0.00416666666666698)</f>
        <v>2.361111111111102E-2</v>
      </c>
      <c r="F235" s="1" t="s">
        <v>3</v>
      </c>
    </row>
    <row r="236" spans="1:6" x14ac:dyDescent="0.25">
      <c r="A236" s="11">
        <v>42036</v>
      </c>
      <c r="B236" s="7">
        <v>0.71944444444444444</v>
      </c>
      <c r="C236" s="7">
        <v>0.72361111111111109</v>
      </c>
      <c r="D236" s="7">
        <f>(0.723611111111111-0.719444444444444)</f>
        <v>4.1666666666669849E-3</v>
      </c>
      <c r="E236" s="7">
        <f>ABS(0.00416666666666698-0.00416666666666698)</f>
        <v>0</v>
      </c>
      <c r="F236" s="1" t="s">
        <v>3</v>
      </c>
    </row>
    <row r="237" spans="1:6" x14ac:dyDescent="0.25">
      <c r="A237" s="11">
        <v>42036</v>
      </c>
      <c r="B237" s="7">
        <v>0.83472222222222225</v>
      </c>
      <c r="C237" s="7">
        <v>0.83888888888888891</v>
      </c>
      <c r="D237" s="7">
        <f>(0.838888888888889-0.834722222222222)</f>
        <v>4.1666666666669849E-3</v>
      </c>
      <c r="E237" s="7">
        <f>ABS(0.00416666666666698-0.00555555555555604)</f>
        <v>1.38888888888906E-3</v>
      </c>
      <c r="F237" s="1" t="s">
        <v>3</v>
      </c>
    </row>
    <row r="238" spans="1:6" x14ac:dyDescent="0.25">
      <c r="A238" s="11">
        <v>42036</v>
      </c>
      <c r="B238" s="7">
        <v>0.45694444444444443</v>
      </c>
      <c r="C238" s="7">
        <v>0.46249999999999997</v>
      </c>
      <c r="D238" s="7">
        <f>(0.4625-0.456944444444444)</f>
        <v>5.5555555555560354E-3</v>
      </c>
      <c r="E238" s="7">
        <f>ABS(0.00555555555555604-0.00347222222222199)</f>
        <v>2.0833333333340497E-3</v>
      </c>
      <c r="F238" s="1" t="s">
        <v>3</v>
      </c>
    </row>
    <row r="239" spans="1:6" x14ac:dyDescent="0.25">
      <c r="A239" s="11">
        <v>42036</v>
      </c>
      <c r="B239" s="7">
        <v>0.98472222222222217</v>
      </c>
      <c r="C239" s="7">
        <v>0.98819444444444438</v>
      </c>
      <c r="D239" s="7">
        <f>(0.988194444444444-0.984722222222222)</f>
        <v>3.4722222222219878E-3</v>
      </c>
      <c r="E239" s="7">
        <f>ABS(0.00347222222222199-0.008333333333334)</f>
        <v>4.8611111111120098E-3</v>
      </c>
      <c r="F239" s="1" t="s">
        <v>3</v>
      </c>
    </row>
    <row r="240" spans="1:6" x14ac:dyDescent="0.25">
      <c r="A240" s="11">
        <v>42036</v>
      </c>
      <c r="B240" s="7">
        <v>0.11597222222222221</v>
      </c>
      <c r="C240" s="7">
        <v>0.12430555555555556</v>
      </c>
      <c r="D240" s="7">
        <f>(0.124305555555556-0.115972222222222)</f>
        <v>8.3333333333339976E-3</v>
      </c>
      <c r="E240" s="7">
        <f>ABS(0.008333333333334-0.014583333333333)</f>
        <v>6.2499999999990011E-3</v>
      </c>
      <c r="F240" s="1" t="s">
        <v>3</v>
      </c>
    </row>
    <row r="241" spans="1:6" x14ac:dyDescent="0.25">
      <c r="A241" s="11">
        <v>42036</v>
      </c>
      <c r="B241" s="7">
        <v>0.24791666666666667</v>
      </c>
      <c r="C241" s="7">
        <v>0.26250000000000001</v>
      </c>
      <c r="D241" s="7">
        <f>(0.2625-0.247916666666667)</f>
        <v>1.4583333333333004E-2</v>
      </c>
      <c r="E241" s="7">
        <f>ABS(0.014583333333333-0.018055555555556)</f>
        <v>3.4722222222230009E-3</v>
      </c>
      <c r="F241" s="1" t="s">
        <v>3</v>
      </c>
    </row>
    <row r="242" spans="1:6" x14ac:dyDescent="0.25">
      <c r="A242" s="11">
        <v>42036</v>
      </c>
      <c r="B242" s="7">
        <v>0.4145833333333333</v>
      </c>
      <c r="C242" s="7">
        <v>0.43263888888888885</v>
      </c>
      <c r="D242" s="7">
        <f>(0.432638888888889-0.414583333333333)</f>
        <v>1.8055555555555991E-2</v>
      </c>
      <c r="E242" s="7">
        <f>ABS(0.018055555555556-0.00486111111111098)</f>
        <v>1.3194444444445022E-2</v>
      </c>
      <c r="F242" s="1" t="s">
        <v>3</v>
      </c>
    </row>
    <row r="243" spans="1:6" x14ac:dyDescent="0.25">
      <c r="A243" s="11">
        <v>42036</v>
      </c>
      <c r="B243" s="7">
        <v>0.56597222222222221</v>
      </c>
      <c r="C243" s="7">
        <v>0.5708333333333333</v>
      </c>
      <c r="D243" s="7">
        <f>(0.570833333333333-0.565972222222222)</f>
        <v>4.8611111111109828E-3</v>
      </c>
      <c r="E243" s="7">
        <f>ABS(0.00486111111111098-0.00416666666666698)</f>
        <v>6.9444444444400049E-4</v>
      </c>
      <c r="F243" s="1" t="s">
        <v>3</v>
      </c>
    </row>
    <row r="244" spans="1:6" x14ac:dyDescent="0.25">
      <c r="A244" s="11">
        <v>42036</v>
      </c>
      <c r="B244" s="7">
        <v>0.64513888888888882</v>
      </c>
      <c r="C244" s="7">
        <v>0.64930555555555558</v>
      </c>
      <c r="D244" s="7">
        <f>(0.649305555555556-0.645138888888889)</f>
        <v>4.1666666666669849E-3</v>
      </c>
      <c r="E244" s="7">
        <f>ABS(0.00416666666666698-0.00416666666666698)</f>
        <v>0</v>
      </c>
      <c r="F244" s="1" t="s">
        <v>3</v>
      </c>
    </row>
    <row r="245" spans="1:6" x14ac:dyDescent="0.25">
      <c r="A245" s="11">
        <v>42036</v>
      </c>
      <c r="B245" s="7">
        <v>0.6645833333333333</v>
      </c>
      <c r="C245" s="7">
        <v>0.66875000000000007</v>
      </c>
      <c r="D245" s="7">
        <f>(0.66875-0.664583333333333)</f>
        <v>4.1666666666669849E-3</v>
      </c>
      <c r="E245" s="7">
        <f>ABS(0.00416666666666698-0.0041666666666661)</f>
        <v>8.795048023202412E-16</v>
      </c>
      <c r="F245" s="1" t="s">
        <v>3</v>
      </c>
    </row>
    <row r="246" spans="1:6" x14ac:dyDescent="0.25">
      <c r="A246" s="11">
        <v>42036</v>
      </c>
      <c r="B246" s="7">
        <v>0.73055555555555562</v>
      </c>
      <c r="C246" s="7">
        <v>0.73472222222222217</v>
      </c>
      <c r="D246" s="7">
        <f>(0.734722222222222-0.730555555555556)</f>
        <v>4.1666666666660968E-3</v>
      </c>
      <c r="E246" s="7">
        <f>ABS(0.0041666666666661-0.025000000000001)</f>
        <v>2.08333333333349E-2</v>
      </c>
      <c r="F246" s="1" t="s">
        <v>3</v>
      </c>
    </row>
    <row r="247" spans="1:6" x14ac:dyDescent="0.25">
      <c r="A247" s="11">
        <v>42036</v>
      </c>
      <c r="B247" s="7">
        <v>0.8569444444444444</v>
      </c>
      <c r="C247" s="7">
        <v>0.88194444444444453</v>
      </c>
      <c r="D247" s="7">
        <f>(0.881944444444445-0.856944444444444)</f>
        <v>2.5000000000001021E-2</v>
      </c>
      <c r="E247" s="7">
        <f>ABS(0.025000000000001-0.00833333333333297)</f>
        <v>1.666666666666803E-2</v>
      </c>
      <c r="F247" s="1" t="s">
        <v>3</v>
      </c>
    </row>
    <row r="248" spans="1:6" x14ac:dyDescent="0.25">
      <c r="A248" s="11">
        <v>42036</v>
      </c>
      <c r="B248" s="7">
        <v>0.36805555555555558</v>
      </c>
      <c r="C248" s="7">
        <v>0.37638888888888888</v>
      </c>
      <c r="D248" s="7">
        <f>(0.376388888888889-0.368055555555556)</f>
        <v>8.3333333333329707E-3</v>
      </c>
      <c r="E248" s="7">
        <f>ABS(0.00833333333333297-0.00833333333333297)</f>
        <v>0</v>
      </c>
      <c r="F248" s="1" t="s">
        <v>3</v>
      </c>
    </row>
    <row r="249" spans="1:6" x14ac:dyDescent="0.25">
      <c r="A249" s="11">
        <v>42036</v>
      </c>
      <c r="B249" s="7">
        <v>0.4680555555555555</v>
      </c>
      <c r="C249" s="7">
        <v>0.47638888888888892</v>
      </c>
      <c r="D249" s="7">
        <f>(0.476388888888889-0.468055555555556)</f>
        <v>8.3333333333329707E-3</v>
      </c>
      <c r="E249" s="7">
        <f>ABS(0.00833333333333297-0.00624999999999998)</f>
        <v>2.0833333333329903E-3</v>
      </c>
      <c r="F249" s="1" t="s">
        <v>3</v>
      </c>
    </row>
    <row r="250" spans="1:6" x14ac:dyDescent="0.25">
      <c r="A250" s="11">
        <v>42036</v>
      </c>
      <c r="B250" s="7">
        <v>0.55138888888888882</v>
      </c>
      <c r="C250" s="7">
        <v>0.55763888888888891</v>
      </c>
      <c r="D250" s="7">
        <f>(0.557638888888889-0.551388888888889)</f>
        <v>6.2499999999999778E-3</v>
      </c>
      <c r="E250" s="7">
        <f>ABS(0.00624999999999998-0.00763888888888908)</f>
        <v>1.3888888888890999E-3</v>
      </c>
      <c r="F250" s="1" t="s">
        <v>3</v>
      </c>
    </row>
    <row r="251" spans="1:6" x14ac:dyDescent="0.25">
      <c r="A251" s="11">
        <v>42036</v>
      </c>
      <c r="B251" s="7">
        <v>0.6333333333333333</v>
      </c>
      <c r="C251" s="7">
        <v>0.64097222222222217</v>
      </c>
      <c r="D251" s="7">
        <f>(0.640972222222222-0.633333333333333)</f>
        <v>7.6388888888890838E-3</v>
      </c>
      <c r="E251" s="7">
        <f>ABS(0.00763888888888908-0.00555555555555609)</f>
        <v>2.0833333333329903E-3</v>
      </c>
      <c r="F251" s="1" t="s">
        <v>3</v>
      </c>
    </row>
    <row r="252" spans="1:6" x14ac:dyDescent="0.25">
      <c r="A252" s="11">
        <v>42036</v>
      </c>
      <c r="B252" s="7">
        <v>0.63958333333333328</v>
      </c>
      <c r="C252" s="7">
        <v>0.64513888888888882</v>
      </c>
      <c r="D252" s="7">
        <f>(0.645138888888889-0.639583333333333)</f>
        <v>5.5555555555560909E-3</v>
      </c>
      <c r="E252" s="7">
        <f>ABS(0.00555555555555609-0.00694444444444409)</f>
        <v>1.3888888888880001E-3</v>
      </c>
      <c r="F252" s="1" t="s">
        <v>3</v>
      </c>
    </row>
    <row r="253" spans="1:6" x14ac:dyDescent="0.25">
      <c r="A253" s="11">
        <v>42036</v>
      </c>
      <c r="B253" s="7">
        <v>0.66666666666666663</v>
      </c>
      <c r="C253" s="7">
        <v>0.67361111111111116</v>
      </c>
      <c r="D253" s="7">
        <f>(0.673611111111111-0.666666666666667)</f>
        <v>6.9444444444440867E-3</v>
      </c>
      <c r="E253" s="7">
        <f>ABS(0.00694444444444409-0.00624999999999998)</f>
        <v>6.9444444444410978E-4</v>
      </c>
      <c r="F253" s="1" t="s">
        <v>3</v>
      </c>
    </row>
    <row r="254" spans="1:6" x14ac:dyDescent="0.25">
      <c r="A254" s="11">
        <v>42036</v>
      </c>
      <c r="B254" s="7">
        <v>0.75277777777777777</v>
      </c>
      <c r="C254" s="7">
        <v>0.75902777777777775</v>
      </c>
      <c r="D254" s="7">
        <f>(0.759027777777778-0.752777777777778)</f>
        <v>6.2499999999999778E-3</v>
      </c>
      <c r="E254" s="7">
        <f>ABS(0.00624999999999998-0.00416666666666698)</f>
        <v>2.0833333333330007E-3</v>
      </c>
      <c r="F254" s="1" t="s">
        <v>3</v>
      </c>
    </row>
    <row r="255" spans="1:6" x14ac:dyDescent="0.25">
      <c r="A255" s="11">
        <v>42036</v>
      </c>
      <c r="B255" s="7">
        <v>0.92569444444444438</v>
      </c>
      <c r="C255" s="7">
        <v>0.92986111111111114</v>
      </c>
      <c r="D255" s="7">
        <f>(0.929861111111111-0.925694444444444)</f>
        <v>4.1666666666669849E-3</v>
      </c>
      <c r="E255" s="7">
        <f>ABS(0.00416666666666698-0.007638888888889)</f>
        <v>3.4722222222220199E-3</v>
      </c>
      <c r="F255" s="1" t="s">
        <v>3</v>
      </c>
    </row>
    <row r="256" spans="1:6" x14ac:dyDescent="0.25">
      <c r="A256" s="11">
        <v>42036</v>
      </c>
      <c r="B256" s="7">
        <v>0.20486111111111113</v>
      </c>
      <c r="C256" s="7">
        <v>0.21249999999999999</v>
      </c>
      <c r="D256" s="7">
        <f>(0.2125-0.204861111111111)</f>
        <v>7.6388888888890005E-3</v>
      </c>
      <c r="E256" s="7">
        <f>ABS(0.007638888888889-0.00833333333333297)</f>
        <v>6.94444444443971E-4</v>
      </c>
      <c r="F256" s="1" t="s">
        <v>3</v>
      </c>
    </row>
    <row r="257" spans="1:6" x14ac:dyDescent="0.25">
      <c r="A257" s="11">
        <v>42036</v>
      </c>
      <c r="B257" s="7">
        <v>0.28055555555555556</v>
      </c>
      <c r="C257" s="7">
        <v>0.28888888888888892</v>
      </c>
      <c r="D257" s="7">
        <f>(0.288888888888889-0.280555555555556)</f>
        <v>8.3333333333329707E-3</v>
      </c>
      <c r="E257" s="7">
        <f>ABS(0.00833333333333297-0.01875)</f>
        <v>1.0416666666667029E-2</v>
      </c>
      <c r="F257" s="1" t="s">
        <v>3</v>
      </c>
    </row>
    <row r="258" spans="1:6" x14ac:dyDescent="0.25">
      <c r="A258" s="11">
        <v>42036</v>
      </c>
      <c r="B258" s="7">
        <v>0.29305555555555557</v>
      </c>
      <c r="C258" s="7">
        <v>0.31180555555555556</v>
      </c>
      <c r="D258" s="7">
        <f>(0.311805555555556-0.293055555555556)</f>
        <v>1.8749999999999989E-2</v>
      </c>
      <c r="E258" s="7">
        <f>ABS(0.01875-0.00833333333333397)</f>
        <v>1.0416666666666029E-2</v>
      </c>
      <c r="F258" s="1" t="s">
        <v>3</v>
      </c>
    </row>
    <row r="259" spans="1:6" x14ac:dyDescent="0.25">
      <c r="A259" s="11">
        <v>42036</v>
      </c>
      <c r="B259" s="7">
        <v>0.35347222222222219</v>
      </c>
      <c r="C259" s="7">
        <v>0.36180555555555555</v>
      </c>
      <c r="D259" s="7">
        <f>(0.361805555555556-0.353472222222222)</f>
        <v>8.3333333333339699E-3</v>
      </c>
      <c r="E259" s="7"/>
      <c r="F259" s="1" t="s">
        <v>3</v>
      </c>
    </row>
    <row r="260" spans="1:6" x14ac:dyDescent="0.25">
      <c r="A260" s="11">
        <v>42036</v>
      </c>
      <c r="B260" s="7">
        <v>0.29166666666666669</v>
      </c>
      <c r="C260" s="7">
        <v>0.30763888888888891</v>
      </c>
      <c r="D260" s="7">
        <f>(0.307638888888889-0.291666666666667)</f>
        <v>1.5972222222221999E-2</v>
      </c>
      <c r="E260" s="7">
        <f>ABS(0.015972222222222-0.0159722222222219)</f>
        <v>1.0061396160665481E-16</v>
      </c>
      <c r="F260" s="1" t="s">
        <v>10</v>
      </c>
    </row>
    <row r="261" spans="1:6" x14ac:dyDescent="0.25">
      <c r="A261" s="11">
        <v>42036</v>
      </c>
      <c r="B261" s="7">
        <v>0.81111111111111101</v>
      </c>
      <c r="C261" s="7">
        <v>0.82708333333333339</v>
      </c>
      <c r="D261" s="7">
        <f>(0.827083333333333-0.811111111111111)</f>
        <v>1.5972222222221943E-2</v>
      </c>
      <c r="E261" s="7">
        <f>ABS(0.0159722222222219-0.0201388888888889)</f>
        <v>4.1666666666670023E-3</v>
      </c>
      <c r="F261" s="1" t="s">
        <v>10</v>
      </c>
    </row>
    <row r="262" spans="1:6" x14ac:dyDescent="0.25">
      <c r="A262" s="11">
        <v>42036</v>
      </c>
      <c r="B262" s="7">
        <v>0.7368055555555556</v>
      </c>
      <c r="C262" s="7">
        <v>0.75694444444444453</v>
      </c>
      <c r="D262" s="7">
        <f>(0.756944444444445-0.736805555555556)</f>
        <v>2.0138888888888928E-2</v>
      </c>
      <c r="E262" s="7">
        <f>ABS(0.0201388888888889-0.025)</f>
        <v>4.8611111111111008E-3</v>
      </c>
      <c r="F262" s="1" t="s">
        <v>10</v>
      </c>
    </row>
    <row r="263" spans="1:6" x14ac:dyDescent="0.25">
      <c r="A263" s="11">
        <v>42036</v>
      </c>
      <c r="B263" s="7">
        <v>0.6333333333333333</v>
      </c>
      <c r="C263" s="7">
        <v>0.65833333333333333</v>
      </c>
      <c r="D263" s="7">
        <f>(0.658333333333333-0.633333333333333)</f>
        <v>2.5000000000000022E-2</v>
      </c>
      <c r="E263" s="7">
        <f>ABS(0.025-0.0187499999999999)</f>
        <v>6.2500000000001027E-3</v>
      </c>
      <c r="F263" s="1" t="s">
        <v>10</v>
      </c>
    </row>
    <row r="264" spans="1:6" x14ac:dyDescent="0.25">
      <c r="A264" s="11">
        <v>42036</v>
      </c>
      <c r="B264" s="7">
        <v>0.49305555555555558</v>
      </c>
      <c r="C264" s="7">
        <v>0.51180555555555551</v>
      </c>
      <c r="D264" s="7">
        <f>(0.511805555555556-0.493055555555556)</f>
        <v>1.8749999999999933E-2</v>
      </c>
      <c r="E264" s="7">
        <f>ABS(0.0187499999999999-0.030555555555556)</f>
        <v>1.18055555555561E-2</v>
      </c>
      <c r="F264" s="1" t="s">
        <v>10</v>
      </c>
    </row>
    <row r="265" spans="1:6" x14ac:dyDescent="0.25">
      <c r="A265" s="11">
        <v>42036</v>
      </c>
      <c r="B265" s="7">
        <v>0.52847222222222223</v>
      </c>
      <c r="C265" s="7">
        <v>0.55902777777777779</v>
      </c>
      <c r="D265" s="7">
        <f>(0.559027777777778-0.528472222222222)</f>
        <v>3.0555555555556002E-2</v>
      </c>
      <c r="E265" s="7">
        <f>ABS(0.030555555555556-0.019444444444444)</f>
        <v>1.1111111111111998E-2</v>
      </c>
      <c r="F265" s="1" t="s">
        <v>10</v>
      </c>
    </row>
    <row r="266" spans="1:6" x14ac:dyDescent="0.25">
      <c r="A266" s="11">
        <v>42036</v>
      </c>
      <c r="B266" s="7">
        <v>0.59027777777777779</v>
      </c>
      <c r="C266" s="7">
        <v>0.60972222222222217</v>
      </c>
      <c r="D266" s="7">
        <f>(0.609722222222222-0.590277777777778)</f>
        <v>1.9444444444444042E-2</v>
      </c>
      <c r="E266" s="7">
        <f>ABS(0.019444444444444-0.018055555555556)</f>
        <v>1.3888888888879992E-3</v>
      </c>
      <c r="F266" s="1" t="s">
        <v>10</v>
      </c>
    </row>
    <row r="267" spans="1:6" x14ac:dyDescent="0.25">
      <c r="A267" s="11">
        <v>42036</v>
      </c>
      <c r="B267" s="7">
        <v>0.60347222222222219</v>
      </c>
      <c r="C267" s="7">
        <v>0.62152777777777779</v>
      </c>
      <c r="D267" s="7">
        <f>(0.621527777777778-0.603472222222222)</f>
        <v>1.8055555555556047E-2</v>
      </c>
      <c r="E267" s="7">
        <f>ABS(0.018055555555556-0.0138888888888891)</f>
        <v>4.1666666666669017E-3</v>
      </c>
      <c r="F267" s="1" t="s">
        <v>10</v>
      </c>
    </row>
    <row r="268" spans="1:6" x14ac:dyDescent="0.25">
      <c r="A268" s="11">
        <v>42036</v>
      </c>
      <c r="B268" s="7">
        <v>0.59722222222222221</v>
      </c>
      <c r="C268" s="7">
        <v>0.61111111111111105</v>
      </c>
      <c r="D268" s="7">
        <f>(0.611111111111111-0.597222222222222)</f>
        <v>1.3888888888889062E-2</v>
      </c>
      <c r="E268" s="7">
        <f>ABS(0.0138888888888891-0.0166666666666671)</f>
        <v>2.7777777777780004E-3</v>
      </c>
      <c r="F268" s="1" t="s">
        <v>10</v>
      </c>
    </row>
    <row r="269" spans="1:6" x14ac:dyDescent="0.25">
      <c r="A269" s="11">
        <v>42036</v>
      </c>
      <c r="B269" s="7">
        <v>0.66875000000000007</v>
      </c>
      <c r="C269" s="7">
        <v>0.68541666666666667</v>
      </c>
      <c r="D269" s="7">
        <f>(0.685416666666667-0.66875)</f>
        <v>1.6666666666667052E-2</v>
      </c>
      <c r="E269" s="7">
        <f>ABS(0.0166666666666671-0.0222222222222219)</f>
        <v>5.5555555555548003E-3</v>
      </c>
      <c r="F269" s="1" t="s">
        <v>10</v>
      </c>
    </row>
    <row r="270" spans="1:6" x14ac:dyDescent="0.25">
      <c r="A270" s="11">
        <v>42036</v>
      </c>
      <c r="B270" s="7">
        <v>0.70486111111111116</v>
      </c>
      <c r="C270" s="7">
        <v>0.7270833333333333</v>
      </c>
      <c r="D270" s="7">
        <f>(0.727083333333333-0.704861111111111)</f>
        <v>2.2222222222221921E-2</v>
      </c>
      <c r="E270" s="7">
        <f>ABS(0.0222222222222219-0.0152777777777781)</f>
        <v>6.9444444444438005E-3</v>
      </c>
      <c r="F270" s="1" t="s">
        <v>10</v>
      </c>
    </row>
    <row r="271" spans="1:6" x14ac:dyDescent="0.25">
      <c r="A271" s="11">
        <v>42036</v>
      </c>
      <c r="B271" s="7">
        <v>0.72499999999999998</v>
      </c>
      <c r="C271" s="7">
        <v>0.7402777777777777</v>
      </c>
      <c r="D271" s="7">
        <f>(0.740277777777778-0.725)</f>
        <v>1.5277777777778057E-2</v>
      </c>
      <c r="E271" s="7">
        <f>ABS(0.0152777777777781-0.015972222222222)</f>
        <v>6.9444444444389901E-4</v>
      </c>
      <c r="F271" s="1" t="s">
        <v>10</v>
      </c>
    </row>
    <row r="272" spans="1:6" x14ac:dyDescent="0.25">
      <c r="A272" s="11">
        <v>42036</v>
      </c>
      <c r="B272" s="7">
        <v>0.34930555555555554</v>
      </c>
      <c r="C272" s="7">
        <v>0.36527777777777781</v>
      </c>
      <c r="D272" s="7">
        <f>(0.365277777777778-0.349305555555556)</f>
        <v>1.5972222222221999E-2</v>
      </c>
      <c r="E272" s="7">
        <f>ABS(0.015972222222222-0.0159722222222221)</f>
        <v>1.0061396160665481E-16</v>
      </c>
      <c r="F272" s="1" t="s">
        <v>10</v>
      </c>
    </row>
    <row r="273" spans="1:6" x14ac:dyDescent="0.25">
      <c r="A273" s="11">
        <v>42036</v>
      </c>
      <c r="B273" s="7">
        <v>0.60277777777777775</v>
      </c>
      <c r="C273" s="7">
        <v>0.61875000000000002</v>
      </c>
      <c r="D273" s="7">
        <f>(0.61875-0.602777777777778)</f>
        <v>1.5972222222222054E-2</v>
      </c>
      <c r="E273" s="7">
        <f>ABS(0.0159722222222221-0.0173611111111109)</f>
        <v>1.3888888888888007E-3</v>
      </c>
      <c r="F273" s="1" t="s">
        <v>10</v>
      </c>
    </row>
    <row r="274" spans="1:6" x14ac:dyDescent="0.25">
      <c r="A274" s="11">
        <v>42036</v>
      </c>
      <c r="B274" s="7">
        <v>0.64652777777777781</v>
      </c>
      <c r="C274" s="7">
        <v>0.66388888888888886</v>
      </c>
      <c r="D274" s="7">
        <f>(0.663888888888889-0.646527777777778)</f>
        <v>1.7361111111110938E-2</v>
      </c>
      <c r="E274" s="7">
        <f>ABS(0.0173611111111109-0.020833333333333)</f>
        <v>3.4722222222220989E-3</v>
      </c>
      <c r="F274" s="1" t="s">
        <v>10</v>
      </c>
    </row>
    <row r="275" spans="1:6" x14ac:dyDescent="0.25">
      <c r="A275" s="11">
        <v>42036</v>
      </c>
      <c r="B275" s="7">
        <v>0.70138888888888884</v>
      </c>
      <c r="C275" s="7">
        <v>0.72222222222222221</v>
      </c>
      <c r="D275" s="7">
        <f>(0.722222222222222-0.701388888888889)</f>
        <v>2.0833333333333037E-2</v>
      </c>
      <c r="E275" s="7">
        <f>ABS(0.020833333333333-0.025)</f>
        <v>4.1666666666670023E-3</v>
      </c>
      <c r="F275" s="1" t="s">
        <v>10</v>
      </c>
    </row>
    <row r="276" spans="1:6" x14ac:dyDescent="0.25">
      <c r="A276" s="11">
        <v>42036</v>
      </c>
      <c r="B276" s="7">
        <v>0.69027777777777777</v>
      </c>
      <c r="C276" s="7">
        <v>0.71527777777777779</v>
      </c>
      <c r="D276" s="7">
        <f>(0.715277777777778-0.690277777777778)</f>
        <v>2.5000000000000022E-2</v>
      </c>
      <c r="E276" s="7">
        <f>ABS(0.025-0.0215277777777779)</f>
        <v>3.4722222222221023E-3</v>
      </c>
      <c r="F276" s="1" t="s">
        <v>10</v>
      </c>
    </row>
    <row r="277" spans="1:6" x14ac:dyDescent="0.25">
      <c r="A277" s="11">
        <v>42036</v>
      </c>
      <c r="B277" s="7">
        <v>0.73472222222222217</v>
      </c>
      <c r="C277" s="7">
        <v>0.75624999999999998</v>
      </c>
      <c r="D277" s="7">
        <f>(0.75625-0.734722222222222)</f>
        <v>2.1527777777777923E-2</v>
      </c>
      <c r="E277" s="7">
        <f>ABS(0.0215277777777779-0.019444444444444)</f>
        <v>2.0833333333338984E-3</v>
      </c>
      <c r="F277" s="1" t="s">
        <v>10</v>
      </c>
    </row>
    <row r="278" spans="1:6" x14ac:dyDescent="0.25">
      <c r="A278" s="11">
        <v>42036</v>
      </c>
      <c r="B278" s="7">
        <v>0.87152777777777779</v>
      </c>
      <c r="C278" s="7">
        <v>0.89097222222222217</v>
      </c>
      <c r="D278" s="7">
        <f>(0.890972222222222-0.871527777777778)</f>
        <v>1.9444444444444042E-2</v>
      </c>
      <c r="E278" s="7">
        <f>ABS(0.019444444444444-0.0347222222222231)</f>
        <v>1.5277777777779097E-2</v>
      </c>
      <c r="F278" s="1" t="s">
        <v>10</v>
      </c>
    </row>
    <row r="279" spans="1:6" x14ac:dyDescent="0.25">
      <c r="A279" s="11">
        <v>42036</v>
      </c>
      <c r="B279" s="7">
        <v>0.9194444444444444</v>
      </c>
      <c r="C279" s="7">
        <v>0.95416666666666661</v>
      </c>
      <c r="D279" s="7">
        <f>(0.954166666666667-0.919444444444444)</f>
        <v>3.4722222222223098E-2</v>
      </c>
      <c r="E279" s="7">
        <f>ABS(0.0347222222222231-0.0187499999999999)</f>
        <v>1.5972222222223199E-2</v>
      </c>
      <c r="F279" s="1" t="s">
        <v>10</v>
      </c>
    </row>
    <row r="280" spans="1:6" x14ac:dyDescent="0.25">
      <c r="A280" s="11">
        <v>42036</v>
      </c>
      <c r="B280" s="7">
        <v>0.9555555555555556</v>
      </c>
      <c r="C280" s="7">
        <v>0.97430555555555554</v>
      </c>
      <c r="D280" s="7">
        <f>(0.974305555555556-0.955555555555556)</f>
        <v>1.8749999999999933E-2</v>
      </c>
      <c r="E280" s="7">
        <f>ABS(0.0187499999999999-0.0180555555555555)</f>
        <v>6.9444444444440034E-4</v>
      </c>
      <c r="F280" s="1" t="s">
        <v>10</v>
      </c>
    </row>
    <row r="281" spans="1:6" x14ac:dyDescent="0.25">
      <c r="A281" s="11">
        <v>42036</v>
      </c>
      <c r="B281" s="7">
        <v>7.4305555555555555E-2</v>
      </c>
      <c r="C281" s="7">
        <v>9.2361111111111116E-2</v>
      </c>
      <c r="D281" s="7">
        <f>(0.0923611111111111-0.0743055555555556)</f>
        <v>1.8055555555555505E-2</v>
      </c>
      <c r="E281" s="7">
        <f>ABS(0.0180555555555555-0.025694444444445)</f>
        <v>7.6388888888895001E-3</v>
      </c>
      <c r="F281" s="1" t="s">
        <v>10</v>
      </c>
    </row>
    <row r="282" spans="1:6" x14ac:dyDescent="0.25">
      <c r="A282" s="11">
        <v>42036</v>
      </c>
      <c r="B282" s="7">
        <v>0.21597222222222223</v>
      </c>
      <c r="C282" s="7">
        <v>0.24166666666666667</v>
      </c>
      <c r="D282" s="7">
        <f>(0.241666666666667-0.215972222222222)</f>
        <v>2.5694444444444992E-2</v>
      </c>
      <c r="E282" s="7">
        <f>ABS(0.025694444444445-0.015972222222223)</f>
        <v>9.7222222222219969E-3</v>
      </c>
      <c r="F282" s="1" t="s">
        <v>10</v>
      </c>
    </row>
    <row r="283" spans="1:6" x14ac:dyDescent="0.25">
      <c r="A283" s="11">
        <v>42036</v>
      </c>
      <c r="B283" s="7">
        <v>0.35694444444444445</v>
      </c>
      <c r="C283" s="7">
        <v>0.37291666666666662</v>
      </c>
      <c r="D283" s="7">
        <f>(0.372916666666667-0.356944444444444)</f>
        <v>1.5972222222222998E-2</v>
      </c>
      <c r="E283" s="7">
        <f>ABS(0.015972222222223-0.022222222222222)</f>
        <v>6.2499999999989994E-3</v>
      </c>
      <c r="F283" s="1" t="s">
        <v>10</v>
      </c>
    </row>
    <row r="284" spans="1:6" x14ac:dyDescent="0.25">
      <c r="A284" s="11">
        <v>42036</v>
      </c>
      <c r="B284" s="7">
        <v>0.4236111111111111</v>
      </c>
      <c r="C284" s="7">
        <v>0.4458333333333333</v>
      </c>
      <c r="D284" s="7">
        <f>(0.445833333333333-0.423611111111111)</f>
        <v>2.2222222222222032E-2</v>
      </c>
      <c r="E284" s="7">
        <f>ABS(0.022222222222222-0.017361111111111)</f>
        <v>4.8611111111110002E-3</v>
      </c>
      <c r="F284" s="1" t="s">
        <v>10</v>
      </c>
    </row>
    <row r="285" spans="1:6" x14ac:dyDescent="0.25">
      <c r="A285" s="11">
        <v>42036</v>
      </c>
      <c r="B285" s="7">
        <v>0.47638888888888892</v>
      </c>
      <c r="C285" s="7">
        <v>0.49374999999999997</v>
      </c>
      <c r="D285" s="7">
        <f>(0.49375-0.476388888888889)</f>
        <v>1.7361111111111049E-2</v>
      </c>
      <c r="E285" s="7">
        <f>ABS(0.017361111111111-0.015277777777778)</f>
        <v>2.0833333333330015E-3</v>
      </c>
      <c r="F285" s="1" t="s">
        <v>10</v>
      </c>
    </row>
    <row r="286" spans="1:6" x14ac:dyDescent="0.25">
      <c r="A286" s="11">
        <v>42036</v>
      </c>
      <c r="B286" s="7">
        <v>0.47083333333333338</v>
      </c>
      <c r="C286" s="7">
        <v>0.4861111111111111</v>
      </c>
      <c r="D286" s="7">
        <f>(0.486111111111111-0.470833333333333)</f>
        <v>1.5277777777778001E-2</v>
      </c>
      <c r="E286" s="7">
        <f>ABS(0.015277777777778-0.0201388888888889)</f>
        <v>4.8611111111109013E-3</v>
      </c>
      <c r="F286" s="1" t="s">
        <v>10</v>
      </c>
    </row>
    <row r="287" spans="1:6" x14ac:dyDescent="0.25">
      <c r="A287" s="11">
        <v>42036</v>
      </c>
      <c r="B287" s="7">
        <v>0.54999999999999993</v>
      </c>
      <c r="C287" s="7">
        <v>0.57013888888888886</v>
      </c>
      <c r="D287" s="7">
        <f>(0.570138888888889-0.55)</f>
        <v>2.0138888888888928E-2</v>
      </c>
      <c r="E287" s="7">
        <f>ABS(0.0201388888888889-0.024305555555556)</f>
        <v>4.1666666666670994E-3</v>
      </c>
      <c r="F287" s="1" t="s">
        <v>10</v>
      </c>
    </row>
    <row r="288" spans="1:6" x14ac:dyDescent="0.25">
      <c r="A288" s="11">
        <v>42036</v>
      </c>
      <c r="B288" s="7">
        <v>0.58958333333333335</v>
      </c>
      <c r="C288" s="7">
        <v>0.61388888888888882</v>
      </c>
      <c r="D288" s="7">
        <f>(0.613888888888889-0.589583333333333)</f>
        <v>2.4305555555556024E-2</v>
      </c>
      <c r="E288" s="7">
        <f>ABS(0.024305555555556-0.019444444444444)</f>
        <v>4.8611111111119994E-3</v>
      </c>
      <c r="F288" s="1" t="s">
        <v>10</v>
      </c>
    </row>
    <row r="289" spans="1:6" x14ac:dyDescent="0.25">
      <c r="A289" s="11">
        <v>42036</v>
      </c>
      <c r="B289" s="7">
        <v>0.67152777777777783</v>
      </c>
      <c r="C289" s="7">
        <v>0.69097222222222221</v>
      </c>
      <c r="D289" s="7">
        <f>(0.690972222222222-0.671527777777778)</f>
        <v>1.9444444444444042E-2</v>
      </c>
      <c r="E289" s="7">
        <f>ABS(0.019444444444444-0.01875)</f>
        <v>6.9444444444400136E-4</v>
      </c>
      <c r="F289" s="1" t="s">
        <v>10</v>
      </c>
    </row>
    <row r="290" spans="1:6" x14ac:dyDescent="0.25">
      <c r="A290" s="11">
        <v>42036</v>
      </c>
      <c r="B290" s="7">
        <v>0.94861111111111107</v>
      </c>
      <c r="C290" s="7">
        <v>0.96736111111111101</v>
      </c>
      <c r="D290" s="7">
        <f>(0.967361111111111-0.948611111111111)</f>
        <v>1.8750000000000044E-2</v>
      </c>
      <c r="E290" s="7">
        <f>ABS(0.01875-0.0159722222222229)</f>
        <v>2.7777777777770983E-3</v>
      </c>
      <c r="F290" s="1" t="s">
        <v>10</v>
      </c>
    </row>
    <row r="291" spans="1:6" x14ac:dyDescent="0.25">
      <c r="A291" s="11">
        <v>42036</v>
      </c>
      <c r="B291" s="7">
        <v>0.96180555555555547</v>
      </c>
      <c r="C291" s="7">
        <v>0.97777777777777775</v>
      </c>
      <c r="D291" s="7">
        <f>(0.977777777777778-0.961805555555555)</f>
        <v>1.5972222222222943E-2</v>
      </c>
      <c r="E291" s="7">
        <f>ABS(0.0159722222222229-0.015277777777778)</f>
        <v>6.9444444444490168E-4</v>
      </c>
      <c r="F291" s="1" t="s">
        <v>10</v>
      </c>
    </row>
    <row r="292" spans="1:6" x14ac:dyDescent="0.25">
      <c r="A292" s="11">
        <v>42036</v>
      </c>
      <c r="B292" s="7">
        <v>9.9999999999999992E-2</v>
      </c>
      <c r="C292" s="7">
        <v>0.11527777777777777</v>
      </c>
      <c r="D292" s="7">
        <f>(0.115277777777778-0.1)</f>
        <v>1.5277777777778001E-2</v>
      </c>
      <c r="E292" s="7">
        <f>ABS(0.015277777777778-0.020833333333334)</f>
        <v>5.555555555555999E-3</v>
      </c>
      <c r="F292" s="1" t="s">
        <v>10</v>
      </c>
    </row>
    <row r="293" spans="1:6" x14ac:dyDescent="0.25">
      <c r="A293" s="11">
        <v>42036</v>
      </c>
      <c r="B293" s="7">
        <v>0.41944444444444445</v>
      </c>
      <c r="C293" s="7">
        <v>0.44027777777777777</v>
      </c>
      <c r="D293" s="7">
        <f>(0.440277777777778-0.419444444444444)</f>
        <v>2.0833333333333981E-2</v>
      </c>
      <c r="E293" s="7">
        <f>ABS(0.020833333333334-0.018055555555555)</f>
        <v>2.7777777777789996E-3</v>
      </c>
      <c r="F293" s="1" t="s">
        <v>10</v>
      </c>
    </row>
    <row r="294" spans="1:6" x14ac:dyDescent="0.25">
      <c r="A294" s="11">
        <v>42036</v>
      </c>
      <c r="B294" s="7">
        <v>0.4465277777777778</v>
      </c>
      <c r="C294" s="7">
        <v>0.46458333333333335</v>
      </c>
      <c r="D294" s="7">
        <f>(0.464583333333333-0.446527777777778)</f>
        <v>1.8055555555554992E-2</v>
      </c>
      <c r="E294" s="7">
        <f>ABS(0.018055555555555-0.019444444444445)</f>
        <v>1.3888888888900011E-3</v>
      </c>
      <c r="F294" s="1" t="s">
        <v>10</v>
      </c>
    </row>
    <row r="295" spans="1:6" x14ac:dyDescent="0.25">
      <c r="A295" s="11">
        <v>42036</v>
      </c>
      <c r="B295" s="7">
        <v>0.6069444444444444</v>
      </c>
      <c r="C295" s="7">
        <v>0.62638888888888888</v>
      </c>
      <c r="D295" s="7">
        <f>(0.626388888888889-0.606944444444444)</f>
        <v>1.9444444444445041E-2</v>
      </c>
      <c r="E295" s="7">
        <f>ABS(0.019444444444445-0.0159722222222231)</f>
        <v>3.4722222222219011E-3</v>
      </c>
      <c r="F295" s="1" t="s">
        <v>10</v>
      </c>
    </row>
    <row r="296" spans="1:6" x14ac:dyDescent="0.25">
      <c r="A296" s="11">
        <v>42036</v>
      </c>
      <c r="B296" s="7">
        <v>0.6381944444444444</v>
      </c>
      <c r="C296" s="7">
        <v>0.65416666666666667</v>
      </c>
      <c r="D296" s="7">
        <f>(0.654166666666667-0.638194444444444)</f>
        <v>1.5972222222223054E-2</v>
      </c>
      <c r="E296" s="7">
        <f>ABS(0.0159722222222231-0.026388888888889)</f>
        <v>1.0416666666665901E-2</v>
      </c>
      <c r="F296" s="1" t="s">
        <v>10</v>
      </c>
    </row>
    <row r="297" spans="1:6" x14ac:dyDescent="0.25">
      <c r="A297" s="11">
        <v>42036</v>
      </c>
      <c r="B297" s="7">
        <v>0.69027777777777777</v>
      </c>
      <c r="C297" s="7">
        <v>0.71666666666666667</v>
      </c>
      <c r="D297" s="7">
        <f>(0.716666666666667-0.690277777777778)</f>
        <v>2.6388888888889017E-2</v>
      </c>
      <c r="E297" s="7">
        <f>ABS(0.026388888888889-0.022916666666667)</f>
        <v>3.4722222222219983E-3</v>
      </c>
      <c r="F297" s="1" t="s">
        <v>10</v>
      </c>
    </row>
    <row r="298" spans="1:6" x14ac:dyDescent="0.25">
      <c r="A298" s="11">
        <v>42036</v>
      </c>
      <c r="B298" s="7">
        <v>0.71250000000000002</v>
      </c>
      <c r="C298" s="7">
        <v>0.73541666666666661</v>
      </c>
      <c r="D298" s="7">
        <f>(0.735416666666667-0.7125)</f>
        <v>2.2916666666667029E-2</v>
      </c>
      <c r="E298" s="7">
        <f>ABS(0.022916666666667-0.0166666666666669)</f>
        <v>6.2500000000001027E-3</v>
      </c>
      <c r="F298" s="1" t="s">
        <v>10</v>
      </c>
    </row>
    <row r="299" spans="1:6" x14ac:dyDescent="0.25">
      <c r="A299" s="11">
        <v>42036</v>
      </c>
      <c r="B299" s="7">
        <v>0.74861111111111101</v>
      </c>
      <c r="C299" s="7">
        <v>0.76527777777777783</v>
      </c>
      <c r="D299" s="7">
        <f>(0.765277777777778-0.748611111111111)</f>
        <v>1.6666666666666941E-2</v>
      </c>
      <c r="E299" s="7">
        <f>ABS(0.0166666666666669-0.0138888888888891)</f>
        <v>2.7777777777777991E-3</v>
      </c>
      <c r="F299" s="1" t="s">
        <v>10</v>
      </c>
    </row>
    <row r="300" spans="1:6" x14ac:dyDescent="0.25">
      <c r="A300" s="11">
        <v>42036</v>
      </c>
      <c r="B300" s="7">
        <v>0.88888888888888884</v>
      </c>
      <c r="C300" s="7">
        <v>0.90277777777777779</v>
      </c>
      <c r="D300" s="7">
        <f>(0.902777777777778-0.888888888888889)</f>
        <v>1.3888888888889062E-2</v>
      </c>
      <c r="E300" s="7">
        <f>ABS(0.0138888888888891-0.0159722222222222)</f>
        <v>2.0833333333331004E-3</v>
      </c>
      <c r="F300" s="1" t="s">
        <v>10</v>
      </c>
    </row>
    <row r="301" spans="1:6" x14ac:dyDescent="0.25">
      <c r="A301" s="11">
        <v>42036</v>
      </c>
      <c r="B301" s="7">
        <v>7.3611111111111113E-2</v>
      </c>
      <c r="C301" s="7">
        <v>8.9583333333333334E-2</v>
      </c>
      <c r="D301" s="7">
        <f>(0.0895833333333333-0.0736111111111111)</f>
        <v>1.5972222222222207E-2</v>
      </c>
      <c r="E301" s="7">
        <f>ABS(0.0159722222222222-0.015277777777777)</f>
        <v>6.9444444444520005E-4</v>
      </c>
      <c r="F301" s="1" t="s">
        <v>10</v>
      </c>
    </row>
    <row r="302" spans="1:6" x14ac:dyDescent="0.25">
      <c r="A302" s="11">
        <v>42036</v>
      </c>
      <c r="B302" s="7">
        <v>0.15416666666666667</v>
      </c>
      <c r="C302" s="7">
        <v>0.16944444444444443</v>
      </c>
      <c r="D302" s="7">
        <f>(0.169444444444444-0.154166666666667)</f>
        <v>1.5277777777777002E-2</v>
      </c>
      <c r="E302" s="7">
        <f>ABS(0.015277777777777-0.016666666666666)</f>
        <v>1.3888888888890002E-3</v>
      </c>
      <c r="F302" s="1" t="s">
        <v>10</v>
      </c>
    </row>
    <row r="303" spans="1:6" x14ac:dyDescent="0.25">
      <c r="A303" s="11">
        <v>42036</v>
      </c>
      <c r="B303" s="7">
        <v>0.19027777777777777</v>
      </c>
      <c r="C303" s="7">
        <v>0.20694444444444446</v>
      </c>
      <c r="D303" s="7">
        <f>(0.206944444444444-0.190277777777778)</f>
        <v>1.6666666666665997E-2</v>
      </c>
      <c r="E303" s="7">
        <f>ABS(0.016666666666666-0.026388888888889)</f>
        <v>9.7222222222229995E-3</v>
      </c>
      <c r="F303" s="1" t="s">
        <v>10</v>
      </c>
    </row>
    <row r="304" spans="1:6" x14ac:dyDescent="0.25">
      <c r="A304" s="11">
        <v>42036</v>
      </c>
      <c r="B304" s="7">
        <v>0.39374999999999999</v>
      </c>
      <c r="C304" s="7">
        <v>0.4201388888888889</v>
      </c>
      <c r="D304" s="7">
        <f>(0.420138888888889-0.39375)</f>
        <v>2.6388888888889017E-2</v>
      </c>
      <c r="E304" s="7">
        <f>ABS(0.026388888888889-0.026388888888889)</f>
        <v>0</v>
      </c>
      <c r="F304" s="1" t="s">
        <v>10</v>
      </c>
    </row>
    <row r="305" spans="1:6" x14ac:dyDescent="0.25">
      <c r="A305" s="11">
        <v>42036</v>
      </c>
      <c r="B305" s="7">
        <v>0.39583333333333331</v>
      </c>
      <c r="C305" s="7">
        <v>0.42222222222222222</v>
      </c>
      <c r="D305" s="7">
        <f>(0.422222222222222-0.395833333333333)</f>
        <v>2.6388888888889017E-2</v>
      </c>
      <c r="E305" s="7">
        <f>ABS(0.026388888888889-0.015972222222222)</f>
        <v>1.0416666666667001E-2</v>
      </c>
      <c r="F305" s="1" t="s">
        <v>10</v>
      </c>
    </row>
    <row r="306" spans="1:6" x14ac:dyDescent="0.25">
      <c r="A306" s="11">
        <v>42036</v>
      </c>
      <c r="B306" s="7">
        <v>0.47291666666666665</v>
      </c>
      <c r="C306" s="7">
        <v>0.48888888888888887</v>
      </c>
      <c r="D306" s="7">
        <f>(0.488888888888889-0.472916666666667)</f>
        <v>1.5972222222221999E-2</v>
      </c>
      <c r="E306" s="7">
        <f>ABS(0.015972222222222-0.013194444444445)</f>
        <v>2.7777777777769994E-3</v>
      </c>
      <c r="F306" s="1" t="s">
        <v>10</v>
      </c>
    </row>
    <row r="307" spans="1:6" x14ac:dyDescent="0.25">
      <c r="A307" s="11">
        <v>42036</v>
      </c>
      <c r="B307" s="7">
        <v>0.46736111111111112</v>
      </c>
      <c r="C307" s="7">
        <v>0.48055555555555557</v>
      </c>
      <c r="D307" s="7">
        <f>(0.480555555555556-0.467361111111111)</f>
        <v>1.3194444444445008E-2</v>
      </c>
      <c r="E307" s="7">
        <f>ABS(0.013194444444445-0.021527777777778)</f>
        <v>8.3333333333330002E-3</v>
      </c>
      <c r="F307" s="1" t="s">
        <v>10</v>
      </c>
    </row>
    <row r="308" spans="1:6" x14ac:dyDescent="0.25">
      <c r="A308" s="11">
        <v>42036</v>
      </c>
      <c r="B308" s="7">
        <v>0.59722222222222221</v>
      </c>
      <c r="C308" s="7">
        <v>0.61875000000000002</v>
      </c>
      <c r="D308" s="7">
        <f>(0.61875-0.597222222222222)</f>
        <v>2.1527777777778034E-2</v>
      </c>
      <c r="E308" s="7">
        <f>ABS(0.021527777777778-0.0215277777777779)</f>
        <v>1.0061396160665481E-16</v>
      </c>
      <c r="F308" s="1" t="s">
        <v>10</v>
      </c>
    </row>
    <row r="309" spans="1:6" x14ac:dyDescent="0.25">
      <c r="A309" s="11">
        <v>42036</v>
      </c>
      <c r="B309" s="7">
        <v>0.79791666666666661</v>
      </c>
      <c r="C309" s="7">
        <v>0.81944444444444453</v>
      </c>
      <c r="D309" s="7">
        <f>(0.819444444444445-0.797916666666667)</f>
        <v>2.1527777777777923E-2</v>
      </c>
      <c r="E309" s="7">
        <f>ABS(0.0215277777777779-0.00555555555555498)</f>
        <v>1.5972222222222918E-2</v>
      </c>
      <c r="F309" s="1" t="s">
        <v>10</v>
      </c>
    </row>
    <row r="310" spans="1:6" x14ac:dyDescent="0.25">
      <c r="A310" s="11">
        <v>42036</v>
      </c>
      <c r="B310" s="7">
        <v>0.96388888888888891</v>
      </c>
      <c r="C310" s="7">
        <v>0.96944444444444444</v>
      </c>
      <c r="D310" s="7">
        <f>(0.969444444444444-0.963888888888889)</f>
        <v>5.5555555555549807E-3</v>
      </c>
      <c r="E310" s="7">
        <f>ABS(0.00555555555555498-0.0555555555555555)</f>
        <v>5.0000000000000516E-2</v>
      </c>
      <c r="F310" s="1" t="s">
        <v>10</v>
      </c>
    </row>
    <row r="311" spans="1:6" x14ac:dyDescent="0.25">
      <c r="A311" s="11">
        <v>42036</v>
      </c>
      <c r="B311" s="7">
        <v>2.7777777777777776E-2</v>
      </c>
      <c r="C311" s="7">
        <v>8.3333333333333329E-2</v>
      </c>
      <c r="D311" s="7">
        <f>(0.0833333333333333-0.0277777777777778)</f>
        <v>5.5555555555555497E-2</v>
      </c>
      <c r="E311" s="7">
        <f>ABS(0.0555555555555555-0.01875)</f>
        <v>3.6805555555555494E-2</v>
      </c>
      <c r="F311" s="1" t="s">
        <v>10</v>
      </c>
    </row>
    <row r="312" spans="1:6" x14ac:dyDescent="0.25">
      <c r="A312" s="11">
        <v>42036</v>
      </c>
      <c r="B312" s="7">
        <v>0.15555555555555556</v>
      </c>
      <c r="C312" s="7">
        <v>0.17430555555555557</v>
      </c>
      <c r="D312" s="7">
        <f>(0.174305555555556-0.155555555555556)</f>
        <v>1.8749999999999989E-2</v>
      </c>
      <c r="E312" s="7">
        <f>ABS(0.01875-0.018055555555555)</f>
        <v>6.9444444444500056E-4</v>
      </c>
      <c r="F312" s="1" t="s">
        <v>10</v>
      </c>
    </row>
    <row r="313" spans="1:6" x14ac:dyDescent="0.25">
      <c r="A313" s="11">
        <v>42036</v>
      </c>
      <c r="B313" s="7">
        <v>0.47013888888888888</v>
      </c>
      <c r="C313" s="7">
        <v>0.48819444444444443</v>
      </c>
      <c r="D313" s="7">
        <f>(0.488194444444444-0.470138888888889)</f>
        <v>1.8055555555554992E-2</v>
      </c>
      <c r="E313" s="7">
        <f>ABS(0.018055555555555-0.00763888888888897)</f>
        <v>1.0416666666666029E-2</v>
      </c>
      <c r="F313" s="1" t="s">
        <v>10</v>
      </c>
    </row>
    <row r="314" spans="1:6" x14ac:dyDescent="0.25">
      <c r="A314" s="11">
        <v>42036</v>
      </c>
      <c r="B314" s="7">
        <v>0.52777777777777779</v>
      </c>
      <c r="C314" s="7">
        <v>0.53541666666666665</v>
      </c>
      <c r="D314" s="7">
        <f>(0.535416666666667-0.527777777777778)</f>
        <v>7.6388888888889728E-3</v>
      </c>
      <c r="E314" s="7">
        <f>ABS(0.00763888888888897-0.0173611111111109)</f>
        <v>9.7222222222219309E-3</v>
      </c>
      <c r="F314" s="1" t="s">
        <v>10</v>
      </c>
    </row>
    <row r="315" spans="1:6" x14ac:dyDescent="0.25">
      <c r="A315" s="11">
        <v>42036</v>
      </c>
      <c r="B315" s="7">
        <v>0.89513888888888893</v>
      </c>
      <c r="C315" s="7">
        <v>0.91249999999999998</v>
      </c>
      <c r="D315" s="7">
        <f>(0.9125-0.895138888888889)</f>
        <v>1.7361111111110938E-2</v>
      </c>
      <c r="E315" s="7">
        <f>ABS(0.0173611111111109-0.0145833333333331)</f>
        <v>2.7777777777778009E-3</v>
      </c>
      <c r="F315" s="1" t="s">
        <v>10</v>
      </c>
    </row>
    <row r="316" spans="1:6" x14ac:dyDescent="0.25">
      <c r="A316" s="11">
        <v>42036</v>
      </c>
      <c r="B316" s="7">
        <v>0.97499999999999998</v>
      </c>
      <c r="C316" s="7">
        <v>0.98958333333333337</v>
      </c>
      <c r="D316" s="7">
        <f>(0.989583333333333-0.975)</f>
        <v>1.4583333333333059E-2</v>
      </c>
      <c r="E316" s="7">
        <f>ABS(0.0145833333333331-0.013194444444445)</f>
        <v>1.3888888888880999E-3</v>
      </c>
      <c r="F316" s="1" t="s">
        <v>10</v>
      </c>
    </row>
    <row r="317" spans="1:6" x14ac:dyDescent="0.25">
      <c r="A317" s="11">
        <v>42036</v>
      </c>
      <c r="B317" s="7">
        <v>0.10486111111111111</v>
      </c>
      <c r="C317" s="7">
        <v>0.11805555555555557</v>
      </c>
      <c r="D317" s="7">
        <f>(0.118055555555556-0.104861111111111)</f>
        <v>1.3194444444444994E-2</v>
      </c>
      <c r="E317" s="7">
        <f>ABS(0.013194444444445-0.020138888888889)</f>
        <v>6.9444444444440017E-3</v>
      </c>
      <c r="F317" s="1" t="s">
        <v>10</v>
      </c>
    </row>
    <row r="318" spans="1:6" x14ac:dyDescent="0.25">
      <c r="A318" s="11">
        <v>42036</v>
      </c>
      <c r="B318" s="7">
        <v>0.4291666666666667</v>
      </c>
      <c r="C318" s="7">
        <v>0.44930555555555557</v>
      </c>
      <c r="D318" s="7">
        <f>(0.449305555555556-0.429166666666667)</f>
        <v>2.0138888888889039E-2</v>
      </c>
      <c r="E318" s="7">
        <f>ABS(0.020138888888889-0.0159722222222219)</f>
        <v>4.1666666666671029E-3</v>
      </c>
      <c r="F318" s="1" t="s">
        <v>10</v>
      </c>
    </row>
    <row r="319" spans="1:6" x14ac:dyDescent="0.25">
      <c r="A319" s="11">
        <v>42036</v>
      </c>
      <c r="B319" s="7">
        <v>0.55902777777777779</v>
      </c>
      <c r="C319" s="7">
        <v>0.57500000000000007</v>
      </c>
      <c r="D319" s="7">
        <f>(0.575-0.559027777777778)</f>
        <v>1.5972222222221943E-2</v>
      </c>
      <c r="E319" s="7">
        <f>ABS(0.0159722222222219-0.013888888888889)</f>
        <v>2.0833333333328992E-3</v>
      </c>
      <c r="F319" s="1" t="s">
        <v>10</v>
      </c>
    </row>
    <row r="320" spans="1:6" x14ac:dyDescent="0.25">
      <c r="A320" s="11">
        <v>42036</v>
      </c>
      <c r="B320" s="7">
        <v>0.68888888888888899</v>
      </c>
      <c r="C320" s="7">
        <v>0.70277777777777783</v>
      </c>
      <c r="D320" s="7">
        <f>(0.702777777777778-0.688888888888889)</f>
        <v>1.3888888888888951E-2</v>
      </c>
      <c r="E320" s="7">
        <f>ABS(0.013888888888889-0.011805555555558)</f>
        <v>2.0833333333309997E-3</v>
      </c>
      <c r="F320" s="1" t="s">
        <v>10</v>
      </c>
    </row>
    <row r="321" spans="1:6" x14ac:dyDescent="0.25">
      <c r="A321" s="11">
        <v>42036</v>
      </c>
      <c r="B321" s="7">
        <v>0.99097222222222225</v>
      </c>
      <c r="C321" s="7">
        <v>1.0027777777777778</v>
      </c>
      <c r="D321" s="7">
        <f>(1.00277777777778-0.990972222222222)</f>
        <v>1.1805555555557956E-2</v>
      </c>
      <c r="E321" s="7">
        <f>ABS(0.011805555555558-0.029166666666671)</f>
        <v>1.7361111111112999E-2</v>
      </c>
      <c r="F321" s="1" t="s">
        <v>10</v>
      </c>
    </row>
    <row r="322" spans="1:6" x14ac:dyDescent="0.25">
      <c r="A322" s="11">
        <v>42036</v>
      </c>
      <c r="B322" s="7">
        <v>0.99513888888888891</v>
      </c>
      <c r="C322" s="7">
        <v>1.0243055555555556</v>
      </c>
      <c r="D322" s="7">
        <f>(1.02430555555556-0.995138888888889)</f>
        <v>2.9166666666671004E-2</v>
      </c>
      <c r="E322" s="7">
        <f>ABS(0.029166666666671-0.01875)</f>
        <v>1.0416666666671001E-2</v>
      </c>
      <c r="F322" s="1" t="s">
        <v>10</v>
      </c>
    </row>
    <row r="323" spans="1:6" x14ac:dyDescent="0.25">
      <c r="A323" s="11">
        <v>42036</v>
      </c>
      <c r="B323" s="7">
        <v>0.40763888888888888</v>
      </c>
      <c r="C323" s="7">
        <v>0.42638888888888887</v>
      </c>
      <c r="D323" s="7">
        <f>(0.426388888888889-0.407638888888889)</f>
        <v>1.8749999999999989E-2</v>
      </c>
      <c r="E323" s="7">
        <f>ABS(0.01875-0.0173611111111109)</f>
        <v>1.3888888888890991E-3</v>
      </c>
      <c r="F323" s="1" t="s">
        <v>10</v>
      </c>
    </row>
    <row r="324" spans="1:6" x14ac:dyDescent="0.25">
      <c r="A324" s="11">
        <v>42036</v>
      </c>
      <c r="B324" s="7">
        <v>0.52500000000000002</v>
      </c>
      <c r="C324" s="7">
        <v>0.54236111111111118</v>
      </c>
      <c r="D324" s="7">
        <f>(0.542361111111111-0.525)</f>
        <v>1.7361111111110938E-2</v>
      </c>
      <c r="E324" s="7">
        <f>ABS(0.0173611111111109-0.028472222222222)</f>
        <v>1.1111111111111099E-2</v>
      </c>
      <c r="F324" s="1" t="s">
        <v>10</v>
      </c>
    </row>
    <row r="325" spans="1:6" x14ac:dyDescent="0.25">
      <c r="A325" s="11">
        <v>42036</v>
      </c>
      <c r="B325" s="7">
        <v>0.56527777777777777</v>
      </c>
      <c r="C325" s="7">
        <v>0.59375</v>
      </c>
      <c r="D325" s="7">
        <f>(0.59375-0.565277777777778)</f>
        <v>2.847222222222201E-2</v>
      </c>
      <c r="E325" s="7">
        <f>ABS(0.028472222222222-0.00972222222222208)</f>
        <v>1.874999999999992E-2</v>
      </c>
      <c r="F325" s="1" t="s">
        <v>10</v>
      </c>
    </row>
    <row r="326" spans="1:6" x14ac:dyDescent="0.25">
      <c r="A326" s="11">
        <v>42036</v>
      </c>
      <c r="B326" s="7">
        <v>0.60902777777777783</v>
      </c>
      <c r="C326" s="7">
        <v>0.61875000000000002</v>
      </c>
      <c r="D326" s="7">
        <f>(0.61875-0.609027777777778)</f>
        <v>9.7222222222220767E-3</v>
      </c>
      <c r="E326" s="7">
        <f>ABS(0.00972222222222208-0.019444444444444)</f>
        <v>9.7222222222219205E-3</v>
      </c>
      <c r="F326" s="1" t="s">
        <v>10</v>
      </c>
    </row>
    <row r="327" spans="1:6" x14ac:dyDescent="0.25">
      <c r="A327" s="11">
        <v>42036</v>
      </c>
      <c r="B327" s="7">
        <v>0.62916666666666665</v>
      </c>
      <c r="C327" s="7">
        <v>0.64861111111111114</v>
      </c>
      <c r="D327" s="7">
        <f>(0.648611111111111-0.629166666666667)</f>
        <v>1.9444444444444042E-2</v>
      </c>
      <c r="E327" s="7">
        <f>ABS(0.019444444444444-0.018055555555556)</f>
        <v>1.3888888888879992E-3</v>
      </c>
      <c r="F327" s="5" t="s">
        <v>10</v>
      </c>
    </row>
    <row r="328" spans="1:6" x14ac:dyDescent="0.25">
      <c r="A328" s="11">
        <v>42036</v>
      </c>
      <c r="B328" s="7">
        <v>0.6958333333333333</v>
      </c>
      <c r="C328" s="7">
        <v>0.71388888888888891</v>
      </c>
      <c r="D328" s="7">
        <f>(0.713888888888889-0.695833333333333)</f>
        <v>1.8055555555556047E-2</v>
      </c>
      <c r="E328" s="7">
        <f>ABS(0.018055555555556-0.0187499999999999)</f>
        <v>6.9444444444389727E-4</v>
      </c>
      <c r="F328" s="1" t="s">
        <v>10</v>
      </c>
    </row>
    <row r="329" spans="1:6" x14ac:dyDescent="0.25">
      <c r="A329" s="11">
        <v>42036</v>
      </c>
      <c r="B329" s="7">
        <v>0.74513888888888891</v>
      </c>
      <c r="C329" s="7">
        <v>0.76388888888888884</v>
      </c>
      <c r="D329" s="7">
        <f>(0.763888888888889-0.745138888888889)</f>
        <v>1.8749999999999933E-2</v>
      </c>
      <c r="E329" s="7">
        <f>ABS(0.0187499999999999-0.027777777777778)</f>
        <v>9.0277777777780996E-3</v>
      </c>
      <c r="F329" s="1" t="s">
        <v>10</v>
      </c>
    </row>
    <row r="330" spans="1:6" x14ac:dyDescent="0.25">
      <c r="A330" s="11">
        <v>42036</v>
      </c>
      <c r="B330" s="7">
        <v>0.79513888888888884</v>
      </c>
      <c r="C330" s="7">
        <v>0.82291666666666663</v>
      </c>
      <c r="D330" s="7">
        <f>(0.822916666666667-0.795138888888889)</f>
        <v>2.7777777777778012E-2</v>
      </c>
      <c r="E330" s="7">
        <f>ABS(0.027777777777778-0.0159722222222229)</f>
        <v>1.1805555555555097E-2</v>
      </c>
      <c r="F330" s="1" t="s">
        <v>10</v>
      </c>
    </row>
    <row r="331" spans="1:6" x14ac:dyDescent="0.25">
      <c r="A331" s="11">
        <v>42036</v>
      </c>
      <c r="B331" s="7">
        <v>0.83333333333333337</v>
      </c>
      <c r="C331" s="7">
        <v>0.84930555555555554</v>
      </c>
      <c r="D331" s="7">
        <f>(0.849305555555556-0.833333333333333)</f>
        <v>1.5972222222222943E-2</v>
      </c>
      <c r="E331" s="7">
        <f>ABS(0.0159722222222229-0.01875)</f>
        <v>2.7777777777770983E-3</v>
      </c>
      <c r="F331" s="1" t="s">
        <v>10</v>
      </c>
    </row>
    <row r="332" spans="1:6" x14ac:dyDescent="0.25">
      <c r="A332" s="11">
        <v>42036</v>
      </c>
      <c r="B332" s="7">
        <v>0.43194444444444446</v>
      </c>
      <c r="C332" s="7">
        <v>0.45069444444444445</v>
      </c>
      <c r="D332" s="7">
        <f>(0.450694444444444-0.431944444444444)</f>
        <v>1.8749999999999989E-2</v>
      </c>
      <c r="E332" s="7">
        <f>ABS(0.01875-0.00555555555555498)</f>
        <v>1.3194444444445019E-2</v>
      </c>
      <c r="F332" s="1" t="s">
        <v>10</v>
      </c>
    </row>
    <row r="333" spans="1:6" x14ac:dyDescent="0.25">
      <c r="A333" s="11">
        <v>42036</v>
      </c>
      <c r="B333" s="7">
        <v>0.48055555555555557</v>
      </c>
      <c r="C333" s="7">
        <v>0.4861111111111111</v>
      </c>
      <c r="D333" s="7">
        <f>(0.486111111111111-0.480555555555556)</f>
        <v>5.5555555555549807E-3</v>
      </c>
      <c r="E333" s="7">
        <f>ABS(0.00555555555555498-0.027083333333334)</f>
        <v>2.152777777777902E-2</v>
      </c>
      <c r="F333" s="1" t="s">
        <v>10</v>
      </c>
    </row>
    <row r="334" spans="1:6" x14ac:dyDescent="0.25">
      <c r="A334" s="11">
        <v>42036</v>
      </c>
      <c r="B334" s="7">
        <v>0.50069444444444444</v>
      </c>
      <c r="C334" s="7">
        <v>0.52777777777777779</v>
      </c>
      <c r="D334" s="7">
        <f>(0.527777777777778-0.500694444444444)</f>
        <v>2.7083333333334014E-2</v>
      </c>
      <c r="E334" s="7">
        <f>ABS(0.027083333333334-0.019444444444445)</f>
        <v>7.6388888888890005E-3</v>
      </c>
      <c r="F334" s="1" t="s">
        <v>10</v>
      </c>
    </row>
    <row r="335" spans="1:6" x14ac:dyDescent="0.25">
      <c r="A335" s="11">
        <v>42036</v>
      </c>
      <c r="B335" s="7">
        <v>0.50694444444444442</v>
      </c>
      <c r="C335" s="7">
        <v>0.52638888888888891</v>
      </c>
      <c r="D335" s="7">
        <f>(0.526388888888889-0.506944444444444)</f>
        <v>1.9444444444445041E-2</v>
      </c>
      <c r="E335" s="7">
        <f>ABS(0.019444444444445-0.020833333333334)</f>
        <v>1.3888888888889984E-3</v>
      </c>
      <c r="F335" s="1" t="s">
        <v>10</v>
      </c>
    </row>
    <row r="336" spans="1:6" x14ac:dyDescent="0.25">
      <c r="A336" s="11">
        <v>42036</v>
      </c>
      <c r="B336" s="7">
        <v>0.68819444444444444</v>
      </c>
      <c r="C336" s="7">
        <v>0.7090277777777777</v>
      </c>
      <c r="D336" s="7">
        <f>(0.709027777777778-0.688194444444444)</f>
        <v>2.0833333333334036E-2</v>
      </c>
      <c r="E336" s="7">
        <f>ABS(0.020833333333334-0.018055555555556)</f>
        <v>2.7777777777779969E-3</v>
      </c>
      <c r="F336" s="1" t="s">
        <v>10</v>
      </c>
    </row>
    <row r="337" spans="1:6" x14ac:dyDescent="0.25">
      <c r="A337" s="11">
        <v>42036</v>
      </c>
      <c r="B337" s="7">
        <v>0.9770833333333333</v>
      </c>
      <c r="C337" s="7">
        <v>0.99513888888888891</v>
      </c>
      <c r="D337" s="7">
        <f>(0.995138888888889-0.977083333333333)</f>
        <v>1.8055555555556047E-2</v>
      </c>
      <c r="E337" s="7">
        <f>ABS(0.018055555555556-0.015972222222222)</f>
        <v>2.0833333333340025E-3</v>
      </c>
      <c r="F337" s="1" t="s">
        <v>10</v>
      </c>
    </row>
    <row r="338" spans="1:6" x14ac:dyDescent="0.25">
      <c r="A338" s="11">
        <v>42036</v>
      </c>
      <c r="B338" s="7">
        <v>0.29305555555555557</v>
      </c>
      <c r="C338" s="7">
        <v>0.30902777777777779</v>
      </c>
      <c r="D338" s="7">
        <f>(0.309027777777778-0.293055555555556)</f>
        <v>1.5972222222221999E-2</v>
      </c>
      <c r="E338" s="7">
        <f>ABS(0.015972222222222-0.01875)</f>
        <v>2.7777777777780004E-3</v>
      </c>
      <c r="F338" s="1" t="s">
        <v>10</v>
      </c>
    </row>
    <row r="339" spans="1:6" x14ac:dyDescent="0.25">
      <c r="A339" s="11">
        <v>42036</v>
      </c>
      <c r="B339" s="7">
        <v>0.36805555555555558</v>
      </c>
      <c r="C339" s="7">
        <v>0.38680555555555557</v>
      </c>
      <c r="D339" s="7">
        <f>(0.386805555555556-0.368055555555556)</f>
        <v>1.8749999999999989E-2</v>
      </c>
      <c r="E339" s="7">
        <f>ABS(0.01875-0.064583333333334)</f>
        <v>4.5833333333334003E-2</v>
      </c>
      <c r="F339" s="1" t="s">
        <v>10</v>
      </c>
    </row>
    <row r="340" spans="1:6" x14ac:dyDescent="0.25">
      <c r="A340" s="11">
        <v>42036</v>
      </c>
      <c r="B340" s="7">
        <v>0.47222222222222227</v>
      </c>
      <c r="C340" s="7">
        <v>0.53680555555555554</v>
      </c>
      <c r="D340" s="7">
        <f>(0.536805555555556-0.472222222222222)</f>
        <v>6.4583333333333992E-2</v>
      </c>
      <c r="E340" s="7">
        <f>ABS(0.064583333333334-0.0222222222222219)</f>
        <v>4.2361111111112106E-2</v>
      </c>
      <c r="F340" s="1" t="s">
        <v>10</v>
      </c>
    </row>
    <row r="341" spans="1:6" x14ac:dyDescent="0.25">
      <c r="A341" s="11">
        <v>42036</v>
      </c>
      <c r="B341" s="7">
        <v>0.51736111111111105</v>
      </c>
      <c r="C341" s="7">
        <v>0.5395833333333333</v>
      </c>
      <c r="D341" s="7">
        <f>(0.539583333333333-0.517361111111111)</f>
        <v>2.2222222222221921E-2</v>
      </c>
      <c r="E341" s="7">
        <f>ABS(0.0222222222222219-0.0180555555555559)</f>
        <v>4.1666666666659996E-3</v>
      </c>
      <c r="F341" s="1" t="s">
        <v>10</v>
      </c>
    </row>
    <row r="342" spans="1:6" x14ac:dyDescent="0.25">
      <c r="A342" s="11">
        <v>42036</v>
      </c>
      <c r="B342" s="7">
        <v>0.57847222222222217</v>
      </c>
      <c r="C342" s="7">
        <v>0.59652777777777777</v>
      </c>
      <c r="D342" s="7">
        <f>(0.596527777777778-0.578472222222222)</f>
        <v>1.8055555555555935E-2</v>
      </c>
      <c r="E342" s="7">
        <f>ABS(0.0180555555555559-0.020833333333333)</f>
        <v>2.7777777777770983E-3</v>
      </c>
      <c r="F342" s="1" t="s">
        <v>10</v>
      </c>
    </row>
    <row r="343" spans="1:6" x14ac:dyDescent="0.25">
      <c r="A343" s="11">
        <v>42036</v>
      </c>
      <c r="B343" s="7">
        <v>0.62777777777777777</v>
      </c>
      <c r="C343" s="7">
        <v>0.64861111111111114</v>
      </c>
      <c r="D343" s="7">
        <f>(0.648611111111111-0.627777777777778)</f>
        <v>2.0833333333333037E-2</v>
      </c>
      <c r="E343" s="7">
        <f>ABS(0.020833333333333-0.0187499999999999)</f>
        <v>2.0833333333331004E-3</v>
      </c>
      <c r="F343" s="1" t="s">
        <v>10</v>
      </c>
    </row>
    <row r="344" spans="1:6" x14ac:dyDescent="0.25">
      <c r="A344" s="11">
        <v>42036</v>
      </c>
      <c r="B344" s="7">
        <v>0.64930555555555558</v>
      </c>
      <c r="C344" s="7">
        <v>0.66805555555555562</v>
      </c>
      <c r="D344" s="7">
        <f>(0.668055555555556-0.649305555555556)</f>
        <v>1.8749999999999933E-2</v>
      </c>
      <c r="E344" s="7">
        <f>ABS(0.0187499999999999-0.01875)</f>
        <v>1.0061396160665481E-16</v>
      </c>
      <c r="F344" s="1" t="s">
        <v>10</v>
      </c>
    </row>
    <row r="345" spans="1:6" x14ac:dyDescent="0.25">
      <c r="A345" s="11">
        <v>42036</v>
      </c>
      <c r="B345" s="7">
        <v>0.11041666666666666</v>
      </c>
      <c r="C345" s="7">
        <v>0.12916666666666668</v>
      </c>
      <c r="D345" s="7">
        <f>(0.129166666666667-0.110416666666667)</f>
        <v>1.8750000000000017E-2</v>
      </c>
      <c r="E345" s="7">
        <f>ABS(0.01875-0.0159722222222219)</f>
        <v>2.777777777778101E-3</v>
      </c>
      <c r="F345" s="1" t="s">
        <v>10</v>
      </c>
    </row>
    <row r="346" spans="1:6" x14ac:dyDescent="0.25">
      <c r="A346" s="11">
        <v>42036</v>
      </c>
      <c r="B346" s="7">
        <v>0.4993055555555555</v>
      </c>
      <c r="C346" s="7">
        <v>0.51527777777777783</v>
      </c>
      <c r="D346" s="7">
        <f>(0.515277777777778-0.499305555555556)</f>
        <v>1.5972222222221943E-2</v>
      </c>
      <c r="E346" s="7">
        <f>ABS(0.0159722222222219-0.0097222222222223)</f>
        <v>6.2499999999995979E-3</v>
      </c>
      <c r="F346" s="1" t="s">
        <v>10</v>
      </c>
    </row>
    <row r="347" spans="1:6" x14ac:dyDescent="0.25">
      <c r="A347" s="11">
        <v>42036</v>
      </c>
      <c r="B347" s="7">
        <v>8.3333333333333329E-2</v>
      </c>
      <c r="C347" s="7">
        <v>9.3055555555555558E-2</v>
      </c>
      <c r="D347" s="7">
        <f>(0.0930555555555556-0.0833333333333333)</f>
        <v>9.7222222222222987E-3</v>
      </c>
      <c r="E347" s="7">
        <f>ABS(0.0097222222222223-0.013888888888888)</f>
        <v>4.1666666666656995E-3</v>
      </c>
      <c r="F347" s="1" t="s">
        <v>10</v>
      </c>
    </row>
    <row r="348" spans="1:6" x14ac:dyDescent="0.25">
      <c r="A348" s="11">
        <v>42036</v>
      </c>
      <c r="B348" s="7">
        <v>0.19930555555555554</v>
      </c>
      <c r="C348" s="7">
        <v>0.21319444444444444</v>
      </c>
      <c r="D348" s="7">
        <f>(0.213194444444444-0.199305555555556)</f>
        <v>1.3888888888887979E-2</v>
      </c>
      <c r="E348" s="7">
        <f>ABS(0.013888888888888-0.020138888888889)</f>
        <v>6.2500000000010013E-3</v>
      </c>
      <c r="F348" s="1" t="s">
        <v>10</v>
      </c>
    </row>
    <row r="349" spans="1:6" x14ac:dyDescent="0.25">
      <c r="A349" s="11">
        <v>42036</v>
      </c>
      <c r="B349" s="7">
        <v>0.36388888888888887</v>
      </c>
      <c r="C349" s="7">
        <v>0.3840277777777778</v>
      </c>
      <c r="D349" s="7">
        <f>(0.384027777777778-0.363888888888889)</f>
        <v>2.0138888888889039E-2</v>
      </c>
      <c r="E349" s="7">
        <f>ABS(0.020138888888889-0.0166666666666671)</f>
        <v>3.4722222222219011E-3</v>
      </c>
      <c r="F349" s="1" t="s">
        <v>10</v>
      </c>
    </row>
    <row r="350" spans="1:6" x14ac:dyDescent="0.25">
      <c r="A350" s="11">
        <v>42036</v>
      </c>
      <c r="B350" s="7">
        <v>0.53125</v>
      </c>
      <c r="C350" s="7">
        <v>0.54791666666666672</v>
      </c>
      <c r="D350" s="7">
        <f>(0.547916666666667-0.53125)</f>
        <v>1.6666666666667052E-2</v>
      </c>
      <c r="E350" s="7">
        <f>ABS(0.0166666666666671-0.0243055555555549)</f>
        <v>7.6388888888878001E-3</v>
      </c>
      <c r="F350" s="1" t="s">
        <v>10</v>
      </c>
    </row>
    <row r="351" spans="1:6" x14ac:dyDescent="0.25">
      <c r="A351" s="11">
        <v>42036</v>
      </c>
      <c r="B351" s="7">
        <v>0.5180555555555556</v>
      </c>
      <c r="C351" s="7">
        <v>0.54236111111111118</v>
      </c>
      <c r="D351" s="7">
        <f>(0.542361111111111-0.518055555555556)</f>
        <v>2.4305555555554914E-2</v>
      </c>
      <c r="E351" s="7">
        <f>ABS(0.0243055555555549-0.019444444444444)</f>
        <v>4.8611111111108996E-3</v>
      </c>
      <c r="F351" s="1" t="s">
        <v>10</v>
      </c>
    </row>
    <row r="352" spans="1:6" x14ac:dyDescent="0.25">
      <c r="A352" s="11">
        <v>42036</v>
      </c>
      <c r="B352" s="7">
        <v>0.75277777777777777</v>
      </c>
      <c r="C352" s="7">
        <v>0.77222222222222225</v>
      </c>
      <c r="D352" s="7">
        <f>(0.772222222222222-0.752777777777778)</f>
        <v>1.9444444444444042E-2</v>
      </c>
      <c r="E352" s="7">
        <f>ABS(0.019444444444444-0.00833333333333397)</f>
        <v>1.1111111111110031E-2</v>
      </c>
      <c r="F352" s="1" t="s">
        <v>10</v>
      </c>
    </row>
    <row r="353" spans="1:6" x14ac:dyDescent="0.25">
      <c r="A353" s="11">
        <v>42036</v>
      </c>
      <c r="B353" s="7">
        <v>0.80069444444444438</v>
      </c>
      <c r="C353" s="7">
        <v>0.80902777777777779</v>
      </c>
      <c r="D353" s="7">
        <f>(0.809027777777778-0.800694444444444)</f>
        <v>8.3333333333339699E-3</v>
      </c>
      <c r="E353" s="7">
        <f>ABS(0.00833333333333397-0.00763888888888897)</f>
        <v>6.9444444444499969E-4</v>
      </c>
      <c r="F353" s="1" t="s">
        <v>10</v>
      </c>
    </row>
    <row r="354" spans="1:6" x14ac:dyDescent="0.25">
      <c r="A354" s="11">
        <v>42036</v>
      </c>
      <c r="B354" s="7">
        <v>0.83124999999999993</v>
      </c>
      <c r="C354" s="7">
        <v>0.83888888888888891</v>
      </c>
      <c r="D354" s="7">
        <f>(0.838888888888889-0.83125)</f>
        <v>7.6388888888889728E-3</v>
      </c>
      <c r="E354" s="7">
        <f>ABS(0.00763888888888897-0.0145833333333329)</f>
        <v>6.9444444444439297E-3</v>
      </c>
      <c r="F354" s="1" t="s">
        <v>10</v>
      </c>
    </row>
    <row r="355" spans="1:6" x14ac:dyDescent="0.25">
      <c r="A355" s="11">
        <v>42036</v>
      </c>
      <c r="B355" s="7">
        <v>0.93680555555555556</v>
      </c>
      <c r="C355" s="7">
        <v>0.95138888888888884</v>
      </c>
      <c r="D355" s="7">
        <f>(0.951388888888889-0.936805555555556)</f>
        <v>1.4583333333332948E-2</v>
      </c>
      <c r="E355" s="7">
        <f>ABS(0.0145833333333329-0.0145833333333331)</f>
        <v>1.9949319973733282E-16</v>
      </c>
      <c r="F355" s="1" t="s">
        <v>10</v>
      </c>
    </row>
    <row r="356" spans="1:6" x14ac:dyDescent="0.25">
      <c r="A356" s="11">
        <v>42036</v>
      </c>
      <c r="B356" s="7">
        <v>0.94305555555555554</v>
      </c>
      <c r="C356" s="7">
        <v>0.95763888888888893</v>
      </c>
      <c r="D356" s="7">
        <f>(0.957638888888889-0.943055555555556)</f>
        <v>1.4583333333333059E-2</v>
      </c>
      <c r="E356" s="7">
        <f>ABS(0.0145833333333331-0.00833333333333297)</f>
        <v>6.2500000000001287E-3</v>
      </c>
      <c r="F356" s="1" t="s">
        <v>10</v>
      </c>
    </row>
    <row r="357" spans="1:6" x14ac:dyDescent="0.25">
      <c r="A357" s="11">
        <v>42036</v>
      </c>
      <c r="B357" s="7">
        <v>0.9916666666666667</v>
      </c>
      <c r="C357" s="7">
        <v>1</v>
      </c>
      <c r="D357" s="7">
        <f>(1-0.991666666666667)</f>
        <v>8.3333333333329707E-3</v>
      </c>
      <c r="E357" s="7">
        <f>ABS(0.00833333333333297-0.0131944444444398)</f>
        <v>4.8611111111068299E-3</v>
      </c>
      <c r="F357" s="1" t="s">
        <v>10</v>
      </c>
    </row>
    <row r="358" spans="1:6" x14ac:dyDescent="0.25">
      <c r="A358" s="11">
        <v>42036</v>
      </c>
      <c r="B358" s="7">
        <v>1.01875</v>
      </c>
      <c r="C358" s="7">
        <v>1.0319444444444443</v>
      </c>
      <c r="D358" s="7">
        <f>(1.03194444444444-1.01875)</f>
        <v>1.3194444444439846E-2</v>
      </c>
      <c r="E358" s="7">
        <f>ABS(0.0131944444444398-0.00833333333333297)</f>
        <v>4.8611111111068299E-3</v>
      </c>
      <c r="F358" s="1" t="s">
        <v>10</v>
      </c>
    </row>
    <row r="359" spans="1:6" x14ac:dyDescent="0.25">
      <c r="A359" s="11">
        <v>42036</v>
      </c>
      <c r="B359" s="7">
        <v>0.52777777777777779</v>
      </c>
      <c r="C359" s="7">
        <v>0.53611111111111109</v>
      </c>
      <c r="D359" s="7">
        <f>(0.536111111111111-0.527777777777778)</f>
        <v>8.3333333333329707E-3</v>
      </c>
      <c r="E359" s="7">
        <f>ABS(0.00833333333333297-0.0166666666666669)</f>
        <v>8.3333333333339282E-3</v>
      </c>
      <c r="F359" s="1" t="s">
        <v>10</v>
      </c>
    </row>
    <row r="360" spans="1:6" x14ac:dyDescent="0.25">
      <c r="A360" s="11">
        <v>42036</v>
      </c>
      <c r="B360" s="7">
        <v>0.55138888888888882</v>
      </c>
      <c r="C360" s="7">
        <v>0.56805555555555554</v>
      </c>
      <c r="D360" s="7">
        <f>(0.568055555555556-0.551388888888889)</f>
        <v>1.6666666666666941E-2</v>
      </c>
      <c r="E360" s="7">
        <f>ABS(0.0166666666666669-0.018055555555556)</f>
        <v>1.3888888888891025E-3</v>
      </c>
      <c r="F360" s="1" t="s">
        <v>10</v>
      </c>
    </row>
    <row r="361" spans="1:6" x14ac:dyDescent="0.25">
      <c r="A361" s="11">
        <v>42036</v>
      </c>
      <c r="B361" s="7">
        <v>0.54375000000000007</v>
      </c>
      <c r="C361" s="7">
        <v>0.56180555555555556</v>
      </c>
      <c r="D361" s="7">
        <f>(0.561805555555556-0.54375)</f>
        <v>1.8055555555556047E-2</v>
      </c>
      <c r="E361" s="7">
        <f>ABS(0.018055555555556-0.0194444444444449)</f>
        <v>1.3888888888888978E-3</v>
      </c>
      <c r="F361" s="1" t="s">
        <v>10</v>
      </c>
    </row>
    <row r="362" spans="1:6" x14ac:dyDescent="0.25">
      <c r="A362" s="11">
        <v>42036</v>
      </c>
      <c r="B362" s="7">
        <v>0.61736111111111114</v>
      </c>
      <c r="C362" s="7">
        <v>0.63680555555555551</v>
      </c>
      <c r="D362" s="7">
        <f>(0.636805555555556-0.617361111111111)</f>
        <v>1.944444444444493E-2</v>
      </c>
      <c r="E362" s="7">
        <f>ABS(0.0194444444444449-0.0187500000000009)</f>
        <v>6.9444444444399789E-4</v>
      </c>
      <c r="F362" s="1" t="s">
        <v>10</v>
      </c>
    </row>
    <row r="363" spans="1:6" x14ac:dyDescent="0.25">
      <c r="A363" s="11">
        <v>42036</v>
      </c>
      <c r="B363" s="7">
        <v>0.74305555555555547</v>
      </c>
      <c r="C363" s="7">
        <v>0.76180555555555562</v>
      </c>
      <c r="D363" s="7">
        <f>(0.761805555555556-0.743055555555555)</f>
        <v>1.8750000000000933E-2</v>
      </c>
      <c r="E363" s="7">
        <f>ABS(0.0187500000000009-0.00763888888888908)</f>
        <v>1.1111111111111821E-2</v>
      </c>
      <c r="F363" s="1" t="s">
        <v>10</v>
      </c>
    </row>
    <row r="364" spans="1:6" x14ac:dyDescent="0.25">
      <c r="A364" s="11">
        <v>42036</v>
      </c>
      <c r="B364" s="7">
        <v>0.79652777777777783</v>
      </c>
      <c r="C364" s="7">
        <v>0.8041666666666667</v>
      </c>
      <c r="D364" s="7">
        <f>(0.804166666666667-0.796527777777778)</f>
        <v>7.6388888888890838E-3</v>
      </c>
      <c r="E364" s="7">
        <f>ABS(0.00763888888888908-0.0166666666666669)</f>
        <v>9.0277777777778186E-3</v>
      </c>
      <c r="F364" s="1" t="s">
        <v>10</v>
      </c>
    </row>
    <row r="365" spans="1:6" x14ac:dyDescent="0.25">
      <c r="A365" s="11">
        <v>42036</v>
      </c>
      <c r="B365" s="7">
        <v>0.86319444444444438</v>
      </c>
      <c r="C365" s="7">
        <v>0.87986111111111109</v>
      </c>
      <c r="D365" s="7">
        <f>(0.879861111111111-0.863194444444444)</f>
        <v>1.6666666666666941E-2</v>
      </c>
      <c r="E365" s="7">
        <f>ABS(0.0166666666666669-0.0118055555555551)</f>
        <v>4.8611111111117981E-3</v>
      </c>
      <c r="F365" s="1" t="s">
        <v>10</v>
      </c>
    </row>
    <row r="366" spans="1:6" x14ac:dyDescent="0.25">
      <c r="A366" s="11">
        <v>42036</v>
      </c>
      <c r="B366" s="7">
        <v>0.95277777777777783</v>
      </c>
      <c r="C366" s="7">
        <v>0.96458333333333324</v>
      </c>
      <c r="D366" s="7">
        <f>(0.964583333333333-0.952777777777778)</f>
        <v>1.180555555555507E-2</v>
      </c>
      <c r="E366" s="7">
        <f>ABS(0.0118055555555551-0.022222222222223)</f>
        <v>1.0416666666667899E-2</v>
      </c>
      <c r="F366" s="1" t="s">
        <v>10</v>
      </c>
    </row>
    <row r="367" spans="1:6" x14ac:dyDescent="0.25">
      <c r="A367" s="11">
        <v>42036</v>
      </c>
      <c r="B367" s="7">
        <v>0.19444444444444445</v>
      </c>
      <c r="C367" s="7">
        <v>0.21666666666666667</v>
      </c>
      <c r="D367" s="7">
        <f>(0.216666666666667-0.194444444444444)</f>
        <v>2.2222222222223004E-2</v>
      </c>
      <c r="E367" s="7">
        <f>ABS(0.022222222222223-0.010416666666667)</f>
        <v>1.1805555555556001E-2</v>
      </c>
      <c r="F367" s="1" t="s">
        <v>10</v>
      </c>
    </row>
    <row r="368" spans="1:6" x14ac:dyDescent="0.25">
      <c r="A368" s="11">
        <v>42036</v>
      </c>
      <c r="B368" s="7">
        <v>0.37986111111111115</v>
      </c>
      <c r="C368" s="7">
        <v>0.39027777777777778</v>
      </c>
      <c r="D368" s="7">
        <f>(0.390277777777778-0.379861111111111)</f>
        <v>1.0416666666667018E-2</v>
      </c>
      <c r="E368" s="7">
        <f>ABS(0.010416666666667-0.011805555555556)</f>
        <v>1.3888888888890002E-3</v>
      </c>
      <c r="F368" s="1" t="s">
        <v>10</v>
      </c>
    </row>
    <row r="369" spans="1:6" x14ac:dyDescent="0.25">
      <c r="A369" s="11">
        <v>42036</v>
      </c>
      <c r="B369" s="7">
        <v>0.38472222222222219</v>
      </c>
      <c r="C369" s="7">
        <v>0.39652777777777781</v>
      </c>
      <c r="D369" s="7">
        <f>(0.396527777777778-0.384722222222222)</f>
        <v>1.1805555555555958E-2</v>
      </c>
      <c r="E369" s="7">
        <f>ABS(0.011805555555556-0.022916666666666)</f>
        <v>1.111111111111E-2</v>
      </c>
      <c r="F369" s="1" t="s">
        <v>10</v>
      </c>
    </row>
    <row r="370" spans="1:6" x14ac:dyDescent="0.25">
      <c r="A370" s="11">
        <v>42036</v>
      </c>
      <c r="B370" s="7">
        <v>0.66180555555555554</v>
      </c>
      <c r="C370" s="7">
        <v>0.68472222222222223</v>
      </c>
      <c r="D370" s="7">
        <f>(0.684722222222222-0.661805555555556)</f>
        <v>2.291666666666603E-2</v>
      </c>
      <c r="E370" s="7">
        <f>ABS(0.022916666666666-0.021527777777777)</f>
        <v>1.3888888888889984E-3</v>
      </c>
      <c r="F370" s="1" t="s">
        <v>10</v>
      </c>
    </row>
    <row r="371" spans="1:6" x14ac:dyDescent="0.25">
      <c r="A371" s="11">
        <v>42036</v>
      </c>
      <c r="B371" s="7">
        <v>0.66180555555555554</v>
      </c>
      <c r="C371" s="7">
        <v>0.68333333333333324</v>
      </c>
      <c r="D371" s="7">
        <f>(0.683333333333333-0.661805555555556)</f>
        <v>2.1527777777777035E-2</v>
      </c>
      <c r="E371" s="7">
        <f>ABS(0.021527777777777-0.01875)</f>
        <v>2.7777777777770012E-3</v>
      </c>
      <c r="F371" s="1" t="s">
        <v>10</v>
      </c>
    </row>
    <row r="372" spans="1:6" x14ac:dyDescent="0.25">
      <c r="A372" s="11">
        <v>42036</v>
      </c>
      <c r="B372" s="7">
        <v>0.68541666666666667</v>
      </c>
      <c r="C372" s="7">
        <v>0.70416666666666661</v>
      </c>
      <c r="D372" s="7">
        <f>(0.704166666666667-0.685416666666667)</f>
        <v>1.8750000000000044E-2</v>
      </c>
      <c r="E372" s="7">
        <f>ABS(0.01875-0.00763888888888908)</f>
        <v>1.1111111111110919E-2</v>
      </c>
      <c r="F372" s="1" t="s">
        <v>10</v>
      </c>
    </row>
    <row r="373" spans="1:6" x14ac:dyDescent="0.25">
      <c r="A373" s="11">
        <v>42036</v>
      </c>
      <c r="B373" s="7">
        <v>0.70277777777777783</v>
      </c>
      <c r="C373" s="7">
        <v>0.7104166666666667</v>
      </c>
      <c r="D373" s="7">
        <f>(0.710416666666667-0.702777777777778)</f>
        <v>7.6388888888890838E-3</v>
      </c>
      <c r="E373" s="7">
        <f>ABS(0.00763888888888908-0.0215277777777779)</f>
        <v>1.3888888888888819E-2</v>
      </c>
      <c r="F373" s="1" t="s">
        <v>10</v>
      </c>
    </row>
    <row r="374" spans="1:6" x14ac:dyDescent="0.25">
      <c r="A374" s="11">
        <v>42036</v>
      </c>
      <c r="B374" s="7">
        <v>0.73749999999999993</v>
      </c>
      <c r="C374" s="7">
        <v>0.75902777777777775</v>
      </c>
      <c r="D374" s="7">
        <f>(0.759027777777778-0.7375)</f>
        <v>2.1527777777777923E-2</v>
      </c>
      <c r="E374" s="7">
        <f>ABS(0.0215277777777779-0.020138888888889)</f>
        <v>1.3888888888888978E-3</v>
      </c>
      <c r="F374" s="1" t="s">
        <v>10</v>
      </c>
    </row>
    <row r="375" spans="1:6" x14ac:dyDescent="0.25">
      <c r="A375" s="11">
        <v>42036</v>
      </c>
      <c r="B375" s="7">
        <v>0.72361111111111109</v>
      </c>
      <c r="C375" s="7">
        <v>0.74375000000000002</v>
      </c>
      <c r="D375" s="7">
        <f>(0.74375-0.723611111111111)</f>
        <v>2.0138888888889039E-2</v>
      </c>
      <c r="E375" s="7">
        <f>ABS(0.020138888888889-0.0152777777777781)</f>
        <v>4.8611111111109013E-3</v>
      </c>
      <c r="F375" s="1" t="s">
        <v>10</v>
      </c>
    </row>
    <row r="376" spans="1:6" x14ac:dyDescent="0.25">
      <c r="A376" s="11">
        <v>42036</v>
      </c>
      <c r="B376" s="7">
        <v>0.76111111111111107</v>
      </c>
      <c r="C376" s="7">
        <v>0.77638888888888891</v>
      </c>
      <c r="D376" s="7">
        <f>(0.776388888888889-0.761111111111111)</f>
        <v>1.5277777777778057E-2</v>
      </c>
      <c r="E376" s="7">
        <f>ABS(0.0152777777777781-0.052083333333333)</f>
        <v>3.6805555555554904E-2</v>
      </c>
      <c r="F376" s="1" t="s">
        <v>10</v>
      </c>
    </row>
    <row r="377" spans="1:6" x14ac:dyDescent="0.25">
      <c r="A377" s="11">
        <v>42036</v>
      </c>
      <c r="B377" s="7">
        <v>0.82013888888888886</v>
      </c>
      <c r="C377" s="7">
        <v>0.87222222222222223</v>
      </c>
      <c r="D377" s="7">
        <f>(0.872222222222222-0.820138888888889)</f>
        <v>5.2083333333333037E-2</v>
      </c>
      <c r="E377" s="7">
        <f>ABS(0.052083333333333-0.0159722222222221)</f>
        <v>3.61111111111109E-2</v>
      </c>
      <c r="F377" s="1" t="s">
        <v>10</v>
      </c>
    </row>
    <row r="378" spans="1:6" x14ac:dyDescent="0.25">
      <c r="A378" s="11">
        <v>42036</v>
      </c>
      <c r="B378" s="7">
        <v>0.32013888888888892</v>
      </c>
      <c r="C378" s="7">
        <v>0.33611111111111108</v>
      </c>
      <c r="D378" s="7">
        <f>(0.336111111111111-0.320138888888889)</f>
        <v>1.5972222222222054E-2</v>
      </c>
      <c r="E378" s="7">
        <f>ABS(0.0159722222222221-0.020138888888889)</f>
        <v>4.1666666666669017E-3</v>
      </c>
      <c r="F378" s="1" t="s">
        <v>10</v>
      </c>
    </row>
    <row r="379" spans="1:6" x14ac:dyDescent="0.25">
      <c r="A379" s="11">
        <v>42036</v>
      </c>
      <c r="B379" s="7">
        <v>0.37708333333333338</v>
      </c>
      <c r="C379" s="7">
        <v>0.3972222222222222</v>
      </c>
      <c r="D379" s="7">
        <f>(0.397222222222222-0.377083333333333)</f>
        <v>2.0138888888888984E-2</v>
      </c>
      <c r="E379" s="7">
        <f>ABS(0.020138888888889-0.00902777777777797)</f>
        <v>1.1111111111111032E-2</v>
      </c>
      <c r="F379" s="1" t="s">
        <v>10</v>
      </c>
    </row>
    <row r="380" spans="1:6" x14ac:dyDescent="0.25">
      <c r="A380" s="11">
        <v>42036</v>
      </c>
      <c r="B380" s="7">
        <v>0.3840277777777778</v>
      </c>
      <c r="C380" s="7">
        <v>0.39305555555555555</v>
      </c>
      <c r="D380" s="7">
        <f>(0.393055555555556-0.384027777777778)</f>
        <v>9.0277777777779677E-3</v>
      </c>
      <c r="E380" s="7">
        <f>ABS(0.00902777777777797-0.00902777777777802)</f>
        <v>5.0306980803327406E-17</v>
      </c>
      <c r="F380" s="1" t="s">
        <v>10</v>
      </c>
    </row>
    <row r="381" spans="1:6" x14ac:dyDescent="0.25">
      <c r="A381" s="11">
        <v>42036</v>
      </c>
      <c r="B381" s="7">
        <v>0.41111111111111115</v>
      </c>
      <c r="C381" s="7">
        <v>0.4201388888888889</v>
      </c>
      <c r="D381" s="7">
        <f>(0.420138888888889-0.411111111111111)</f>
        <v>9.0277777777780233E-3</v>
      </c>
      <c r="E381" s="7">
        <f>ABS(0.00902777777777802-0.018055555555555)</f>
        <v>9.027777777776979E-3</v>
      </c>
      <c r="F381" s="1" t="s">
        <v>10</v>
      </c>
    </row>
    <row r="382" spans="1:6" x14ac:dyDescent="0.25">
      <c r="A382" s="11">
        <v>42036</v>
      </c>
      <c r="B382" s="7">
        <v>0.44166666666666665</v>
      </c>
      <c r="C382" s="7">
        <v>0.4597222222222222</v>
      </c>
      <c r="D382" s="7">
        <f>(0.459722222222222-0.441666666666667)</f>
        <v>1.8055555555554992E-2</v>
      </c>
      <c r="E382" s="7">
        <f>ABS(0.018055555555555-0.15625)</f>
        <v>0.13819444444444501</v>
      </c>
      <c r="F382" s="1" t="s">
        <v>10</v>
      </c>
    </row>
    <row r="383" spans="1:6" x14ac:dyDescent="0.25">
      <c r="A383" s="11">
        <v>42036</v>
      </c>
      <c r="B383" s="7">
        <v>0.66805555555555562</v>
      </c>
      <c r="C383" s="7">
        <v>0.82430555555555551</v>
      </c>
      <c r="D383" s="7">
        <f>(0.824305555555556-0.668055555555556)</f>
        <v>0.15625</v>
      </c>
      <c r="E383" s="7">
        <f>ABS(0.15625-0.0131944444444451)</f>
        <v>0.14305555555555491</v>
      </c>
      <c r="F383" s="1" t="s">
        <v>10</v>
      </c>
    </row>
    <row r="384" spans="1:6" x14ac:dyDescent="0.25">
      <c r="A384" s="11">
        <v>42036</v>
      </c>
      <c r="B384" s="7">
        <v>0.9472222222222223</v>
      </c>
      <c r="C384" s="7">
        <v>0.9604166666666667</v>
      </c>
      <c r="D384" s="7">
        <f>(0.960416666666667-0.947222222222222)</f>
        <v>1.3194444444445064E-2</v>
      </c>
      <c r="E384" s="7">
        <f>ABS(0.0131944444444451-0.0166666666666661)</f>
        <v>3.4722222222210008E-3</v>
      </c>
      <c r="F384" s="1" t="s">
        <v>10</v>
      </c>
    </row>
    <row r="385" spans="1:6" x14ac:dyDescent="0.25">
      <c r="A385" s="11">
        <v>42036</v>
      </c>
      <c r="B385" s="7">
        <v>0.98055555555555562</v>
      </c>
      <c r="C385" s="7">
        <v>0.99722222222222223</v>
      </c>
      <c r="D385" s="7">
        <f>(0.997222222222222-0.980555555555556)</f>
        <v>1.6666666666666052E-2</v>
      </c>
      <c r="E385" s="7">
        <f>ABS(0.0166666666666661-0.019444444444444)</f>
        <v>2.7777777777778997E-3</v>
      </c>
      <c r="F385" s="1" t="s">
        <v>10</v>
      </c>
    </row>
    <row r="386" spans="1:6" x14ac:dyDescent="0.25">
      <c r="A386" s="11">
        <v>42036</v>
      </c>
      <c r="B386" s="7">
        <v>0.19513888888888889</v>
      </c>
      <c r="C386" s="7">
        <v>0.21458333333333335</v>
      </c>
      <c r="D386" s="7">
        <f>(0.214583333333333-0.195138888888889)</f>
        <v>1.9444444444443987E-2</v>
      </c>
      <c r="E386" s="7">
        <f>ABS(0.019444444444444-0.014583333333333)</f>
        <v>4.8611111111110002E-3</v>
      </c>
      <c r="F386" s="1" t="s">
        <v>10</v>
      </c>
    </row>
    <row r="387" spans="1:6" x14ac:dyDescent="0.25">
      <c r="A387" s="11">
        <v>42036</v>
      </c>
      <c r="B387" s="7">
        <v>0.25</v>
      </c>
      <c r="C387" s="7">
        <v>0.26458333333333334</v>
      </c>
      <c r="D387" s="7">
        <f>(0.264583333333333-0.25)</f>
        <v>1.4583333333333004E-2</v>
      </c>
      <c r="E387" s="7">
        <f>ABS(0.014583333333333-0.015277777777778)</f>
        <v>6.9444444444499882E-4</v>
      </c>
      <c r="F387" s="1" t="s">
        <v>10</v>
      </c>
    </row>
    <row r="388" spans="1:6" x14ac:dyDescent="0.25">
      <c r="A388" s="11">
        <v>42036</v>
      </c>
      <c r="B388" s="7">
        <v>0.27499999999999997</v>
      </c>
      <c r="C388" s="7">
        <v>0.2902777777777778</v>
      </c>
      <c r="D388" s="7">
        <f>(0.290277777777778-0.275)</f>
        <v>1.5277777777778001E-2</v>
      </c>
      <c r="E388" s="7">
        <f>ABS(0.015277777777778-0.022222222222222)</f>
        <v>6.9444444444440017E-3</v>
      </c>
      <c r="F388" s="1" t="s">
        <v>10</v>
      </c>
    </row>
    <row r="389" spans="1:6" x14ac:dyDescent="0.25">
      <c r="A389" s="11">
        <v>42036</v>
      </c>
      <c r="B389" s="7">
        <v>0.30277777777777776</v>
      </c>
      <c r="C389" s="7">
        <v>0.32500000000000001</v>
      </c>
      <c r="D389" s="7">
        <f>(0.325-0.302777777777778)</f>
        <v>2.2222222222222032E-2</v>
      </c>
      <c r="E389" s="7">
        <f>ABS(0.022222222222222-0.01875)</f>
        <v>3.4722222222220017E-3</v>
      </c>
      <c r="F389" s="1" t="s">
        <v>10</v>
      </c>
    </row>
    <row r="390" spans="1:6" x14ac:dyDescent="0.25">
      <c r="A390" s="11">
        <v>42036</v>
      </c>
      <c r="B390" s="7">
        <v>0.50347222222222221</v>
      </c>
      <c r="C390" s="7">
        <v>0.52222222222222225</v>
      </c>
      <c r="D390" s="7">
        <f>(0.522222222222222-0.503472222222222)</f>
        <v>1.8750000000000044E-2</v>
      </c>
      <c r="E390" s="7">
        <f>ABS(0.01875-0.022916666666667)</f>
        <v>4.1666666666670023E-3</v>
      </c>
      <c r="F390" s="1" t="s">
        <v>10</v>
      </c>
    </row>
    <row r="391" spans="1:6" x14ac:dyDescent="0.25">
      <c r="A391" s="11">
        <v>42036</v>
      </c>
      <c r="B391" s="7">
        <v>0.53749999999999998</v>
      </c>
      <c r="C391" s="7">
        <v>0.56041666666666667</v>
      </c>
      <c r="D391" s="7">
        <f>(0.560416666666667-0.5375)</f>
        <v>2.2916666666667029E-2</v>
      </c>
      <c r="E391" s="7">
        <f>ABS(0.022916666666667-0.031944444444444)</f>
        <v>9.0277777777769963E-3</v>
      </c>
      <c r="F391" s="1" t="s">
        <v>10</v>
      </c>
    </row>
    <row r="392" spans="1:6" x14ac:dyDescent="0.25">
      <c r="A392" s="11">
        <v>42036</v>
      </c>
      <c r="B392" s="7">
        <v>0.54166666666666663</v>
      </c>
      <c r="C392" s="7">
        <v>0.57361111111111118</v>
      </c>
      <c r="D392" s="7">
        <f>(0.573611111111111-0.541666666666667)</f>
        <v>3.1944444444443998E-2</v>
      </c>
      <c r="E392" s="7">
        <f>ABS(0.031944444444444-0.0173611111111101)</f>
        <v>1.4583333333333899E-2</v>
      </c>
      <c r="F392" s="1" t="s">
        <v>10</v>
      </c>
    </row>
    <row r="393" spans="1:6" x14ac:dyDescent="0.25">
      <c r="A393" s="11">
        <v>42036</v>
      </c>
      <c r="B393" s="7">
        <v>0.69444444444444453</v>
      </c>
      <c r="C393" s="7">
        <v>0.71180555555555547</v>
      </c>
      <c r="D393" s="7">
        <f>(0.711805555555555-0.694444444444445)</f>
        <v>1.736111111111005E-2</v>
      </c>
      <c r="E393" s="7">
        <f>ABS(0.0173611111111101-0.017361111111111)</f>
        <v>9.0205620750793969E-16</v>
      </c>
      <c r="F393" s="1" t="s">
        <v>10</v>
      </c>
    </row>
    <row r="394" spans="1:6" x14ac:dyDescent="0.25">
      <c r="A394" s="11">
        <v>42036</v>
      </c>
      <c r="B394" s="7">
        <v>0.69374999999999998</v>
      </c>
      <c r="C394" s="7">
        <v>0.71111111111111114</v>
      </c>
      <c r="D394" s="7">
        <f>(0.711111111111111-0.69375)</f>
        <v>1.7361111111111049E-2</v>
      </c>
      <c r="E394" s="7">
        <f>ABS(0.017361111111111-0.0111111111111108)</f>
        <v>6.2500000000002016E-3</v>
      </c>
      <c r="F394" s="1" t="s">
        <v>10</v>
      </c>
    </row>
    <row r="395" spans="1:6" x14ac:dyDescent="0.25">
      <c r="A395" s="11">
        <v>42036</v>
      </c>
      <c r="B395" s="7">
        <v>9.0972222222222218E-2</v>
      </c>
      <c r="C395" s="7">
        <v>0.10208333333333335</v>
      </c>
      <c r="D395" s="7">
        <f>(0.102083333333333-0.0909722222222222)</f>
        <v>1.1111111111110794E-2</v>
      </c>
      <c r="E395" s="7">
        <f>ABS(0.0111111111111108-0.03125)</f>
        <v>2.0138888888889199E-2</v>
      </c>
      <c r="F395" s="1" t="s">
        <v>10</v>
      </c>
    </row>
    <row r="396" spans="1:6" x14ac:dyDescent="0.25">
      <c r="A396" s="11">
        <v>42036</v>
      </c>
      <c r="B396" s="7">
        <v>0.37916666666666665</v>
      </c>
      <c r="C396" s="7">
        <v>0.41041666666666665</v>
      </c>
      <c r="D396" s="7">
        <f>(0.410416666666667-0.379166666666667)</f>
        <v>3.125E-2</v>
      </c>
      <c r="E396" s="7">
        <f>ABS(0.03125-0.022916666666667)</f>
        <v>8.3333333333329984E-3</v>
      </c>
      <c r="F396" s="1" t="s">
        <v>10</v>
      </c>
    </row>
    <row r="397" spans="1:6" x14ac:dyDescent="0.25">
      <c r="A397" s="11">
        <v>42036</v>
      </c>
      <c r="B397" s="7">
        <v>0.49722222222222223</v>
      </c>
      <c r="C397" s="7">
        <v>0.52013888888888882</v>
      </c>
      <c r="D397" s="7">
        <f>(0.520138888888889-0.497222222222222)</f>
        <v>2.2916666666667029E-2</v>
      </c>
      <c r="E397" s="7">
        <f>ABS(0.022916666666667-0.00694444444444398)</f>
        <v>1.5972222222223022E-2</v>
      </c>
      <c r="F397" s="1" t="s">
        <v>10</v>
      </c>
    </row>
    <row r="398" spans="1:6" x14ac:dyDescent="0.25">
      <c r="A398" s="11">
        <v>42036</v>
      </c>
      <c r="B398" s="7">
        <v>0.52916666666666667</v>
      </c>
      <c r="C398" s="7">
        <v>0.53611111111111109</v>
      </c>
      <c r="D398" s="7">
        <f>(0.536111111111111-0.529166666666667)</f>
        <v>6.9444444444439757E-3</v>
      </c>
      <c r="E398" s="7">
        <f>ABS(0.00694444444444398-0.0152777777777769)</f>
        <v>8.3333333333329186E-3</v>
      </c>
      <c r="F398" s="1" t="s">
        <v>10</v>
      </c>
    </row>
    <row r="399" spans="1:6" x14ac:dyDescent="0.25">
      <c r="A399" s="11">
        <v>42036</v>
      </c>
      <c r="B399" s="7">
        <v>0.55555555555555558</v>
      </c>
      <c r="C399" s="7">
        <v>0.5708333333333333</v>
      </c>
      <c r="D399" s="7">
        <f>(0.570833333333333-0.555555555555556)</f>
        <v>1.5277777777776946E-2</v>
      </c>
      <c r="E399" s="7">
        <f>ABS(0.0152777777777769-0.027777777777778)</f>
        <v>1.2500000000001099E-2</v>
      </c>
      <c r="F399" s="1" t="s">
        <v>10</v>
      </c>
    </row>
    <row r="400" spans="1:6" x14ac:dyDescent="0.25">
      <c r="A400" s="11">
        <v>42036</v>
      </c>
      <c r="B400" s="7">
        <v>0.65694444444444444</v>
      </c>
      <c r="C400" s="7">
        <v>0.68472222222222223</v>
      </c>
      <c r="D400" s="7">
        <f>(0.684722222222222-0.656944444444444)</f>
        <v>2.7777777777778012E-2</v>
      </c>
      <c r="E400" s="7">
        <f>ABS(0.027777777777778-0.027083333333333)</f>
        <v>6.9444444444499709E-4</v>
      </c>
      <c r="F400" s="1" t="s">
        <v>10</v>
      </c>
    </row>
    <row r="401" spans="1:6" x14ac:dyDescent="0.25">
      <c r="A401" s="11">
        <v>42036</v>
      </c>
      <c r="B401" s="7">
        <v>0.65763888888888888</v>
      </c>
      <c r="C401" s="7">
        <v>0.68472222222222223</v>
      </c>
      <c r="D401" s="7">
        <f>(0.684722222222222-0.657638888888889)</f>
        <v>2.7083333333333015E-2</v>
      </c>
      <c r="E401" s="7">
        <f>ABS(0.027083333333333-0.0159722222222231)</f>
        <v>1.1111111111109902E-2</v>
      </c>
      <c r="F401" s="1" t="s">
        <v>10</v>
      </c>
    </row>
    <row r="402" spans="1:6" x14ac:dyDescent="0.25">
      <c r="A402" s="11">
        <v>42036</v>
      </c>
      <c r="B402" s="7">
        <v>0.71944444444444444</v>
      </c>
      <c r="C402" s="7">
        <v>0.73541666666666661</v>
      </c>
      <c r="D402" s="7">
        <f>(0.735416666666667-0.719444444444444)</f>
        <v>1.5972222222223054E-2</v>
      </c>
      <c r="E402" s="7">
        <f>ABS(0.0159722222222231-0.010416666666667)</f>
        <v>5.5555555555560996E-3</v>
      </c>
      <c r="F402" s="1" t="s">
        <v>10</v>
      </c>
    </row>
    <row r="403" spans="1:6" x14ac:dyDescent="0.25">
      <c r="A403" s="11">
        <v>42036</v>
      </c>
      <c r="B403" s="7">
        <v>0.45694444444444443</v>
      </c>
      <c r="C403" s="7">
        <v>0.46736111111111112</v>
      </c>
      <c r="D403" s="7">
        <f>(0.467361111111111-0.456944444444444)</f>
        <v>1.0416666666667018E-2</v>
      </c>
      <c r="E403" s="7">
        <f>ABS(0.010416666666667-0.0125)</f>
        <v>2.0833333333330015E-3</v>
      </c>
      <c r="F403" s="1" t="s">
        <v>10</v>
      </c>
    </row>
    <row r="404" spans="1:6" x14ac:dyDescent="0.25">
      <c r="A404" s="11">
        <v>42036</v>
      </c>
      <c r="B404" s="7">
        <v>0.98472222222222217</v>
      </c>
      <c r="C404" s="7">
        <v>0.99722222222222223</v>
      </c>
      <c r="D404" s="7">
        <f>(0.997222222222222-0.984722222222222)</f>
        <v>1.2499999999999956E-2</v>
      </c>
      <c r="E404" s="7">
        <f>ABS(0.0125-0.015972222222222)</f>
        <v>3.4722222222219983E-3</v>
      </c>
      <c r="F404" s="1" t="s">
        <v>10</v>
      </c>
    </row>
    <row r="405" spans="1:6" x14ac:dyDescent="0.25">
      <c r="A405" s="11">
        <v>42036</v>
      </c>
      <c r="B405" s="7">
        <v>0.11597222222222221</v>
      </c>
      <c r="C405" s="7">
        <v>0.13194444444444445</v>
      </c>
      <c r="D405" s="7">
        <f>(0.131944444444444-0.115972222222222)</f>
        <v>1.5972222222221999E-2</v>
      </c>
      <c r="E405" s="7">
        <f>ABS(0.015972222222222-0.018055555555555)</f>
        <v>2.0833333333329998E-3</v>
      </c>
      <c r="F405" s="1" t="s">
        <v>10</v>
      </c>
    </row>
    <row r="406" spans="1:6" x14ac:dyDescent="0.25">
      <c r="A406" s="11">
        <v>42036</v>
      </c>
      <c r="B406" s="7">
        <v>0.24791666666666667</v>
      </c>
      <c r="C406" s="7">
        <v>0.26597222222222222</v>
      </c>
      <c r="D406" s="7">
        <f>(0.265972222222222-0.247916666666667)</f>
        <v>1.8055555555554992E-2</v>
      </c>
      <c r="E406" s="7">
        <f>ABS(0.018055555555555-0.017361111111111)</f>
        <v>6.9444444444399789E-4</v>
      </c>
      <c r="F406" s="1" t="s">
        <v>10</v>
      </c>
    </row>
    <row r="407" spans="1:6" x14ac:dyDescent="0.25">
      <c r="A407" s="11">
        <v>42036</v>
      </c>
      <c r="B407" s="7">
        <v>0.4145833333333333</v>
      </c>
      <c r="C407" s="7">
        <v>0.43194444444444446</v>
      </c>
      <c r="D407" s="7">
        <f>(0.431944444444444-0.414583333333333)</f>
        <v>1.7361111111110994E-2</v>
      </c>
      <c r="E407" s="7">
        <f>ABS(0.017361111111111-0.0159722222222221)</f>
        <v>1.3888888888889013E-3</v>
      </c>
      <c r="F407" s="1" t="s">
        <v>10</v>
      </c>
    </row>
    <row r="408" spans="1:6" x14ac:dyDescent="0.25">
      <c r="A408" s="11">
        <v>42036</v>
      </c>
      <c r="B408" s="7">
        <v>0.56597222222222221</v>
      </c>
      <c r="C408" s="7">
        <v>0.58194444444444449</v>
      </c>
      <c r="D408" s="7">
        <f>(0.581944444444444-0.565972222222222)</f>
        <v>1.5972222222222054E-2</v>
      </c>
      <c r="E408" s="7">
        <f>ABS(0.0159722222222221-0.0152777777777779)</f>
        <v>6.9444444444419912E-4</v>
      </c>
      <c r="F408" s="1" t="s">
        <v>10</v>
      </c>
    </row>
    <row r="409" spans="1:6" x14ac:dyDescent="0.25">
      <c r="A409" s="11">
        <v>42036</v>
      </c>
      <c r="B409" s="7">
        <v>0.64513888888888882</v>
      </c>
      <c r="C409" s="7">
        <v>0.66041666666666665</v>
      </c>
      <c r="D409" s="7">
        <f>(0.660416666666667-0.645138888888889)</f>
        <v>1.5277777777777946E-2</v>
      </c>
      <c r="E409" s="7">
        <f>ABS(0.0152777777777779-0.017361111111111)</f>
        <v>2.0833333333331004E-3</v>
      </c>
      <c r="F409" s="1" t="s">
        <v>10</v>
      </c>
    </row>
    <row r="410" spans="1:6" x14ac:dyDescent="0.25">
      <c r="A410" s="11">
        <v>42036</v>
      </c>
      <c r="B410" s="7">
        <v>0.6645833333333333</v>
      </c>
      <c r="C410" s="7">
        <v>0.68194444444444446</v>
      </c>
      <c r="D410" s="7">
        <f>(0.681944444444444-0.664583333333333)</f>
        <v>1.7361111111111049E-2</v>
      </c>
      <c r="E410" s="7">
        <f>ABS(0.017361111111111-0.017361111111111)</f>
        <v>0</v>
      </c>
      <c r="F410" s="1" t="s">
        <v>10</v>
      </c>
    </row>
    <row r="411" spans="1:6" x14ac:dyDescent="0.25">
      <c r="A411" s="11">
        <v>42036</v>
      </c>
      <c r="B411" s="7">
        <v>0.73055555555555562</v>
      </c>
      <c r="C411" s="7">
        <v>0.74791666666666667</v>
      </c>
      <c r="D411" s="7">
        <f>(0.747916666666667-0.730555555555556)</f>
        <v>1.7361111111111049E-2</v>
      </c>
      <c r="E411" s="7">
        <f>ABS(0.017361111111111-0.015277777777777)</f>
        <v>2.0833333333340007E-3</v>
      </c>
      <c r="F411" s="1" t="s">
        <v>10</v>
      </c>
    </row>
    <row r="412" spans="1:6" x14ac:dyDescent="0.25">
      <c r="A412" s="11">
        <v>42036</v>
      </c>
      <c r="B412" s="7">
        <v>0.4680555555555555</v>
      </c>
      <c r="C412" s="7">
        <v>0.48333333333333334</v>
      </c>
      <c r="D412" s="7">
        <f>(0.483333333333333-0.468055555555556)</f>
        <v>1.5277777777777002E-2</v>
      </c>
      <c r="E412" s="7">
        <f>ABS(0.015277777777777-0.0208333333333329)</f>
        <v>5.5555555555558984E-3</v>
      </c>
      <c r="F412" s="1" t="s">
        <v>10</v>
      </c>
    </row>
    <row r="413" spans="1:6" x14ac:dyDescent="0.25">
      <c r="A413" s="11">
        <v>42036</v>
      </c>
      <c r="B413" s="7">
        <v>0.55138888888888882</v>
      </c>
      <c r="C413" s="7">
        <v>0.57222222222222219</v>
      </c>
      <c r="D413" s="7">
        <f>(0.572222222222222-0.551388888888889)</f>
        <v>2.0833333333332926E-2</v>
      </c>
      <c r="E413" s="7">
        <f>ABS(0.0208333333333329-0.019444444444445)</f>
        <v>1.3888888888878986E-3</v>
      </c>
      <c r="F413" s="1" t="s">
        <v>10</v>
      </c>
    </row>
    <row r="414" spans="1:6" x14ac:dyDescent="0.25">
      <c r="A414" s="11">
        <v>42036</v>
      </c>
      <c r="B414" s="7">
        <v>0.6333333333333333</v>
      </c>
      <c r="C414" s="7">
        <v>0.65277777777777779</v>
      </c>
      <c r="D414" s="7">
        <f>(0.652777777777778-0.633333333333333)</f>
        <v>1.9444444444445041E-2</v>
      </c>
      <c r="E414" s="7">
        <f>ABS(0.019444444444445-0.020138888888889)</f>
        <v>6.9444444444400136E-4</v>
      </c>
      <c r="F414" s="1" t="s">
        <v>10</v>
      </c>
    </row>
    <row r="415" spans="1:6" x14ac:dyDescent="0.25">
      <c r="A415" s="11">
        <v>42036</v>
      </c>
      <c r="B415" s="7">
        <v>0.63958333333333328</v>
      </c>
      <c r="C415" s="7">
        <v>0.65972222222222221</v>
      </c>
      <c r="D415" s="7">
        <f>(0.659722222222222-0.639583333333333)</f>
        <v>2.0138888888889039E-2</v>
      </c>
      <c r="E415" s="7">
        <f>ABS(0.020138888888889-0.0159722222222221)</f>
        <v>4.1666666666669017E-3</v>
      </c>
      <c r="F415" s="1" t="s">
        <v>10</v>
      </c>
    </row>
    <row r="416" spans="1:6" x14ac:dyDescent="0.25">
      <c r="A416" s="11">
        <v>42036</v>
      </c>
      <c r="B416" s="7">
        <v>0.66666666666666663</v>
      </c>
      <c r="C416" s="7">
        <v>0.68263888888888891</v>
      </c>
      <c r="D416" s="7">
        <f>(0.682638888888889-0.666666666666667)</f>
        <v>1.5972222222222054E-2</v>
      </c>
      <c r="E416" s="7">
        <f>ABS(0.0159722222222221-0.019444444444444)</f>
        <v>3.4722222222219011E-3</v>
      </c>
      <c r="F416" s="1" t="s">
        <v>10</v>
      </c>
    </row>
    <row r="417" spans="1:6" x14ac:dyDescent="0.25">
      <c r="A417" s="11">
        <v>42036</v>
      </c>
      <c r="B417" s="7">
        <v>0.75277777777777777</v>
      </c>
      <c r="C417" s="7">
        <v>0.77222222222222225</v>
      </c>
      <c r="D417" s="7">
        <f>(0.772222222222222-0.752777777777778)</f>
        <v>1.9444444444444042E-2</v>
      </c>
      <c r="E417" s="7">
        <f>ABS(0.019444444444444-0.0180555555555559)</f>
        <v>1.3888888888880999E-3</v>
      </c>
      <c r="F417" s="1" t="s">
        <v>10</v>
      </c>
    </row>
    <row r="418" spans="1:6" x14ac:dyDescent="0.25">
      <c r="A418" s="11">
        <v>42036</v>
      </c>
      <c r="B418" s="7">
        <v>0.92569444444444438</v>
      </c>
      <c r="C418" s="7">
        <v>0.94374999999999998</v>
      </c>
      <c r="D418" s="7">
        <f>(0.94375-0.925694444444444)</f>
        <v>1.8055555555555935E-2</v>
      </c>
      <c r="E418" s="7">
        <f>ABS(0.0180555555555559-0.019444444444445)</f>
        <v>1.3888888888890991E-3</v>
      </c>
      <c r="F418" s="1" t="s">
        <v>10</v>
      </c>
    </row>
    <row r="419" spans="1:6" x14ac:dyDescent="0.25">
      <c r="A419" s="11">
        <v>42036</v>
      </c>
      <c r="B419" s="7">
        <v>0.20486111111111113</v>
      </c>
      <c r="C419" s="7">
        <v>0.22430555555555556</v>
      </c>
      <c r="D419" s="7">
        <f>(0.224305555555556-0.204861111111111)</f>
        <v>1.9444444444445014E-2</v>
      </c>
      <c r="E419" s="7">
        <f>ABS(0.019444444444445-0.020833333333334)</f>
        <v>1.3888888888889984E-3</v>
      </c>
      <c r="F419" s="1" t="s">
        <v>10</v>
      </c>
    </row>
    <row r="420" spans="1:6" x14ac:dyDescent="0.25">
      <c r="A420" s="11">
        <v>42036</v>
      </c>
      <c r="B420" s="7">
        <v>0.35347222222222219</v>
      </c>
      <c r="C420" s="7">
        <v>0.3743055555555555</v>
      </c>
      <c r="D420" s="7">
        <f>(0.374305555555556-0.353472222222222)</f>
        <v>2.0833333333333981E-2</v>
      </c>
      <c r="E420" s="7">
        <f>ABS(0.020833333333334-0.0166666666666671)</f>
        <v>4.1666666666668982E-3</v>
      </c>
      <c r="F420" s="1" t="s">
        <v>10</v>
      </c>
    </row>
    <row r="421" spans="1:6" x14ac:dyDescent="0.25">
      <c r="A421" s="11">
        <v>42036</v>
      </c>
      <c r="B421" s="7">
        <v>0.57013888888888886</v>
      </c>
      <c r="C421" s="7">
        <v>0.58680555555555558</v>
      </c>
      <c r="D421" s="7">
        <f>(0.586805555555556-0.570138888888889)</f>
        <v>1.6666666666667052E-2</v>
      </c>
      <c r="E421" s="7"/>
      <c r="F421" s="1" t="s">
        <v>10</v>
      </c>
    </row>
    <row r="422" spans="1:6" x14ac:dyDescent="0.25">
      <c r="A422" s="11">
        <v>42036</v>
      </c>
      <c r="B422" s="7">
        <v>0.23263888888888887</v>
      </c>
      <c r="C422" s="7">
        <v>0.26527777777777778</v>
      </c>
      <c r="D422" s="7">
        <f>(0.265277777777778-0.232638888888889)</f>
        <v>3.2638888888888995E-2</v>
      </c>
      <c r="E422" s="7">
        <f>ABS(0.032638888888889-0.024305555555555)</f>
        <v>8.3333333333340011E-3</v>
      </c>
      <c r="F422" s="1" t="s">
        <v>8</v>
      </c>
    </row>
    <row r="423" spans="1:6" x14ac:dyDescent="0.25">
      <c r="A423" s="11">
        <v>42036</v>
      </c>
      <c r="B423" s="7">
        <v>0.30902777777777779</v>
      </c>
      <c r="C423" s="7">
        <v>0.33333333333333331</v>
      </c>
      <c r="D423" s="7">
        <f>(0.333333333333333-0.309027777777778)</f>
        <v>2.430555555555497E-2</v>
      </c>
      <c r="E423" s="7">
        <f>ABS(0.024305555555555-0.028472222222223)</f>
        <v>4.166666666667998E-3</v>
      </c>
      <c r="F423" s="1" t="s">
        <v>8</v>
      </c>
    </row>
    <row r="424" spans="1:6" x14ac:dyDescent="0.25">
      <c r="A424" s="11">
        <v>42036</v>
      </c>
      <c r="B424" s="7">
        <v>0.46458333333333335</v>
      </c>
      <c r="C424" s="7">
        <v>0.49305555555555558</v>
      </c>
      <c r="D424" s="7">
        <f>(0.493055555555556-0.464583333333333)</f>
        <v>2.8472222222223009E-2</v>
      </c>
      <c r="E424" s="7">
        <f>ABS(0.028472222222223-0.011805555555555)</f>
        <v>1.6666666666667999E-2</v>
      </c>
      <c r="F424" s="1" t="s">
        <v>8</v>
      </c>
    </row>
    <row r="425" spans="1:6" x14ac:dyDescent="0.25">
      <c r="A425" s="11">
        <v>42036</v>
      </c>
      <c r="B425" s="7">
        <v>0.47291666666666665</v>
      </c>
      <c r="C425" s="7">
        <v>0.48472222222222222</v>
      </c>
      <c r="D425" s="7">
        <f>(0.484722222222222-0.472916666666667)</f>
        <v>1.1805555555555014E-2</v>
      </c>
      <c r="E425" s="7">
        <f>ABS(0.011805555555555-0.011805555555556)</f>
        <v>9.9920072216264089E-16</v>
      </c>
      <c r="F425" s="1" t="s">
        <v>8</v>
      </c>
    </row>
    <row r="426" spans="1:6" x14ac:dyDescent="0.25">
      <c r="A426" s="11">
        <v>42036</v>
      </c>
      <c r="B426" s="7">
        <v>0.52500000000000002</v>
      </c>
      <c r="C426" s="7">
        <v>0.53680555555555554</v>
      </c>
      <c r="D426" s="7">
        <f>(0.536805555555556-0.525)</f>
        <v>1.1805555555555958E-2</v>
      </c>
      <c r="E426" s="7">
        <f>ABS(0.011805555555556-0.0145833333333329)</f>
        <v>2.7777777777769005E-3</v>
      </c>
      <c r="F426" s="1" t="s">
        <v>8</v>
      </c>
    </row>
    <row r="427" spans="1:6" x14ac:dyDescent="0.25">
      <c r="A427" s="11">
        <v>42036</v>
      </c>
      <c r="B427" s="7">
        <v>0.52777777777777779</v>
      </c>
      <c r="C427" s="7">
        <v>0.54236111111111118</v>
      </c>
      <c r="D427" s="7">
        <f>(0.542361111111111-0.527777777777778)</f>
        <v>1.4583333333332948E-2</v>
      </c>
      <c r="E427" s="7">
        <f>ABS(0.0145833333333329-0.00763888888888897)</f>
        <v>6.9444444444439297E-3</v>
      </c>
      <c r="F427" s="1" t="s">
        <v>8</v>
      </c>
    </row>
    <row r="428" spans="1:6" x14ac:dyDescent="0.25">
      <c r="A428" s="11">
        <v>42036</v>
      </c>
      <c r="B428" s="7">
        <v>0.9916666666666667</v>
      </c>
      <c r="C428" s="7">
        <v>0.99930555555555556</v>
      </c>
      <c r="D428" s="7">
        <f>(0.999305555555556-0.991666666666667)</f>
        <v>7.6388888888889728E-3</v>
      </c>
      <c r="E428" s="7">
        <f>ABS(0.00763888888888897-0.020833333333333)</f>
        <v>1.319444444444403E-2</v>
      </c>
      <c r="F428" s="1" t="s">
        <v>8</v>
      </c>
    </row>
    <row r="429" spans="1:6" x14ac:dyDescent="0.25">
      <c r="A429" s="11">
        <v>42036</v>
      </c>
      <c r="B429" s="7">
        <v>0.71527777777777779</v>
      </c>
      <c r="C429" s="7">
        <v>0.73611111111111116</v>
      </c>
      <c r="D429" s="7">
        <f>(0.736111111111111-0.715277777777778)</f>
        <v>2.0833333333333037E-2</v>
      </c>
      <c r="E429" s="7">
        <f>ABS(0.020833333333333-0.0152777777777769)</f>
        <v>5.5555555555560996E-3</v>
      </c>
      <c r="F429" s="1" t="s">
        <v>8</v>
      </c>
    </row>
    <row r="430" spans="1:6" x14ac:dyDescent="0.25">
      <c r="A430" s="11">
        <v>42036</v>
      </c>
      <c r="B430" s="7">
        <v>0.61805555555555558</v>
      </c>
      <c r="C430" s="7">
        <v>0.6333333333333333</v>
      </c>
      <c r="D430" s="7">
        <f>(0.633333333333333-0.618055555555556)</f>
        <v>1.5277777777776946E-2</v>
      </c>
      <c r="E430" s="7">
        <f>ABS(0.0152777777777769-0.0145833333333331)</f>
        <v>6.9444444444380013E-4</v>
      </c>
      <c r="F430" s="1" t="s">
        <v>8</v>
      </c>
    </row>
    <row r="431" spans="1:6" x14ac:dyDescent="0.25">
      <c r="A431" s="11">
        <v>42036</v>
      </c>
      <c r="B431" s="7">
        <v>0.53749999999999998</v>
      </c>
      <c r="C431" s="7">
        <v>0.55208333333333337</v>
      </c>
      <c r="D431" s="7">
        <f>(0.552083333333333-0.5375)</f>
        <v>1.4583333333333059E-2</v>
      </c>
      <c r="E431" s="7">
        <f>ABS(0.0145833333333331-0.00902777777777808)</f>
        <v>5.5555555555550189E-3</v>
      </c>
      <c r="F431" s="1" t="s">
        <v>8</v>
      </c>
    </row>
    <row r="432" spans="1:6" x14ac:dyDescent="0.25">
      <c r="A432" s="11">
        <v>42036</v>
      </c>
      <c r="B432" s="7">
        <v>0.63888888888888895</v>
      </c>
      <c r="C432" s="7">
        <v>0.6479166666666667</v>
      </c>
      <c r="D432" s="7">
        <f>(0.647916666666667-0.638888888888889)</f>
        <v>9.0277777777780788E-3</v>
      </c>
      <c r="E432" s="7">
        <f>ABS(0.00902777777777808-0.0111111111111111)</f>
        <v>2.0833333333330189E-3</v>
      </c>
      <c r="F432" s="1" t="s">
        <v>8</v>
      </c>
    </row>
    <row r="433" spans="1:6" x14ac:dyDescent="0.25">
      <c r="A433" s="11">
        <v>42036</v>
      </c>
      <c r="B433" s="7">
        <v>0.66666666666666663</v>
      </c>
      <c r="C433" s="7">
        <v>0.6777777777777777</v>
      </c>
      <c r="D433" s="7">
        <f>(0.677777777777778-0.666666666666667)</f>
        <v>1.1111111111111072E-2</v>
      </c>
      <c r="E433" s="7"/>
      <c r="F433" s="1" t="s">
        <v>8</v>
      </c>
    </row>
    <row r="434" spans="1:6" x14ac:dyDescent="0.25">
      <c r="A434" s="11">
        <v>42036</v>
      </c>
      <c r="B434" s="7">
        <v>0.26319444444444445</v>
      </c>
      <c r="C434" s="7">
        <v>0.28472222222222221</v>
      </c>
      <c r="D434" s="7">
        <f>(0.284722222222222-0.263194444444444)</f>
        <v>2.1527777777777979E-2</v>
      </c>
      <c r="E434" s="7">
        <f>ABS(0.021527777777778-0.025)</f>
        <v>3.4722222222220017E-3</v>
      </c>
      <c r="F434" s="1" t="s">
        <v>11</v>
      </c>
    </row>
    <row r="435" spans="1:6" x14ac:dyDescent="0.25">
      <c r="A435" s="11">
        <v>42036</v>
      </c>
      <c r="B435" s="7">
        <v>0.49305555555555558</v>
      </c>
      <c r="C435" s="7">
        <v>0.5180555555555556</v>
      </c>
      <c r="D435" s="7">
        <f>(0.518055555555556-0.493055555555556)</f>
        <v>2.5000000000000022E-2</v>
      </c>
      <c r="E435" s="7">
        <f>ABS(0.025-0.030555555555556)</f>
        <v>5.5555555555559973E-3</v>
      </c>
      <c r="F435" s="1" t="s">
        <v>11</v>
      </c>
    </row>
    <row r="436" spans="1:6" x14ac:dyDescent="0.25">
      <c r="A436" s="11">
        <v>42036</v>
      </c>
      <c r="B436" s="7">
        <v>0.52847222222222223</v>
      </c>
      <c r="C436" s="7">
        <v>0.55902777777777779</v>
      </c>
      <c r="D436" s="7">
        <f>(0.559027777777778-0.528472222222222)</f>
        <v>3.0555555555556002E-2</v>
      </c>
      <c r="E436" s="7">
        <f>ABS(0.030555555555556-0.031944444444445)</f>
        <v>1.3888888888889984E-3</v>
      </c>
      <c r="F436" s="1" t="s">
        <v>11</v>
      </c>
    </row>
    <row r="437" spans="1:6" x14ac:dyDescent="0.25">
      <c r="A437" s="11">
        <v>42036</v>
      </c>
      <c r="B437" s="7">
        <v>0.60347222222222219</v>
      </c>
      <c r="C437" s="7">
        <v>0.63541666666666663</v>
      </c>
      <c r="D437" s="7">
        <f>(0.635416666666667-0.603472222222222)</f>
        <v>3.1944444444444997E-2</v>
      </c>
      <c r="E437" s="7">
        <f>ABS(0.031944444444445-0.020138888888888)</f>
        <v>1.1805555555556999E-2</v>
      </c>
      <c r="F437" s="1" t="s">
        <v>11</v>
      </c>
    </row>
    <row r="438" spans="1:6" x14ac:dyDescent="0.25">
      <c r="A438" s="11">
        <v>42036</v>
      </c>
      <c r="B438" s="7">
        <v>0.85555555555555562</v>
      </c>
      <c r="C438" s="7">
        <v>0.87569444444444444</v>
      </c>
      <c r="D438" s="7">
        <f>(0.875694444444444-0.855555555555556)</f>
        <v>2.013888888888804E-2</v>
      </c>
      <c r="E438" s="7">
        <f>ABS(0.020138888888888-0.0215277777777777)</f>
        <v>1.3888888888897027E-3</v>
      </c>
      <c r="F438" s="1" t="s">
        <v>11</v>
      </c>
    </row>
    <row r="439" spans="1:6" x14ac:dyDescent="0.25">
      <c r="A439" s="11">
        <v>42036</v>
      </c>
      <c r="B439" s="7">
        <v>4.7916666666666663E-2</v>
      </c>
      <c r="C439" s="7">
        <v>6.9444444444444434E-2</v>
      </c>
      <c r="D439" s="7">
        <f>(0.0694444444444444-0.0479166666666667)</f>
        <v>2.1527777777777708E-2</v>
      </c>
      <c r="E439" s="7">
        <f>ABS(0.0215277777777777-0.019444444444444)</f>
        <v>2.0833333333337006E-3</v>
      </c>
      <c r="F439" s="1" t="s">
        <v>11</v>
      </c>
    </row>
    <row r="440" spans="1:6" x14ac:dyDescent="0.25">
      <c r="A440" s="11">
        <v>42036</v>
      </c>
      <c r="B440" s="7">
        <v>0.25416666666666665</v>
      </c>
      <c r="C440" s="7">
        <v>0.27361111111111108</v>
      </c>
      <c r="D440" s="7">
        <f>(0.273611111111111-0.254166666666667)</f>
        <v>1.9444444444444042E-2</v>
      </c>
      <c r="E440" s="7">
        <f>ABS(0.019444444444444-0.0201388888888889)</f>
        <v>6.9444444444489994E-4</v>
      </c>
      <c r="F440" s="1" t="s">
        <v>11</v>
      </c>
    </row>
    <row r="441" spans="1:6" x14ac:dyDescent="0.25">
      <c r="A441" s="11">
        <v>42036</v>
      </c>
      <c r="B441" s="7">
        <v>0.9555555555555556</v>
      </c>
      <c r="C441" s="7">
        <v>0.97569444444444453</v>
      </c>
      <c r="D441" s="7">
        <f>(0.975694444444445-0.955555555555556)</f>
        <v>2.0138888888888928E-2</v>
      </c>
      <c r="E441" s="7">
        <f>ABS(0.0201388888888889-0.0208333333333299)</f>
        <v>6.9444444444100029E-4</v>
      </c>
      <c r="F441" s="1" t="s">
        <v>11</v>
      </c>
    </row>
    <row r="442" spans="1:6" x14ac:dyDescent="0.25">
      <c r="A442" s="11">
        <v>42036</v>
      </c>
      <c r="B442" s="7">
        <v>1.0111111111111111</v>
      </c>
      <c r="C442" s="7">
        <v>1.0319444444444443</v>
      </c>
      <c r="D442" s="7">
        <f>(1.03194444444444-1.01111111111111)</f>
        <v>2.0833333333329929E-2</v>
      </c>
      <c r="E442" s="7">
        <f>ABS(0.0208333333333299-0.0201388888888888)</f>
        <v>6.944444444411009E-4</v>
      </c>
      <c r="F442" s="1" t="s">
        <v>11</v>
      </c>
    </row>
    <row r="443" spans="1:6" x14ac:dyDescent="0.25">
      <c r="A443" s="11">
        <v>42036</v>
      </c>
      <c r="B443" s="7">
        <v>7.4305555555555555E-2</v>
      </c>
      <c r="C443" s="7">
        <v>9.4444444444444442E-2</v>
      </c>
      <c r="D443" s="7">
        <f>(0.0944444444444444-0.0743055555555556)</f>
        <v>2.0138888888888803E-2</v>
      </c>
      <c r="E443" s="7">
        <f>ABS(0.0201388888888888-0.022222222222222)</f>
        <v>2.083333333333201E-3</v>
      </c>
      <c r="F443" s="1" t="s">
        <v>11</v>
      </c>
    </row>
    <row r="444" spans="1:6" x14ac:dyDescent="0.25">
      <c r="A444" s="11">
        <v>42036</v>
      </c>
      <c r="B444" s="7">
        <v>0.4236111111111111</v>
      </c>
      <c r="C444" s="7">
        <v>0.4458333333333333</v>
      </c>
      <c r="D444" s="7">
        <f>(0.445833333333333-0.423611111111111)</f>
        <v>2.2222222222222032E-2</v>
      </c>
      <c r="E444" s="7">
        <f>ABS(0.022222222222222-0.027777777777778)</f>
        <v>5.5555555555559973E-3</v>
      </c>
      <c r="F444" s="1" t="s">
        <v>11</v>
      </c>
    </row>
    <row r="445" spans="1:6" x14ac:dyDescent="0.25">
      <c r="A445" s="11">
        <v>42036</v>
      </c>
      <c r="B445" s="7">
        <v>0.46458333333333335</v>
      </c>
      <c r="C445" s="7">
        <v>0.49236111111111108</v>
      </c>
      <c r="D445" s="7">
        <f>(0.492361111111111-0.464583333333333)</f>
        <v>2.7777777777778012E-2</v>
      </c>
      <c r="E445" s="7">
        <f>ABS(0.027777777777778-0.020138888888889)</f>
        <v>7.6388888888889971E-3</v>
      </c>
      <c r="F445" s="1" t="s">
        <v>11</v>
      </c>
    </row>
    <row r="446" spans="1:6" x14ac:dyDescent="0.25">
      <c r="A446" s="11">
        <v>42036</v>
      </c>
      <c r="B446" s="7">
        <v>0.47638888888888892</v>
      </c>
      <c r="C446" s="7">
        <v>0.49652777777777773</v>
      </c>
      <c r="D446" s="7">
        <f>(0.496527777777778-0.476388888888889)</f>
        <v>2.0138888888889039E-2</v>
      </c>
      <c r="E446" s="7">
        <f>ABS(0.020138888888889-0.0201388888888889)</f>
        <v>1.0061396160665481E-16</v>
      </c>
      <c r="F446" s="1" t="s">
        <v>11</v>
      </c>
    </row>
    <row r="447" spans="1:6" x14ac:dyDescent="0.25">
      <c r="A447" s="11">
        <v>42036</v>
      </c>
      <c r="B447" s="7">
        <v>0.54999999999999993</v>
      </c>
      <c r="C447" s="7">
        <v>0.57013888888888886</v>
      </c>
      <c r="D447" s="7">
        <f>(0.570138888888889-0.55)</f>
        <v>2.0138888888888928E-2</v>
      </c>
      <c r="E447" s="7">
        <f>ABS(0.0201388888888889-0.026388888888889)</f>
        <v>6.2500000000000992E-3</v>
      </c>
      <c r="F447" s="1" t="s">
        <v>11</v>
      </c>
    </row>
    <row r="448" spans="1:6" x14ac:dyDescent="0.25">
      <c r="A448" s="11">
        <v>42036</v>
      </c>
      <c r="B448" s="7">
        <v>0.58958333333333335</v>
      </c>
      <c r="C448" s="7">
        <v>0.61597222222222225</v>
      </c>
      <c r="D448" s="7">
        <f>(0.615972222222222-0.589583333333333)</f>
        <v>2.6388888888889017E-2</v>
      </c>
      <c r="E448" s="7">
        <f>ABS(0.026388888888889-0.020833333333333)</f>
        <v>5.5555555555560007E-3</v>
      </c>
      <c r="F448" s="1" t="s">
        <v>11</v>
      </c>
    </row>
    <row r="449" spans="1:6" x14ac:dyDescent="0.25">
      <c r="A449" s="11">
        <v>42036</v>
      </c>
      <c r="B449" s="7">
        <v>0.84305555555555556</v>
      </c>
      <c r="C449" s="7">
        <v>0.86388888888888893</v>
      </c>
      <c r="D449" s="7">
        <f>(0.863888888888889-0.843055555555556)</f>
        <v>2.0833333333333037E-2</v>
      </c>
      <c r="E449" s="7">
        <f>ABS(0.020833333333333-0.0291666666666667)</f>
        <v>8.3333333333336992E-3</v>
      </c>
      <c r="F449" s="1" t="s">
        <v>11</v>
      </c>
    </row>
    <row r="450" spans="1:6" x14ac:dyDescent="0.25">
      <c r="A450" s="11">
        <v>42036</v>
      </c>
      <c r="B450" s="7">
        <v>8.9583333333333334E-2</v>
      </c>
      <c r="C450" s="7">
        <v>0.11875000000000001</v>
      </c>
      <c r="D450" s="7">
        <f>(0.11875-0.0895833333333333)</f>
        <v>2.9166666666666688E-2</v>
      </c>
      <c r="E450" s="7">
        <f>ABS(0.0291666666666667-0.023611111111111)</f>
        <v>5.5555555555556989E-3</v>
      </c>
      <c r="F450" s="1" t="s">
        <v>11</v>
      </c>
    </row>
    <row r="451" spans="1:6" x14ac:dyDescent="0.25">
      <c r="A451" s="11">
        <v>42036</v>
      </c>
      <c r="B451" s="7">
        <v>0.81111111111111101</v>
      </c>
      <c r="C451" s="7">
        <v>0.83472222222222225</v>
      </c>
      <c r="D451" s="7">
        <f>(0.834722222222222-0.811111111111111)</f>
        <v>2.3611111111111027E-2</v>
      </c>
      <c r="E451" s="7">
        <f>ABS(0.023611111111111-0.022222222222222)</f>
        <v>1.3888888888889984E-3</v>
      </c>
      <c r="F451" s="1" t="s">
        <v>11</v>
      </c>
    </row>
    <row r="452" spans="1:6" x14ac:dyDescent="0.25">
      <c r="A452" s="11">
        <v>42036</v>
      </c>
      <c r="B452" s="7">
        <v>9.9999999999999992E-2</v>
      </c>
      <c r="C452" s="7">
        <v>0.12222222222222223</v>
      </c>
      <c r="D452" s="7">
        <f>(0.122222222222222-0.1)</f>
        <v>2.2222222222221991E-2</v>
      </c>
      <c r="E452" s="7">
        <f>ABS(0.022222222222222-0.019444444444445)</f>
        <v>2.7777777777770012E-3</v>
      </c>
      <c r="F452" s="1" t="s">
        <v>11</v>
      </c>
    </row>
    <row r="453" spans="1:6" x14ac:dyDescent="0.25">
      <c r="A453" s="11">
        <v>42036</v>
      </c>
      <c r="B453" s="7">
        <v>0.14722222222222223</v>
      </c>
      <c r="C453" s="7">
        <v>0.16666666666666666</v>
      </c>
      <c r="D453" s="7">
        <f>(0.166666666666667-0.147222222222222)</f>
        <v>1.9444444444444986E-2</v>
      </c>
      <c r="E453" s="7">
        <f>ABS(0.019444444444445-0.022916666666667)</f>
        <v>3.4722222222220017E-3</v>
      </c>
      <c r="F453" s="1" t="s">
        <v>11</v>
      </c>
    </row>
    <row r="454" spans="1:6" x14ac:dyDescent="0.25">
      <c r="A454" s="11">
        <v>42036</v>
      </c>
      <c r="B454" s="7">
        <v>0.6069444444444444</v>
      </c>
      <c r="C454" s="7">
        <v>0.62986111111111109</v>
      </c>
      <c r="D454" s="7">
        <f>(0.629861111111111-0.606944444444444)</f>
        <v>2.2916666666667029E-2</v>
      </c>
      <c r="E454" s="7">
        <f>ABS(0.022916666666667-0.022916666666667)</f>
        <v>0</v>
      </c>
      <c r="F454" s="1" t="s">
        <v>11</v>
      </c>
    </row>
    <row r="455" spans="1:6" x14ac:dyDescent="0.25">
      <c r="A455" s="11">
        <v>42036</v>
      </c>
      <c r="B455" s="7">
        <v>0.71250000000000002</v>
      </c>
      <c r="C455" s="7">
        <v>0.73541666666666661</v>
      </c>
      <c r="D455" s="7">
        <f>(0.735416666666667-0.7125)</f>
        <v>2.2916666666667029E-2</v>
      </c>
      <c r="E455" s="7">
        <f>ABS(0.022916666666667-0.0229166666666667)</f>
        <v>3.0184188481996443E-16</v>
      </c>
      <c r="F455" s="1" t="s">
        <v>11</v>
      </c>
    </row>
    <row r="456" spans="1:6" x14ac:dyDescent="0.25">
      <c r="A456" s="11">
        <v>42036</v>
      </c>
      <c r="B456" s="7">
        <v>7.3611111111111113E-2</v>
      </c>
      <c r="C456" s="7">
        <v>9.6527777777777768E-2</v>
      </c>
      <c r="D456" s="7">
        <f>(0.0965277777777778-0.0736111111111111)</f>
        <v>2.2916666666666696E-2</v>
      </c>
      <c r="E456" s="7">
        <f>ABS(0.0229166666666667-0.020138888888889)</f>
        <v>2.7777777777776985E-3</v>
      </c>
      <c r="F456" s="1" t="s">
        <v>11</v>
      </c>
    </row>
    <row r="457" spans="1:6" x14ac:dyDescent="0.25">
      <c r="A457" s="11">
        <v>42036</v>
      </c>
      <c r="B457" s="7">
        <v>0.19027777777777777</v>
      </c>
      <c r="C457" s="7">
        <v>0.21041666666666667</v>
      </c>
      <c r="D457" s="7">
        <f>(0.210416666666667-0.190277777777778)</f>
        <v>2.0138888888889012E-2</v>
      </c>
      <c r="E457" s="7">
        <f>ABS(0.020138888888889-0.0263888888888889)</f>
        <v>6.249999999999898E-3</v>
      </c>
      <c r="F457" s="1" t="s">
        <v>11</v>
      </c>
    </row>
    <row r="458" spans="1:6" x14ac:dyDescent="0.25">
      <c r="A458" s="11">
        <v>42036</v>
      </c>
      <c r="B458" s="7">
        <v>2.7777777777777776E-2</v>
      </c>
      <c r="C458" s="7">
        <v>5.4166666666666669E-2</v>
      </c>
      <c r="D458" s="7">
        <f>(0.0541666666666667-0.0277777777777778)</f>
        <v>2.6388888888888903E-2</v>
      </c>
      <c r="E458" s="7">
        <f>ABS(0.0263888888888889-0.021527777777777)</f>
        <v>4.8611111111118988E-3</v>
      </c>
      <c r="F458" s="1" t="s">
        <v>11</v>
      </c>
    </row>
    <row r="459" spans="1:6" x14ac:dyDescent="0.25">
      <c r="A459" s="11">
        <v>42036</v>
      </c>
      <c r="B459" s="7">
        <v>0.15555555555555556</v>
      </c>
      <c r="C459" s="7">
        <v>0.17708333333333334</v>
      </c>
      <c r="D459" s="7">
        <f>(0.177083333333333-0.155555555555556)</f>
        <v>2.1527777777777007E-2</v>
      </c>
      <c r="E459" s="7">
        <f>ABS(0.021527777777777-0.0201388888888889)</f>
        <v>1.3888888888880999E-3</v>
      </c>
      <c r="F459" s="1" t="s">
        <v>11</v>
      </c>
    </row>
    <row r="460" spans="1:6" x14ac:dyDescent="0.25">
      <c r="A460" s="11">
        <v>42036</v>
      </c>
      <c r="B460" s="7">
        <v>0.89513888888888893</v>
      </c>
      <c r="C460" s="7">
        <v>0.91527777777777775</v>
      </c>
      <c r="D460" s="7">
        <f>(0.915277777777778-0.895138888888889)</f>
        <v>2.0138888888888928E-2</v>
      </c>
      <c r="E460" s="7">
        <f>ABS(0.0201388888888889-0.019444444444444)</f>
        <v>6.9444444444489994E-4</v>
      </c>
      <c r="F460" s="1" t="s">
        <v>11</v>
      </c>
    </row>
    <row r="461" spans="1:6" x14ac:dyDescent="0.25">
      <c r="A461" s="11">
        <v>42036</v>
      </c>
      <c r="B461" s="7">
        <v>0.97499999999999998</v>
      </c>
      <c r="C461" s="7">
        <v>0.99444444444444446</v>
      </c>
      <c r="D461" s="7">
        <f>(0.994444444444444-0.975)</f>
        <v>1.9444444444444042E-2</v>
      </c>
      <c r="E461" s="7">
        <f>ABS(0.019444444444444-0.020138888888889)</f>
        <v>6.9444444444500056E-4</v>
      </c>
      <c r="F461" s="1" t="s">
        <v>11</v>
      </c>
    </row>
    <row r="462" spans="1:6" x14ac:dyDescent="0.25">
      <c r="A462" s="11">
        <v>42036</v>
      </c>
      <c r="B462" s="7">
        <v>0.55902777777777779</v>
      </c>
      <c r="C462" s="7">
        <v>0.57916666666666672</v>
      </c>
      <c r="D462" s="7">
        <f>(0.579166666666667-0.559027777777778)</f>
        <v>2.0138888888889039E-2</v>
      </c>
      <c r="E462" s="7">
        <f>ABS(0.020138888888889-0.0159722222222179)</f>
        <v>4.1666666666710997E-3</v>
      </c>
      <c r="F462" s="1" t="s">
        <v>11</v>
      </c>
    </row>
    <row r="463" spans="1:6" x14ac:dyDescent="0.25">
      <c r="A463" s="11">
        <v>42036</v>
      </c>
      <c r="B463" s="7">
        <v>0.99097222222222225</v>
      </c>
      <c r="C463" s="7">
        <v>1.0069444444444444</v>
      </c>
      <c r="D463" s="7">
        <f>(1.00694444444444-0.990972222222222)</f>
        <v>1.5972222222217947E-2</v>
      </c>
      <c r="E463" s="7">
        <f>ABS(0.0159722222222179-0.0125)</f>
        <v>3.4722222222179008E-3</v>
      </c>
      <c r="F463" s="1" t="s">
        <v>11</v>
      </c>
    </row>
    <row r="464" spans="1:6" x14ac:dyDescent="0.25">
      <c r="A464" s="11">
        <v>42036</v>
      </c>
      <c r="B464" s="7">
        <v>0.35138888888888892</v>
      </c>
      <c r="C464" s="7">
        <v>0.36388888888888887</v>
      </c>
      <c r="D464" s="7">
        <f>(0.363888888888889-0.351388888888889)</f>
        <v>1.2500000000000011E-2</v>
      </c>
      <c r="E464" s="7">
        <f>ABS(0.0125-0.020833333333333)</f>
        <v>8.3333333333329984E-3</v>
      </c>
      <c r="F464" s="1" t="s">
        <v>11</v>
      </c>
    </row>
    <row r="465" spans="1:6" x14ac:dyDescent="0.25">
      <c r="A465" s="11">
        <v>42036</v>
      </c>
      <c r="B465" s="7">
        <v>0.36388888888888887</v>
      </c>
      <c r="C465" s="7">
        <v>0.38472222222222219</v>
      </c>
      <c r="D465" s="7">
        <f>(0.384722222222222-0.363888888888889)</f>
        <v>2.0833333333333037E-2</v>
      </c>
      <c r="E465" s="7">
        <f>ABS(0.020833333333333-0.021527777777778)</f>
        <v>6.9444444444500056E-4</v>
      </c>
      <c r="F465" s="1" t="s">
        <v>11</v>
      </c>
    </row>
    <row r="466" spans="1:6" x14ac:dyDescent="0.25">
      <c r="A466" s="11">
        <v>42036</v>
      </c>
      <c r="B466" s="7">
        <v>0.40763888888888888</v>
      </c>
      <c r="C466" s="7">
        <v>0.4291666666666667</v>
      </c>
      <c r="D466" s="7">
        <f>(0.429166666666667-0.407638888888889)</f>
        <v>2.1527777777777979E-2</v>
      </c>
      <c r="E466" s="7">
        <f>ABS(0.021527777777778-0.034722222222222)</f>
        <v>1.3194444444444002E-2</v>
      </c>
      <c r="F466" s="1" t="s">
        <v>11</v>
      </c>
    </row>
    <row r="467" spans="1:6" x14ac:dyDescent="0.25">
      <c r="A467" s="11">
        <v>42036</v>
      </c>
      <c r="B467" s="7">
        <v>0.69652777777777775</v>
      </c>
      <c r="C467" s="7">
        <v>0.73125000000000007</v>
      </c>
      <c r="D467" s="7">
        <f>(0.73125-0.696527777777778)</f>
        <v>3.4722222222221988E-2</v>
      </c>
      <c r="E467" s="7">
        <f>ABS(0.034722222222222-0.036111111111112)</f>
        <v>1.3888888888900011E-3</v>
      </c>
      <c r="F467" s="1" t="s">
        <v>11</v>
      </c>
    </row>
    <row r="468" spans="1:6" x14ac:dyDescent="0.25">
      <c r="A468" s="11">
        <v>42036</v>
      </c>
      <c r="B468" s="7">
        <v>0.50694444444444442</v>
      </c>
      <c r="C468" s="7">
        <v>0.54305555555555551</v>
      </c>
      <c r="D468" s="7">
        <f>(0.543055555555556-0.506944444444444)</f>
        <v>3.6111111111111982E-2</v>
      </c>
      <c r="E468" s="7">
        <f>ABS(0.036111111111112-0.018055555555556)</f>
        <v>1.8055555555556001E-2</v>
      </c>
      <c r="F468" s="1" t="s">
        <v>11</v>
      </c>
    </row>
    <row r="469" spans="1:6" x14ac:dyDescent="0.25">
      <c r="A469" s="11">
        <v>42036</v>
      </c>
      <c r="B469" s="7">
        <v>0.47222222222222227</v>
      </c>
      <c r="C469" s="7">
        <v>0.49027777777777781</v>
      </c>
      <c r="D469" s="7">
        <f>(0.490277777777778-0.472222222222222)</f>
        <v>1.8055555555555991E-2</v>
      </c>
      <c r="E469" s="7">
        <f>ABS(0.018055555555556-0.023611111111111)</f>
        <v>5.5555555555549981E-3</v>
      </c>
      <c r="F469" s="1" t="s">
        <v>11</v>
      </c>
    </row>
    <row r="470" spans="1:6" x14ac:dyDescent="0.25">
      <c r="A470" s="11">
        <v>42036</v>
      </c>
      <c r="B470" s="7">
        <v>0.62777777777777777</v>
      </c>
      <c r="C470" s="7">
        <v>0.65138888888888891</v>
      </c>
      <c r="D470" s="7">
        <f>(0.651388888888889-0.627777777777778)</f>
        <v>2.3611111111111027E-2</v>
      </c>
      <c r="E470" s="7">
        <f>ABS(0.023611111111111-0.0215277777777779)</f>
        <v>2.0833333333331004E-3</v>
      </c>
      <c r="F470" s="1" t="s">
        <v>11</v>
      </c>
    </row>
    <row r="471" spans="1:6" x14ac:dyDescent="0.25">
      <c r="A471" s="11">
        <v>42036</v>
      </c>
      <c r="B471" s="7">
        <v>0.80555555555555547</v>
      </c>
      <c r="C471" s="7">
        <v>0.82708333333333339</v>
      </c>
      <c r="D471" s="7">
        <f>(0.827083333333333-0.805555555555555)</f>
        <v>2.1527777777777923E-2</v>
      </c>
      <c r="E471" s="7">
        <f>ABS(0.0215277777777779-0.020833333333333)</f>
        <v>6.9444444444489994E-4</v>
      </c>
      <c r="F471" s="1" t="s">
        <v>11</v>
      </c>
    </row>
    <row r="472" spans="1:6" x14ac:dyDescent="0.25">
      <c r="A472" s="11">
        <v>42036</v>
      </c>
      <c r="B472" s="7">
        <v>0.4993055555555555</v>
      </c>
      <c r="C472" s="7">
        <v>0.52013888888888882</v>
      </c>
      <c r="D472" s="7">
        <f>(0.520138888888889-0.499305555555556)</f>
        <v>2.0833333333333037E-2</v>
      </c>
      <c r="E472" s="7">
        <f>ABS(0.020833333333333-0.0166666666666669)</f>
        <v>4.1666666666661002E-3</v>
      </c>
      <c r="F472" s="1" t="s">
        <v>11</v>
      </c>
    </row>
    <row r="473" spans="1:6" x14ac:dyDescent="0.25">
      <c r="A473" s="11">
        <v>42036</v>
      </c>
      <c r="B473" s="7">
        <v>0.52986111111111112</v>
      </c>
      <c r="C473" s="7">
        <v>0.54652777777777783</v>
      </c>
      <c r="D473" s="7">
        <f>(0.546527777777778-0.529861111111111)</f>
        <v>1.6666666666666941E-2</v>
      </c>
      <c r="E473" s="7">
        <f>ABS(0.0166666666666669-0.0131944444444441)</f>
        <v>3.4722222222227997E-3</v>
      </c>
      <c r="F473" s="1" t="s">
        <v>11</v>
      </c>
    </row>
    <row r="474" spans="1:6" x14ac:dyDescent="0.25">
      <c r="A474" s="11">
        <v>42036</v>
      </c>
      <c r="B474" s="7">
        <v>0.63402777777777775</v>
      </c>
      <c r="C474" s="7">
        <v>0.64722222222222225</v>
      </c>
      <c r="D474" s="7">
        <f>(0.647222222222222-0.634027777777778)</f>
        <v>1.3194444444444065E-2</v>
      </c>
      <c r="E474" s="7">
        <f>ABS(0.0131944444444441-0.019444444444444)</f>
        <v>6.2499999999999015E-3</v>
      </c>
      <c r="F474" s="1" t="s">
        <v>11</v>
      </c>
    </row>
    <row r="475" spans="1:6" x14ac:dyDescent="0.25">
      <c r="A475" s="11">
        <v>42036</v>
      </c>
      <c r="B475" s="7">
        <v>0.94305555555555554</v>
      </c>
      <c r="C475" s="7">
        <v>0.96250000000000002</v>
      </c>
      <c r="D475" s="7">
        <f>(0.9625-0.943055555555556)</f>
        <v>1.9444444444444042E-2</v>
      </c>
      <c r="E475" s="7">
        <f>ABS(0.019444444444444-0.01111111111111)</f>
        <v>8.3333333333340011E-3</v>
      </c>
      <c r="F475" s="1" t="s">
        <v>11</v>
      </c>
    </row>
    <row r="476" spans="1:6" x14ac:dyDescent="0.25">
      <c r="A476" s="11">
        <v>42036</v>
      </c>
      <c r="B476" s="7">
        <v>1.007638888888889</v>
      </c>
      <c r="C476" s="7">
        <v>1.01875</v>
      </c>
      <c r="D476" s="7">
        <f>(1.01875-1.00763888888889)</f>
        <v>1.1111111111109961E-2</v>
      </c>
      <c r="E476" s="7">
        <f>ABS(0.01111111111111-0.0145833333333331)</f>
        <v>3.4722222222230998E-3</v>
      </c>
      <c r="F476" s="1" t="s">
        <v>11</v>
      </c>
    </row>
    <row r="477" spans="1:6" x14ac:dyDescent="0.25">
      <c r="A477" s="11">
        <v>42036</v>
      </c>
      <c r="B477" s="7">
        <v>0.9916666666666667</v>
      </c>
      <c r="C477" s="7">
        <v>1.0062499999999999</v>
      </c>
      <c r="D477" s="7">
        <f>(1.00625-0.991666666666667)</f>
        <v>1.4583333333333059E-2</v>
      </c>
      <c r="E477" s="7">
        <f>ABS(0.0145833333333331-0.022916666666666)</f>
        <v>8.3333333333328995E-3</v>
      </c>
      <c r="F477" s="1" t="s">
        <v>11</v>
      </c>
    </row>
    <row r="478" spans="1:6" x14ac:dyDescent="0.25">
      <c r="A478" s="11">
        <v>42036</v>
      </c>
      <c r="B478" s="7">
        <v>0.15277777777777776</v>
      </c>
      <c r="C478" s="7">
        <v>0.17569444444444446</v>
      </c>
      <c r="D478" s="7">
        <f>(0.175694444444444-0.152777777777778)</f>
        <v>2.2916666666665975E-2</v>
      </c>
      <c r="E478" s="7">
        <f>ABS(0.022916666666666-0.027083333333333)</f>
        <v>4.1666666666670023E-3</v>
      </c>
      <c r="F478" s="1" t="s">
        <v>11</v>
      </c>
    </row>
    <row r="479" spans="1:6" x14ac:dyDescent="0.25">
      <c r="A479" s="11">
        <v>42036</v>
      </c>
      <c r="B479" s="7">
        <v>0.27361111111111108</v>
      </c>
      <c r="C479" s="7">
        <v>0.30069444444444443</v>
      </c>
      <c r="D479" s="7">
        <f>(0.300694444444444-0.273611111111111)</f>
        <v>2.708333333333296E-2</v>
      </c>
      <c r="E479" s="7">
        <f>ABS(0.027083333333333-0.0194444444444439)</f>
        <v>7.6388888888891011E-3</v>
      </c>
      <c r="F479" s="1" t="s">
        <v>11</v>
      </c>
    </row>
    <row r="480" spans="1:6" x14ac:dyDescent="0.25">
      <c r="A480" s="11">
        <v>42036</v>
      </c>
      <c r="B480" s="7">
        <v>0.55138888888888882</v>
      </c>
      <c r="C480" s="7">
        <v>0.5708333333333333</v>
      </c>
      <c r="D480" s="7">
        <f>(0.570833333333333-0.551388888888889)</f>
        <v>1.9444444444443931E-2</v>
      </c>
      <c r="E480" s="7">
        <f>ABS(0.0194444444444439-0.0222222222222219)</f>
        <v>2.7777777777780004E-3</v>
      </c>
      <c r="F480" s="1" t="s">
        <v>11</v>
      </c>
    </row>
    <row r="481" spans="1:6" x14ac:dyDescent="0.25">
      <c r="A481" s="11">
        <v>42036</v>
      </c>
      <c r="B481" s="7">
        <v>0.61736111111111114</v>
      </c>
      <c r="C481" s="7">
        <v>0.63958333333333328</v>
      </c>
      <c r="D481" s="7">
        <f>(0.639583333333333-0.617361111111111)</f>
        <v>2.2222222222221921E-2</v>
      </c>
      <c r="E481" s="7">
        <f>ABS(0.0222222222222219-0.022222222222222)</f>
        <v>1.0061396160665481E-16</v>
      </c>
      <c r="F481" s="1" t="s">
        <v>11</v>
      </c>
    </row>
    <row r="482" spans="1:6" x14ac:dyDescent="0.25">
      <c r="A482" s="11">
        <v>42036</v>
      </c>
      <c r="B482" s="7">
        <v>0.12986111111111112</v>
      </c>
      <c r="C482" s="7">
        <v>0.15208333333333332</v>
      </c>
      <c r="D482" s="7">
        <f>(0.152083333333333-0.129861111111111)</f>
        <v>2.2222222222221977E-2</v>
      </c>
      <c r="E482" s="7">
        <f>ABS(0.022222222222222-0.021527777777778)</f>
        <v>6.9444444444400136E-4</v>
      </c>
      <c r="F482" s="1" t="s">
        <v>11</v>
      </c>
    </row>
    <row r="483" spans="1:6" x14ac:dyDescent="0.25">
      <c r="A483" s="11">
        <v>42036</v>
      </c>
      <c r="B483" s="7">
        <v>0.87986111111111109</v>
      </c>
      <c r="C483" s="7">
        <v>0.90138888888888891</v>
      </c>
      <c r="D483" s="7">
        <f>(0.901388888888889-0.879861111111111)</f>
        <v>2.1527777777778034E-2</v>
      </c>
      <c r="E483" s="7">
        <f>ABS(0.021527777777778-0.0208333333333339)</f>
        <v>6.944444444440985E-4</v>
      </c>
      <c r="F483" s="1" t="s">
        <v>11</v>
      </c>
    </row>
    <row r="484" spans="1:6" x14ac:dyDescent="0.25">
      <c r="A484" s="11">
        <v>42036</v>
      </c>
      <c r="B484" s="7">
        <v>0.74305555555555547</v>
      </c>
      <c r="C484" s="7">
        <v>0.76388888888888884</v>
      </c>
      <c r="D484" s="7">
        <f>(0.763888888888889-0.743055555555555)</f>
        <v>2.0833333333333925E-2</v>
      </c>
      <c r="E484" s="7">
        <f>ABS(0.0208333333333339-0.00902777777777708)</f>
        <v>1.1805555555556822E-2</v>
      </c>
      <c r="F484" s="1" t="s">
        <v>11</v>
      </c>
    </row>
    <row r="485" spans="1:6" x14ac:dyDescent="0.25">
      <c r="A485" s="11">
        <v>42036</v>
      </c>
      <c r="B485" s="7">
        <v>0.79652777777777783</v>
      </c>
      <c r="C485" s="7">
        <v>0.80555555555555547</v>
      </c>
      <c r="D485" s="7">
        <f>(0.805555555555555-0.796527777777778)</f>
        <v>9.0277777777770796E-3</v>
      </c>
      <c r="E485" s="7">
        <f>ABS(0.00902777777777708-0.03125)</f>
        <v>2.222222222222292E-2</v>
      </c>
      <c r="F485" s="1" t="s">
        <v>11</v>
      </c>
    </row>
    <row r="486" spans="1:6" x14ac:dyDescent="0.25">
      <c r="A486" s="11">
        <v>42036</v>
      </c>
      <c r="B486" s="7">
        <v>1.0041666666666667</v>
      </c>
      <c r="C486" s="7">
        <v>1.0354166666666667</v>
      </c>
      <c r="D486" s="7">
        <f>(1.03541666666667-1.00416666666667)</f>
        <v>3.125E-2</v>
      </c>
      <c r="E486" s="7">
        <f>ABS(0.03125-0.034027777777778)</f>
        <v>2.7777777777779969E-3</v>
      </c>
      <c r="F486" s="1" t="s">
        <v>11</v>
      </c>
    </row>
    <row r="487" spans="1:6" x14ac:dyDescent="0.25">
      <c r="A487" s="11">
        <v>42036</v>
      </c>
      <c r="B487" s="7">
        <v>0.25625000000000003</v>
      </c>
      <c r="C487" s="7">
        <v>0.2902777777777778</v>
      </c>
      <c r="D487" s="7">
        <f>(0.290277777777778-0.25625)</f>
        <v>3.4027777777778045E-2</v>
      </c>
      <c r="E487" s="7">
        <f>ABS(0.034027777777778-0.0243055555555559)</f>
        <v>9.7222222222220975E-3</v>
      </c>
      <c r="F487" s="1" t="s">
        <v>11</v>
      </c>
    </row>
    <row r="488" spans="1:6" x14ac:dyDescent="0.25">
      <c r="A488" s="11">
        <v>42036</v>
      </c>
      <c r="B488" s="7">
        <v>0.86319444444444438</v>
      </c>
      <c r="C488" s="7">
        <v>0.88750000000000007</v>
      </c>
      <c r="D488" s="7">
        <f>(0.8875-0.863194444444444)</f>
        <v>2.4305555555555913E-2</v>
      </c>
      <c r="E488" s="7">
        <f>ABS(0.0243055555555559-0.013888888888889)</f>
        <v>1.04166666666669E-2</v>
      </c>
      <c r="F488" s="1" t="s">
        <v>11</v>
      </c>
    </row>
    <row r="489" spans="1:6" x14ac:dyDescent="0.25">
      <c r="A489" s="11">
        <v>42036</v>
      </c>
      <c r="B489" s="7">
        <v>0.38472222222222219</v>
      </c>
      <c r="C489" s="7">
        <v>0.39861111111111108</v>
      </c>
      <c r="D489" s="7">
        <f>(0.398611111111111-0.384722222222222)</f>
        <v>1.3888888888889006E-2</v>
      </c>
      <c r="E489" s="7">
        <f>ABS(0.013888888888889-0.015972222222222)</f>
        <v>2.0833333333329998E-3</v>
      </c>
      <c r="F489" s="1" t="s">
        <v>11</v>
      </c>
    </row>
    <row r="490" spans="1:6" x14ac:dyDescent="0.25">
      <c r="A490" s="11">
        <v>42036</v>
      </c>
      <c r="B490" s="7">
        <v>0.32361111111111113</v>
      </c>
      <c r="C490" s="7">
        <v>0.33958333333333335</v>
      </c>
      <c r="D490" s="7">
        <f>(0.339583333333333-0.323611111111111)</f>
        <v>1.5972222222221999E-2</v>
      </c>
      <c r="E490" s="7">
        <f>ABS(0.015972222222222-0.024305555555555)</f>
        <v>8.3333333333330019E-3</v>
      </c>
      <c r="F490" s="1" t="s">
        <v>11</v>
      </c>
    </row>
    <row r="491" spans="1:6" x14ac:dyDescent="0.25">
      <c r="A491" s="11">
        <v>42036</v>
      </c>
      <c r="B491" s="7">
        <v>0.66180555555555554</v>
      </c>
      <c r="C491" s="7">
        <v>0.68611111111111101</v>
      </c>
      <c r="D491" s="7">
        <f>(0.686111111111111-0.661805555555556)</f>
        <v>2.4305555555555025E-2</v>
      </c>
      <c r="E491" s="7">
        <f>ABS(0.024305555555555-0.020833333333333)</f>
        <v>3.4722222222220017E-3</v>
      </c>
      <c r="F491" s="1" t="s">
        <v>11</v>
      </c>
    </row>
    <row r="492" spans="1:6" x14ac:dyDescent="0.25">
      <c r="A492" s="11">
        <v>42036</v>
      </c>
      <c r="B492" s="7">
        <v>0.68541666666666667</v>
      </c>
      <c r="C492" s="7">
        <v>0.70624999999999993</v>
      </c>
      <c r="D492" s="7">
        <f>(0.70625-0.685416666666667)</f>
        <v>2.0833333333333037E-2</v>
      </c>
      <c r="E492" s="7">
        <f>ABS(0.020833333333333-0.0215277777777779)</f>
        <v>6.9444444444489994E-4</v>
      </c>
      <c r="F492" s="1" t="s">
        <v>11</v>
      </c>
    </row>
    <row r="493" spans="1:6" x14ac:dyDescent="0.25">
      <c r="A493" s="11">
        <v>42036</v>
      </c>
      <c r="B493" s="7">
        <v>0.74097222222222225</v>
      </c>
      <c r="C493" s="7">
        <v>0.76250000000000007</v>
      </c>
      <c r="D493" s="7">
        <f>(0.7625-0.740972222222222)</f>
        <v>2.1527777777777923E-2</v>
      </c>
      <c r="E493" s="7">
        <f>ABS(0.0215277777777779-0.0243055555555559)</f>
        <v>2.7777777777780004E-3</v>
      </c>
      <c r="F493" s="1" t="s">
        <v>11</v>
      </c>
    </row>
    <row r="494" spans="1:6" x14ac:dyDescent="0.25">
      <c r="A494" s="11">
        <v>42036</v>
      </c>
      <c r="B494" s="7">
        <v>0.73749999999999993</v>
      </c>
      <c r="C494" s="7">
        <v>0.76180555555555562</v>
      </c>
      <c r="D494" s="7">
        <f>(0.761805555555556-0.7375)</f>
        <v>2.4305555555555913E-2</v>
      </c>
      <c r="E494" s="7">
        <f>ABS(0.0243055555555559-0.020138888888889)</f>
        <v>4.1666666666668982E-3</v>
      </c>
      <c r="F494" s="1" t="s">
        <v>11</v>
      </c>
    </row>
    <row r="495" spans="1:6" x14ac:dyDescent="0.25">
      <c r="A495" s="11">
        <v>42036</v>
      </c>
      <c r="B495" s="7">
        <v>0.76111111111111107</v>
      </c>
      <c r="C495" s="7">
        <v>0.78125</v>
      </c>
      <c r="D495" s="7">
        <f>(0.78125-0.761111111111111)</f>
        <v>2.0138888888889039E-2</v>
      </c>
      <c r="E495" s="7">
        <f>ABS(0.020138888888889-0.02986111111111)</f>
        <v>9.7222222222209977E-3</v>
      </c>
      <c r="F495" s="1" t="s">
        <v>11</v>
      </c>
    </row>
    <row r="496" spans="1:6" x14ac:dyDescent="0.25">
      <c r="A496" s="11">
        <v>42036</v>
      </c>
      <c r="B496" s="7">
        <v>1.0013888888888889</v>
      </c>
      <c r="C496" s="7">
        <v>1.03125</v>
      </c>
      <c r="D496" s="7">
        <f>(1.03125-1.00138888888889)</f>
        <v>2.9861111111110006E-2</v>
      </c>
      <c r="E496" s="7">
        <f>ABS(0.02986111111111-0.022916666666666)</f>
        <v>6.944444444444E-3</v>
      </c>
      <c r="F496" s="1" t="s">
        <v>11</v>
      </c>
    </row>
    <row r="497" spans="1:6" x14ac:dyDescent="0.25">
      <c r="A497" s="11">
        <v>42036</v>
      </c>
      <c r="B497" s="7">
        <v>0.2590277777777778</v>
      </c>
      <c r="C497" s="7">
        <v>0.28194444444444444</v>
      </c>
      <c r="D497" s="7">
        <f>(0.281944444444444-0.259027777777778)</f>
        <v>2.2916666666665975E-2</v>
      </c>
      <c r="E497" s="7">
        <f>ABS(0.022916666666666-0.020138888888889)</f>
        <v>2.7777777777769977E-3</v>
      </c>
      <c r="F497" s="1" t="s">
        <v>11</v>
      </c>
    </row>
    <row r="498" spans="1:6" x14ac:dyDescent="0.25">
      <c r="A498" s="11">
        <v>42036</v>
      </c>
      <c r="B498" s="7">
        <v>0.66875000000000007</v>
      </c>
      <c r="C498" s="7">
        <v>0.68888888888888899</v>
      </c>
      <c r="D498" s="7">
        <f>(0.688888888888889-0.66875)</f>
        <v>2.0138888888889039E-2</v>
      </c>
      <c r="E498" s="7">
        <f>ABS(0.020138888888889-0.01875)</f>
        <v>1.3888888888890019E-3</v>
      </c>
      <c r="F498" s="1" t="s">
        <v>11</v>
      </c>
    </row>
    <row r="499" spans="1:6" x14ac:dyDescent="0.25">
      <c r="A499" s="11">
        <v>42036</v>
      </c>
      <c r="B499" s="7">
        <v>0.98055555555555562</v>
      </c>
      <c r="C499" s="7">
        <v>0.99930555555555556</v>
      </c>
      <c r="D499" s="7">
        <f>(0.999305555555556-0.980555555555556)</f>
        <v>1.8750000000000044E-2</v>
      </c>
      <c r="E499" s="7">
        <f>ABS(0.01875-0.028472222222222)</f>
        <v>9.7222222222220003E-3</v>
      </c>
      <c r="F499" s="1" t="s">
        <v>11</v>
      </c>
    </row>
    <row r="500" spans="1:6" x14ac:dyDescent="0.25">
      <c r="A500" s="11">
        <v>42036</v>
      </c>
      <c r="B500" s="7">
        <v>0.19513888888888889</v>
      </c>
      <c r="C500" s="7">
        <v>0.22361111111111109</v>
      </c>
      <c r="D500" s="7">
        <f>(0.223611111111111-0.195138888888889)</f>
        <v>2.847222222222201E-2</v>
      </c>
      <c r="E500" s="7">
        <f>ABS(0.028472222222222-0.025694444444444)</f>
        <v>2.7777777777780004E-3</v>
      </c>
      <c r="F500" s="1" t="s">
        <v>11</v>
      </c>
    </row>
    <row r="501" spans="1:6" x14ac:dyDescent="0.25">
      <c r="A501" s="11">
        <v>42036</v>
      </c>
      <c r="B501" s="7">
        <v>0.24930555555555556</v>
      </c>
      <c r="C501" s="7">
        <v>0.27499999999999997</v>
      </c>
      <c r="D501" s="7">
        <f>(0.275-0.249305555555556)</f>
        <v>2.569444444444402E-2</v>
      </c>
      <c r="E501" s="7">
        <f>ABS(0.025694444444444-0.022222222222222)</f>
        <v>3.4722222222219983E-3</v>
      </c>
      <c r="F501" s="1" t="s">
        <v>11</v>
      </c>
    </row>
    <row r="502" spans="1:6" x14ac:dyDescent="0.25">
      <c r="A502" s="11">
        <v>42036</v>
      </c>
      <c r="B502" s="7">
        <v>0.69374999999999998</v>
      </c>
      <c r="C502" s="7">
        <v>0.71597222222222223</v>
      </c>
      <c r="D502" s="7">
        <f>(0.715972222222222-0.69375)</f>
        <v>2.2222222222222032E-2</v>
      </c>
      <c r="E502" s="7">
        <f>ABS(0.022222222222222-0.03125)</f>
        <v>9.027777777777999E-3</v>
      </c>
      <c r="F502" s="1" t="s">
        <v>11</v>
      </c>
    </row>
    <row r="503" spans="1:6" x14ac:dyDescent="0.25">
      <c r="A503" s="11">
        <v>42036</v>
      </c>
      <c r="B503" s="7">
        <v>0.93055555555555547</v>
      </c>
      <c r="C503" s="7">
        <v>0.96180555555555547</v>
      </c>
      <c r="D503" s="7">
        <f>(0.961805555555555-0.930555555555555)</f>
        <v>3.125E-2</v>
      </c>
      <c r="E503" s="7">
        <f>ABS(0.03125-0.0173611111111119)</f>
        <v>1.3888888888888101E-2</v>
      </c>
      <c r="F503" s="1" t="s">
        <v>11</v>
      </c>
    </row>
    <row r="504" spans="1:6" x14ac:dyDescent="0.25">
      <c r="A504" s="11">
        <v>42036</v>
      </c>
      <c r="B504" s="7">
        <v>0.67708333333333337</v>
      </c>
      <c r="C504" s="7">
        <v>0.69444444444444453</v>
      </c>
      <c r="D504" s="7">
        <f>(0.694444444444445-0.677083333333333)</f>
        <v>1.7361111111111938E-2</v>
      </c>
      <c r="E504" s="7">
        <f>ABS(0.0173611111111119-0.034027777777777)</f>
        <v>1.6666666666665098E-2</v>
      </c>
      <c r="F504" s="1" t="s">
        <v>11</v>
      </c>
    </row>
    <row r="505" spans="1:6" x14ac:dyDescent="0.25">
      <c r="A505" s="11">
        <v>42036</v>
      </c>
      <c r="B505" s="7">
        <v>0.37916666666666665</v>
      </c>
      <c r="C505" s="7">
        <v>0.41319444444444442</v>
      </c>
      <c r="D505" s="7">
        <f>(0.413194444444444-0.379166666666667)</f>
        <v>3.4027777777776991E-2</v>
      </c>
      <c r="E505" s="7">
        <f>ABS(0.034027777777777-0.020138888888889)</f>
        <v>1.3888888888887996E-2</v>
      </c>
      <c r="F505" s="1" t="s">
        <v>11</v>
      </c>
    </row>
    <row r="506" spans="1:6" x14ac:dyDescent="0.25">
      <c r="A506" s="11">
        <v>42036</v>
      </c>
      <c r="B506" s="7">
        <v>0.41944444444444445</v>
      </c>
      <c r="C506" s="7">
        <v>0.43958333333333338</v>
      </c>
      <c r="D506" s="7">
        <f>(0.439583333333333-0.419444444444444)</f>
        <v>2.0138888888888984E-2</v>
      </c>
      <c r="E506" s="7">
        <f>ABS(0.020138888888889-0.022916666666667)</f>
        <v>2.7777777777780004E-3</v>
      </c>
      <c r="F506" s="1" t="s">
        <v>11</v>
      </c>
    </row>
    <row r="507" spans="1:6" x14ac:dyDescent="0.25">
      <c r="A507" s="11">
        <v>42036</v>
      </c>
      <c r="B507" s="7">
        <v>0.49722222222222223</v>
      </c>
      <c r="C507" s="7">
        <v>0.52013888888888882</v>
      </c>
      <c r="D507" s="7">
        <f>(0.520138888888889-0.497222222222222)</f>
        <v>2.2916666666667029E-2</v>
      </c>
      <c r="E507" s="7">
        <f>ABS(0.022916666666667-0.0173611111111109)</f>
        <v>5.5555555555561013E-3</v>
      </c>
      <c r="F507" s="1" t="s">
        <v>11</v>
      </c>
    </row>
    <row r="508" spans="1:6" x14ac:dyDescent="0.25">
      <c r="A508" s="11">
        <v>42036</v>
      </c>
      <c r="B508" s="7">
        <v>0.55555555555555558</v>
      </c>
      <c r="C508" s="7">
        <v>0.57291666666666663</v>
      </c>
      <c r="D508" s="7">
        <f>(0.572916666666667-0.555555555555556)</f>
        <v>1.7361111111110938E-2</v>
      </c>
      <c r="E508" s="7">
        <f>ABS(0.0173611111111109-0.020833333333334)</f>
        <v>3.4722222222230981E-3</v>
      </c>
      <c r="F508" s="1" t="s">
        <v>11</v>
      </c>
    </row>
    <row r="509" spans="1:6" x14ac:dyDescent="0.25">
      <c r="A509" s="11">
        <v>42036</v>
      </c>
      <c r="B509" s="7">
        <v>0.71944444444444444</v>
      </c>
      <c r="C509" s="7">
        <v>0.7402777777777777</v>
      </c>
      <c r="D509" s="7">
        <f>(0.740277777777778-0.719444444444444)</f>
        <v>2.0833333333334036E-2</v>
      </c>
      <c r="E509" s="7">
        <f>ABS(0.020833333333334-0.020833333333334)</f>
        <v>0</v>
      </c>
      <c r="F509" s="1" t="s">
        <v>11</v>
      </c>
    </row>
    <row r="510" spans="1:6" x14ac:dyDescent="0.25">
      <c r="A510" s="11">
        <v>42036</v>
      </c>
      <c r="B510" s="7">
        <v>0.45694444444444443</v>
      </c>
      <c r="C510" s="7">
        <v>0.4777777777777778</v>
      </c>
      <c r="D510" s="7">
        <f>(0.477777777777778-0.456944444444444)</f>
        <v>2.0833333333334036E-2</v>
      </c>
      <c r="E510" s="7">
        <f>ABS(0.020833333333334-0.019444444444445)</f>
        <v>1.3888888888889984E-3</v>
      </c>
      <c r="F510" s="1" t="s">
        <v>11</v>
      </c>
    </row>
    <row r="511" spans="1:6" x14ac:dyDescent="0.25">
      <c r="A511" s="11">
        <v>42036</v>
      </c>
      <c r="B511" s="7">
        <v>0.11597222222222221</v>
      </c>
      <c r="C511" s="7">
        <v>0.13541666666666666</v>
      </c>
      <c r="D511" s="7">
        <f>(0.135416666666667-0.115972222222222)</f>
        <v>1.9444444444444986E-2</v>
      </c>
      <c r="E511" s="7">
        <f>ABS(0.019444444444445-0.022916666666667)</f>
        <v>3.4722222222220017E-3</v>
      </c>
      <c r="F511" s="1" t="s">
        <v>11</v>
      </c>
    </row>
    <row r="512" spans="1:6" x14ac:dyDescent="0.25">
      <c r="A512" s="11">
        <v>42036</v>
      </c>
      <c r="B512" s="7">
        <v>0.56597222222222221</v>
      </c>
      <c r="C512" s="7">
        <v>0.58888888888888891</v>
      </c>
      <c r="D512" s="7">
        <f>(0.588888888888889-0.565972222222222)</f>
        <v>2.2916666666667029E-2</v>
      </c>
      <c r="E512" s="7">
        <f>ABS(0.022916666666667-0.020138888888888)</f>
        <v>2.777777777779003E-3</v>
      </c>
      <c r="F512" s="1" t="s">
        <v>11</v>
      </c>
    </row>
    <row r="513" spans="1:6" x14ac:dyDescent="0.25">
      <c r="A513" s="11">
        <v>42036</v>
      </c>
      <c r="B513" s="7">
        <v>0.73055555555555562</v>
      </c>
      <c r="C513" s="7">
        <v>0.75069444444444444</v>
      </c>
      <c r="D513" s="7">
        <f>(0.750694444444444-0.730555555555556)</f>
        <v>2.013888888888804E-2</v>
      </c>
      <c r="E513" s="7">
        <f>ABS(0.020138888888888-0.022916666666667)</f>
        <v>2.777777777779003E-3</v>
      </c>
      <c r="F513" s="1" t="s">
        <v>11</v>
      </c>
    </row>
    <row r="514" spans="1:6" x14ac:dyDescent="0.25">
      <c r="A514" s="11">
        <v>42036</v>
      </c>
      <c r="B514" s="7">
        <v>0.8569444444444444</v>
      </c>
      <c r="C514" s="7">
        <v>0.87986111111111109</v>
      </c>
      <c r="D514" s="7">
        <f>(0.879861111111111-0.856944444444444)</f>
        <v>2.2916666666667029E-2</v>
      </c>
      <c r="E514" s="7">
        <f>ABS(0.022916666666667-0.024305555555555)</f>
        <v>1.3888888888879992E-3</v>
      </c>
      <c r="F514" s="1" t="s">
        <v>11</v>
      </c>
    </row>
    <row r="515" spans="1:6" x14ac:dyDescent="0.25">
      <c r="A515" s="11">
        <v>42036</v>
      </c>
      <c r="B515" s="7">
        <v>0.75277777777777777</v>
      </c>
      <c r="C515" s="7">
        <v>0.77708333333333324</v>
      </c>
      <c r="D515" s="7">
        <f>(0.777083333333333-0.752777777777778)</f>
        <v>2.4305555555555025E-2</v>
      </c>
      <c r="E515" s="7">
        <f>ABS(0.024305555555555-0.020833333333333)</f>
        <v>3.4722222222220017E-3</v>
      </c>
      <c r="F515" s="1" t="s">
        <v>11</v>
      </c>
    </row>
    <row r="516" spans="1:6" x14ac:dyDescent="0.25">
      <c r="A516" s="11">
        <v>42036</v>
      </c>
      <c r="B516" s="7">
        <v>0.20486111111111113</v>
      </c>
      <c r="C516" s="7">
        <v>0.22569444444444445</v>
      </c>
      <c r="D516" s="7">
        <f>(0.225694444444444-0.204861111111111)</f>
        <v>2.083333333333301E-2</v>
      </c>
      <c r="E516" s="7"/>
      <c r="F516" s="1" t="s">
        <v>11</v>
      </c>
    </row>
    <row r="517" spans="1:6" x14ac:dyDescent="0.25">
      <c r="A517" s="4"/>
    </row>
  </sheetData>
  <sortState ref="B3:H517">
    <sortCondition ref="F3:F51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44"/>
  <sheetViews>
    <sheetView topLeftCell="E1" workbookViewId="0">
      <selection activeCell="H4" sqref="H4:M8"/>
    </sheetView>
  </sheetViews>
  <sheetFormatPr defaultRowHeight="15" x14ac:dyDescent="0.25"/>
  <cols>
    <col min="1" max="1" width="15.7109375" style="1" customWidth="1"/>
    <col min="2" max="5" width="15.7109375" style="2" customWidth="1"/>
    <col min="6" max="6" width="15.7109375" style="1" customWidth="1"/>
    <col min="11" max="11" width="17" bestFit="1" customWidth="1"/>
    <col min="12" max="12" width="12" bestFit="1" customWidth="1"/>
    <col min="13" max="13" width="17" bestFit="1" customWidth="1"/>
  </cols>
  <sheetData>
    <row r="1" spans="1:13" s="1" customFormat="1" x14ac:dyDescent="0.25">
      <c r="A1" s="1" t="s">
        <v>12</v>
      </c>
      <c r="B1" s="2" t="s">
        <v>0</v>
      </c>
      <c r="C1" s="2" t="s">
        <v>1</v>
      </c>
      <c r="D1" s="2" t="s">
        <v>13</v>
      </c>
      <c r="E1" s="2" t="s">
        <v>18</v>
      </c>
      <c r="F1" s="1" t="s">
        <v>2</v>
      </c>
    </row>
    <row r="3" spans="1:13" x14ac:dyDescent="0.25">
      <c r="A3" s="11">
        <v>42064</v>
      </c>
      <c r="B3" s="7">
        <v>0.71111111111111114</v>
      </c>
      <c r="C3" s="7">
        <v>0.7270833333333333</v>
      </c>
      <c r="D3" s="7">
        <f>(0.727083333333333-0.711111111111111)</f>
        <v>1.5972222222221943E-2</v>
      </c>
      <c r="E3" s="7">
        <f>ABS(0.0159722222222219-0.0111111111111111)</f>
        <v>4.8611111111107989E-3</v>
      </c>
      <c r="F3" s="1" t="s">
        <v>9</v>
      </c>
      <c r="I3" s="1"/>
      <c r="J3" s="1" t="s">
        <v>7</v>
      </c>
      <c r="K3" s="1" t="s">
        <v>15</v>
      </c>
      <c r="L3" s="1" t="s">
        <v>17</v>
      </c>
      <c r="M3" s="1" t="s">
        <v>16</v>
      </c>
    </row>
    <row r="4" spans="1:13" x14ac:dyDescent="0.25">
      <c r="A4" s="11">
        <v>42064</v>
      </c>
      <c r="B4" s="7">
        <v>0.8569444444444444</v>
      </c>
      <c r="C4" s="7">
        <v>0.86805555555555547</v>
      </c>
      <c r="D4" s="7">
        <f>(0.868055555555555-0.856944444444444)</f>
        <v>1.1111111111111072E-2</v>
      </c>
      <c r="E4" s="7">
        <f>ABS(0.0111111111111111-0.00624999999999998)</f>
        <v>4.861111111111119E-3</v>
      </c>
      <c r="F4" s="1" t="s">
        <v>9</v>
      </c>
      <c r="H4" s="14">
        <v>42064</v>
      </c>
      <c r="I4" t="s">
        <v>19</v>
      </c>
      <c r="J4" t="s">
        <v>9</v>
      </c>
      <c r="K4" s="18">
        <v>49</v>
      </c>
      <c r="L4" s="3">
        <f>AVERAGE(D3:D51)</f>
        <v>1.8324829931972614E-2</v>
      </c>
      <c r="M4" s="3">
        <f>AVERAGE(E3:E50)</f>
        <v>5.9317129629631845E-3</v>
      </c>
    </row>
    <row r="5" spans="1:13" x14ac:dyDescent="0.25">
      <c r="A5" s="11">
        <v>42064</v>
      </c>
      <c r="B5" s="7">
        <v>0.96388888888888891</v>
      </c>
      <c r="C5" s="7">
        <v>0.97013888888888899</v>
      </c>
      <c r="D5" s="7">
        <f>(0.970138888888889-0.963888888888889)</f>
        <v>6.2499999999999778E-3</v>
      </c>
      <c r="E5" s="7">
        <f>ABS(0.00624999999999998-0.0145833333333288)</f>
        <v>8.3333333333288212E-3</v>
      </c>
      <c r="F5" s="1" t="s">
        <v>9</v>
      </c>
      <c r="H5" s="14">
        <v>42064</v>
      </c>
      <c r="I5" t="s">
        <v>19</v>
      </c>
      <c r="J5" t="s">
        <v>3</v>
      </c>
      <c r="K5" s="18">
        <v>285</v>
      </c>
      <c r="L5" s="3">
        <f>AVERAGE(D52:D336)</f>
        <v>1.0350877192982435E-2</v>
      </c>
      <c r="M5" s="3">
        <f>AVERAGE(E52:E335)</f>
        <v>8.0985915492958142E-3</v>
      </c>
    </row>
    <row r="6" spans="1:13" x14ac:dyDescent="0.25">
      <c r="A6" s="11">
        <v>42064</v>
      </c>
      <c r="B6" s="7">
        <v>0.98611111111111116</v>
      </c>
      <c r="C6" s="7">
        <v>1.0006944444444443</v>
      </c>
      <c r="D6" s="7">
        <f>(1.00069444444444-0.986111111111111)</f>
        <v>1.4583333333328841E-2</v>
      </c>
      <c r="E6" s="7">
        <f>ABS(0.0145833333333288-0.018055555555556)</f>
        <v>3.4722222222272007E-3</v>
      </c>
      <c r="F6" s="1" t="s">
        <v>9</v>
      </c>
      <c r="H6" s="14">
        <v>42064</v>
      </c>
      <c r="I6" t="s">
        <v>19</v>
      </c>
      <c r="J6" t="s">
        <v>10</v>
      </c>
      <c r="K6" s="18">
        <v>237</v>
      </c>
      <c r="L6" s="3">
        <f>AVERAGE(D337:D573)</f>
        <v>2.0329348335677407E-2</v>
      </c>
      <c r="M6" s="3">
        <f>AVERAGE(E337:E572)</f>
        <v>6.7826035781543776E-3</v>
      </c>
    </row>
    <row r="7" spans="1:13" x14ac:dyDescent="0.25">
      <c r="A7" s="11">
        <v>42064</v>
      </c>
      <c r="B7" s="7">
        <v>0.56458333333333333</v>
      </c>
      <c r="C7" s="7">
        <v>0.58263888888888882</v>
      </c>
      <c r="D7" s="7">
        <f>(0.582638888888889-0.564583333333333)</f>
        <v>1.8055555555556047E-2</v>
      </c>
      <c r="E7" s="7">
        <f>ABS(0.018055555555556-0.015972222222223)</f>
        <v>2.0833333333329998E-3</v>
      </c>
      <c r="F7" s="1" t="s">
        <v>9</v>
      </c>
      <c r="H7" s="14">
        <v>42064</v>
      </c>
      <c r="I7" t="s">
        <v>19</v>
      </c>
      <c r="J7" t="s">
        <v>8</v>
      </c>
      <c r="K7" s="18">
        <v>26</v>
      </c>
      <c r="L7" s="3">
        <f>AVERAGE(D574:D599)</f>
        <v>1.9257478632478585E-2</v>
      </c>
      <c r="M7" s="3">
        <f>AVERAGE(E574:E598)</f>
        <v>9.1388888888890869E-3</v>
      </c>
    </row>
    <row r="8" spans="1:13" x14ac:dyDescent="0.25">
      <c r="A8" s="11">
        <v>42064</v>
      </c>
      <c r="B8" s="7">
        <v>0.3520833333333333</v>
      </c>
      <c r="C8" s="7">
        <v>0.36805555555555558</v>
      </c>
      <c r="D8" s="7">
        <f>(0.368055555555556-0.352083333333333)</f>
        <v>1.5972222222222998E-2</v>
      </c>
      <c r="E8" s="7">
        <f>ABS(0.015972222222223-0.016666666666667)</f>
        <v>6.9444444444399789E-4</v>
      </c>
      <c r="F8" s="1" t="s">
        <v>9</v>
      </c>
      <c r="H8" s="14">
        <v>42064</v>
      </c>
      <c r="I8" t="s">
        <v>19</v>
      </c>
      <c r="J8" t="s">
        <v>11</v>
      </c>
      <c r="K8" s="18">
        <v>145</v>
      </c>
      <c r="L8" s="3">
        <f>AVERAGE(D600:D744)</f>
        <v>2.3984674329501861E-2</v>
      </c>
      <c r="M8" s="3">
        <f>AVERAGE(E600:E743)</f>
        <v>9.1820987654319813E-3</v>
      </c>
    </row>
    <row r="9" spans="1:13" x14ac:dyDescent="0.25">
      <c r="A9" s="11">
        <v>42064</v>
      </c>
      <c r="B9" s="7">
        <v>0.35972222222222222</v>
      </c>
      <c r="C9" s="7">
        <v>0.37638888888888888</v>
      </c>
      <c r="D9" s="7">
        <f>(0.376388888888889-0.359722222222222)</f>
        <v>1.6666666666666996E-2</v>
      </c>
      <c r="E9" s="7">
        <f>ABS(0.016666666666667-0.0222222222222222)</f>
        <v>5.5555555555551993E-3</v>
      </c>
      <c r="F9" s="1" t="s">
        <v>9</v>
      </c>
    </row>
    <row r="10" spans="1:13" x14ac:dyDescent="0.25">
      <c r="A10" s="11">
        <v>42064</v>
      </c>
      <c r="B10" s="7">
        <v>8.4027777777777771E-2</v>
      </c>
      <c r="C10" s="7">
        <v>0.10625</v>
      </c>
      <c r="D10" s="7">
        <f>(0.10625-0.0840277777777778)</f>
        <v>2.2222222222222199E-2</v>
      </c>
      <c r="E10" s="7">
        <f>ABS(0.0222222222222222-0.018055555555556)</f>
        <v>4.1666666666661974E-3</v>
      </c>
      <c r="F10" s="1" t="s">
        <v>9</v>
      </c>
    </row>
    <row r="11" spans="1:13" x14ac:dyDescent="0.25">
      <c r="A11" s="11">
        <v>42064</v>
      </c>
      <c r="B11" s="7">
        <v>0.29236111111111113</v>
      </c>
      <c r="C11" s="7">
        <v>0.31041666666666667</v>
      </c>
      <c r="D11" s="7">
        <f>(0.310416666666667-0.292361111111111)</f>
        <v>1.8055555555555991E-2</v>
      </c>
      <c r="E11" s="7">
        <f>ABS(0.018055555555556-0.025694444444444)</f>
        <v>7.6388888888879979E-3</v>
      </c>
      <c r="F11" s="1" t="s">
        <v>9</v>
      </c>
    </row>
    <row r="12" spans="1:13" x14ac:dyDescent="0.25">
      <c r="A12" s="11">
        <v>42064</v>
      </c>
      <c r="B12" s="7">
        <v>0.50277777777777777</v>
      </c>
      <c r="C12" s="7">
        <v>0.52847222222222223</v>
      </c>
      <c r="D12" s="7">
        <f>(0.528472222222222-0.502777777777778)</f>
        <v>2.569444444444402E-2</v>
      </c>
      <c r="E12" s="7">
        <f>ABS(0.025694444444444-0.0222222222222219)</f>
        <v>3.4722222222220989E-3</v>
      </c>
      <c r="F12" s="1" t="s">
        <v>9</v>
      </c>
    </row>
    <row r="13" spans="1:13" x14ac:dyDescent="0.25">
      <c r="A13" s="11">
        <v>42064</v>
      </c>
      <c r="B13" s="7">
        <v>0.51874999999999993</v>
      </c>
      <c r="C13" s="7">
        <v>0.54097222222222219</v>
      </c>
      <c r="D13" s="7">
        <f>(0.540972222222222-0.51875)</f>
        <v>2.2222222222221921E-2</v>
      </c>
      <c r="E13" s="7">
        <f>ABS(0.0222222222222219-0.022222222222222)</f>
        <v>1.0061396160665481E-16</v>
      </c>
      <c r="F13" s="1" t="s">
        <v>9</v>
      </c>
    </row>
    <row r="14" spans="1:13" x14ac:dyDescent="0.25">
      <c r="A14" s="11">
        <v>42064</v>
      </c>
      <c r="B14" s="7">
        <v>0.51180555555555551</v>
      </c>
      <c r="C14" s="7">
        <v>0.53402777777777777</v>
      </c>
      <c r="D14" s="7">
        <f>(0.534027777777778-0.511805555555556)</f>
        <v>2.2222222222222032E-2</v>
      </c>
      <c r="E14" s="7">
        <f>ABS(0.022222222222222-0.0152777777777779)</f>
        <v>6.9444444444441006E-3</v>
      </c>
      <c r="F14" s="1" t="s">
        <v>9</v>
      </c>
    </row>
    <row r="15" spans="1:13" x14ac:dyDescent="0.25">
      <c r="A15" s="11">
        <v>42064</v>
      </c>
      <c r="B15" s="7">
        <v>0.55347222222222225</v>
      </c>
      <c r="C15" s="7">
        <v>0.56874999999999998</v>
      </c>
      <c r="D15" s="7">
        <f>(0.56875-0.553472222222222)</f>
        <v>1.5277777777777946E-2</v>
      </c>
      <c r="E15" s="7">
        <f>ABS(0.0152777777777779-0.0145833333333329)</f>
        <v>6.9444444444500056E-4</v>
      </c>
      <c r="F15" s="1" t="s">
        <v>9</v>
      </c>
    </row>
    <row r="16" spans="1:13" x14ac:dyDescent="0.25">
      <c r="A16" s="11">
        <v>42064</v>
      </c>
      <c r="B16" s="7">
        <v>0.58263888888888882</v>
      </c>
      <c r="C16" s="7">
        <v>0.59722222222222221</v>
      </c>
      <c r="D16" s="7">
        <f>(0.597222222222222-0.582638888888889)</f>
        <v>1.4583333333332948E-2</v>
      </c>
      <c r="E16" s="7">
        <f>ABS(0.0145833333333329-0.0187499999999999)</f>
        <v>4.1666666666669988E-3</v>
      </c>
      <c r="F16" s="1" t="s">
        <v>9</v>
      </c>
    </row>
    <row r="17" spans="1:6" x14ac:dyDescent="0.25">
      <c r="A17" s="11">
        <v>42064</v>
      </c>
      <c r="B17" s="7">
        <v>0.67361111111111116</v>
      </c>
      <c r="C17" s="7">
        <v>0.69236111111111109</v>
      </c>
      <c r="D17" s="7">
        <f>(0.692361111111111-0.673611111111111)</f>
        <v>1.8749999999999933E-2</v>
      </c>
      <c r="E17" s="7">
        <f>ABS(0.0187499999999999-0.0222222222222229)</f>
        <v>3.4722222222230009E-3</v>
      </c>
      <c r="F17" s="1" t="s">
        <v>9</v>
      </c>
    </row>
    <row r="18" spans="1:6" x14ac:dyDescent="0.25">
      <c r="A18" s="11">
        <v>42064</v>
      </c>
      <c r="B18" s="7">
        <v>0.70694444444444438</v>
      </c>
      <c r="C18" s="7">
        <v>0.72916666666666663</v>
      </c>
      <c r="D18" s="7">
        <f>(0.729166666666667-0.706944444444444)</f>
        <v>2.222222222222292E-2</v>
      </c>
      <c r="E18" s="7">
        <f>ABS(0.0222222222222229-0.0145833333333339)</f>
        <v>7.6388888888889988E-3</v>
      </c>
      <c r="F18" s="1" t="s">
        <v>9</v>
      </c>
    </row>
    <row r="19" spans="1:6" x14ac:dyDescent="0.25">
      <c r="A19" s="11">
        <v>42064</v>
      </c>
      <c r="B19" s="7">
        <v>0.89861111111111114</v>
      </c>
      <c r="C19" s="7">
        <v>0.91319444444444453</v>
      </c>
      <c r="D19" s="7">
        <f>(0.913194444444445-0.898611111111111)</f>
        <v>1.4583333333333948E-2</v>
      </c>
      <c r="E19" s="7">
        <f>ABS(0.0145833333333339-0.022916666666666)</f>
        <v>8.3333333333320981E-3</v>
      </c>
      <c r="F19" s="1" t="s">
        <v>9</v>
      </c>
    </row>
    <row r="20" spans="1:6" x14ac:dyDescent="0.25">
      <c r="A20" s="11">
        <v>42064</v>
      </c>
      <c r="B20" s="7">
        <v>0.43055555555555558</v>
      </c>
      <c r="C20" s="7">
        <v>0.45347222222222222</v>
      </c>
      <c r="D20" s="7">
        <f>(0.453472222222222-0.430555555555556)</f>
        <v>2.2916666666665975E-2</v>
      </c>
      <c r="E20" s="7">
        <f>ABS(0.022916666666666-0.022222222222222)</f>
        <v>6.9444444444399789E-4</v>
      </c>
      <c r="F20" s="1" t="s">
        <v>9</v>
      </c>
    </row>
    <row r="21" spans="1:6" x14ac:dyDescent="0.25">
      <c r="A21" s="11">
        <v>42064</v>
      </c>
      <c r="B21" s="7">
        <v>0.57777777777777783</v>
      </c>
      <c r="C21" s="7">
        <v>0.6</v>
      </c>
      <c r="D21" s="7">
        <f>(0.6-0.577777777777778)</f>
        <v>2.2222222222222032E-2</v>
      </c>
      <c r="E21" s="7">
        <f>ABS(0.022222222222222-0.0152777777777779)</f>
        <v>6.9444444444441006E-3</v>
      </c>
      <c r="F21" s="1" t="s">
        <v>9</v>
      </c>
    </row>
    <row r="22" spans="1:6" x14ac:dyDescent="0.25">
      <c r="A22" s="11">
        <v>42064</v>
      </c>
      <c r="B22" s="7">
        <v>0.68263888888888891</v>
      </c>
      <c r="C22" s="7">
        <v>0.69791666666666663</v>
      </c>
      <c r="D22" s="7">
        <f>(0.697916666666667-0.682638888888889)</f>
        <v>1.5277777777777946E-2</v>
      </c>
      <c r="E22" s="7">
        <f>ABS(0.0152777777777779-0.00902777777777797)</f>
        <v>6.249999999999931E-3</v>
      </c>
      <c r="F22" s="1" t="s">
        <v>9</v>
      </c>
    </row>
    <row r="23" spans="1:6" x14ac:dyDescent="0.25">
      <c r="A23" s="11">
        <v>42064</v>
      </c>
      <c r="B23" s="7">
        <v>0.70972222222222225</v>
      </c>
      <c r="C23" s="7">
        <v>0.71875</v>
      </c>
      <c r="D23" s="7">
        <f>(0.71875-0.709722222222222)</f>
        <v>9.0277777777779677E-3</v>
      </c>
      <c r="E23" s="7">
        <f>ABS(0.00902777777777797-0.014583333333333)</f>
        <v>5.555555555555031E-3</v>
      </c>
      <c r="F23" s="1" t="s">
        <v>9</v>
      </c>
    </row>
    <row r="24" spans="1:6" x14ac:dyDescent="0.25">
      <c r="A24" s="11">
        <v>42064</v>
      </c>
      <c r="B24" s="7">
        <v>0.41666666666666669</v>
      </c>
      <c r="C24" s="7">
        <v>0.43124999999999997</v>
      </c>
      <c r="D24" s="7">
        <f>(0.43125-0.416666666666667)</f>
        <v>1.4583333333333004E-2</v>
      </c>
      <c r="E24" s="7">
        <f>ABS(0.014583333333333-0.00972222222222202)</f>
        <v>4.8611111111109811E-3</v>
      </c>
      <c r="F24" s="1" t="s">
        <v>9</v>
      </c>
    </row>
    <row r="25" spans="1:6" x14ac:dyDescent="0.25">
      <c r="A25" s="11">
        <v>42064</v>
      </c>
      <c r="B25" s="7">
        <v>0.49027777777777781</v>
      </c>
      <c r="C25" s="7">
        <v>0.5</v>
      </c>
      <c r="D25" s="7">
        <f>(0.5-0.490277777777778)</f>
        <v>9.7222222222220211E-3</v>
      </c>
      <c r="E25" s="7">
        <f>ABS(0.00972222222222202-0.0145833333333331)</f>
        <v>4.86111111111108E-3</v>
      </c>
      <c r="F25" s="1" t="s">
        <v>9</v>
      </c>
    </row>
    <row r="26" spans="1:6" x14ac:dyDescent="0.25">
      <c r="A26" s="11">
        <v>42064</v>
      </c>
      <c r="B26" s="7">
        <v>0.66041666666666665</v>
      </c>
      <c r="C26" s="7">
        <v>0.67499999999999993</v>
      </c>
      <c r="D26" s="7">
        <f>(0.675-0.660416666666667)</f>
        <v>1.4583333333333059E-2</v>
      </c>
      <c r="E26" s="7">
        <f>ABS(0.0145833333333331-0.01875)</f>
        <v>4.1666666666668999E-3</v>
      </c>
      <c r="F26" s="1" t="s">
        <v>9</v>
      </c>
    </row>
    <row r="27" spans="1:6" x14ac:dyDescent="0.25">
      <c r="A27" s="11">
        <v>42064</v>
      </c>
      <c r="B27" s="7">
        <v>0.73263888888888884</v>
      </c>
      <c r="C27" s="7">
        <v>0.75138888888888899</v>
      </c>
      <c r="D27" s="7">
        <f>(0.751388888888889-0.732638888888889)</f>
        <v>1.8750000000000044E-2</v>
      </c>
      <c r="E27" s="7">
        <f>ABS(0.01875-0.0118055555555551)</f>
        <v>6.9444444444448986E-3</v>
      </c>
      <c r="F27" s="1" t="s">
        <v>9</v>
      </c>
    </row>
    <row r="28" spans="1:6" x14ac:dyDescent="0.25">
      <c r="A28" s="11">
        <v>42064</v>
      </c>
      <c r="B28" s="7">
        <v>0.98402777777777783</v>
      </c>
      <c r="C28" s="7">
        <v>0.99583333333333324</v>
      </c>
      <c r="D28" s="7">
        <f>(0.995833333333333-0.984027777777778)</f>
        <v>1.180555555555507E-2</v>
      </c>
      <c r="E28" s="7">
        <f>ABS(0.0118055555555551-0.0194444444444449)</f>
        <v>7.6388888888897985E-3</v>
      </c>
      <c r="F28" s="1" t="s">
        <v>9</v>
      </c>
    </row>
    <row r="29" spans="1:6" x14ac:dyDescent="0.25">
      <c r="A29" s="11">
        <v>42064</v>
      </c>
      <c r="B29" s="7">
        <v>0.51736111111111105</v>
      </c>
      <c r="C29" s="7">
        <v>0.53680555555555554</v>
      </c>
      <c r="D29" s="7">
        <f>(0.536805555555556-0.517361111111111)</f>
        <v>1.944444444444493E-2</v>
      </c>
      <c r="E29" s="7">
        <f>ABS(0.0194444444444449-0.014583333333333)</f>
        <v>4.8611111111118988E-3</v>
      </c>
      <c r="F29" s="1" t="s">
        <v>9</v>
      </c>
    </row>
    <row r="30" spans="1:6" x14ac:dyDescent="0.25">
      <c r="A30" s="11">
        <v>42064</v>
      </c>
      <c r="B30" s="7">
        <v>0.30416666666666664</v>
      </c>
      <c r="C30" s="7">
        <v>0.31875000000000003</v>
      </c>
      <c r="D30" s="7">
        <f>(0.31875-0.304166666666667)</f>
        <v>1.4583333333333004E-2</v>
      </c>
      <c r="E30" s="7">
        <f>ABS(0.014583333333333-0.016666666666667)</f>
        <v>2.083333333333999E-3</v>
      </c>
      <c r="F30" s="1" t="s">
        <v>9</v>
      </c>
    </row>
    <row r="31" spans="1:6" x14ac:dyDescent="0.25">
      <c r="A31" s="11">
        <v>42064</v>
      </c>
      <c r="B31" s="7">
        <v>0.32500000000000001</v>
      </c>
      <c r="C31" s="7">
        <v>0.34166666666666662</v>
      </c>
      <c r="D31" s="7">
        <f>(0.341666666666667-0.325)</f>
        <v>1.6666666666666996E-2</v>
      </c>
      <c r="E31" s="7">
        <f>ABS(0.016666666666667-0.018055555555556)</f>
        <v>1.3888888888890019E-3</v>
      </c>
      <c r="F31" s="1" t="s">
        <v>9</v>
      </c>
    </row>
    <row r="32" spans="1:6" x14ac:dyDescent="0.25">
      <c r="A32" s="11">
        <v>42064</v>
      </c>
      <c r="B32" s="7">
        <v>0.3125</v>
      </c>
      <c r="C32" s="7">
        <v>0.33055555555555555</v>
      </c>
      <c r="D32" s="7">
        <f>(0.330555555555556-0.3125)</f>
        <v>1.8055555555555991E-2</v>
      </c>
      <c r="E32" s="7">
        <f>ABS(0.018055555555556-0.014583333333333)</f>
        <v>3.4722222222230009E-3</v>
      </c>
      <c r="F32" s="1" t="s">
        <v>9</v>
      </c>
    </row>
    <row r="33" spans="1:6" x14ac:dyDescent="0.25">
      <c r="A33" s="11">
        <v>42064</v>
      </c>
      <c r="B33" s="7">
        <v>0.46736111111111112</v>
      </c>
      <c r="C33" s="7">
        <v>0.48194444444444445</v>
      </c>
      <c r="D33" s="7">
        <f>(0.481944444444444-0.467361111111111)</f>
        <v>1.4583333333333004E-2</v>
      </c>
      <c r="E33" s="7">
        <f>ABS(0.014583333333333-0.027777777777778)</f>
        <v>1.3194444444444998E-2</v>
      </c>
      <c r="F33" s="1" t="s">
        <v>9</v>
      </c>
    </row>
    <row r="34" spans="1:6" x14ac:dyDescent="0.25">
      <c r="A34" s="11">
        <v>42064</v>
      </c>
      <c r="B34" s="7">
        <v>0.53472222222222221</v>
      </c>
      <c r="C34" s="7">
        <v>0.5625</v>
      </c>
      <c r="D34" s="7">
        <f>(0.5625-0.534722222222222)</f>
        <v>2.7777777777778012E-2</v>
      </c>
      <c r="E34" s="7">
        <f>ABS(0.027777777777778-0.018055555555556)</f>
        <v>9.7222222222219969E-3</v>
      </c>
      <c r="F34" s="1" t="s">
        <v>9</v>
      </c>
    </row>
    <row r="35" spans="1:6" x14ac:dyDescent="0.25">
      <c r="A35" s="11">
        <v>42064</v>
      </c>
      <c r="B35" s="7">
        <v>0.42986111111111108</v>
      </c>
      <c r="C35" s="7">
        <v>0.44791666666666669</v>
      </c>
      <c r="D35" s="7">
        <f>(0.447916666666667-0.429861111111111)</f>
        <v>1.8055555555555991E-2</v>
      </c>
      <c r="E35" s="7">
        <f>ABS(0.018055555555556-0.0152777777777779)</f>
        <v>2.777777777778101E-3</v>
      </c>
      <c r="F35" s="5" t="s">
        <v>9</v>
      </c>
    </row>
    <row r="36" spans="1:6" x14ac:dyDescent="0.25">
      <c r="A36" s="11">
        <v>42064</v>
      </c>
      <c r="B36" s="7">
        <v>0.96250000000000002</v>
      </c>
      <c r="C36" s="7">
        <v>0.97777777777777775</v>
      </c>
      <c r="D36" s="7">
        <f>(0.977777777777778-0.9625)</f>
        <v>1.5277777777777946E-2</v>
      </c>
      <c r="E36" s="7">
        <f>ABS(0.0152777777777779-0.035416666666667)</f>
        <v>2.0138888888889098E-2</v>
      </c>
      <c r="F36" s="1" t="s">
        <v>9</v>
      </c>
    </row>
    <row r="37" spans="1:6" x14ac:dyDescent="0.25">
      <c r="A37" s="11">
        <v>42064</v>
      </c>
      <c r="B37" s="7">
        <v>0.32708333333333334</v>
      </c>
      <c r="C37" s="7">
        <v>0.36249999999999999</v>
      </c>
      <c r="D37" s="7">
        <f>(0.3625-0.327083333333333)</f>
        <v>3.5416666666666985E-2</v>
      </c>
      <c r="E37" s="7">
        <f>ABS(0.035416666666667-0.022222222222222)</f>
        <v>1.3194444444444998E-2</v>
      </c>
      <c r="F37" s="1" t="s">
        <v>9</v>
      </c>
    </row>
    <row r="38" spans="1:6" x14ac:dyDescent="0.25">
      <c r="A38" s="11">
        <v>42064</v>
      </c>
      <c r="B38" s="7">
        <v>0.34027777777777773</v>
      </c>
      <c r="C38" s="7">
        <v>0.36249999999999999</v>
      </c>
      <c r="D38" s="7">
        <f>(0.3625-0.340277777777778)</f>
        <v>2.2222222222221977E-2</v>
      </c>
      <c r="E38" s="7">
        <f>ABS(0.022222222222222-0.015277777777778)</f>
        <v>6.9444444444440017E-3</v>
      </c>
      <c r="F38" s="1" t="s">
        <v>9</v>
      </c>
    </row>
    <row r="39" spans="1:6" x14ac:dyDescent="0.25">
      <c r="A39" s="11">
        <v>42064</v>
      </c>
      <c r="B39" s="7">
        <v>0.37361111111111112</v>
      </c>
      <c r="C39" s="7">
        <v>0.3888888888888889</v>
      </c>
      <c r="D39" s="7">
        <f>(0.388888888888889-0.373611111111111)</f>
        <v>1.5277777777778001E-2</v>
      </c>
      <c r="E39" s="7">
        <f>ABS(0.015277777777778-0.013194444444445)</f>
        <v>2.0833333333329998E-3</v>
      </c>
      <c r="F39" s="1" t="s">
        <v>9</v>
      </c>
    </row>
    <row r="40" spans="1:6" x14ac:dyDescent="0.25">
      <c r="A40" s="11">
        <v>42064</v>
      </c>
      <c r="B40" s="7">
        <v>0.43194444444444446</v>
      </c>
      <c r="C40" s="7">
        <v>0.44513888888888892</v>
      </c>
      <c r="D40" s="7">
        <f>(0.445138888888889-0.431944444444444)</f>
        <v>1.3194444444444953E-2</v>
      </c>
      <c r="E40" s="7">
        <f>ABS(0.013194444444445-0.0125)</f>
        <v>6.9444444444499882E-4</v>
      </c>
      <c r="F40" s="1" t="s">
        <v>9</v>
      </c>
    </row>
    <row r="41" spans="1:6" x14ac:dyDescent="0.25">
      <c r="A41" s="11">
        <v>42064</v>
      </c>
      <c r="B41" s="7">
        <v>0.8666666666666667</v>
      </c>
      <c r="C41" s="7">
        <v>0.87916666666666676</v>
      </c>
      <c r="D41" s="7">
        <f>(0.879166666666667-0.866666666666667)</f>
        <v>1.2499999999999956E-2</v>
      </c>
      <c r="E41" s="7">
        <f>ABS(0.0125-0.0159722222222219)</f>
        <v>3.4722222222218976E-3</v>
      </c>
      <c r="F41" s="1" t="s">
        <v>9</v>
      </c>
    </row>
    <row r="42" spans="1:6" x14ac:dyDescent="0.25">
      <c r="A42" s="11">
        <v>42064</v>
      </c>
      <c r="B42" s="7">
        <v>0.90138888888888891</v>
      </c>
      <c r="C42" s="7">
        <v>0.91736111111111107</v>
      </c>
      <c r="D42" s="7">
        <f>(0.917361111111111-0.901388888888889)</f>
        <v>1.5972222222221943E-2</v>
      </c>
      <c r="E42" s="7">
        <f>ABS(0.0159722222222219-0.0118055555555501)</f>
        <v>4.1666666666717988E-3</v>
      </c>
      <c r="F42" s="1" t="s">
        <v>9</v>
      </c>
    </row>
    <row r="43" spans="1:6" x14ac:dyDescent="0.25">
      <c r="A43" s="11">
        <v>42064</v>
      </c>
      <c r="B43" s="7">
        <v>1.0055555555555555</v>
      </c>
      <c r="C43" s="7">
        <v>1.0173611111111112</v>
      </c>
      <c r="D43" s="7">
        <f>(1.01736111111111-1.00555555555556)</f>
        <v>1.1805555555550074E-2</v>
      </c>
      <c r="E43" s="7">
        <f>ABS(0.0118055555555501-0.023611111111111)</f>
        <v>1.18055555555609E-2</v>
      </c>
      <c r="F43" s="1" t="s">
        <v>9</v>
      </c>
    </row>
    <row r="44" spans="1:6" x14ac:dyDescent="0.25">
      <c r="A44" s="11">
        <v>42064</v>
      </c>
      <c r="B44" s="7">
        <v>0.48749999999999999</v>
      </c>
      <c r="C44" s="7">
        <v>0.51111111111111118</v>
      </c>
      <c r="D44" s="7">
        <f>(0.511111111111111-0.4875)</f>
        <v>2.3611111111110972E-2</v>
      </c>
      <c r="E44" s="7">
        <f>ABS(0.023611111111111-0.0194444444444444)</f>
        <v>4.1666666666665998E-3</v>
      </c>
      <c r="F44" s="1" t="s">
        <v>9</v>
      </c>
    </row>
    <row r="45" spans="1:6" x14ac:dyDescent="0.25">
      <c r="A45" s="11">
        <v>42064</v>
      </c>
      <c r="B45" s="7">
        <v>3.2638888888888891E-2</v>
      </c>
      <c r="C45" s="7">
        <v>5.2083333333333336E-2</v>
      </c>
      <c r="D45" s="7">
        <f>(0.0520833333333333-0.0326388888888889)</f>
        <v>1.9444444444444403E-2</v>
      </c>
      <c r="E45" s="7">
        <f>ABS(0.0194444444444444-0.0159722222222231)</f>
        <v>3.4722222222213009E-3</v>
      </c>
      <c r="F45" s="1" t="s">
        <v>9</v>
      </c>
    </row>
    <row r="46" spans="1:6" x14ac:dyDescent="0.25">
      <c r="A46" s="11">
        <v>42064</v>
      </c>
      <c r="B46" s="7">
        <v>0.8569444444444444</v>
      </c>
      <c r="C46" s="7">
        <v>0.87291666666666667</v>
      </c>
      <c r="D46" s="7">
        <f>(0.872916666666667-0.856944444444444)</f>
        <v>1.5972222222223054E-2</v>
      </c>
      <c r="E46" s="7">
        <f>ABS(0.0159722222222231-0.038888888888889)</f>
        <v>2.2916666666665902E-2</v>
      </c>
      <c r="F46" s="1" t="s">
        <v>9</v>
      </c>
    </row>
    <row r="47" spans="1:6" x14ac:dyDescent="0.25">
      <c r="A47" s="11">
        <v>42064</v>
      </c>
      <c r="B47" s="7">
        <v>0.50486111111111109</v>
      </c>
      <c r="C47" s="7">
        <v>0.54375000000000007</v>
      </c>
      <c r="D47" s="7">
        <f>(0.54375-0.504861111111111)</f>
        <v>3.8888888888888973E-2</v>
      </c>
      <c r="E47" s="7">
        <f>ABS(0.038888888888889-0.034722222222222)</f>
        <v>4.1666666666669988E-3</v>
      </c>
      <c r="F47" s="1" t="s">
        <v>9</v>
      </c>
    </row>
    <row r="48" spans="1:6" x14ac:dyDescent="0.25">
      <c r="A48" s="11">
        <v>42064</v>
      </c>
      <c r="B48" s="7">
        <v>0.50555555555555554</v>
      </c>
      <c r="C48" s="7">
        <v>0.54027777777777775</v>
      </c>
      <c r="D48" s="7">
        <f>(0.540277777777778-0.505555555555556)</f>
        <v>3.4722222222221988E-2</v>
      </c>
      <c r="E48" s="7">
        <f>ABS(0.034722222222222-0.034722222222222)</f>
        <v>0</v>
      </c>
      <c r="F48" s="1" t="s">
        <v>9</v>
      </c>
    </row>
    <row r="49" spans="1:6" x14ac:dyDescent="0.25">
      <c r="A49" s="11">
        <v>42064</v>
      </c>
      <c r="B49" s="7">
        <v>0.50555555555555554</v>
      </c>
      <c r="C49" s="7">
        <v>0.54027777777777775</v>
      </c>
      <c r="D49" s="7">
        <f>(0.540277777777778-0.505555555555556)</f>
        <v>3.4722222222221988E-2</v>
      </c>
      <c r="E49" s="7">
        <f>ABS(0.034722222222222-0.011805555555555)</f>
        <v>2.2916666666667002E-2</v>
      </c>
      <c r="F49" s="1" t="s">
        <v>9</v>
      </c>
    </row>
    <row r="50" spans="1:6" x14ac:dyDescent="0.25">
      <c r="A50" s="11">
        <v>42064</v>
      </c>
      <c r="B50" s="7">
        <v>0.75277777777777777</v>
      </c>
      <c r="C50" s="7">
        <v>0.76458333333333339</v>
      </c>
      <c r="D50" s="7">
        <f>(0.764583333333333-0.752777777777778)</f>
        <v>1.1805555555554959E-2</v>
      </c>
      <c r="E50" s="7">
        <f>ABS(0.011805555555555-0.014583333333333)</f>
        <v>2.7777777777780004E-3</v>
      </c>
      <c r="F50" s="1" t="s">
        <v>9</v>
      </c>
    </row>
    <row r="51" spans="1:6" x14ac:dyDescent="0.25">
      <c r="A51" s="11">
        <v>42064</v>
      </c>
      <c r="B51" s="7">
        <v>0.34375</v>
      </c>
      <c r="C51" s="7">
        <v>0.35833333333333334</v>
      </c>
      <c r="D51" s="7">
        <f>(0.358333333333333-0.34375)</f>
        <v>1.4583333333333004E-2</v>
      </c>
      <c r="E51" s="7"/>
      <c r="F51" s="1" t="s">
        <v>9</v>
      </c>
    </row>
    <row r="52" spans="1:6" x14ac:dyDescent="0.25">
      <c r="A52" s="11">
        <v>42064</v>
      </c>
      <c r="B52" s="7">
        <v>7.0833333333333331E-2</v>
      </c>
      <c r="C52" s="7">
        <v>9.375E-2</v>
      </c>
      <c r="D52" s="7">
        <f>(0.09375-0.0708333333333333)</f>
        <v>2.2916666666666696E-2</v>
      </c>
      <c r="E52" s="7">
        <f>ABS(0.0229166666666667-0.00486111111111098)</f>
        <v>1.805555555555572E-2</v>
      </c>
      <c r="F52" s="1" t="s">
        <v>3</v>
      </c>
    </row>
    <row r="53" spans="1:6" x14ac:dyDescent="0.25">
      <c r="A53" s="11">
        <v>42064</v>
      </c>
      <c r="B53" s="7">
        <v>0.16041666666666668</v>
      </c>
      <c r="C53" s="7">
        <v>0.16527777777777777</v>
      </c>
      <c r="D53" s="7">
        <f>(0.165277777777778-0.160416666666667)</f>
        <v>4.8611111111109828E-3</v>
      </c>
      <c r="E53" s="7">
        <f>ABS(0.00486111111111098-0.00416666666666698)</f>
        <v>6.9444444444400049E-4</v>
      </c>
      <c r="F53" s="1" t="s">
        <v>3</v>
      </c>
    </row>
    <row r="54" spans="1:6" x14ac:dyDescent="0.25">
      <c r="A54" s="11">
        <v>42064</v>
      </c>
      <c r="B54" s="7">
        <v>0.46736111111111112</v>
      </c>
      <c r="C54" s="7">
        <v>0.47152777777777777</v>
      </c>
      <c r="D54" s="7">
        <f>(0.471527777777778-0.467361111111111)</f>
        <v>4.1666666666669849E-3</v>
      </c>
      <c r="E54" s="7">
        <f>ABS(0.00416666666666698-0.00763888888888897)</f>
        <v>3.4722222222219904E-3</v>
      </c>
      <c r="F54" s="1" t="s">
        <v>3</v>
      </c>
    </row>
    <row r="55" spans="1:6" x14ac:dyDescent="0.25">
      <c r="A55" s="11">
        <v>42064</v>
      </c>
      <c r="B55" s="7">
        <v>0.52847222222222223</v>
      </c>
      <c r="C55" s="7">
        <v>0.53611111111111109</v>
      </c>
      <c r="D55" s="7">
        <f>(0.536111111111111-0.528472222222222)</f>
        <v>7.6388888888889728E-3</v>
      </c>
      <c r="E55" s="7">
        <f>ABS(0.00763888888888897-0.031944444444445)</f>
        <v>2.4305555555556028E-2</v>
      </c>
      <c r="F55" s="1" t="s">
        <v>3</v>
      </c>
    </row>
    <row r="56" spans="1:6" x14ac:dyDescent="0.25">
      <c r="A56" s="11">
        <v>42064</v>
      </c>
      <c r="B56" s="7">
        <v>0.61597222222222225</v>
      </c>
      <c r="C56" s="7">
        <v>0.6479166666666667</v>
      </c>
      <c r="D56" s="7">
        <f>(0.647916666666667-0.615972222222222)</f>
        <v>3.1944444444444997E-2</v>
      </c>
      <c r="E56" s="7">
        <f>ABS(0.031944444444445-0.00624999999999998)</f>
        <v>2.5694444444445016E-2</v>
      </c>
      <c r="F56" s="1" t="s">
        <v>3</v>
      </c>
    </row>
    <row r="57" spans="1:6" x14ac:dyDescent="0.25">
      <c r="A57" s="11">
        <v>42064</v>
      </c>
      <c r="B57" s="7">
        <v>0.6645833333333333</v>
      </c>
      <c r="C57" s="7">
        <v>0.67083333333333339</v>
      </c>
      <c r="D57" s="7">
        <f>(0.670833333333333-0.664583333333333)</f>
        <v>6.2499999999999778E-3</v>
      </c>
      <c r="E57" s="7">
        <f>ABS(0.00624999999999998-0.0222222222222219)</f>
        <v>1.5972222222221919E-2</v>
      </c>
      <c r="F57" s="1" t="s">
        <v>3</v>
      </c>
    </row>
    <row r="58" spans="1:6" x14ac:dyDescent="0.25">
      <c r="A58" s="11">
        <v>42064</v>
      </c>
      <c r="B58" s="7">
        <v>0.7090277777777777</v>
      </c>
      <c r="C58" s="7">
        <v>0.73125000000000007</v>
      </c>
      <c r="D58" s="7">
        <f>(0.73125-0.709027777777778)</f>
        <v>2.2222222222221921E-2</v>
      </c>
      <c r="E58" s="7">
        <f>ABS(0.0222222222222219-0.0125)</f>
        <v>9.7222222222218997E-3</v>
      </c>
      <c r="F58" s="1" t="s">
        <v>3</v>
      </c>
    </row>
    <row r="59" spans="1:6" x14ac:dyDescent="0.25">
      <c r="A59" s="11">
        <v>42064</v>
      </c>
      <c r="B59" s="7">
        <v>0.73611111111111116</v>
      </c>
      <c r="C59" s="7">
        <v>0.74861111111111101</v>
      </c>
      <c r="D59" s="7">
        <f>(0.748611111111111-0.736111111111111)</f>
        <v>1.2499999999999956E-2</v>
      </c>
      <c r="E59" s="7">
        <f>ABS(0.0125-0.00833333333333308)</f>
        <v>4.1666666666669207E-3</v>
      </c>
      <c r="F59" s="1" t="s">
        <v>3</v>
      </c>
    </row>
    <row r="60" spans="1:6" x14ac:dyDescent="0.25">
      <c r="A60" s="11">
        <v>42064</v>
      </c>
      <c r="B60" s="7">
        <v>0.79166666666666663</v>
      </c>
      <c r="C60" s="7">
        <v>0.79999999999999993</v>
      </c>
      <c r="D60" s="7">
        <f>(0.8-0.791666666666667)</f>
        <v>8.3333333333330817E-3</v>
      </c>
      <c r="E60" s="7">
        <f>ABS(0.00833333333333308-0.00902777777777697)</f>
        <v>6.9444444444389034E-4</v>
      </c>
      <c r="F60" s="1" t="s">
        <v>3</v>
      </c>
    </row>
    <row r="61" spans="1:6" x14ac:dyDescent="0.25">
      <c r="A61" s="11">
        <v>42064</v>
      </c>
      <c r="B61" s="7">
        <v>0.91041666666666676</v>
      </c>
      <c r="C61" s="7">
        <v>0.9194444444444444</v>
      </c>
      <c r="D61" s="7">
        <f>(0.919444444444444-0.910416666666667)</f>
        <v>9.0277777777769685E-3</v>
      </c>
      <c r="E61" s="7">
        <f>ABS(0.00902777777777697-0.00486111111111098)</f>
        <v>4.1666666666659901E-3</v>
      </c>
      <c r="F61" s="1" t="s">
        <v>3</v>
      </c>
    </row>
    <row r="62" spans="1:6" x14ac:dyDescent="0.25">
      <c r="A62" s="11">
        <v>42064</v>
      </c>
      <c r="B62" s="7">
        <v>0.3576388888888889</v>
      </c>
      <c r="C62" s="7">
        <v>0.36249999999999999</v>
      </c>
      <c r="D62" s="7">
        <f>(0.3625-0.357638888888889)</f>
        <v>4.8611111111109828E-3</v>
      </c>
      <c r="E62" s="7">
        <f>ABS(0.00486111111111098-0.013888888888889)</f>
        <v>9.0277777777780198E-3</v>
      </c>
      <c r="F62" s="1" t="s">
        <v>3</v>
      </c>
    </row>
    <row r="63" spans="1:6" x14ac:dyDescent="0.25">
      <c r="A63" s="11">
        <v>42064</v>
      </c>
      <c r="B63" s="7">
        <v>0.44791666666666669</v>
      </c>
      <c r="C63" s="7">
        <v>0.46180555555555558</v>
      </c>
      <c r="D63" s="7">
        <f>(0.461805555555556-0.447916666666667)</f>
        <v>1.3888888888889006E-2</v>
      </c>
      <c r="E63" s="7">
        <f>ABS(0.013888888888889-0.025694444444445)</f>
        <v>1.1805555555555999E-2</v>
      </c>
      <c r="F63" s="1" t="s">
        <v>3</v>
      </c>
    </row>
    <row r="64" spans="1:6" x14ac:dyDescent="0.25">
      <c r="A64" s="11">
        <v>42064</v>
      </c>
      <c r="B64" s="7">
        <v>0.47083333333333338</v>
      </c>
      <c r="C64" s="7">
        <v>0.49652777777777773</v>
      </c>
      <c r="D64" s="7">
        <f>(0.496527777777778-0.470833333333333)</f>
        <v>2.5694444444445019E-2</v>
      </c>
      <c r="E64" s="7">
        <f>ABS(0.025694444444445-0.0152777777777781)</f>
        <v>1.0416666666666899E-2</v>
      </c>
      <c r="F64" s="1" t="s">
        <v>3</v>
      </c>
    </row>
    <row r="65" spans="1:6" x14ac:dyDescent="0.25">
      <c r="A65" s="11">
        <v>42064</v>
      </c>
      <c r="B65" s="7">
        <v>0.69097222222222221</v>
      </c>
      <c r="C65" s="7">
        <v>0.70624999999999993</v>
      </c>
      <c r="D65" s="7">
        <f>(0.70625-0.690972222222222)</f>
        <v>1.5277777777778057E-2</v>
      </c>
      <c r="E65" s="7">
        <f>ABS(0.0152777777777781-0.00625000000000009)</f>
        <v>9.0277777777780094E-3</v>
      </c>
      <c r="F65" s="1" t="s">
        <v>3</v>
      </c>
    </row>
    <row r="66" spans="1:6" x14ac:dyDescent="0.25">
      <c r="A66" s="11">
        <v>42064</v>
      </c>
      <c r="B66" s="7">
        <v>0.8569444444444444</v>
      </c>
      <c r="C66" s="7">
        <v>0.86319444444444438</v>
      </c>
      <c r="D66" s="7">
        <f>(0.863194444444444-0.856944444444444)</f>
        <v>6.2500000000000888E-3</v>
      </c>
      <c r="E66" s="7">
        <f>ABS(0.00625000000000009-0.00694444444444503)</f>
        <v>6.9444444444494071E-4</v>
      </c>
      <c r="F66" s="1" t="s">
        <v>3</v>
      </c>
    </row>
    <row r="67" spans="1:6" x14ac:dyDescent="0.25">
      <c r="A67" s="11">
        <v>42064</v>
      </c>
      <c r="B67" s="7">
        <v>0.36319444444444443</v>
      </c>
      <c r="C67" s="7">
        <v>0.37013888888888885</v>
      </c>
      <c r="D67" s="7">
        <f>(0.370138888888889-0.363194444444444)</f>
        <v>6.9444444444450304E-3</v>
      </c>
      <c r="E67" s="7">
        <f>ABS(0.00694444444444503-0.00624999999999998)</f>
        <v>6.9444444444505E-4</v>
      </c>
      <c r="F67" s="1" t="s">
        <v>3</v>
      </c>
    </row>
    <row r="68" spans="1:6" x14ac:dyDescent="0.25">
      <c r="A68" s="11">
        <v>42064</v>
      </c>
      <c r="B68" s="7">
        <v>0.96388888888888891</v>
      </c>
      <c r="C68" s="7">
        <v>0.97013888888888899</v>
      </c>
      <c r="D68" s="7">
        <f>(0.970138888888889-0.963888888888889)</f>
        <v>6.2499999999999778E-3</v>
      </c>
      <c r="E68" s="7">
        <f>ABS(0.00624999999999998-0.00624999999999998)</f>
        <v>0</v>
      </c>
      <c r="F68" s="1" t="s">
        <v>3</v>
      </c>
    </row>
    <row r="69" spans="1:6" x14ac:dyDescent="0.25">
      <c r="A69" s="11">
        <v>42064</v>
      </c>
      <c r="B69" s="7">
        <v>0.98611111111111116</v>
      </c>
      <c r="C69" s="7">
        <v>0.99236111111111114</v>
      </c>
      <c r="D69" s="7">
        <f>(0.992361111111111-0.986111111111111)</f>
        <v>6.2499999999999778E-3</v>
      </c>
      <c r="E69" s="7">
        <f>ABS(0.00624999999999998-0.012500000000003)</f>
        <v>6.2500000000030196E-3</v>
      </c>
      <c r="F69" s="1" t="s">
        <v>3</v>
      </c>
    </row>
    <row r="70" spans="1:6" x14ac:dyDescent="0.25">
      <c r="A70" s="11">
        <v>42064</v>
      </c>
      <c r="B70" s="7">
        <v>0.9916666666666667</v>
      </c>
      <c r="C70" s="7">
        <v>1.0041666666666667</v>
      </c>
      <c r="D70" s="7">
        <f>(1.00416666666667-0.991666666666667)</f>
        <v>1.2500000000002953E-2</v>
      </c>
      <c r="E70" s="7">
        <f>ABS(0.012500000000003-0.00555555555555498)</f>
        <v>6.9444444444480202E-3</v>
      </c>
      <c r="F70" s="1" t="s">
        <v>3</v>
      </c>
    </row>
    <row r="71" spans="1:6" x14ac:dyDescent="0.25">
      <c r="A71" s="11">
        <v>42064</v>
      </c>
      <c r="B71" s="7">
        <v>0.3444444444444445</v>
      </c>
      <c r="C71" s="7">
        <v>0.35000000000000003</v>
      </c>
      <c r="D71" s="7">
        <f>(0.35-0.344444444444445)</f>
        <v>5.5555555555549807E-3</v>
      </c>
      <c r="E71" s="7">
        <f>ABS(0.00555555555555498-0.015277777777777)</f>
        <v>9.7222222222220211E-3</v>
      </c>
      <c r="F71" s="1" t="s">
        <v>3</v>
      </c>
    </row>
    <row r="72" spans="1:6" x14ac:dyDescent="0.25">
      <c r="A72" s="11">
        <v>42064</v>
      </c>
      <c r="B72" s="7">
        <v>0.46180555555555558</v>
      </c>
      <c r="C72" s="7">
        <v>0.4770833333333333</v>
      </c>
      <c r="D72" s="7">
        <f>(0.477083333333333-0.461805555555556)</f>
        <v>1.5277777777777002E-2</v>
      </c>
      <c r="E72" s="7">
        <f>ABS(0.015277777777777-0.013888888888889)</f>
        <v>1.388888888888001E-3</v>
      </c>
      <c r="F72" s="1" t="s">
        <v>3</v>
      </c>
    </row>
    <row r="73" spans="1:6" x14ac:dyDescent="0.25">
      <c r="A73" s="11">
        <v>42064</v>
      </c>
      <c r="B73" s="7">
        <v>0.46666666666666662</v>
      </c>
      <c r="C73" s="7">
        <v>0.48055555555555557</v>
      </c>
      <c r="D73" s="7">
        <f>(0.480555555555556-0.466666666666667)</f>
        <v>1.3888888888889006E-2</v>
      </c>
      <c r="E73" s="7">
        <f>ABS(0.013888888888889-0.013888888888889)</f>
        <v>0</v>
      </c>
      <c r="F73" s="1" t="s">
        <v>3</v>
      </c>
    </row>
    <row r="74" spans="1:6" x14ac:dyDescent="0.25">
      <c r="A74" s="11">
        <v>42064</v>
      </c>
      <c r="B74" s="7">
        <v>0.61111111111111105</v>
      </c>
      <c r="C74" s="7">
        <v>0.625</v>
      </c>
      <c r="D74" s="7">
        <f>(0.625-0.611111111111111)</f>
        <v>1.3888888888888951E-2</v>
      </c>
      <c r="E74" s="7">
        <f>ABS(0.013888888888889-0.00555555555555498)</f>
        <v>8.3333333333340184E-3</v>
      </c>
      <c r="F74" s="1" t="s">
        <v>3</v>
      </c>
    </row>
    <row r="75" spans="1:6" x14ac:dyDescent="0.25">
      <c r="A75" s="11">
        <v>42064</v>
      </c>
      <c r="B75" s="7">
        <v>0.65902777777777777</v>
      </c>
      <c r="C75" s="7">
        <v>0.6645833333333333</v>
      </c>
      <c r="D75" s="7">
        <f>(0.664583333333333-0.659027777777778)</f>
        <v>5.5555555555549807E-3</v>
      </c>
      <c r="E75" s="7">
        <f>ABS(0.00555555555555498-0.00833333333333397)</f>
        <v>2.77777777777899E-3</v>
      </c>
      <c r="F75" s="1" t="s">
        <v>3</v>
      </c>
    </row>
    <row r="76" spans="1:6" x14ac:dyDescent="0.25">
      <c r="A76" s="11">
        <v>42064</v>
      </c>
      <c r="B76" s="7">
        <v>0.77083333333333337</v>
      </c>
      <c r="C76" s="7">
        <v>0.77916666666666667</v>
      </c>
      <c r="D76" s="7">
        <f>(0.779166666666667-0.770833333333333)</f>
        <v>8.3333333333339699E-3</v>
      </c>
      <c r="E76" s="7">
        <f>ABS(0.00833333333333397-0.013194444444445)</f>
        <v>4.8611111111110297E-3</v>
      </c>
      <c r="F76" s="1" t="s">
        <v>3</v>
      </c>
    </row>
    <row r="77" spans="1:6" x14ac:dyDescent="0.25">
      <c r="A77" s="11">
        <v>42064</v>
      </c>
      <c r="B77" s="7">
        <v>0.83194444444444438</v>
      </c>
      <c r="C77" s="7">
        <v>0.84513888888888899</v>
      </c>
      <c r="D77" s="7">
        <f>(0.845138888888889-0.831944444444444)</f>
        <v>1.3194444444444953E-2</v>
      </c>
      <c r="E77" s="7">
        <f>ABS(0.013194444444445-0.00555555555555509)</f>
        <v>7.6388888888899095E-3</v>
      </c>
      <c r="F77" s="1" t="s">
        <v>3</v>
      </c>
    </row>
    <row r="78" spans="1:6" x14ac:dyDescent="0.25">
      <c r="A78" s="11">
        <v>42064</v>
      </c>
      <c r="B78" s="7">
        <v>0.88541666666666663</v>
      </c>
      <c r="C78" s="7">
        <v>0.89097222222222217</v>
      </c>
      <c r="D78" s="7">
        <f>(0.890972222222222-0.885416666666667)</f>
        <v>5.5555555555550917E-3</v>
      </c>
      <c r="E78" s="7">
        <f>ABS(0.00555555555555509-0.036805555555555)</f>
        <v>3.124999999999991E-2</v>
      </c>
      <c r="F78" s="1" t="s">
        <v>3</v>
      </c>
    </row>
    <row r="79" spans="1:6" x14ac:dyDescent="0.25">
      <c r="A79" s="11">
        <v>42064</v>
      </c>
      <c r="B79" s="7">
        <v>0.37777777777777777</v>
      </c>
      <c r="C79" s="7">
        <v>0.4145833333333333</v>
      </c>
      <c r="D79" s="7">
        <f>(0.414583333333333-0.377777777777778)</f>
        <v>3.6805555555555036E-2</v>
      </c>
      <c r="E79" s="7">
        <f>ABS(0.036805555555555-0.011805555555555)</f>
        <v>2.5000000000000001E-2</v>
      </c>
      <c r="F79" s="1" t="s">
        <v>3</v>
      </c>
    </row>
    <row r="80" spans="1:6" x14ac:dyDescent="0.25">
      <c r="A80" s="11">
        <v>42064</v>
      </c>
      <c r="B80" s="7">
        <v>0.43263888888888885</v>
      </c>
      <c r="C80" s="7">
        <v>0.44444444444444442</v>
      </c>
      <c r="D80" s="7">
        <f>(0.444444444444444-0.432638888888889)</f>
        <v>1.1805555555554959E-2</v>
      </c>
      <c r="E80" s="7">
        <f>ABS(0.011805555555555-0.085416666666667)</f>
        <v>7.3611111111112001E-2</v>
      </c>
      <c r="F80" s="1" t="s">
        <v>3</v>
      </c>
    </row>
    <row r="81" spans="1:6" x14ac:dyDescent="0.25">
      <c r="A81" s="11">
        <v>42064</v>
      </c>
      <c r="B81" s="7">
        <v>0.42222222222222222</v>
      </c>
      <c r="C81" s="7">
        <v>0.50763888888888886</v>
      </c>
      <c r="D81" s="7">
        <f>(0.507638888888889-0.422222222222222)</f>
        <v>8.5416666666666974E-2</v>
      </c>
      <c r="E81" s="7">
        <f>ABS(0.085416666666667-0.00624999999999998)</f>
        <v>7.9166666666667024E-2</v>
      </c>
      <c r="F81" s="1" t="s">
        <v>3</v>
      </c>
    </row>
    <row r="82" spans="1:6" x14ac:dyDescent="0.25">
      <c r="A82" s="11">
        <v>42064</v>
      </c>
      <c r="B82" s="7">
        <v>0.4465277777777778</v>
      </c>
      <c r="C82" s="7">
        <v>0.45277777777777778</v>
      </c>
      <c r="D82" s="7">
        <f>(0.452777777777778-0.446527777777778)</f>
        <v>6.2499999999999778E-3</v>
      </c>
      <c r="E82" s="7">
        <f>ABS(0.00624999999999998-0.00555555555555609)</f>
        <v>6.9444444444389034E-4</v>
      </c>
      <c r="F82" s="1" t="s">
        <v>3</v>
      </c>
    </row>
    <row r="83" spans="1:6" x14ac:dyDescent="0.25">
      <c r="A83" s="11">
        <v>42064</v>
      </c>
      <c r="B83" s="7">
        <v>0.51458333333333328</v>
      </c>
      <c r="C83" s="7">
        <v>0.52013888888888882</v>
      </c>
      <c r="D83" s="7">
        <f>(0.520138888888889-0.514583333333333)</f>
        <v>5.5555555555560909E-3</v>
      </c>
      <c r="E83" s="7">
        <f>ABS(0.00555555555555609-0.00902777777777697)</f>
        <v>3.4722222222208802E-3</v>
      </c>
      <c r="F83" s="1" t="s">
        <v>3</v>
      </c>
    </row>
    <row r="84" spans="1:6" x14ac:dyDescent="0.25">
      <c r="A84" s="11">
        <v>42064</v>
      </c>
      <c r="B84" s="7">
        <v>0.52430555555555558</v>
      </c>
      <c r="C84" s="7">
        <v>0.53333333333333333</v>
      </c>
      <c r="D84" s="7">
        <f>(0.533333333333333-0.524305555555556)</f>
        <v>9.0277777777769685E-3</v>
      </c>
      <c r="E84" s="7">
        <f>ABS(0.00902777777777697-0.0458333333333329)</f>
        <v>3.6805555555555931E-2</v>
      </c>
      <c r="F84" s="1" t="s">
        <v>3</v>
      </c>
    </row>
    <row r="85" spans="1:6" x14ac:dyDescent="0.25">
      <c r="A85" s="11">
        <v>42064</v>
      </c>
      <c r="B85" s="7">
        <v>0.52916666666666667</v>
      </c>
      <c r="C85" s="7">
        <v>0.57500000000000007</v>
      </c>
      <c r="D85" s="7">
        <f>(0.575-0.529166666666667)</f>
        <v>4.5833333333332948E-2</v>
      </c>
      <c r="E85" s="7">
        <f>ABS(0.0458333333333329-0.00694444444444398)</f>
        <v>3.8888888888888917E-2</v>
      </c>
      <c r="F85" s="1" t="s">
        <v>3</v>
      </c>
    </row>
    <row r="86" spans="1:6" x14ac:dyDescent="0.25">
      <c r="A86" s="11">
        <v>42064</v>
      </c>
      <c r="B86" s="7">
        <v>0.69166666666666676</v>
      </c>
      <c r="C86" s="7">
        <v>0.69861111111111107</v>
      </c>
      <c r="D86" s="7">
        <f>(0.698611111111111-0.691666666666667)</f>
        <v>6.9444444444439757E-3</v>
      </c>
      <c r="E86" s="7">
        <f>ABS(0.00694444444444398-0.00972222222222296)</f>
        <v>2.7777777777789796E-3</v>
      </c>
      <c r="F86" s="1" t="s">
        <v>3</v>
      </c>
    </row>
    <row r="87" spans="1:6" x14ac:dyDescent="0.25">
      <c r="A87" s="11">
        <v>42064</v>
      </c>
      <c r="B87" s="7">
        <v>0.68819444444444444</v>
      </c>
      <c r="C87" s="7">
        <v>0.69791666666666663</v>
      </c>
      <c r="D87" s="7">
        <f>(0.697916666666667-0.688194444444444)</f>
        <v>9.7222222222229648E-3</v>
      </c>
      <c r="E87" s="7">
        <f>ABS(0.00972222222222296-0.00694444444444409)</f>
        <v>2.7777777777788695E-3</v>
      </c>
      <c r="F87" s="1" t="s">
        <v>3</v>
      </c>
    </row>
    <row r="88" spans="1:6" x14ac:dyDescent="0.25">
      <c r="A88" s="11">
        <v>42064</v>
      </c>
      <c r="B88" s="7">
        <v>0.69930555555555562</v>
      </c>
      <c r="C88" s="7">
        <v>0.70624999999999993</v>
      </c>
      <c r="D88" s="7">
        <f>(0.70625-0.699305555555556)</f>
        <v>6.9444444444440867E-3</v>
      </c>
      <c r="E88" s="7">
        <f>ABS(0.00694444444444409-0.00763888888888897)</f>
        <v>6.9444444444487999E-4</v>
      </c>
      <c r="F88" s="1" t="s">
        <v>3</v>
      </c>
    </row>
    <row r="89" spans="1:6" x14ac:dyDescent="0.25">
      <c r="A89" s="11">
        <v>42064</v>
      </c>
      <c r="B89" s="7">
        <v>0.77916666666666667</v>
      </c>
      <c r="C89" s="7">
        <v>0.78680555555555554</v>
      </c>
      <c r="D89" s="7">
        <f>(0.786805555555556-0.779166666666667)</f>
        <v>7.6388888888889728E-3</v>
      </c>
      <c r="E89" s="7">
        <f>ABS(0.00763888888888897-0.00277777777777799)</f>
        <v>4.8611111111109802E-3</v>
      </c>
      <c r="F89" s="1" t="s">
        <v>3</v>
      </c>
    </row>
    <row r="90" spans="1:6" x14ac:dyDescent="0.25">
      <c r="A90" s="11">
        <v>42064</v>
      </c>
      <c r="B90" s="7">
        <v>0.90763888888888899</v>
      </c>
      <c r="C90" s="7">
        <v>0.91041666666666676</v>
      </c>
      <c r="D90" s="7">
        <f>(0.910416666666667-0.907638888888889)</f>
        <v>2.77777777777799E-3</v>
      </c>
      <c r="E90" s="7">
        <f>ABS(0.00277777777777799-0.00486111111111098)</f>
        <v>2.0833333333329903E-3</v>
      </c>
      <c r="F90" s="1" t="s">
        <v>3</v>
      </c>
    </row>
    <row r="91" spans="1:6" x14ac:dyDescent="0.25">
      <c r="A91" s="11">
        <v>42064</v>
      </c>
      <c r="B91" s="7">
        <v>0.37152777777777773</v>
      </c>
      <c r="C91" s="7">
        <v>0.37638888888888888</v>
      </c>
      <c r="D91" s="7">
        <f>(0.376388888888889-0.371527777777778)</f>
        <v>4.8611111111109828E-3</v>
      </c>
      <c r="E91" s="7">
        <f>ABS(0.00486111111111098-0.00347222222222199)</f>
        <v>1.3888888888889902E-3</v>
      </c>
      <c r="F91" s="1" t="s">
        <v>3</v>
      </c>
    </row>
    <row r="92" spans="1:6" x14ac:dyDescent="0.25">
      <c r="A92" s="11">
        <v>42064</v>
      </c>
      <c r="B92" s="7">
        <v>0.51666666666666672</v>
      </c>
      <c r="C92" s="7">
        <v>0.52013888888888882</v>
      </c>
      <c r="D92" s="7">
        <f>(0.520138888888889-0.516666666666667)</f>
        <v>3.4722222222219878E-3</v>
      </c>
      <c r="E92" s="7">
        <f>ABS(0.00347222222222199-0.0083333333333334)</f>
        <v>4.8611111111114096E-3</v>
      </c>
      <c r="F92" s="1" t="s">
        <v>3</v>
      </c>
    </row>
    <row r="93" spans="1:6" x14ac:dyDescent="0.25">
      <c r="A93" s="11">
        <v>42064</v>
      </c>
      <c r="B93" s="7">
        <v>3.3333333333333333E-2</v>
      </c>
      <c r="C93" s="7">
        <v>4.1666666666666664E-2</v>
      </c>
      <c r="D93" s="7">
        <f>(0.0416666666666667-0.0333333333333333)</f>
        <v>8.3333333333334009E-3</v>
      </c>
      <c r="E93" s="7">
        <f>ABS(0.0083333333333334-0.017361111111112)</f>
        <v>9.0277777777786009E-3</v>
      </c>
      <c r="F93" s="1" t="s">
        <v>3</v>
      </c>
    </row>
    <row r="94" spans="1:6" x14ac:dyDescent="0.25">
      <c r="A94" s="11">
        <v>42064</v>
      </c>
      <c r="B94" s="7">
        <v>0.5756944444444444</v>
      </c>
      <c r="C94" s="7">
        <v>0.59305555555555556</v>
      </c>
      <c r="D94" s="7">
        <f>(0.593055555555556-0.575694444444444)</f>
        <v>1.7361111111112049E-2</v>
      </c>
      <c r="E94" s="7">
        <f>ABS(0.017361111111112-0.00833333333333297)</f>
        <v>9.0277777777790294E-3</v>
      </c>
      <c r="F94" s="1" t="s">
        <v>3</v>
      </c>
    </row>
    <row r="95" spans="1:6" x14ac:dyDescent="0.25">
      <c r="A95" s="11">
        <v>42064</v>
      </c>
      <c r="B95" s="7">
        <v>0.70347222222222217</v>
      </c>
      <c r="C95" s="7">
        <v>0.71180555555555547</v>
      </c>
      <c r="D95" s="7">
        <f>(0.711805555555555-0.703472222222222)</f>
        <v>8.3333333333329707E-3</v>
      </c>
      <c r="E95" s="7">
        <f>ABS(0.00833333333333297-0.00763888888888897)</f>
        <v>6.9444444444400049E-4</v>
      </c>
      <c r="F95" s="1" t="s">
        <v>3</v>
      </c>
    </row>
    <row r="96" spans="1:6" x14ac:dyDescent="0.25">
      <c r="A96" s="11">
        <v>42064</v>
      </c>
      <c r="B96" s="7">
        <v>0.84652777777777777</v>
      </c>
      <c r="C96" s="7">
        <v>0.85416666666666663</v>
      </c>
      <c r="D96" s="7">
        <f>(0.854166666666667-0.846527777777778)</f>
        <v>7.6388888888889728E-3</v>
      </c>
      <c r="E96" s="7">
        <f>ABS(0.00763888888888897-0.00555555555555498)</f>
        <v>2.0833333333339903E-3</v>
      </c>
      <c r="F96" s="1" t="s">
        <v>3</v>
      </c>
    </row>
    <row r="97" spans="1:6" x14ac:dyDescent="0.25">
      <c r="A97" s="11">
        <v>42064</v>
      </c>
      <c r="B97" s="7">
        <v>0.88263888888888886</v>
      </c>
      <c r="C97" s="7">
        <v>0.8881944444444444</v>
      </c>
      <c r="D97" s="7">
        <f>(0.888194444444444-0.882638888888889)</f>
        <v>5.5555555555549807E-3</v>
      </c>
      <c r="E97" s="7">
        <f>ABS(0.00555555555555498-0.010416666666667)</f>
        <v>4.8611111111120193E-3</v>
      </c>
      <c r="F97" s="1" t="s">
        <v>3</v>
      </c>
    </row>
    <row r="98" spans="1:6" x14ac:dyDescent="0.25">
      <c r="A98" s="11">
        <v>42064</v>
      </c>
      <c r="B98" s="7">
        <v>0.44861111111111113</v>
      </c>
      <c r="C98" s="7">
        <v>0.45902777777777781</v>
      </c>
      <c r="D98" s="7">
        <f>(0.459027777777778-0.448611111111111)</f>
        <v>1.0416666666666963E-2</v>
      </c>
      <c r="E98" s="7">
        <f>ABS(0.010416666666667-0.013888888888889)</f>
        <v>3.472222222222E-3</v>
      </c>
      <c r="F98" s="1" t="s">
        <v>3</v>
      </c>
    </row>
    <row r="99" spans="1:6" x14ac:dyDescent="0.25">
      <c r="A99" s="11">
        <v>42064</v>
      </c>
      <c r="B99" s="7">
        <v>0.45694444444444443</v>
      </c>
      <c r="C99" s="7">
        <v>0.47083333333333338</v>
      </c>
      <c r="D99" s="7">
        <f>(0.470833333333333-0.456944444444444)</f>
        <v>1.3888888888889006E-2</v>
      </c>
      <c r="E99" s="7">
        <f>ABS(0.013888888888889-0.00555555555555598)</f>
        <v>8.3333333333330192E-3</v>
      </c>
      <c r="F99" s="1" t="s">
        <v>3</v>
      </c>
    </row>
    <row r="100" spans="1:6" x14ac:dyDescent="0.25">
      <c r="A100" s="11">
        <v>42064</v>
      </c>
      <c r="B100" s="7">
        <v>0.47986111111111113</v>
      </c>
      <c r="C100" s="7">
        <v>0.48541666666666666</v>
      </c>
      <c r="D100" s="7">
        <f>(0.485416666666667-0.479861111111111)</f>
        <v>5.5555555555559799E-3</v>
      </c>
      <c r="E100" s="7">
        <f>ABS(0.00555555555555598-0.01875)</f>
        <v>1.3194444444444019E-2</v>
      </c>
      <c r="F100" s="1" t="s">
        <v>3</v>
      </c>
    </row>
    <row r="101" spans="1:6" x14ac:dyDescent="0.25">
      <c r="A101" s="11">
        <v>42064</v>
      </c>
      <c r="B101" s="7">
        <v>0.56388888888888888</v>
      </c>
      <c r="C101" s="7">
        <v>0.58263888888888882</v>
      </c>
      <c r="D101" s="7">
        <f>(0.582638888888889-0.563888888888889)</f>
        <v>1.8750000000000044E-2</v>
      </c>
      <c r="E101" s="7">
        <f>ABS(0.01875-0.00486111111111098)</f>
        <v>1.388888888888902E-2</v>
      </c>
      <c r="F101" s="1" t="s">
        <v>3</v>
      </c>
    </row>
    <row r="102" spans="1:6" x14ac:dyDescent="0.25">
      <c r="A102" s="11">
        <v>42064</v>
      </c>
      <c r="B102" s="7">
        <v>0.61527777777777781</v>
      </c>
      <c r="C102" s="7">
        <v>0.62013888888888891</v>
      </c>
      <c r="D102" s="7">
        <f>(0.620138888888889-0.615277777777778)</f>
        <v>4.8611111111109828E-3</v>
      </c>
      <c r="E102" s="7">
        <f>ABS(0.00486111111111098-0.028472222222222)</f>
        <v>2.361111111111102E-2</v>
      </c>
      <c r="F102" s="1" t="s">
        <v>3</v>
      </c>
    </row>
    <row r="103" spans="1:6" x14ac:dyDescent="0.25">
      <c r="A103" s="11">
        <v>42064</v>
      </c>
      <c r="B103" s="7">
        <v>0.70138888888888884</v>
      </c>
      <c r="C103" s="7">
        <v>0.72986111111111107</v>
      </c>
      <c r="D103" s="7">
        <f>(0.729861111111111-0.701388888888889)</f>
        <v>2.847222222222201E-2</v>
      </c>
      <c r="E103" s="7">
        <f>ABS(0.028472222222222-0.00416666666666698)</f>
        <v>2.4305555555555018E-2</v>
      </c>
      <c r="F103" s="1" t="s">
        <v>3</v>
      </c>
    </row>
    <row r="104" spans="1:6" x14ac:dyDescent="0.25">
      <c r="A104" s="11">
        <v>42064</v>
      </c>
      <c r="B104" s="7">
        <v>0.49513888888888885</v>
      </c>
      <c r="C104" s="7">
        <v>0.4993055555555555</v>
      </c>
      <c r="D104" s="7">
        <f>(0.499305555555556-0.495138888888889)</f>
        <v>4.1666666666669849E-3</v>
      </c>
      <c r="E104" s="7">
        <f>ABS(0.00416666666666698-0.00486111111111098)</f>
        <v>6.9444444444400049E-4</v>
      </c>
      <c r="F104" s="1" t="s">
        <v>3</v>
      </c>
    </row>
    <row r="105" spans="1:6" x14ac:dyDescent="0.25">
      <c r="A105" s="11">
        <v>42064</v>
      </c>
      <c r="B105" s="7">
        <v>0.32361111111111113</v>
      </c>
      <c r="C105" s="7">
        <v>0.32847222222222222</v>
      </c>
      <c r="D105" s="7">
        <f>(0.328472222222222-0.323611111111111)</f>
        <v>4.8611111111109828E-3</v>
      </c>
      <c r="E105" s="7">
        <f>ABS(0.00486111111111098-0.00555555555555598)</f>
        <v>6.9444444444499969E-4</v>
      </c>
      <c r="F105" s="1" t="s">
        <v>3</v>
      </c>
    </row>
    <row r="106" spans="1:6" x14ac:dyDescent="0.25">
      <c r="A106" s="11">
        <v>42064</v>
      </c>
      <c r="B106" s="7">
        <v>0.35625000000000001</v>
      </c>
      <c r="C106" s="7">
        <v>0.36180555555555555</v>
      </c>
      <c r="D106" s="7">
        <f>(0.361805555555556-0.35625)</f>
        <v>5.5555555555559799E-3</v>
      </c>
      <c r="E106" s="7">
        <f>ABS(0.00555555555555598-0.00347222222222204)</f>
        <v>2.08333333333394E-3</v>
      </c>
      <c r="F106" s="1" t="s">
        <v>3</v>
      </c>
    </row>
    <row r="107" spans="1:6" x14ac:dyDescent="0.25">
      <c r="A107" s="11">
        <v>42064</v>
      </c>
      <c r="B107" s="7">
        <v>0.3659722222222222</v>
      </c>
      <c r="C107" s="7">
        <v>0.36944444444444446</v>
      </c>
      <c r="D107" s="7">
        <f>(0.369444444444444-0.365972222222222)</f>
        <v>3.4722222222220434E-3</v>
      </c>
      <c r="E107" s="7">
        <f>ABS(0.00347222222222204-0.00486111111111104)</f>
        <v>1.3888888888890002E-3</v>
      </c>
      <c r="F107" s="1" t="s">
        <v>3</v>
      </c>
    </row>
    <row r="108" spans="1:6" x14ac:dyDescent="0.25">
      <c r="A108" s="11">
        <v>42064</v>
      </c>
      <c r="B108" s="7">
        <v>0.45833333333333331</v>
      </c>
      <c r="C108" s="7">
        <v>0.46319444444444446</v>
      </c>
      <c r="D108" s="7">
        <f>(0.463194444444444-0.458333333333333)</f>
        <v>4.8611111111110383E-3</v>
      </c>
      <c r="E108" s="7">
        <f>ABS(0.00486111111111104-0.00763888888888903)</f>
        <v>2.77777777777799E-3</v>
      </c>
      <c r="F108" s="1" t="s">
        <v>3</v>
      </c>
    </row>
    <row r="109" spans="1:6" x14ac:dyDescent="0.25">
      <c r="A109" s="11">
        <v>42064</v>
      </c>
      <c r="B109" s="7">
        <v>0.45833333333333331</v>
      </c>
      <c r="C109" s="7">
        <v>0.46597222222222223</v>
      </c>
      <c r="D109" s="7">
        <f>(0.465972222222222-0.458333333333333)</f>
        <v>7.6388888888890283E-3</v>
      </c>
      <c r="E109" s="7">
        <f>ABS(0.00763888888888903-0.00486111111111098)</f>
        <v>2.7777777777780498E-3</v>
      </c>
      <c r="F109" s="1" t="s">
        <v>3</v>
      </c>
    </row>
    <row r="110" spans="1:6" x14ac:dyDescent="0.25">
      <c r="A110" s="11">
        <v>42064</v>
      </c>
      <c r="B110" s="7">
        <v>0.52013888888888882</v>
      </c>
      <c r="C110" s="7">
        <v>0.52500000000000002</v>
      </c>
      <c r="D110" s="7">
        <f>(0.525-0.520138888888889)</f>
        <v>4.8611111111109828E-3</v>
      </c>
      <c r="E110" s="7">
        <f>ABS(0.00486111111111098-0.00486111111111098)</f>
        <v>0</v>
      </c>
      <c r="F110" s="1" t="s">
        <v>3</v>
      </c>
    </row>
    <row r="111" spans="1:6" x14ac:dyDescent="0.25">
      <c r="A111" s="11">
        <v>42064</v>
      </c>
      <c r="B111" s="7">
        <v>0.58124999999999993</v>
      </c>
      <c r="C111" s="7">
        <v>0.58611111111111114</v>
      </c>
      <c r="D111" s="7">
        <f>(0.586111111111111-0.58125)</f>
        <v>4.8611111111109828E-3</v>
      </c>
      <c r="E111" s="7">
        <f>ABS(0.00486111111111098-0.00624999999999998)</f>
        <v>1.3888888888890002E-3</v>
      </c>
      <c r="F111" s="1" t="s">
        <v>3</v>
      </c>
    </row>
    <row r="112" spans="1:6" x14ac:dyDescent="0.25">
      <c r="A112" s="11">
        <v>42064</v>
      </c>
      <c r="B112" s="7">
        <v>0.70833333333333337</v>
      </c>
      <c r="C112" s="7">
        <v>0.71458333333333324</v>
      </c>
      <c r="D112" s="7">
        <f>(0.714583333333333-0.708333333333333)</f>
        <v>6.2499999999999778E-3</v>
      </c>
      <c r="E112" s="7">
        <f>ABS(0.00624999999999998-0.00972222222222308)</f>
        <v>3.4722222222230989E-3</v>
      </c>
      <c r="F112" s="1" t="s">
        <v>3</v>
      </c>
    </row>
    <row r="113" spans="1:6" x14ac:dyDescent="0.25">
      <c r="A113" s="11">
        <v>42064</v>
      </c>
      <c r="B113" s="7">
        <v>0.7631944444444444</v>
      </c>
      <c r="C113" s="7">
        <v>0.7729166666666667</v>
      </c>
      <c r="D113" s="7">
        <f>(0.772916666666667-0.763194444444444)</f>
        <v>9.7222222222230759E-3</v>
      </c>
      <c r="E113" s="7">
        <f>ABS(0.00972222222222308-0.00416666666666698)</f>
        <v>5.5555555555560996E-3</v>
      </c>
      <c r="F113" s="1" t="s">
        <v>3</v>
      </c>
    </row>
    <row r="114" spans="1:6" x14ac:dyDescent="0.25">
      <c r="A114" s="11">
        <v>42064</v>
      </c>
      <c r="B114" s="7">
        <v>0.80763888888888891</v>
      </c>
      <c r="C114" s="7">
        <v>0.81180555555555556</v>
      </c>
      <c r="D114" s="7">
        <f>(0.811805555555556-0.807638888888889)</f>
        <v>4.1666666666669849E-3</v>
      </c>
      <c r="E114" s="7">
        <f>ABS(0.00416666666666698-0.00486111111111098)</f>
        <v>6.9444444444400049E-4</v>
      </c>
      <c r="F114" s="1" t="s">
        <v>3</v>
      </c>
    </row>
    <row r="115" spans="1:6" x14ac:dyDescent="0.25">
      <c r="A115" s="11">
        <v>42064</v>
      </c>
      <c r="B115" s="7">
        <v>0.87847222222222221</v>
      </c>
      <c r="C115" s="7">
        <v>0.8833333333333333</v>
      </c>
      <c r="D115" s="7">
        <f>(0.883333333333333-0.878472222222222)</f>
        <v>4.8611111111109828E-3</v>
      </c>
      <c r="E115" s="7">
        <f>ABS(0.00486111111111098-0.016666666666667)</f>
        <v>1.180555555555602E-2</v>
      </c>
      <c r="F115" s="1" t="s">
        <v>3</v>
      </c>
    </row>
    <row r="116" spans="1:6" x14ac:dyDescent="0.25">
      <c r="A116" s="11">
        <v>42064</v>
      </c>
      <c r="B116" s="7">
        <v>0.35972222222222222</v>
      </c>
      <c r="C116" s="7">
        <v>0.37638888888888888</v>
      </c>
      <c r="D116" s="7">
        <f>(0.376388888888889-0.359722222222222)</f>
        <v>1.6666666666666996E-2</v>
      </c>
      <c r="E116" s="7">
        <f>ABS(0.016666666666667-0.00763888888888908)</f>
        <v>9.0277777777779192E-3</v>
      </c>
      <c r="F116" s="1" t="s">
        <v>3</v>
      </c>
    </row>
    <row r="117" spans="1:6" x14ac:dyDescent="0.25">
      <c r="A117" s="11">
        <v>42064</v>
      </c>
      <c r="B117" s="7">
        <v>0.51041666666666663</v>
      </c>
      <c r="C117" s="7">
        <v>0.5180555555555556</v>
      </c>
      <c r="D117" s="7">
        <f>(0.518055555555556-0.510416666666667)</f>
        <v>7.6388888888890838E-3</v>
      </c>
      <c r="E117" s="7">
        <f>ABS(0.00763888888888908-0.00972222222222208)</f>
        <v>2.0833333333329998E-3</v>
      </c>
      <c r="F117" s="1" t="s">
        <v>3</v>
      </c>
    </row>
    <row r="118" spans="1:6" x14ac:dyDescent="0.25">
      <c r="A118" s="11">
        <v>42064</v>
      </c>
      <c r="B118" s="7">
        <v>0.63472222222222219</v>
      </c>
      <c r="C118" s="7">
        <v>0.64444444444444449</v>
      </c>
      <c r="D118" s="7">
        <f>(0.644444444444444-0.634722222222222)</f>
        <v>9.7222222222220767E-3</v>
      </c>
      <c r="E118" s="7">
        <f>ABS(0.00972222222222208-0.00694444444444398)</f>
        <v>2.7777777777781001E-3</v>
      </c>
      <c r="F118" s="1" t="s">
        <v>3</v>
      </c>
    </row>
    <row r="119" spans="1:6" x14ac:dyDescent="0.25">
      <c r="A119" s="11">
        <v>42064</v>
      </c>
      <c r="B119" s="7">
        <v>0.73611111111111116</v>
      </c>
      <c r="C119" s="7">
        <v>0.74305555555555547</v>
      </c>
      <c r="D119" s="7">
        <f>(0.743055555555555-0.736111111111111)</f>
        <v>6.9444444444439757E-3</v>
      </c>
      <c r="E119" s="7">
        <f>ABS(0.00694444444444398-0.00555555555555598)</f>
        <v>1.3888888888880001E-3</v>
      </c>
      <c r="F119" s="1" t="s">
        <v>3</v>
      </c>
    </row>
    <row r="120" spans="1:6" x14ac:dyDescent="0.25">
      <c r="A120" s="11">
        <v>42064</v>
      </c>
      <c r="B120" s="7">
        <v>0.77083333333333337</v>
      </c>
      <c r="C120" s="7">
        <v>0.77638888888888891</v>
      </c>
      <c r="D120" s="7">
        <f>(0.776388888888889-0.770833333333333)</f>
        <v>5.5555555555559799E-3</v>
      </c>
      <c r="E120" s="7">
        <f>ABS(0.00555555555555598-0.0097222222222222)</f>
        <v>4.1666666666662199E-3</v>
      </c>
      <c r="F120" s="1" t="s">
        <v>3</v>
      </c>
    </row>
    <row r="121" spans="1:6" x14ac:dyDescent="0.25">
      <c r="A121" s="11">
        <v>42064</v>
      </c>
      <c r="B121" s="7">
        <v>8.4027777777777771E-2</v>
      </c>
      <c r="C121" s="7">
        <v>9.375E-2</v>
      </c>
      <c r="D121" s="7">
        <f>(0.09375-0.0840277777777778)</f>
        <v>9.7222222222222016E-3</v>
      </c>
      <c r="E121" s="7">
        <f>ABS(0.0097222222222222-0.00625000000000003)</f>
        <v>3.47222222222217E-3</v>
      </c>
      <c r="F121" s="1" t="s">
        <v>3</v>
      </c>
    </row>
    <row r="122" spans="1:6" x14ac:dyDescent="0.25">
      <c r="A122" s="11">
        <v>42064</v>
      </c>
      <c r="B122" s="7">
        <v>0.31875000000000003</v>
      </c>
      <c r="C122" s="7">
        <v>0.32500000000000001</v>
      </c>
      <c r="D122" s="7">
        <f>(0.325-0.31875)</f>
        <v>6.2500000000000333E-3</v>
      </c>
      <c r="E122" s="7">
        <f>ABS(0.00625000000000003-0.00972222222222202)</f>
        <v>3.4722222222219896E-3</v>
      </c>
      <c r="F122" s="1" t="s">
        <v>3</v>
      </c>
    </row>
    <row r="123" spans="1:6" x14ac:dyDescent="0.25">
      <c r="A123" s="11">
        <v>42064</v>
      </c>
      <c r="B123" s="7">
        <v>0.33055555555555555</v>
      </c>
      <c r="C123" s="7">
        <v>0.34027777777777773</v>
      </c>
      <c r="D123" s="7">
        <f>(0.340277777777778-0.330555555555556)</f>
        <v>9.7222222222220211E-3</v>
      </c>
      <c r="E123" s="7">
        <f>ABS(0.00972222222222202-0.00763888888888803)</f>
        <v>2.0833333333339895E-3</v>
      </c>
      <c r="F123" s="1" t="s">
        <v>3</v>
      </c>
    </row>
    <row r="124" spans="1:6" x14ac:dyDescent="0.25">
      <c r="A124" s="11">
        <v>42064</v>
      </c>
      <c r="B124" s="7">
        <v>0.38055555555555554</v>
      </c>
      <c r="C124" s="7">
        <v>0.38819444444444445</v>
      </c>
      <c r="D124" s="7">
        <f>(0.388194444444444-0.380555555555556)</f>
        <v>7.6388888888880291E-3</v>
      </c>
      <c r="E124" s="7">
        <f>ABS(0.00763888888888803-0.00763888888888897)</f>
        <v>9.4022012397942945E-16</v>
      </c>
      <c r="F124" s="1" t="s">
        <v>3</v>
      </c>
    </row>
    <row r="125" spans="1:6" x14ac:dyDescent="0.25">
      <c r="A125" s="11">
        <v>42064</v>
      </c>
      <c r="B125" s="7">
        <v>0.39999999999999997</v>
      </c>
      <c r="C125" s="7">
        <v>0.40763888888888888</v>
      </c>
      <c r="D125" s="7">
        <f>(0.407638888888889-0.4)</f>
        <v>7.6388888888889728E-3</v>
      </c>
      <c r="E125" s="7">
        <f>ABS(0.00763888888888897-0.00486111111111098)</f>
        <v>2.77777777777799E-3</v>
      </c>
      <c r="F125" s="1" t="s">
        <v>3</v>
      </c>
    </row>
    <row r="126" spans="1:6" x14ac:dyDescent="0.25">
      <c r="A126" s="11">
        <v>42064</v>
      </c>
      <c r="B126" s="7">
        <v>0.4548611111111111</v>
      </c>
      <c r="C126" s="7">
        <v>0.4597222222222222</v>
      </c>
      <c r="D126" s="7">
        <f>(0.459722222222222-0.454861111111111)</f>
        <v>4.8611111111109828E-3</v>
      </c>
      <c r="E126" s="7">
        <f>ABS(0.00486111111111098-0.010416666666667)</f>
        <v>5.5555555555560189E-3</v>
      </c>
      <c r="F126" s="1" t="s">
        <v>3</v>
      </c>
    </row>
    <row r="127" spans="1:6" x14ac:dyDescent="0.25">
      <c r="A127" s="11">
        <v>42064</v>
      </c>
      <c r="B127" s="7">
        <v>0.48888888888888887</v>
      </c>
      <c r="C127" s="7">
        <v>0.4993055555555555</v>
      </c>
      <c r="D127" s="7">
        <f>(0.499305555555556-0.488888888888889)</f>
        <v>1.0416666666667018E-2</v>
      </c>
      <c r="E127" s="7">
        <f>ABS(0.010416666666667-0.00486111111111098)</f>
        <v>5.5555555555560189E-3</v>
      </c>
      <c r="F127" s="1" t="s">
        <v>3</v>
      </c>
    </row>
    <row r="128" spans="1:6" x14ac:dyDescent="0.25">
      <c r="A128" s="11">
        <v>42064</v>
      </c>
      <c r="B128" s="7">
        <v>0.53055555555555556</v>
      </c>
      <c r="C128" s="7">
        <v>0.53541666666666665</v>
      </c>
      <c r="D128" s="7">
        <f>(0.535416666666667-0.530555555555556)</f>
        <v>4.8611111111109828E-3</v>
      </c>
      <c r="E128" s="7">
        <f>ABS(0.00486111111111098-0.00486111111111098)</f>
        <v>0</v>
      </c>
      <c r="F128" s="1" t="s">
        <v>3</v>
      </c>
    </row>
    <row r="129" spans="1:6" x14ac:dyDescent="0.25">
      <c r="A129" s="11">
        <v>42064</v>
      </c>
      <c r="B129" s="7">
        <v>0.52916666666666667</v>
      </c>
      <c r="C129" s="7">
        <v>0.53402777777777777</v>
      </c>
      <c r="D129" s="7">
        <f>(0.534027777777778-0.529166666666667)</f>
        <v>4.8611111111109828E-3</v>
      </c>
      <c r="E129" s="7">
        <f>ABS(0.00486111111111098-0.00416666666666599)</f>
        <v>6.9444444444499015E-4</v>
      </c>
      <c r="F129" s="1" t="s">
        <v>3</v>
      </c>
    </row>
    <row r="130" spans="1:6" x14ac:dyDescent="0.25">
      <c r="A130" s="11">
        <v>42064</v>
      </c>
      <c r="B130" s="7">
        <v>0.61527777777777781</v>
      </c>
      <c r="C130" s="7">
        <v>0.61944444444444446</v>
      </c>
      <c r="D130" s="7">
        <f>(0.619444444444444-0.615277777777778)</f>
        <v>4.1666666666659857E-3</v>
      </c>
      <c r="E130" s="7">
        <f>ABS(0.00416666666666599-0.00416666666666698)</f>
        <v>9.8965974304476845E-16</v>
      </c>
      <c r="F130" s="1" t="s">
        <v>3</v>
      </c>
    </row>
    <row r="131" spans="1:6" x14ac:dyDescent="0.25">
      <c r="A131" s="11">
        <v>42064</v>
      </c>
      <c r="B131" s="7">
        <v>0.64444444444444449</v>
      </c>
      <c r="C131" s="7">
        <v>0.64861111111111114</v>
      </c>
      <c r="D131" s="7">
        <f>(0.648611111111111-0.644444444444444)</f>
        <v>4.1666666666669849E-3</v>
      </c>
      <c r="E131" s="7">
        <f>ABS(0.00416666666666698-0.00833333333333297)</f>
        <v>4.1666666666659909E-3</v>
      </c>
      <c r="F131" s="1" t="s">
        <v>3</v>
      </c>
    </row>
    <row r="132" spans="1:6" x14ac:dyDescent="0.25">
      <c r="A132" s="11">
        <v>42064</v>
      </c>
      <c r="B132" s="7">
        <v>0.8125</v>
      </c>
      <c r="C132" s="7">
        <v>0.8208333333333333</v>
      </c>
      <c r="D132" s="7">
        <f>(0.820833333333333-0.8125)</f>
        <v>8.3333333333329707E-3</v>
      </c>
      <c r="E132" s="7">
        <f>ABS(0.00833333333333297-0.00902777777777697)</f>
        <v>6.9444444444399962E-4</v>
      </c>
      <c r="F132" s="1" t="s">
        <v>3</v>
      </c>
    </row>
    <row r="133" spans="1:6" x14ac:dyDescent="0.25">
      <c r="A133" s="11">
        <v>42064</v>
      </c>
      <c r="B133" s="7">
        <v>0.81180555555555556</v>
      </c>
      <c r="C133" s="7">
        <v>0.8208333333333333</v>
      </c>
      <c r="D133" s="7">
        <f>(0.820833333333333-0.811805555555556)</f>
        <v>9.0277777777769685E-3</v>
      </c>
      <c r="E133" s="7">
        <f>ABS(0.00902777777777697-0.0159722222222219)</f>
        <v>6.944444444444928E-3</v>
      </c>
      <c r="F133" s="1" t="s">
        <v>3</v>
      </c>
    </row>
    <row r="134" spans="1:6" x14ac:dyDescent="0.25">
      <c r="A134" s="11">
        <v>42064</v>
      </c>
      <c r="B134" s="7">
        <v>0.86388888888888893</v>
      </c>
      <c r="C134" s="7">
        <v>0.87986111111111109</v>
      </c>
      <c r="D134" s="7">
        <f>(0.879861111111111-0.863888888888889)</f>
        <v>1.5972222222221943E-2</v>
      </c>
      <c r="E134" s="7">
        <f>ABS(0.0159722222222219-0.00416666666666698)</f>
        <v>1.1805555555554919E-2</v>
      </c>
      <c r="F134" s="1" t="s">
        <v>3</v>
      </c>
    </row>
    <row r="135" spans="1:6" x14ac:dyDescent="0.25">
      <c r="A135" s="11">
        <v>42064</v>
      </c>
      <c r="B135" s="7">
        <v>0.87986111111111109</v>
      </c>
      <c r="C135" s="7">
        <v>0.88402777777777775</v>
      </c>
      <c r="D135" s="7">
        <f>(0.884027777777778-0.879861111111111)</f>
        <v>4.1666666666669849E-3</v>
      </c>
      <c r="E135" s="7">
        <f>ABS(0.00416666666666698-0.00347222222222299)</f>
        <v>6.9444444444398965E-4</v>
      </c>
      <c r="F135" s="1" t="s">
        <v>3</v>
      </c>
    </row>
    <row r="136" spans="1:6" x14ac:dyDescent="0.25">
      <c r="A136" s="11">
        <v>42064</v>
      </c>
      <c r="B136" s="7">
        <v>0.90208333333333324</v>
      </c>
      <c r="C136" s="7">
        <v>0.90555555555555556</v>
      </c>
      <c r="D136" s="7">
        <f>(0.905555555555556-0.902083333333333)</f>
        <v>3.472222222222987E-3</v>
      </c>
      <c r="E136" s="7">
        <f>ABS(0.00347222222222299-0.00833333333333297)</f>
        <v>4.8611111111099801E-3</v>
      </c>
      <c r="F136" s="1" t="s">
        <v>3</v>
      </c>
    </row>
    <row r="137" spans="1:6" x14ac:dyDescent="0.25">
      <c r="A137" s="11">
        <v>42064</v>
      </c>
      <c r="B137" s="7">
        <v>0.29236111111111113</v>
      </c>
      <c r="C137" s="7">
        <v>0.30069444444444443</v>
      </c>
      <c r="D137" s="7">
        <f>(0.300694444444444-0.292361111111111)</f>
        <v>8.3333333333329707E-3</v>
      </c>
      <c r="E137" s="7">
        <f>ABS(0.00833333333333297-0.00625000000000003)</f>
        <v>2.0833333333329408E-3</v>
      </c>
      <c r="F137" s="1" t="s">
        <v>3</v>
      </c>
    </row>
    <row r="138" spans="1:6" x14ac:dyDescent="0.25">
      <c r="A138" s="11">
        <v>42064</v>
      </c>
      <c r="B138" s="7">
        <v>0.48958333333333331</v>
      </c>
      <c r="C138" s="7">
        <v>0.49583333333333335</v>
      </c>
      <c r="D138" s="7">
        <f>(0.495833333333333-0.489583333333333)</f>
        <v>6.2500000000000333E-3</v>
      </c>
      <c r="E138" s="7">
        <f>ABS(0.00625000000000003-0.0145833333333329)</f>
        <v>8.33333333333287E-3</v>
      </c>
      <c r="F138" s="1" t="s">
        <v>3</v>
      </c>
    </row>
    <row r="139" spans="1:6" x14ac:dyDescent="0.25">
      <c r="A139" s="11">
        <v>42064</v>
      </c>
      <c r="B139" s="7">
        <v>0.52013888888888882</v>
      </c>
      <c r="C139" s="7">
        <v>0.53472222222222221</v>
      </c>
      <c r="D139" s="7">
        <f>(0.534722222222222-0.520138888888889)</f>
        <v>1.4583333333332948E-2</v>
      </c>
      <c r="E139" s="7">
        <f>ABS(0.0145833333333329-0.00416666666666698)</f>
        <v>1.041666666666592E-2</v>
      </c>
      <c r="F139" s="1" t="s">
        <v>3</v>
      </c>
    </row>
    <row r="140" spans="1:6" x14ac:dyDescent="0.25">
      <c r="A140" s="11">
        <v>42064</v>
      </c>
      <c r="B140" s="7">
        <v>0.57361111111111118</v>
      </c>
      <c r="C140" s="7">
        <v>0.57777777777777783</v>
      </c>
      <c r="D140" s="7">
        <f>(0.577777777777778-0.573611111111111)</f>
        <v>4.1666666666669849E-3</v>
      </c>
      <c r="E140" s="7">
        <f>ABS(0.00416666666666698-0.00486111111111098)</f>
        <v>6.9444444444400049E-4</v>
      </c>
      <c r="F140" s="1" t="s">
        <v>3</v>
      </c>
    </row>
    <row r="141" spans="1:6" x14ac:dyDescent="0.25">
      <c r="A141" s="11">
        <v>42064</v>
      </c>
      <c r="B141" s="7">
        <v>0.59236111111111112</v>
      </c>
      <c r="C141" s="7">
        <v>0.59722222222222221</v>
      </c>
      <c r="D141" s="7">
        <f>(0.597222222222222-0.592361111111111)</f>
        <v>4.8611111111109828E-3</v>
      </c>
      <c r="E141" s="7">
        <f>ABS(0.00486111111111098-0.00555555555555498)</f>
        <v>6.9444444444399962E-4</v>
      </c>
      <c r="F141" s="1" t="s">
        <v>3</v>
      </c>
    </row>
    <row r="142" spans="1:6" x14ac:dyDescent="0.25">
      <c r="A142" s="11">
        <v>42064</v>
      </c>
      <c r="B142" s="7">
        <v>0.71805555555555556</v>
      </c>
      <c r="C142" s="7">
        <v>0.72361111111111109</v>
      </c>
      <c r="D142" s="7">
        <f>(0.723611111111111-0.718055555555556)</f>
        <v>5.5555555555549807E-3</v>
      </c>
      <c r="E142" s="7">
        <f>ABS(0.00555555555555498-0.00555555555555598)</f>
        <v>1.0000680839006293E-15</v>
      </c>
      <c r="F142" s="1" t="s">
        <v>3</v>
      </c>
    </row>
    <row r="143" spans="1:6" x14ac:dyDescent="0.25">
      <c r="A143" s="11">
        <v>42064</v>
      </c>
      <c r="B143" s="7">
        <v>0.78611111111111109</v>
      </c>
      <c r="C143" s="7">
        <v>0.79166666666666663</v>
      </c>
      <c r="D143" s="7">
        <f>(0.791666666666667-0.786111111111111)</f>
        <v>5.5555555555559799E-3</v>
      </c>
      <c r="E143" s="7">
        <f>ABS(0.00555555555555598-0.021527777777777)</f>
        <v>1.5972222222221021E-2</v>
      </c>
      <c r="F143" s="1" t="s">
        <v>3</v>
      </c>
    </row>
    <row r="144" spans="1:6" x14ac:dyDescent="0.25">
      <c r="A144" s="11">
        <v>42064</v>
      </c>
      <c r="B144" s="7">
        <v>0.84930555555555554</v>
      </c>
      <c r="C144" s="7">
        <v>0.87083333333333324</v>
      </c>
      <c r="D144" s="7">
        <f>(0.870833333333333-0.849305555555556)</f>
        <v>2.1527777777777035E-2</v>
      </c>
      <c r="E144" s="7">
        <f>ABS(0.021527777777777-0.00694444444444497)</f>
        <v>1.4583333333332031E-2</v>
      </c>
      <c r="F144" s="1" t="s">
        <v>3</v>
      </c>
    </row>
    <row r="145" spans="1:6" x14ac:dyDescent="0.25">
      <c r="A145" s="11">
        <v>42064</v>
      </c>
      <c r="B145" s="7">
        <v>0.9145833333333333</v>
      </c>
      <c r="C145" s="7">
        <v>0.92152777777777783</v>
      </c>
      <c r="D145" s="7">
        <f>(0.921527777777778-0.914583333333333)</f>
        <v>6.9444444444449749E-3</v>
      </c>
      <c r="E145" s="7">
        <f>ABS(0.00694444444444497-0.020138888888889)</f>
        <v>1.3194444444444032E-2</v>
      </c>
      <c r="F145" s="1" t="s">
        <v>3</v>
      </c>
    </row>
    <row r="146" spans="1:6" x14ac:dyDescent="0.25">
      <c r="A146" s="11">
        <v>42064</v>
      </c>
      <c r="B146" s="7">
        <v>0.12638888888888888</v>
      </c>
      <c r="C146" s="7">
        <v>0.14652777777777778</v>
      </c>
      <c r="D146" s="7">
        <f>(0.146527777777778-0.126388888888889)</f>
        <v>2.0138888888889012E-2</v>
      </c>
      <c r="E146" s="7">
        <f>ABS(0.020138888888889-0.00763888888888903)</f>
        <v>1.2499999999999971E-2</v>
      </c>
      <c r="F146" s="1" t="s">
        <v>3</v>
      </c>
    </row>
    <row r="147" spans="1:6" x14ac:dyDescent="0.25">
      <c r="A147" s="11">
        <v>42064</v>
      </c>
      <c r="B147" s="7">
        <v>0.37986111111111115</v>
      </c>
      <c r="C147" s="7">
        <v>0.38750000000000001</v>
      </c>
      <c r="D147" s="7">
        <f>(0.3875-0.379861111111111)</f>
        <v>7.6388888888890283E-3</v>
      </c>
      <c r="E147" s="7">
        <f>ABS(0.00763888888888903-0.039583333333333)</f>
        <v>3.194444444444397E-2</v>
      </c>
      <c r="F147" s="1" t="s">
        <v>3</v>
      </c>
    </row>
    <row r="148" spans="1:6" x14ac:dyDescent="0.25">
      <c r="A148" s="11">
        <v>42064</v>
      </c>
      <c r="B148" s="7">
        <v>0.18402777777777779</v>
      </c>
      <c r="C148" s="7">
        <v>0.22361111111111109</v>
      </c>
      <c r="D148" s="7">
        <f>(0.223611111111111-0.184027777777778)</f>
        <v>3.9583333333332998E-2</v>
      </c>
      <c r="E148" s="7">
        <f>ABS(0.039583333333333-0.00416666666666698)</f>
        <v>3.541666666666602E-2</v>
      </c>
      <c r="F148" s="1" t="s">
        <v>3</v>
      </c>
    </row>
    <row r="149" spans="1:6" x14ac:dyDescent="0.25">
      <c r="A149" s="11">
        <v>42064</v>
      </c>
      <c r="B149" s="7">
        <v>0.51874999999999993</v>
      </c>
      <c r="C149" s="7">
        <v>0.5229166666666667</v>
      </c>
      <c r="D149" s="7">
        <f>(0.522916666666667-0.51875)</f>
        <v>4.1666666666669849E-3</v>
      </c>
      <c r="E149" s="7">
        <f>ABS(0.00416666666666698-0.00763888888888808)</f>
        <v>3.4722222222211005E-3</v>
      </c>
      <c r="F149" s="1" t="s">
        <v>3</v>
      </c>
    </row>
    <row r="150" spans="1:6" x14ac:dyDescent="0.25">
      <c r="A150" s="11">
        <v>42064</v>
      </c>
      <c r="B150" s="7">
        <v>0.51180555555555551</v>
      </c>
      <c r="C150" s="7">
        <v>0.51944444444444449</v>
      </c>
      <c r="D150" s="7">
        <f>(0.519444444444444-0.511805555555556)</f>
        <v>7.6388888888880846E-3</v>
      </c>
      <c r="E150" s="7">
        <f>ABS(0.00763888888888808-0.00902777777777797)</f>
        <v>1.3888888888898892E-3</v>
      </c>
      <c r="F150" s="1" t="s">
        <v>3</v>
      </c>
    </row>
    <row r="151" spans="1:6" x14ac:dyDescent="0.25">
      <c r="A151" s="11">
        <v>42064</v>
      </c>
      <c r="B151" s="7">
        <v>0.53749999999999998</v>
      </c>
      <c r="C151" s="7">
        <v>0.54652777777777783</v>
      </c>
      <c r="D151" s="7">
        <f>(0.546527777777778-0.5375)</f>
        <v>9.0277777777779677E-3</v>
      </c>
      <c r="E151" s="7">
        <f>ABS(0.00902777777777797-0.00416666666666698)</f>
        <v>4.8611111111109898E-3</v>
      </c>
      <c r="F151" s="1" t="s">
        <v>3</v>
      </c>
    </row>
    <row r="152" spans="1:6" x14ac:dyDescent="0.25">
      <c r="A152" s="11">
        <v>42064</v>
      </c>
      <c r="B152" s="7">
        <v>0.55347222222222225</v>
      </c>
      <c r="C152" s="7">
        <v>0.55763888888888891</v>
      </c>
      <c r="D152" s="7">
        <f>(0.557638888888889-0.553472222222222)</f>
        <v>4.1666666666669849E-3</v>
      </c>
      <c r="E152" s="7">
        <f>ABS(0.00416666666666698-0.00833333333333297)</f>
        <v>4.1666666666659909E-3</v>
      </c>
      <c r="F152" s="1" t="s">
        <v>3</v>
      </c>
    </row>
    <row r="153" spans="1:6" x14ac:dyDescent="0.25">
      <c r="A153" s="11">
        <v>42064</v>
      </c>
      <c r="B153" s="7">
        <v>0.58263888888888882</v>
      </c>
      <c r="C153" s="7">
        <v>0.59097222222222223</v>
      </c>
      <c r="D153" s="7">
        <f>(0.590972222222222-0.582638888888889)</f>
        <v>8.3333333333329707E-3</v>
      </c>
      <c r="E153" s="7">
        <f>ABS(0.00833333333333297-0.011111111111111)</f>
        <v>2.7777777777780299E-3</v>
      </c>
      <c r="F153" s="1" t="s">
        <v>3</v>
      </c>
    </row>
    <row r="154" spans="1:6" x14ac:dyDescent="0.25">
      <c r="A154" s="11">
        <v>42064</v>
      </c>
      <c r="B154" s="7">
        <v>0.67361111111111116</v>
      </c>
      <c r="C154" s="7">
        <v>0.68472222222222223</v>
      </c>
      <c r="D154" s="7">
        <f>(0.684722222222222-0.673611111111111)</f>
        <v>1.1111111111110961E-2</v>
      </c>
      <c r="E154" s="7">
        <f>ABS(0.011111111111111-0.0201388888888889)</f>
        <v>9.0277777777779001E-3</v>
      </c>
      <c r="F154" s="1" t="s">
        <v>3</v>
      </c>
    </row>
    <row r="155" spans="1:6" x14ac:dyDescent="0.25">
      <c r="A155" s="11">
        <v>42064</v>
      </c>
      <c r="B155" s="7">
        <v>0.70694444444444438</v>
      </c>
      <c r="C155" s="7">
        <v>0.7270833333333333</v>
      </c>
      <c r="D155" s="7">
        <f>(0.727083333333333-0.706944444444444)</f>
        <v>2.0138888888888928E-2</v>
      </c>
      <c r="E155" s="7">
        <f>ABS(0.0201388888888889-0.00555555555555598)</f>
        <v>1.4583333333332921E-2</v>
      </c>
      <c r="F155" s="1" t="s">
        <v>3</v>
      </c>
    </row>
    <row r="156" spans="1:6" x14ac:dyDescent="0.25">
      <c r="A156" s="11">
        <v>42064</v>
      </c>
      <c r="B156" s="7">
        <v>0.80833333333333324</v>
      </c>
      <c r="C156" s="7">
        <v>0.81388888888888899</v>
      </c>
      <c r="D156" s="7">
        <f>(0.813888888888889-0.808333333333333)</f>
        <v>5.5555555555559799E-3</v>
      </c>
      <c r="E156" s="7">
        <f>ABS(0.00555555555555598-0.0173611111111109)</f>
        <v>1.180555555555492E-2</v>
      </c>
      <c r="F156" s="1" t="s">
        <v>3</v>
      </c>
    </row>
    <row r="157" spans="1:6" x14ac:dyDescent="0.25">
      <c r="A157" s="11">
        <v>42064</v>
      </c>
      <c r="B157" s="7">
        <v>0.87291666666666667</v>
      </c>
      <c r="C157" s="7">
        <v>0.89027777777777783</v>
      </c>
      <c r="D157" s="7">
        <f>(0.890277777777778-0.872916666666667)</f>
        <v>1.7361111111110938E-2</v>
      </c>
      <c r="E157" s="7">
        <f>ABS(0.0173611111111109-0.010416666666667)</f>
        <v>6.9444444444439011E-3</v>
      </c>
      <c r="F157" s="1" t="s">
        <v>3</v>
      </c>
    </row>
    <row r="158" spans="1:6" x14ac:dyDescent="0.25">
      <c r="A158" s="11">
        <v>42064</v>
      </c>
      <c r="B158" s="7">
        <v>0.89861111111111114</v>
      </c>
      <c r="C158" s="7">
        <v>0.90902777777777777</v>
      </c>
      <c r="D158" s="7">
        <f>(0.909027777777778-0.898611111111111)</f>
        <v>1.0416666666666963E-2</v>
      </c>
      <c r="E158" s="7">
        <f>ABS(0.010416666666667-0.00486111111111098)</f>
        <v>5.5555555555560189E-3</v>
      </c>
      <c r="F158" s="1" t="s">
        <v>3</v>
      </c>
    </row>
    <row r="159" spans="1:6" x14ac:dyDescent="0.25">
      <c r="A159" s="11">
        <v>42064</v>
      </c>
      <c r="B159" s="7">
        <v>0.43055555555555558</v>
      </c>
      <c r="C159" s="7">
        <v>0.43541666666666662</v>
      </c>
      <c r="D159" s="7">
        <f>(0.435416666666667-0.430555555555556)</f>
        <v>4.8611111111109828E-3</v>
      </c>
      <c r="E159" s="7">
        <f>ABS(0.00486111111111098-0.00486111111111098)</f>
        <v>0</v>
      </c>
      <c r="F159" s="1" t="s">
        <v>3</v>
      </c>
    </row>
    <row r="160" spans="1:6" x14ac:dyDescent="0.25">
      <c r="A160" s="11">
        <v>42064</v>
      </c>
      <c r="B160" s="7">
        <v>0.50277777777777777</v>
      </c>
      <c r="C160" s="7">
        <v>0.50763888888888886</v>
      </c>
      <c r="D160" s="7">
        <f>(0.507638888888889-0.502777777777778)</f>
        <v>4.8611111111109828E-3</v>
      </c>
      <c r="E160" s="7">
        <f>ABS(0.00486111111111098-0.00833333333333308)</f>
        <v>3.4722222222220997E-3</v>
      </c>
      <c r="F160" s="1" t="s">
        <v>3</v>
      </c>
    </row>
    <row r="161" spans="1:6" x14ac:dyDescent="0.25">
      <c r="A161" s="11">
        <v>42064</v>
      </c>
      <c r="B161" s="7">
        <v>0.57777777777777783</v>
      </c>
      <c r="C161" s="7">
        <v>0.58611111111111114</v>
      </c>
      <c r="D161" s="7">
        <f>(0.586111111111111-0.577777777777778)</f>
        <v>8.3333333333330817E-3</v>
      </c>
      <c r="E161" s="7">
        <f>ABS(0.00833333333333308-0.00347222222222199)</f>
        <v>4.8611111111110904E-3</v>
      </c>
      <c r="F161" s="1" t="s">
        <v>3</v>
      </c>
    </row>
    <row r="162" spans="1:6" x14ac:dyDescent="0.25">
      <c r="A162" s="11">
        <v>42064</v>
      </c>
      <c r="B162" s="7">
        <v>0.68263888888888891</v>
      </c>
      <c r="C162" s="7">
        <v>0.68611111111111101</v>
      </c>
      <c r="D162" s="7">
        <f>(0.686111111111111-0.682638888888889)</f>
        <v>3.4722222222219878E-3</v>
      </c>
      <c r="E162" s="7">
        <f>ABS(0.00347222222222199-0.00277777777777799)</f>
        <v>6.9444444444400006E-4</v>
      </c>
      <c r="F162" s="1" t="s">
        <v>3</v>
      </c>
    </row>
    <row r="163" spans="1:6" x14ac:dyDescent="0.25">
      <c r="A163" s="11">
        <v>42064</v>
      </c>
      <c r="B163" s="7">
        <v>0.70972222222222225</v>
      </c>
      <c r="C163" s="7">
        <v>0.71250000000000002</v>
      </c>
      <c r="D163" s="7">
        <f>(0.7125-0.709722222222222)</f>
        <v>2.77777777777799E-3</v>
      </c>
      <c r="E163" s="7">
        <f>ABS(0.00277777777777799-0.00624999999999998)</f>
        <v>3.4722222222219904E-3</v>
      </c>
      <c r="F163" s="1" t="s">
        <v>3</v>
      </c>
    </row>
    <row r="164" spans="1:6" x14ac:dyDescent="0.25">
      <c r="A164" s="11">
        <v>42064</v>
      </c>
      <c r="B164" s="7">
        <v>0.74097222222222225</v>
      </c>
      <c r="C164" s="7">
        <v>0.74722222222222223</v>
      </c>
      <c r="D164" s="7">
        <f>(0.747222222222222-0.740972222222222)</f>
        <v>6.2499999999999778E-3</v>
      </c>
      <c r="E164" s="7">
        <f>ABS(0.00624999999999998-0.00902777777777808)</f>
        <v>2.7777777777781001E-3</v>
      </c>
      <c r="F164" s="1" t="s">
        <v>3</v>
      </c>
    </row>
    <row r="165" spans="1:6" x14ac:dyDescent="0.25">
      <c r="A165" s="11">
        <v>42064</v>
      </c>
      <c r="B165" s="7">
        <v>0.78888888888888886</v>
      </c>
      <c r="C165" s="7">
        <v>0.79791666666666661</v>
      </c>
      <c r="D165" s="7">
        <f>(0.797916666666667-0.788888888888889)</f>
        <v>9.0277777777780788E-3</v>
      </c>
      <c r="E165" s="7">
        <f>ABS(0.00902777777777808-0.00694444444444497)</f>
        <v>2.0833333333331108E-3</v>
      </c>
      <c r="F165" s="1" t="s">
        <v>3</v>
      </c>
    </row>
    <row r="166" spans="1:6" x14ac:dyDescent="0.25">
      <c r="A166" s="11">
        <v>42064</v>
      </c>
      <c r="B166" s="7">
        <v>0.83680555555555547</v>
      </c>
      <c r="C166" s="7">
        <v>0.84375</v>
      </c>
      <c r="D166" s="7">
        <f>(0.84375-0.836805555555555)</f>
        <v>6.9444444444449749E-3</v>
      </c>
      <c r="E166" s="7">
        <f>ABS(0.00694444444444497-0.00555555555555598)</f>
        <v>1.3888888888889898E-3</v>
      </c>
      <c r="F166" s="1" t="s">
        <v>3</v>
      </c>
    </row>
    <row r="167" spans="1:6" x14ac:dyDescent="0.25">
      <c r="A167" s="11">
        <v>42064</v>
      </c>
      <c r="B167" s="7">
        <v>0.86736111111111114</v>
      </c>
      <c r="C167" s="7">
        <v>0.87291666666666667</v>
      </c>
      <c r="D167" s="7">
        <f>(0.872916666666667-0.867361111111111)</f>
        <v>5.5555555555559799E-3</v>
      </c>
      <c r="E167" s="7">
        <f>ABS(0.00555555555555598-0.00416666666666698)</f>
        <v>1.3888888888890002E-3</v>
      </c>
      <c r="F167" s="1" t="s">
        <v>3</v>
      </c>
    </row>
    <row r="168" spans="1:6" x14ac:dyDescent="0.25">
      <c r="A168" s="11">
        <v>42064</v>
      </c>
      <c r="B168" s="7">
        <v>0.9472222222222223</v>
      </c>
      <c r="C168" s="7">
        <v>0.95138888888888884</v>
      </c>
      <c r="D168" s="7">
        <f>(0.951388888888889-0.947222222222222)</f>
        <v>4.1666666666669849E-3</v>
      </c>
      <c r="E168" s="7">
        <f>ABS(0.00416666666666698-0.0201388888888889)</f>
        <v>1.5972222222221923E-2</v>
      </c>
      <c r="F168" s="1" t="s">
        <v>3</v>
      </c>
    </row>
    <row r="169" spans="1:6" x14ac:dyDescent="0.25">
      <c r="A169" s="11">
        <v>42064</v>
      </c>
      <c r="B169" s="7">
        <v>5.2777777777777778E-2</v>
      </c>
      <c r="C169" s="7">
        <v>7.2916666666666671E-2</v>
      </c>
      <c r="D169" s="7">
        <f>(0.0729166666666667-0.0527777777777778)</f>
        <v>2.0138888888888901E-2</v>
      </c>
      <c r="E169" s="7">
        <f>ABS(0.0201388888888889-0.00625000000000001)</f>
        <v>1.3888888888888892E-2</v>
      </c>
      <c r="F169" s="1" t="s">
        <v>3</v>
      </c>
    </row>
    <row r="170" spans="1:6" x14ac:dyDescent="0.25">
      <c r="A170" s="11">
        <v>42064</v>
      </c>
      <c r="B170" s="7">
        <v>0.22569444444444445</v>
      </c>
      <c r="C170" s="7">
        <v>0.23194444444444443</v>
      </c>
      <c r="D170" s="7">
        <f>(0.231944444444444-0.225694444444444)</f>
        <v>6.2500000000000056E-3</v>
      </c>
      <c r="E170" s="7">
        <f>ABS(0.00625000000000001-0.0125)</f>
        <v>6.2499999999999908E-3</v>
      </c>
      <c r="F170" s="1" t="s">
        <v>3</v>
      </c>
    </row>
    <row r="171" spans="1:6" x14ac:dyDescent="0.25">
      <c r="A171" s="11">
        <v>42064</v>
      </c>
      <c r="B171" s="7">
        <v>0.41944444444444445</v>
      </c>
      <c r="C171" s="7">
        <v>0.43194444444444446</v>
      </c>
      <c r="D171" s="7">
        <f>(0.431944444444444-0.419444444444444)</f>
        <v>1.2500000000000011E-2</v>
      </c>
      <c r="E171" s="7">
        <f>ABS(0.0125-0.00486111111111098)</f>
        <v>7.6388888888890205E-3</v>
      </c>
      <c r="F171" s="1" t="s">
        <v>3</v>
      </c>
    </row>
    <row r="172" spans="1:6" x14ac:dyDescent="0.25">
      <c r="A172" s="11">
        <v>42064</v>
      </c>
      <c r="B172" s="7">
        <v>0.57013888888888886</v>
      </c>
      <c r="C172" s="7">
        <v>0.57500000000000007</v>
      </c>
      <c r="D172" s="7">
        <f>(0.575-0.570138888888889)</f>
        <v>4.8611111111109828E-3</v>
      </c>
      <c r="E172" s="7">
        <f>ABS(0.00486111111111098-0.0131944444444451)</f>
        <v>8.333333333334119E-3</v>
      </c>
      <c r="F172" s="1" t="s">
        <v>3</v>
      </c>
    </row>
    <row r="173" spans="1:6" x14ac:dyDescent="0.25">
      <c r="A173" s="11">
        <v>42064</v>
      </c>
      <c r="B173" s="7">
        <v>0.62847222222222221</v>
      </c>
      <c r="C173" s="7">
        <v>0.64166666666666672</v>
      </c>
      <c r="D173" s="7">
        <f>(0.641666666666667-0.628472222222222)</f>
        <v>1.3194444444445064E-2</v>
      </c>
      <c r="E173" s="7">
        <f>ABS(0.0131944444444451-0.00486111111111098)</f>
        <v>8.333333333334119E-3</v>
      </c>
      <c r="F173" s="1" t="s">
        <v>3</v>
      </c>
    </row>
    <row r="174" spans="1:6" x14ac:dyDescent="0.25">
      <c r="A174" s="11">
        <v>42064</v>
      </c>
      <c r="B174" s="7">
        <v>0.625</v>
      </c>
      <c r="C174" s="7">
        <v>0.62986111111111109</v>
      </c>
      <c r="D174" s="7">
        <f>(0.629861111111111-0.625)</f>
        <v>4.8611111111109828E-3</v>
      </c>
      <c r="E174" s="7">
        <f>ABS(0.00486111111111098-0.0104166666666661)</f>
        <v>5.5555555555551204E-3</v>
      </c>
      <c r="F174" s="1" t="s">
        <v>3</v>
      </c>
    </row>
    <row r="175" spans="1:6" x14ac:dyDescent="0.25">
      <c r="A175" s="11">
        <v>42064</v>
      </c>
      <c r="B175" s="7">
        <v>0.72569444444444453</v>
      </c>
      <c r="C175" s="7">
        <v>0.73611111111111116</v>
      </c>
      <c r="D175" s="7">
        <f>(0.736111111111111-0.725694444444445)</f>
        <v>1.0416666666666075E-2</v>
      </c>
      <c r="E175" s="7">
        <f>ABS(0.0104166666666661-0.011805555555555)</f>
        <v>1.3888888888888996E-3</v>
      </c>
      <c r="F175" s="1" t="s">
        <v>3</v>
      </c>
    </row>
    <row r="176" spans="1:6" x14ac:dyDescent="0.25">
      <c r="A176" s="11">
        <v>42064</v>
      </c>
      <c r="B176" s="7">
        <v>0.87638888888888899</v>
      </c>
      <c r="C176" s="7">
        <v>0.8881944444444444</v>
      </c>
      <c r="D176" s="7">
        <f>(0.888194444444444-0.876388888888889)</f>
        <v>1.1805555555554959E-2</v>
      </c>
      <c r="E176" s="7">
        <f>ABS(0.011805555555555-0.00625000000000098)</f>
        <v>5.5555555555540205E-3</v>
      </c>
      <c r="F176" s="1" t="s">
        <v>3</v>
      </c>
    </row>
    <row r="177" spans="1:6" x14ac:dyDescent="0.25">
      <c r="A177" s="11">
        <v>42064</v>
      </c>
      <c r="B177" s="7">
        <v>0.89930555555555547</v>
      </c>
      <c r="C177" s="7">
        <v>0.90555555555555556</v>
      </c>
      <c r="D177" s="7">
        <f>(0.905555555555556-0.899305555555555)</f>
        <v>6.250000000000977E-3</v>
      </c>
      <c r="E177" s="7">
        <f>ABS(0.00625000000000098-0.0145833333333401)</f>
        <v>8.333333333339122E-3</v>
      </c>
      <c r="F177" s="1" t="s">
        <v>3</v>
      </c>
    </row>
    <row r="178" spans="1:6" x14ac:dyDescent="0.25">
      <c r="A178" s="11">
        <v>42064</v>
      </c>
      <c r="B178" s="7">
        <v>1.0256944444444445</v>
      </c>
      <c r="C178" s="7">
        <v>1.0402777777777776</v>
      </c>
      <c r="D178" s="7">
        <f>(1.04027777777778-1.02569444444444)</f>
        <v>1.4583333333340054E-2</v>
      </c>
      <c r="E178" s="7">
        <f>ABS(0.0145833333333401-0.00902777777777702)</f>
        <v>5.5555555555630801E-3</v>
      </c>
      <c r="F178" s="1" t="s">
        <v>3</v>
      </c>
    </row>
    <row r="179" spans="1:6" x14ac:dyDescent="0.25">
      <c r="A179" s="11">
        <v>42064</v>
      </c>
      <c r="B179" s="7">
        <v>0.33055555555555555</v>
      </c>
      <c r="C179" s="7">
        <v>0.33958333333333335</v>
      </c>
      <c r="D179" s="7">
        <f>(0.339583333333333-0.330555555555556)</f>
        <v>9.0277777777770241E-3</v>
      </c>
      <c r="E179" s="7">
        <f>ABS(0.00902777777777702-0.00555555555555604)</f>
        <v>3.4722222222209808E-3</v>
      </c>
      <c r="F179" s="1" t="s">
        <v>3</v>
      </c>
    </row>
    <row r="180" spans="1:6" x14ac:dyDescent="0.25">
      <c r="A180" s="11">
        <v>42064</v>
      </c>
      <c r="B180" s="7">
        <v>0.34861111111111115</v>
      </c>
      <c r="C180" s="7">
        <v>0.35416666666666669</v>
      </c>
      <c r="D180" s="7">
        <f>(0.354166666666667-0.348611111111111)</f>
        <v>5.5555555555560354E-3</v>
      </c>
      <c r="E180" s="7">
        <f>ABS(0.00555555555555604-0.00833333333333297)</f>
        <v>2.7777777777769309E-3</v>
      </c>
      <c r="F180" s="1" t="s">
        <v>3</v>
      </c>
    </row>
    <row r="181" spans="1:6" x14ac:dyDescent="0.25">
      <c r="A181" s="11">
        <v>42064</v>
      </c>
      <c r="B181" s="7">
        <v>0.41666666666666669</v>
      </c>
      <c r="C181" s="7">
        <v>0.42499999999999999</v>
      </c>
      <c r="D181" s="7">
        <f>(0.425-0.416666666666667)</f>
        <v>8.3333333333329707E-3</v>
      </c>
      <c r="E181" s="7">
        <f>ABS(0.00833333333333297-0.00555555555555998)</f>
        <v>2.7777777777729905E-3</v>
      </c>
      <c r="F181" s="1" t="s">
        <v>3</v>
      </c>
    </row>
    <row r="182" spans="1:6" x14ac:dyDescent="0.25">
      <c r="A182" s="11">
        <v>42064</v>
      </c>
      <c r="B182" s="7">
        <v>1.0208333333333333</v>
      </c>
      <c r="C182" s="7">
        <v>1.0263888888888888</v>
      </c>
      <c r="D182" s="7">
        <f>(1.02638888888889-1.02083333333333)</f>
        <v>5.5555555555599767E-3</v>
      </c>
      <c r="E182" s="7">
        <f>ABS(0.00555555555555998-0.0173611111111119)</f>
        <v>1.1805555555551919E-2</v>
      </c>
      <c r="F182" s="1" t="s">
        <v>3</v>
      </c>
    </row>
    <row r="183" spans="1:6" x14ac:dyDescent="0.25">
      <c r="A183" s="11">
        <v>42064</v>
      </c>
      <c r="B183" s="7">
        <v>0.61319444444444449</v>
      </c>
      <c r="C183" s="7">
        <v>0.63055555555555554</v>
      </c>
      <c r="D183" s="7">
        <f>(0.630555555555556-0.613194444444444)</f>
        <v>1.7361111111111938E-2</v>
      </c>
      <c r="E183" s="7">
        <f>ABS(0.0173611111111119-0.00763888888888908)</f>
        <v>9.7222222222228191E-3</v>
      </c>
      <c r="F183" s="1" t="s">
        <v>3</v>
      </c>
    </row>
    <row r="184" spans="1:6" x14ac:dyDescent="0.25">
      <c r="A184" s="11">
        <v>42064</v>
      </c>
      <c r="B184" s="7">
        <v>0.64027777777777783</v>
      </c>
      <c r="C184" s="7">
        <v>0.6479166666666667</v>
      </c>
      <c r="D184" s="7">
        <f>(0.647916666666667-0.640277777777778)</f>
        <v>7.6388888888890838E-3</v>
      </c>
      <c r="E184" s="7">
        <f>ABS(0.00763888888888908-0.00763888888888897)</f>
        <v>1.1015494072452725E-16</v>
      </c>
      <c r="F184" s="1" t="s">
        <v>3</v>
      </c>
    </row>
    <row r="185" spans="1:6" x14ac:dyDescent="0.25">
      <c r="A185" s="11">
        <v>42064</v>
      </c>
      <c r="B185" s="7">
        <v>0.75069444444444444</v>
      </c>
      <c r="C185" s="7">
        <v>0.7583333333333333</v>
      </c>
      <c r="D185" s="7">
        <f>(0.758333333333333-0.750694444444444)</f>
        <v>7.6388888888889728E-3</v>
      </c>
      <c r="E185" s="7">
        <f>ABS(0.00763888888888897-0.011805555555556)</f>
        <v>4.1666666666670292E-3</v>
      </c>
      <c r="F185" s="1" t="s">
        <v>3</v>
      </c>
    </row>
    <row r="186" spans="1:6" x14ac:dyDescent="0.25">
      <c r="A186" s="11">
        <v>42064</v>
      </c>
      <c r="B186" s="7">
        <v>0.8125</v>
      </c>
      <c r="C186" s="7">
        <v>0.82430555555555562</v>
      </c>
      <c r="D186" s="7">
        <f>(0.824305555555556-0.8125)</f>
        <v>1.1805555555555958E-2</v>
      </c>
      <c r="E186" s="7">
        <f>ABS(0.011805555555556-0.011111111111111)</f>
        <v>6.9444444444499882E-4</v>
      </c>
      <c r="F186" s="1" t="s">
        <v>3</v>
      </c>
    </row>
    <row r="187" spans="1:6" x14ac:dyDescent="0.25">
      <c r="A187" s="11">
        <v>42064</v>
      </c>
      <c r="B187" s="7">
        <v>0.84375</v>
      </c>
      <c r="C187" s="7">
        <v>0.85486111111111107</v>
      </c>
      <c r="D187" s="7">
        <f>(0.854861111111111-0.84375)</f>
        <v>1.1111111111110961E-2</v>
      </c>
      <c r="E187" s="7">
        <f>ABS(0.011111111111111-0.0222222222222229)</f>
        <v>1.1111111111111899E-2</v>
      </c>
      <c r="F187" s="1" t="s">
        <v>3</v>
      </c>
    </row>
    <row r="188" spans="1:6" x14ac:dyDescent="0.25">
      <c r="A188" s="11">
        <v>42064</v>
      </c>
      <c r="B188" s="7">
        <v>0.86805555555555547</v>
      </c>
      <c r="C188" s="7">
        <v>0.89027777777777783</v>
      </c>
      <c r="D188" s="7">
        <f>(0.890277777777778-0.868055555555555)</f>
        <v>2.222222222222292E-2</v>
      </c>
      <c r="E188" s="7">
        <f>ABS(0.0222222222222229-0.00416666666666698)</f>
        <v>1.8055555555555922E-2</v>
      </c>
      <c r="F188" s="1" t="s">
        <v>3</v>
      </c>
    </row>
    <row r="189" spans="1:6" x14ac:dyDescent="0.25">
      <c r="A189" s="11">
        <v>42064</v>
      </c>
      <c r="B189" s="7">
        <v>0.8833333333333333</v>
      </c>
      <c r="C189" s="7">
        <v>0.88750000000000007</v>
      </c>
      <c r="D189" s="7">
        <f>(0.8875-0.883333333333333)</f>
        <v>4.1666666666669849E-3</v>
      </c>
      <c r="E189" s="7">
        <f>ABS(0.00416666666666698-0.00763888888888897)</f>
        <v>3.4722222222219904E-3</v>
      </c>
      <c r="F189" s="1" t="s">
        <v>3</v>
      </c>
    </row>
    <row r="190" spans="1:6" x14ac:dyDescent="0.25">
      <c r="A190" s="11">
        <v>42064</v>
      </c>
      <c r="B190" s="7">
        <v>0.96736111111111101</v>
      </c>
      <c r="C190" s="7">
        <v>0.97499999999999998</v>
      </c>
      <c r="D190" s="7">
        <f>(0.975-0.967361111111111)</f>
        <v>7.6388888888889728E-3</v>
      </c>
      <c r="E190" s="7">
        <f>ABS(0.00763888888888897-0.0069444444444445)</f>
        <v>6.944444444444706E-4</v>
      </c>
      <c r="F190" s="1" t="s">
        <v>3</v>
      </c>
    </row>
    <row r="191" spans="1:6" x14ac:dyDescent="0.25">
      <c r="A191" s="11">
        <v>42064</v>
      </c>
      <c r="B191" s="7">
        <v>3.9583333333333331E-2</v>
      </c>
      <c r="C191" s="7">
        <v>4.6527777777777779E-2</v>
      </c>
      <c r="D191" s="7">
        <f>(0.0465277777777778-0.0395833333333333)</f>
        <v>6.944444444444503E-3</v>
      </c>
      <c r="E191" s="7">
        <f>ABS(0.0069444444444445-0.027777777777778)</f>
        <v>2.0833333333333499E-2</v>
      </c>
      <c r="F191" s="1" t="s">
        <v>3</v>
      </c>
    </row>
    <row r="192" spans="1:6" x14ac:dyDescent="0.25">
      <c r="A192" s="11">
        <v>42064</v>
      </c>
      <c r="B192" s="7">
        <v>0.39027777777777778</v>
      </c>
      <c r="C192" s="7">
        <v>0.41805555555555557</v>
      </c>
      <c r="D192" s="7">
        <f>(0.418055555555556-0.390277777777778)</f>
        <v>2.7777777777778012E-2</v>
      </c>
      <c r="E192" s="7">
        <f>ABS(0.027777777777778-0.00833333333333303)</f>
        <v>1.9444444444444969E-2</v>
      </c>
      <c r="F192" s="1" t="s">
        <v>3</v>
      </c>
    </row>
    <row r="193" spans="1:6" x14ac:dyDescent="0.25">
      <c r="A193" s="11">
        <v>42064</v>
      </c>
      <c r="B193" s="7">
        <v>0.49027777777777781</v>
      </c>
      <c r="C193" s="7">
        <v>0.49861111111111112</v>
      </c>
      <c r="D193" s="7">
        <f>(0.498611111111111-0.490277777777778)</f>
        <v>8.3333333333330262E-3</v>
      </c>
      <c r="E193" s="7">
        <f>ABS(0.00833333333333303-0.00624999999999999)</f>
        <v>2.0833333333330397E-3</v>
      </c>
      <c r="F193" s="1" t="s">
        <v>3</v>
      </c>
    </row>
    <row r="194" spans="1:6" x14ac:dyDescent="0.25">
      <c r="A194" s="11">
        <v>42064</v>
      </c>
      <c r="B194" s="7">
        <v>6.1111111111111116E-2</v>
      </c>
      <c r="C194" s="7">
        <v>6.7361111111111108E-2</v>
      </c>
      <c r="D194" s="7">
        <f>(0.0673611111111111-0.0611111111111111)</f>
        <v>6.2499999999999917E-3</v>
      </c>
      <c r="E194" s="7">
        <f>ABS(0.00624999999999999-0.00833333333333308)</f>
        <v>2.08333333333309E-3</v>
      </c>
      <c r="F194" s="1" t="s">
        <v>3</v>
      </c>
    </row>
    <row r="195" spans="1:6" x14ac:dyDescent="0.25">
      <c r="A195" s="11">
        <v>42064</v>
      </c>
      <c r="B195" s="7">
        <v>0.54375000000000007</v>
      </c>
      <c r="C195" s="7">
        <v>0.55208333333333337</v>
      </c>
      <c r="D195" s="7">
        <f>(0.552083333333333-0.54375)</f>
        <v>8.3333333333330817E-3</v>
      </c>
      <c r="E195" s="7">
        <f>ABS(0.00833333333333308-0.00763888888888897)</f>
        <v>6.9444444444410978E-4</v>
      </c>
      <c r="F195" s="1" t="s">
        <v>3</v>
      </c>
    </row>
    <row r="196" spans="1:6" x14ac:dyDescent="0.25">
      <c r="A196" s="11">
        <v>42064</v>
      </c>
      <c r="B196" s="7">
        <v>0.6</v>
      </c>
      <c r="C196" s="7">
        <v>0.60763888888888895</v>
      </c>
      <c r="D196" s="7">
        <f>(0.607638888888889-0.6)</f>
        <v>7.6388888888889728E-3</v>
      </c>
      <c r="E196" s="7">
        <f>ABS(0.00763888888888897-0.0159722222222221)</f>
        <v>8.3333333333331303E-3</v>
      </c>
      <c r="F196" s="1" t="s">
        <v>3</v>
      </c>
    </row>
    <row r="197" spans="1:6" x14ac:dyDescent="0.25">
      <c r="A197" s="11">
        <v>42064</v>
      </c>
      <c r="B197" s="7">
        <v>0.76527777777777783</v>
      </c>
      <c r="C197" s="7">
        <v>0.78125</v>
      </c>
      <c r="D197" s="7">
        <f>(0.78125-0.765277777777778)</f>
        <v>1.5972222222222054E-2</v>
      </c>
      <c r="E197" s="7">
        <f>ABS(0.0159722222222221-0.00972222222222197)</f>
        <v>6.2500000000001287E-3</v>
      </c>
      <c r="F197" s="1" t="s">
        <v>3</v>
      </c>
    </row>
    <row r="198" spans="1:6" x14ac:dyDescent="0.25">
      <c r="A198" s="11">
        <v>42064</v>
      </c>
      <c r="B198" s="7">
        <v>0.77500000000000002</v>
      </c>
      <c r="C198" s="7">
        <v>0.78472222222222221</v>
      </c>
      <c r="D198" s="7">
        <f>(0.784722222222222-0.775)</f>
        <v>9.7222222222219656E-3</v>
      </c>
      <c r="E198" s="7">
        <f>ABS(0.00972222222222197-0.00624999999999998)</f>
        <v>3.4722222222219904E-3</v>
      </c>
      <c r="F198" s="1" t="s">
        <v>3</v>
      </c>
    </row>
    <row r="199" spans="1:6" x14ac:dyDescent="0.25">
      <c r="A199" s="11">
        <v>42064</v>
      </c>
      <c r="B199" s="7">
        <v>0.80208333333333337</v>
      </c>
      <c r="C199" s="7">
        <v>0.80833333333333324</v>
      </c>
      <c r="D199" s="7">
        <f>(0.808333333333333-0.802083333333333)</f>
        <v>6.2499999999999778E-3</v>
      </c>
      <c r="E199" s="7">
        <f>ABS(0.00624999999999998-0.00416666666666599)</f>
        <v>2.0833333333339903E-3</v>
      </c>
      <c r="F199" s="1" t="s">
        <v>3</v>
      </c>
    </row>
    <row r="200" spans="1:6" x14ac:dyDescent="0.25">
      <c r="A200" s="11">
        <v>42064</v>
      </c>
      <c r="B200" s="7">
        <v>0.9243055555555556</v>
      </c>
      <c r="C200" s="7">
        <v>0.92847222222222225</v>
      </c>
      <c r="D200" s="7">
        <f>(0.928472222222222-0.924305555555556)</f>
        <v>4.1666666666659857E-3</v>
      </c>
      <c r="E200" s="7">
        <f>ABS(0.00416666666666599-0.00902777777777009)</f>
        <v>4.8611111111041003E-3</v>
      </c>
      <c r="F200" s="1" t="s">
        <v>3</v>
      </c>
    </row>
    <row r="201" spans="1:6" x14ac:dyDescent="0.25">
      <c r="A201" s="11">
        <v>42064</v>
      </c>
      <c r="B201" s="7">
        <v>1.0291666666666666</v>
      </c>
      <c r="C201" s="7">
        <v>1.0381944444444444</v>
      </c>
      <c r="D201" s="7">
        <f>(1.03819444444444-1.02916666666667)</f>
        <v>9.0277777777700852E-3</v>
      </c>
      <c r="E201" s="7">
        <f>ABS(0.00902777777777009-0.0125)</f>
        <v>3.4722222222299103E-3</v>
      </c>
      <c r="F201" s="1" t="s">
        <v>3</v>
      </c>
    </row>
    <row r="202" spans="1:6" x14ac:dyDescent="0.25">
      <c r="A202" s="11">
        <v>42064</v>
      </c>
      <c r="B202" s="7">
        <v>0.34791666666666665</v>
      </c>
      <c r="C202" s="7">
        <v>0.36041666666666666</v>
      </c>
      <c r="D202" s="7">
        <f>(0.360416666666667-0.347916666666667)</f>
        <v>1.2500000000000011E-2</v>
      </c>
      <c r="E202" s="7">
        <f>ABS(0.0125-0.00555555555555604)</f>
        <v>6.9444444444439609E-3</v>
      </c>
      <c r="F202" s="1" t="s">
        <v>3</v>
      </c>
    </row>
    <row r="203" spans="1:6" x14ac:dyDescent="0.25">
      <c r="A203" s="11">
        <v>42064</v>
      </c>
      <c r="B203" s="7">
        <v>0.36319444444444443</v>
      </c>
      <c r="C203" s="7">
        <v>0.36874999999999997</v>
      </c>
      <c r="D203" s="7">
        <f>(0.36875-0.363194444444444)</f>
        <v>5.5555555555560354E-3</v>
      </c>
      <c r="E203" s="7">
        <f>ABS(0.00555555555555604-0.00624999999999998)</f>
        <v>6.9444444444394064E-4</v>
      </c>
      <c r="F203" s="1" t="s">
        <v>3</v>
      </c>
    </row>
    <row r="204" spans="1:6" x14ac:dyDescent="0.25">
      <c r="A204" s="11">
        <v>42064</v>
      </c>
      <c r="B204" s="7">
        <v>0.40277777777777773</v>
      </c>
      <c r="C204" s="7">
        <v>0.40902777777777777</v>
      </c>
      <c r="D204" s="7">
        <f>(0.409027777777778-0.402777777777778)</f>
        <v>6.2499999999999778E-3</v>
      </c>
      <c r="E204" s="7">
        <f>ABS(0.00624999999999998-0.00555555555555598)</f>
        <v>6.9444444444400049E-4</v>
      </c>
      <c r="F204" s="1" t="s">
        <v>3</v>
      </c>
    </row>
    <row r="205" spans="1:6" x14ac:dyDescent="0.25">
      <c r="A205" s="11">
        <v>42064</v>
      </c>
      <c r="B205" s="7">
        <v>0.49444444444444446</v>
      </c>
      <c r="C205" s="7">
        <v>0.5</v>
      </c>
      <c r="D205" s="7">
        <f>(0.5-0.494444444444444)</f>
        <v>5.5555555555559799E-3</v>
      </c>
      <c r="E205" s="7">
        <f>ABS(0.00555555555555598-0.00694444444444497)</f>
        <v>1.3888888888889898E-3</v>
      </c>
      <c r="F205" s="1" t="s">
        <v>3</v>
      </c>
    </row>
    <row r="206" spans="1:6" x14ac:dyDescent="0.25">
      <c r="A206" s="11">
        <v>42064</v>
      </c>
      <c r="B206" s="7">
        <v>0.58819444444444446</v>
      </c>
      <c r="C206" s="7">
        <v>0.59513888888888888</v>
      </c>
      <c r="D206" s="7">
        <f>(0.595138888888889-0.588194444444444)</f>
        <v>6.9444444444449749E-3</v>
      </c>
      <c r="E206" s="7">
        <f>ABS(0.00694444444444497-0.00902777777777808)</f>
        <v>2.0833333333331108E-3</v>
      </c>
      <c r="F206" s="1" t="s">
        <v>3</v>
      </c>
    </row>
    <row r="207" spans="1:6" x14ac:dyDescent="0.25">
      <c r="A207" s="11">
        <v>42064</v>
      </c>
      <c r="B207" s="7">
        <v>0.73263888888888884</v>
      </c>
      <c r="C207" s="7">
        <v>0.7416666666666667</v>
      </c>
      <c r="D207" s="7">
        <f>(0.741666666666667-0.732638888888889)</f>
        <v>9.0277777777780788E-3</v>
      </c>
      <c r="E207" s="7">
        <f>ABS(0.00902777777777808-0.00486111111111198)</f>
        <v>4.1666666666661002E-3</v>
      </c>
      <c r="F207" s="1" t="s">
        <v>3</v>
      </c>
    </row>
    <row r="208" spans="1:6" x14ac:dyDescent="0.25">
      <c r="A208" s="11">
        <v>42064</v>
      </c>
      <c r="B208" s="7">
        <v>0.77430555555555547</v>
      </c>
      <c r="C208" s="7">
        <v>0.77916666666666667</v>
      </c>
      <c r="D208" s="7">
        <f>(0.779166666666667-0.774305555555555)</f>
        <v>4.861111111111982E-3</v>
      </c>
      <c r="E208" s="7">
        <f>ABS(0.00486111111111198-0.00416666666666698)</f>
        <v>6.9444444444500056E-4</v>
      </c>
      <c r="F208" s="1" t="s">
        <v>3</v>
      </c>
    </row>
    <row r="209" spans="1:6" x14ac:dyDescent="0.25">
      <c r="A209" s="11">
        <v>42064</v>
      </c>
      <c r="B209" s="7">
        <v>0.91111111111111109</v>
      </c>
      <c r="C209" s="7">
        <v>0.91527777777777775</v>
      </c>
      <c r="D209" s="7">
        <f>(0.915277777777778-0.911111111111111)</f>
        <v>4.1666666666669849E-3</v>
      </c>
      <c r="E209" s="7">
        <f>ABS(0.00416666666666698-0.00833333333333297)</f>
        <v>4.1666666666659909E-3</v>
      </c>
      <c r="F209" s="1" t="s">
        <v>3</v>
      </c>
    </row>
    <row r="210" spans="1:6" x14ac:dyDescent="0.25">
      <c r="A210" s="11">
        <v>42064</v>
      </c>
      <c r="B210" s="7">
        <v>0.93888888888888899</v>
      </c>
      <c r="C210" s="7">
        <v>0.9472222222222223</v>
      </c>
      <c r="D210" s="7">
        <f>(0.947222222222222-0.938888888888889)</f>
        <v>8.3333333333329707E-3</v>
      </c>
      <c r="E210" s="7">
        <f>ABS(0.00833333333333297-0.00902777777777708)</f>
        <v>6.9444444444410891E-4</v>
      </c>
      <c r="F210" s="1" t="s">
        <v>3</v>
      </c>
    </row>
    <row r="211" spans="1:6" x14ac:dyDescent="0.25">
      <c r="A211" s="11">
        <v>42064</v>
      </c>
      <c r="B211" s="7">
        <v>0.98402777777777783</v>
      </c>
      <c r="C211" s="7">
        <v>0.99305555555555547</v>
      </c>
      <c r="D211" s="7">
        <f>(0.993055555555555-0.984027777777778)</f>
        <v>9.0277777777770796E-3</v>
      </c>
      <c r="E211" s="7">
        <f>ABS(0.00902777777777708-0.00555555555555504)</f>
        <v>3.4722222222220399E-3</v>
      </c>
      <c r="F211" s="1" t="s">
        <v>3</v>
      </c>
    </row>
    <row r="212" spans="1:6" x14ac:dyDescent="0.25">
      <c r="A212" s="11">
        <v>42064</v>
      </c>
      <c r="B212" s="7">
        <v>0.25555555555555559</v>
      </c>
      <c r="C212" s="7">
        <v>0.26111111111111113</v>
      </c>
      <c r="D212" s="7">
        <f>(0.261111111111111-0.255555555555556)</f>
        <v>5.5555555555550362E-3</v>
      </c>
      <c r="E212" s="7">
        <f>ABS(0.00555555555555504-0.00763888888888897)</f>
        <v>2.0833333333339305E-3</v>
      </c>
      <c r="F212" s="1" t="s">
        <v>3</v>
      </c>
    </row>
    <row r="213" spans="1:6" x14ac:dyDescent="0.25">
      <c r="A213" s="11">
        <v>42064</v>
      </c>
      <c r="B213" s="7">
        <v>0.36805555555555558</v>
      </c>
      <c r="C213" s="7">
        <v>0.3756944444444445</v>
      </c>
      <c r="D213" s="7">
        <f>(0.375694444444445-0.368055555555556)</f>
        <v>7.6388888888889728E-3</v>
      </c>
      <c r="E213" s="7">
        <f>ABS(0.00763888888888897-0.00555555555555498)</f>
        <v>2.0833333333339903E-3</v>
      </c>
      <c r="F213" s="1" t="s">
        <v>3</v>
      </c>
    </row>
    <row r="214" spans="1:6" x14ac:dyDescent="0.25">
      <c r="A214" s="11">
        <v>42064</v>
      </c>
      <c r="B214" s="7">
        <v>0.48055555555555557</v>
      </c>
      <c r="C214" s="7">
        <v>0.4861111111111111</v>
      </c>
      <c r="D214" s="7">
        <f>(0.486111111111111-0.480555555555556)</f>
        <v>5.5555555555549807E-3</v>
      </c>
      <c r="E214" s="7">
        <f>ABS(0.00555555555555498-0.00416666666666599)</f>
        <v>1.3888888888889898E-3</v>
      </c>
      <c r="F214" s="1" t="s">
        <v>3</v>
      </c>
    </row>
    <row r="215" spans="1:6" x14ac:dyDescent="0.25">
      <c r="A215" s="11">
        <v>42064</v>
      </c>
      <c r="B215" s="7">
        <v>0.50277777777777777</v>
      </c>
      <c r="C215" s="7">
        <v>0.50694444444444442</v>
      </c>
      <c r="D215" s="7">
        <f>(0.506944444444444-0.502777777777778)</f>
        <v>4.1666666666659857E-3</v>
      </c>
      <c r="E215" s="7">
        <f>ABS(0.00416666666666599-0.00555555555555598)</f>
        <v>1.3888888888899898E-3</v>
      </c>
      <c r="F215" s="1" t="s">
        <v>3</v>
      </c>
    </row>
    <row r="216" spans="1:6" x14ac:dyDescent="0.25">
      <c r="A216" s="11">
        <v>42064</v>
      </c>
      <c r="B216" s="7">
        <v>0.51736111111111105</v>
      </c>
      <c r="C216" s="7">
        <v>0.5229166666666667</v>
      </c>
      <c r="D216" s="7">
        <f>(0.522916666666667-0.517361111111111)</f>
        <v>5.5555555555559799E-3</v>
      </c>
      <c r="E216" s="7">
        <f>ABS(0.00555555555555598-0.00486111111111198)</f>
        <v>6.9444444444399962E-4</v>
      </c>
      <c r="F216" s="1" t="s">
        <v>3</v>
      </c>
    </row>
    <row r="217" spans="1:6" x14ac:dyDescent="0.25">
      <c r="A217" s="11">
        <v>42064</v>
      </c>
      <c r="B217" s="7">
        <v>0.55069444444444449</v>
      </c>
      <c r="C217" s="7">
        <v>0.55555555555555558</v>
      </c>
      <c r="D217" s="7">
        <f>(0.555555555555556-0.550694444444444)</f>
        <v>4.861111111111982E-3</v>
      </c>
      <c r="E217" s="7">
        <f>ABS(0.00486111111111198-0.00694444444444497)</f>
        <v>2.0833333333329894E-3</v>
      </c>
      <c r="F217" s="1" t="s">
        <v>3</v>
      </c>
    </row>
    <row r="218" spans="1:6" x14ac:dyDescent="0.25">
      <c r="A218" s="11">
        <v>42064</v>
      </c>
      <c r="B218" s="7">
        <v>0.62708333333333333</v>
      </c>
      <c r="C218" s="7">
        <v>0.63402777777777775</v>
      </c>
      <c r="D218" s="7">
        <f>(0.634027777777778-0.627083333333333)</f>
        <v>6.9444444444449749E-3</v>
      </c>
      <c r="E218" s="7">
        <f>ABS(0.00694444444444497-0.00486111111111098)</f>
        <v>2.0833333333339895E-3</v>
      </c>
      <c r="F218" s="1" t="s">
        <v>3</v>
      </c>
    </row>
    <row r="219" spans="1:6" x14ac:dyDescent="0.25">
      <c r="A219" s="11">
        <v>42064</v>
      </c>
      <c r="B219" s="7">
        <v>0.63263888888888886</v>
      </c>
      <c r="C219" s="7">
        <v>0.63750000000000007</v>
      </c>
      <c r="D219" s="7">
        <f>(0.6375-0.632638888888889)</f>
        <v>4.8611111111109828E-3</v>
      </c>
      <c r="E219" s="7">
        <f>ABS(0.00486111111111098-0.00902777777777708)</f>
        <v>4.1666666666660994E-3</v>
      </c>
      <c r="F219" s="1" t="s">
        <v>3</v>
      </c>
    </row>
    <row r="220" spans="1:6" x14ac:dyDescent="0.25">
      <c r="A220" s="11">
        <v>42064</v>
      </c>
      <c r="B220" s="7">
        <v>0.76180555555555562</v>
      </c>
      <c r="C220" s="7">
        <v>0.77083333333333337</v>
      </c>
      <c r="D220" s="7">
        <f>(0.770833333333333-0.761805555555556)</f>
        <v>9.0277777777770796E-3</v>
      </c>
      <c r="E220" s="7">
        <f>ABS(0.00902777777777708-0.00624999999999998)</f>
        <v>2.7777777777770992E-3</v>
      </c>
      <c r="F220" s="1" t="s">
        <v>3</v>
      </c>
    </row>
    <row r="221" spans="1:6" x14ac:dyDescent="0.25">
      <c r="A221" s="11">
        <v>42064</v>
      </c>
      <c r="B221" s="7">
        <v>0.77847222222222223</v>
      </c>
      <c r="C221" s="7">
        <v>0.78472222222222221</v>
      </c>
      <c r="D221" s="7">
        <f>(0.784722222222222-0.778472222222222)</f>
        <v>6.2499999999999778E-3</v>
      </c>
      <c r="E221" s="7">
        <f>ABS(0.00624999999999998-0.00833333333333297)</f>
        <v>2.0833333333329903E-3</v>
      </c>
      <c r="F221" s="1" t="s">
        <v>3</v>
      </c>
    </row>
    <row r="222" spans="1:6" x14ac:dyDescent="0.25">
      <c r="A222" s="11">
        <v>42064</v>
      </c>
      <c r="B222" s="7">
        <v>0.78541666666666676</v>
      </c>
      <c r="C222" s="7">
        <v>0.79375000000000007</v>
      </c>
      <c r="D222" s="7">
        <f>(0.79375-0.785416666666667)</f>
        <v>8.3333333333329707E-3</v>
      </c>
      <c r="E222" s="7">
        <f>ABS(0.00833333333333297-0.00833333333333297)</f>
        <v>0</v>
      </c>
      <c r="F222" s="1" t="s">
        <v>3</v>
      </c>
    </row>
    <row r="223" spans="1:6" x14ac:dyDescent="0.25">
      <c r="A223" s="11">
        <v>42064</v>
      </c>
      <c r="B223" s="7">
        <v>0.86249999999999993</v>
      </c>
      <c r="C223" s="7">
        <v>0.87083333333333324</v>
      </c>
      <c r="D223" s="7">
        <f>(0.870833333333333-0.8625)</f>
        <v>8.3333333333329707E-3</v>
      </c>
      <c r="E223" s="7">
        <f>ABS(0.00833333333333297-0.00486111111111101)</f>
        <v>3.472222222221961E-3</v>
      </c>
      <c r="F223" s="1" t="s">
        <v>3</v>
      </c>
    </row>
    <row r="224" spans="1:6" x14ac:dyDescent="0.25">
      <c r="A224" s="11">
        <v>42064</v>
      </c>
      <c r="B224" s="7">
        <v>0.12638888888888888</v>
      </c>
      <c r="C224" s="7">
        <v>0.13125000000000001</v>
      </c>
      <c r="D224" s="7">
        <f>(0.13125-0.126388888888889)</f>
        <v>4.8611111111110106E-3</v>
      </c>
      <c r="E224" s="7">
        <f>ABS(0.00486111111111101-0.00694444444444403)</f>
        <v>2.0833333333330206E-3</v>
      </c>
      <c r="F224" s="1" t="s">
        <v>3</v>
      </c>
    </row>
    <row r="225" spans="1:6" x14ac:dyDescent="0.25">
      <c r="A225" s="11">
        <v>42064</v>
      </c>
      <c r="B225" s="7">
        <v>0.30416666666666664</v>
      </c>
      <c r="C225" s="7">
        <v>0.31111111111111112</v>
      </c>
      <c r="D225" s="7">
        <f>(0.311111111111111-0.304166666666667)</f>
        <v>6.9444444444440312E-3</v>
      </c>
      <c r="E225" s="7">
        <f>ABS(0.00694444444444403-0.00416666666666599)</f>
        <v>2.7777777777780403E-3</v>
      </c>
      <c r="F225" s="1" t="s">
        <v>3</v>
      </c>
    </row>
    <row r="226" spans="1:6" x14ac:dyDescent="0.25">
      <c r="A226" s="11">
        <v>42064</v>
      </c>
      <c r="B226" s="7">
        <v>0.5229166666666667</v>
      </c>
      <c r="C226" s="7">
        <v>0.52708333333333335</v>
      </c>
      <c r="D226" s="7">
        <f>(0.527083333333333-0.522916666666667)</f>
        <v>4.1666666666659857E-3</v>
      </c>
      <c r="E226" s="7">
        <f>ABS(0.00416666666666599-0.00694444444444409)</f>
        <v>2.7777777777781001E-3</v>
      </c>
      <c r="F226" s="1" t="s">
        <v>3</v>
      </c>
    </row>
    <row r="227" spans="1:6" x14ac:dyDescent="0.25">
      <c r="A227" s="11">
        <v>42064</v>
      </c>
      <c r="B227" s="7">
        <v>0.57500000000000007</v>
      </c>
      <c r="C227" s="7">
        <v>0.58194444444444449</v>
      </c>
      <c r="D227" s="7">
        <f>(0.581944444444444-0.575)</f>
        <v>6.9444444444440867E-3</v>
      </c>
      <c r="E227" s="7">
        <f>ABS(0.00694444444444409-0.013888888888888)</f>
        <v>6.9444444444439098E-3</v>
      </c>
      <c r="F227" s="1" t="s">
        <v>3</v>
      </c>
    </row>
    <row r="228" spans="1:6" x14ac:dyDescent="0.25">
      <c r="A228" s="11">
        <v>42064</v>
      </c>
      <c r="B228" s="7">
        <v>0.7368055555555556</v>
      </c>
      <c r="C228" s="7">
        <v>0.75069444444444444</v>
      </c>
      <c r="D228" s="7">
        <f>(0.750694444444444-0.736805555555556)</f>
        <v>1.3888888888887951E-2</v>
      </c>
      <c r="E228" s="7">
        <f>ABS(0.013888888888888-0.00833333333333308)</f>
        <v>5.55555555555492E-3</v>
      </c>
      <c r="F228" s="1" t="s">
        <v>3</v>
      </c>
    </row>
    <row r="229" spans="1:6" x14ac:dyDescent="0.25">
      <c r="A229" s="11">
        <v>42064</v>
      </c>
      <c r="B229" s="7">
        <v>0.76111111111111107</v>
      </c>
      <c r="C229" s="7">
        <v>0.76944444444444438</v>
      </c>
      <c r="D229" s="7">
        <f>(0.769444444444444-0.761111111111111)</f>
        <v>8.3333333333330817E-3</v>
      </c>
      <c r="E229" s="7">
        <f>ABS(0.00833333333333308-0.00347222222222199)</f>
        <v>4.8611111111110904E-3</v>
      </c>
      <c r="F229" s="1" t="s">
        <v>3</v>
      </c>
    </row>
    <row r="230" spans="1:6" x14ac:dyDescent="0.25">
      <c r="A230" s="11">
        <v>42064</v>
      </c>
      <c r="B230" s="7">
        <v>0.83263888888888893</v>
      </c>
      <c r="C230" s="7">
        <v>0.83611111111111114</v>
      </c>
      <c r="D230" s="7">
        <f>(0.836111111111111-0.832638888888889)</f>
        <v>3.4722222222219878E-3</v>
      </c>
      <c r="E230" s="7">
        <f>ABS(0.00347222222222199-0.00763888888888897)</f>
        <v>4.1666666666669797E-3</v>
      </c>
      <c r="F230" s="1" t="s">
        <v>3</v>
      </c>
    </row>
    <row r="231" spans="1:6" x14ac:dyDescent="0.25">
      <c r="A231" s="11">
        <v>42064</v>
      </c>
      <c r="B231" s="7">
        <v>0.8979166666666667</v>
      </c>
      <c r="C231" s="7">
        <v>0.90555555555555556</v>
      </c>
      <c r="D231" s="7">
        <f>(0.905555555555556-0.897916666666667)</f>
        <v>7.6388888888889728E-3</v>
      </c>
      <c r="E231" s="7">
        <f>ABS(0.00763888888888897-0.00972222222221997)</f>
        <v>2.0833333333310005E-3</v>
      </c>
      <c r="F231" s="1" t="s">
        <v>3</v>
      </c>
    </row>
    <row r="232" spans="1:6" x14ac:dyDescent="0.25">
      <c r="A232" s="11">
        <v>42064</v>
      </c>
      <c r="B232" s="7">
        <v>1.0104166666666667</v>
      </c>
      <c r="C232" s="7">
        <v>1.0201388888888889</v>
      </c>
      <c r="D232" s="7">
        <f>(1.02013888888889-1.01041666666667)</f>
        <v>9.7222222222199672E-3</v>
      </c>
      <c r="E232" s="7">
        <f>ABS(0.00972222222221997-0.00416666666666701)</f>
        <v>5.5555555555529606E-3</v>
      </c>
      <c r="F232" s="1" t="s">
        <v>3</v>
      </c>
    </row>
    <row r="233" spans="1:6" x14ac:dyDescent="0.25">
      <c r="A233" s="11">
        <v>42064</v>
      </c>
      <c r="B233" s="7">
        <v>0.12847222222222224</v>
      </c>
      <c r="C233" s="7">
        <v>0.13263888888888889</v>
      </c>
      <c r="D233" s="7">
        <f>(0.132638888888889-0.128472222222222)</f>
        <v>4.1666666666670127E-3</v>
      </c>
      <c r="E233" s="7">
        <f>ABS(0.00416666666666701-0.013888888888889)</f>
        <v>9.7222222222219899E-3</v>
      </c>
      <c r="F233" s="1" t="s">
        <v>3</v>
      </c>
    </row>
    <row r="234" spans="1:6" x14ac:dyDescent="0.25">
      <c r="A234" s="11">
        <v>42064</v>
      </c>
      <c r="B234" s="7">
        <v>0.3125</v>
      </c>
      <c r="C234" s="7">
        <v>0.3263888888888889</v>
      </c>
      <c r="D234" s="7">
        <f>(0.326388888888889-0.3125)</f>
        <v>1.3888888888889006E-2</v>
      </c>
      <c r="E234" s="7">
        <f>ABS(0.013888888888889-0.00763888888888897)</f>
        <v>6.250000000000029E-3</v>
      </c>
      <c r="F234" s="1" t="s">
        <v>3</v>
      </c>
    </row>
    <row r="235" spans="1:6" x14ac:dyDescent="0.25">
      <c r="A235" s="11">
        <v>42064</v>
      </c>
      <c r="B235" s="7">
        <v>0.32708333333333334</v>
      </c>
      <c r="C235" s="7">
        <v>0.3347222222222222</v>
      </c>
      <c r="D235" s="7">
        <f>(0.334722222222222-0.327083333333333)</f>
        <v>7.6388888888889728E-3</v>
      </c>
      <c r="E235" s="7">
        <f>ABS(0.00763888888888897-0.0125)</f>
        <v>4.8611111111110305E-3</v>
      </c>
      <c r="F235" s="1" t="s">
        <v>3</v>
      </c>
    </row>
    <row r="236" spans="1:6" x14ac:dyDescent="0.25">
      <c r="A236" s="11">
        <v>42064</v>
      </c>
      <c r="B236" s="7">
        <v>0.43888888888888888</v>
      </c>
      <c r="C236" s="7">
        <v>0.4513888888888889</v>
      </c>
      <c r="D236" s="7">
        <f>(0.451388888888889-0.438888888888889)</f>
        <v>1.2500000000000011E-2</v>
      </c>
      <c r="E236" s="7">
        <f>ABS(0.0125-0.00694444444444398)</f>
        <v>5.5555555555560207E-3</v>
      </c>
      <c r="F236" s="1" t="s">
        <v>3</v>
      </c>
    </row>
    <row r="237" spans="1:6" x14ac:dyDescent="0.25">
      <c r="A237" s="11">
        <v>42064</v>
      </c>
      <c r="B237" s="7">
        <v>0.52777777777777779</v>
      </c>
      <c r="C237" s="7">
        <v>0.53472222222222221</v>
      </c>
      <c r="D237" s="7">
        <f>(0.534722222222222-0.527777777777778)</f>
        <v>6.9444444444439757E-3</v>
      </c>
      <c r="E237" s="7">
        <f>ABS(0.00694444444444398-0.024305555555556)</f>
        <v>1.7361111111112021E-2</v>
      </c>
      <c r="F237" s="1" t="s">
        <v>3</v>
      </c>
    </row>
    <row r="238" spans="1:6" x14ac:dyDescent="0.25">
      <c r="A238" s="11">
        <v>42064</v>
      </c>
      <c r="B238" s="7">
        <v>0.47569444444444442</v>
      </c>
      <c r="C238" s="7">
        <v>0.5</v>
      </c>
      <c r="D238" s="7">
        <f>(0.5-0.475694444444444)</f>
        <v>2.4305555555556024E-2</v>
      </c>
      <c r="E238" s="7">
        <f>ABS(0.024305555555556-0.0138888888888891)</f>
        <v>1.04166666666669E-2</v>
      </c>
      <c r="F238" s="1" t="s">
        <v>3</v>
      </c>
    </row>
    <row r="239" spans="1:6" x14ac:dyDescent="0.25">
      <c r="A239" s="11">
        <v>42064</v>
      </c>
      <c r="B239" s="7">
        <v>0.53472222222222221</v>
      </c>
      <c r="C239" s="7">
        <v>0.54861111111111105</v>
      </c>
      <c r="D239" s="7">
        <f>(0.548611111111111-0.534722222222222)</f>
        <v>1.3888888888889062E-2</v>
      </c>
      <c r="E239" s="7">
        <f>ABS(0.0138888888888891-0.00416666666666698)</f>
        <v>9.72222222222212E-3</v>
      </c>
      <c r="F239" s="1" t="s">
        <v>3</v>
      </c>
    </row>
    <row r="240" spans="1:6" x14ac:dyDescent="0.25">
      <c r="A240" s="11">
        <v>42064</v>
      </c>
      <c r="B240" s="7">
        <v>0.55486111111111114</v>
      </c>
      <c r="C240" s="7">
        <v>0.55902777777777779</v>
      </c>
      <c r="D240" s="7">
        <f>(0.559027777777778-0.554861111111111)</f>
        <v>4.1666666666669849E-3</v>
      </c>
      <c r="E240" s="7">
        <f>ABS(0.00416666666666698-0.0104166666666661)</f>
        <v>6.2499999999991208E-3</v>
      </c>
      <c r="F240" s="1" t="s">
        <v>3</v>
      </c>
    </row>
    <row r="241" spans="1:6" x14ac:dyDescent="0.25">
      <c r="A241" s="11">
        <v>42064</v>
      </c>
      <c r="B241" s="7">
        <v>0.57430555555555551</v>
      </c>
      <c r="C241" s="7">
        <v>0.58472222222222225</v>
      </c>
      <c r="D241" s="7">
        <f>(0.584722222222222-0.574305555555556)</f>
        <v>1.0416666666666075E-2</v>
      </c>
      <c r="E241" s="7">
        <f>ABS(0.0104166666666661-0.00833333333333308)</f>
        <v>2.0833333333330206E-3</v>
      </c>
      <c r="F241" s="1" t="s">
        <v>3</v>
      </c>
    </row>
    <row r="242" spans="1:6" x14ac:dyDescent="0.25">
      <c r="A242" s="11">
        <v>42064</v>
      </c>
      <c r="B242" s="7">
        <v>0.73055555555555562</v>
      </c>
      <c r="C242" s="7">
        <v>0.73888888888888893</v>
      </c>
      <c r="D242" s="7">
        <f>(0.738888888888889-0.730555555555556)</f>
        <v>8.3333333333330817E-3</v>
      </c>
      <c r="E242" s="7">
        <f>ABS(0.00833333333333308-0.00208333333333299)</f>
        <v>6.2500000000000906E-3</v>
      </c>
      <c r="F242" s="1" t="s">
        <v>3</v>
      </c>
    </row>
    <row r="243" spans="1:6" x14ac:dyDescent="0.25">
      <c r="A243" s="11">
        <v>42064</v>
      </c>
      <c r="B243" s="7">
        <v>0.74097222222222225</v>
      </c>
      <c r="C243" s="7">
        <v>0.74305555555555547</v>
      </c>
      <c r="D243" s="7">
        <f>(0.743055555555555-0.740972222222222)</f>
        <v>2.0833333333329929E-3</v>
      </c>
      <c r="E243" s="7">
        <f>ABS(0.00208333333333299-0.010416666666667)</f>
        <v>8.3333333333340098E-3</v>
      </c>
      <c r="F243" s="1" t="s">
        <v>3</v>
      </c>
    </row>
    <row r="244" spans="1:6" x14ac:dyDescent="0.25">
      <c r="A244" s="11">
        <v>42064</v>
      </c>
      <c r="B244" s="7">
        <v>0.77986111111111101</v>
      </c>
      <c r="C244" s="7">
        <v>0.79027777777777775</v>
      </c>
      <c r="D244" s="7">
        <f>(0.790277777777778-0.779861111111111)</f>
        <v>1.0416666666666963E-2</v>
      </c>
      <c r="E244" s="7">
        <f>ABS(0.010416666666667-0.00833333333333297)</f>
        <v>2.0833333333340285E-3</v>
      </c>
      <c r="F244" s="1" t="s">
        <v>3</v>
      </c>
    </row>
    <row r="245" spans="1:6" x14ac:dyDescent="0.25">
      <c r="A245" s="11">
        <v>42064</v>
      </c>
      <c r="B245" s="7">
        <v>0.84861111111111109</v>
      </c>
      <c r="C245" s="7">
        <v>0.8569444444444444</v>
      </c>
      <c r="D245" s="7">
        <f>(0.856944444444444-0.848611111111111)</f>
        <v>8.3333333333329707E-3</v>
      </c>
      <c r="E245" s="7">
        <f>ABS(0.00833333333333297-0.00555555555555598)</f>
        <v>2.7777777777769908E-3</v>
      </c>
      <c r="F245" s="1" t="s">
        <v>3</v>
      </c>
    </row>
    <row r="246" spans="1:6" x14ac:dyDescent="0.25">
      <c r="A246" s="11">
        <v>42064</v>
      </c>
      <c r="B246" s="7">
        <v>0.42986111111111108</v>
      </c>
      <c r="C246" s="7">
        <v>0.43541666666666662</v>
      </c>
      <c r="D246" s="7">
        <f>(0.435416666666667-0.429861111111111)</f>
        <v>5.5555555555559799E-3</v>
      </c>
      <c r="E246" s="7">
        <f>ABS(0.00555555555555598-0.011805555555556)</f>
        <v>6.2500000000000194E-3</v>
      </c>
      <c r="F246" s="1" t="s">
        <v>3</v>
      </c>
    </row>
    <row r="247" spans="1:6" x14ac:dyDescent="0.25">
      <c r="A247" s="11">
        <v>42064</v>
      </c>
      <c r="B247" s="7">
        <v>0.43958333333333338</v>
      </c>
      <c r="C247" s="7">
        <v>0.4513888888888889</v>
      </c>
      <c r="D247" s="7">
        <f>(0.451388888888889-0.439583333333333)</f>
        <v>1.1805555555556013E-2</v>
      </c>
      <c r="E247" s="7">
        <f>ABS(0.011805555555556-0.019444444444444)</f>
        <v>7.6388888888880013E-3</v>
      </c>
      <c r="F247" s="1" t="s">
        <v>3</v>
      </c>
    </row>
    <row r="248" spans="1:6" x14ac:dyDescent="0.25">
      <c r="A248" s="11">
        <v>42064</v>
      </c>
      <c r="B248" s="7">
        <v>0.48125000000000001</v>
      </c>
      <c r="C248" s="7">
        <v>0.50069444444444444</v>
      </c>
      <c r="D248" s="7">
        <f>(0.500694444444444-0.48125)</f>
        <v>1.9444444444443987E-2</v>
      </c>
      <c r="E248" s="7">
        <f>ABS(0.019444444444444-0.0131944444444441)</f>
        <v>6.2499999999999015E-3</v>
      </c>
      <c r="F248" s="1" t="s">
        <v>3</v>
      </c>
    </row>
    <row r="249" spans="1:6" x14ac:dyDescent="0.25">
      <c r="A249" s="11">
        <v>42064</v>
      </c>
      <c r="B249" s="7">
        <v>0.63055555555555554</v>
      </c>
      <c r="C249" s="7">
        <v>0.64374999999999993</v>
      </c>
      <c r="D249" s="7">
        <f>(0.64375-0.630555555555556)</f>
        <v>1.3194444444444065E-2</v>
      </c>
      <c r="E249" s="7">
        <f>ABS(0.0131944444444441-0.00416666666666701)</f>
        <v>9.02777777777709E-3</v>
      </c>
      <c r="F249" s="1" t="s">
        <v>3</v>
      </c>
    </row>
    <row r="250" spans="1:6" x14ac:dyDescent="0.25">
      <c r="A250" s="11">
        <v>42064</v>
      </c>
      <c r="B250" s="7">
        <v>0.17986111111111111</v>
      </c>
      <c r="C250" s="7">
        <v>0.18402777777777779</v>
      </c>
      <c r="D250" s="7">
        <f>(0.184027777777778-0.179861111111111)</f>
        <v>4.1666666666670127E-3</v>
      </c>
      <c r="E250" s="7">
        <f>ABS(0.00416666666666701-0.00416666666666698)</f>
        <v>3.0357660829594124E-17</v>
      </c>
      <c r="F250" s="1" t="s">
        <v>3</v>
      </c>
    </row>
    <row r="251" spans="1:6" x14ac:dyDescent="0.25">
      <c r="A251" s="11">
        <v>42064</v>
      </c>
      <c r="B251" s="7">
        <v>0.68611111111111101</v>
      </c>
      <c r="C251" s="7">
        <v>0.69027777777777777</v>
      </c>
      <c r="D251" s="7">
        <f>(0.690277777777778-0.686111111111111)</f>
        <v>4.1666666666669849E-3</v>
      </c>
      <c r="E251" s="7">
        <f>ABS(0.00416666666666698-0.00347222222222199)</f>
        <v>6.9444444444498972E-4</v>
      </c>
      <c r="F251" s="1" t="s">
        <v>3</v>
      </c>
    </row>
    <row r="252" spans="1:6" x14ac:dyDescent="0.25">
      <c r="A252" s="11">
        <v>42064</v>
      </c>
      <c r="B252" s="7">
        <v>0.96250000000000002</v>
      </c>
      <c r="C252" s="7">
        <v>0.96597222222222223</v>
      </c>
      <c r="D252" s="7">
        <f>(0.965972222222222-0.9625)</f>
        <v>3.4722222222219878E-3</v>
      </c>
      <c r="E252" s="7">
        <f>ABS(0.00347222222222199-0.008333333333333)</f>
        <v>4.8611111111110106E-3</v>
      </c>
      <c r="F252" s="1" t="s">
        <v>3</v>
      </c>
    </row>
    <row r="253" spans="1:6" x14ac:dyDescent="0.25">
      <c r="A253" s="11">
        <v>42064</v>
      </c>
      <c r="B253" s="7">
        <v>0.23750000000000002</v>
      </c>
      <c r="C253" s="7">
        <v>0.24583333333333335</v>
      </c>
      <c r="D253" s="7">
        <f>(0.245833333333333-0.2375)</f>
        <v>8.3333333333329984E-3</v>
      </c>
      <c r="E253" s="7">
        <f>ABS(0.008333333333333-0.021527777777778)</f>
        <v>1.3194444444445E-2</v>
      </c>
      <c r="F253" s="1" t="s">
        <v>3</v>
      </c>
    </row>
    <row r="254" spans="1:6" x14ac:dyDescent="0.25">
      <c r="A254" s="11">
        <v>42064</v>
      </c>
      <c r="B254" s="7">
        <v>0.32708333333333334</v>
      </c>
      <c r="C254" s="7">
        <v>0.34861111111111115</v>
      </c>
      <c r="D254" s="7">
        <f>(0.348611111111111-0.327083333333333)</f>
        <v>2.1527777777777979E-2</v>
      </c>
      <c r="E254" s="7">
        <f>ABS(0.021527777777778-0.00486111111111098)</f>
        <v>1.666666666666702E-2</v>
      </c>
      <c r="F254" s="1" t="s">
        <v>3</v>
      </c>
    </row>
    <row r="255" spans="1:6" x14ac:dyDescent="0.25">
      <c r="A255" s="11">
        <v>42064</v>
      </c>
      <c r="B255" s="7">
        <v>0.37361111111111112</v>
      </c>
      <c r="C255" s="7">
        <v>0.37847222222222227</v>
      </c>
      <c r="D255" s="7">
        <f>(0.378472222222222-0.373611111111111)</f>
        <v>4.8611111111109828E-3</v>
      </c>
      <c r="E255" s="7">
        <f>ABS(0.00486111111111098-0.00902777777777702)</f>
        <v>4.1666666666660404E-3</v>
      </c>
      <c r="F255" s="1" t="s">
        <v>3</v>
      </c>
    </row>
    <row r="256" spans="1:6" x14ac:dyDescent="0.25">
      <c r="A256" s="11">
        <v>42064</v>
      </c>
      <c r="B256" s="7">
        <v>0.41180555555555554</v>
      </c>
      <c r="C256" s="7">
        <v>0.42083333333333334</v>
      </c>
      <c r="D256" s="7">
        <f>(0.420833333333333-0.411805555555556)</f>
        <v>9.0277777777770241E-3</v>
      </c>
      <c r="E256" s="7">
        <f>ABS(0.00902777777777702-0.00416666666666698)</f>
        <v>4.8611111111100409E-3</v>
      </c>
      <c r="F256" s="1" t="s">
        <v>3</v>
      </c>
    </row>
    <row r="257" spans="1:6" x14ac:dyDescent="0.25">
      <c r="A257" s="11">
        <v>42064</v>
      </c>
      <c r="B257" s="7">
        <v>0.43194444444444446</v>
      </c>
      <c r="C257" s="7">
        <v>0.43611111111111112</v>
      </c>
      <c r="D257" s="7">
        <f>(0.436111111111111-0.431944444444444)</f>
        <v>4.1666666666669849E-3</v>
      </c>
      <c r="E257" s="7">
        <f>ABS(0.00416666666666698-0.0145833333333339)</f>
        <v>1.0416666666666921E-2</v>
      </c>
      <c r="F257" s="1" t="s">
        <v>3</v>
      </c>
    </row>
    <row r="258" spans="1:6" x14ac:dyDescent="0.25">
      <c r="A258" s="11">
        <v>42064</v>
      </c>
      <c r="B258" s="7">
        <v>0.54722222222222217</v>
      </c>
      <c r="C258" s="7">
        <v>0.56180555555555556</v>
      </c>
      <c r="D258" s="7">
        <f>(0.561805555555556-0.547222222222222)</f>
        <v>1.4583333333333948E-2</v>
      </c>
      <c r="E258" s="7">
        <f>ABS(0.0145833333333339-0.00763888888888897)</f>
        <v>6.9444444444449306E-3</v>
      </c>
      <c r="F258" s="1" t="s">
        <v>3</v>
      </c>
    </row>
    <row r="259" spans="1:6" x14ac:dyDescent="0.25">
      <c r="A259" s="11">
        <v>42064</v>
      </c>
      <c r="B259" s="7">
        <v>0.56874999999999998</v>
      </c>
      <c r="C259" s="7">
        <v>0.57638888888888895</v>
      </c>
      <c r="D259" s="7">
        <f>(0.576388888888889-0.56875)</f>
        <v>7.6388888888889728E-3</v>
      </c>
      <c r="E259" s="7">
        <f>ABS(0.00763888888888897-0.00624999999999998)</f>
        <v>1.3888888888889898E-3</v>
      </c>
      <c r="F259" s="1" t="s">
        <v>3</v>
      </c>
    </row>
    <row r="260" spans="1:6" x14ac:dyDescent="0.25">
      <c r="A260" s="11">
        <v>42064</v>
      </c>
      <c r="B260" s="7">
        <v>0.65277777777777779</v>
      </c>
      <c r="C260" s="7">
        <v>0.65902777777777777</v>
      </c>
      <c r="D260" s="7">
        <f>(0.659027777777778-0.652777777777778)</f>
        <v>6.2499999999999778E-3</v>
      </c>
      <c r="E260" s="7">
        <f>ABS(0.00624999999999998-0.0138888888888899)</f>
        <v>7.6388888888899191E-3</v>
      </c>
      <c r="F260" s="1" t="s">
        <v>3</v>
      </c>
    </row>
    <row r="261" spans="1:6" x14ac:dyDescent="0.25">
      <c r="A261" s="11">
        <v>42064</v>
      </c>
      <c r="B261" s="7">
        <v>0.74305555555555547</v>
      </c>
      <c r="C261" s="7">
        <v>0.75694444444444453</v>
      </c>
      <c r="D261" s="7">
        <f>(0.756944444444445-0.743055555555555)</f>
        <v>1.388888888888995E-2</v>
      </c>
      <c r="E261" s="7">
        <f>ABS(0.0138888888888899-0.00902777777777808)</f>
        <v>4.861111111111819E-3</v>
      </c>
      <c r="F261" s="1" t="s">
        <v>3</v>
      </c>
    </row>
    <row r="262" spans="1:6" x14ac:dyDescent="0.25">
      <c r="A262" s="11">
        <v>42064</v>
      </c>
      <c r="B262" s="7">
        <v>0.79513888888888884</v>
      </c>
      <c r="C262" s="7">
        <v>0.8041666666666667</v>
      </c>
      <c r="D262" s="7">
        <f>(0.804166666666667-0.795138888888889)</f>
        <v>9.0277777777780788E-3</v>
      </c>
      <c r="E262" s="7">
        <f>ABS(0.00902777777777808-0.00833333333333397)</f>
        <v>6.9444444444411065E-4</v>
      </c>
      <c r="F262" s="1" t="s">
        <v>3</v>
      </c>
    </row>
    <row r="263" spans="1:6" x14ac:dyDescent="0.25">
      <c r="A263" s="11">
        <v>42064</v>
      </c>
      <c r="B263" s="7">
        <v>0.84583333333333333</v>
      </c>
      <c r="C263" s="7">
        <v>0.85416666666666663</v>
      </c>
      <c r="D263" s="7">
        <f>(0.854166666666667-0.845833333333333)</f>
        <v>8.3333333333339699E-3</v>
      </c>
      <c r="E263" s="7">
        <f>ABS(0.00833333333333397-0.013888888888889)</f>
        <v>5.5555555555550293E-3</v>
      </c>
      <c r="F263" s="1" t="s">
        <v>3</v>
      </c>
    </row>
    <row r="264" spans="1:6" x14ac:dyDescent="0.25">
      <c r="A264" s="11">
        <v>42064</v>
      </c>
      <c r="B264" s="7">
        <v>0.39097222222222222</v>
      </c>
      <c r="C264" s="7">
        <v>0.40486111111111112</v>
      </c>
      <c r="D264" s="7">
        <f>(0.404861111111111-0.390972222222222)</f>
        <v>1.3888888888889006E-2</v>
      </c>
      <c r="E264" s="7">
        <f>ABS(0.013888888888889-0.00694444444444403)</f>
        <v>6.9444444444449688E-3</v>
      </c>
      <c r="F264" s="1" t="s">
        <v>3</v>
      </c>
    </row>
    <row r="265" spans="1:6" x14ac:dyDescent="0.25">
      <c r="A265" s="11">
        <v>42064</v>
      </c>
      <c r="B265" s="7">
        <v>0.41388888888888892</v>
      </c>
      <c r="C265" s="7">
        <v>0.42083333333333334</v>
      </c>
      <c r="D265" s="7">
        <f>(0.420833333333333-0.413888888888889)</f>
        <v>6.9444444444440312E-3</v>
      </c>
      <c r="E265" s="7">
        <f>ABS(0.00694444444444403-0.00833333333333308)</f>
        <v>1.3888888888890496E-3</v>
      </c>
      <c r="F265" s="1" t="s">
        <v>3</v>
      </c>
    </row>
    <row r="266" spans="1:6" x14ac:dyDescent="0.25">
      <c r="A266" s="11">
        <v>42064</v>
      </c>
      <c r="B266" s="7">
        <v>0.51111111111111118</v>
      </c>
      <c r="C266" s="7">
        <v>0.51944444444444449</v>
      </c>
      <c r="D266" s="7">
        <f>(0.519444444444444-0.511111111111111)</f>
        <v>8.3333333333330817E-3</v>
      </c>
      <c r="E266" s="7">
        <f>ABS(0.00833333333333308-0.00486111111111098)</f>
        <v>3.4722222222220997E-3</v>
      </c>
      <c r="F266" s="1" t="s">
        <v>3</v>
      </c>
    </row>
    <row r="267" spans="1:6" x14ac:dyDescent="0.25">
      <c r="A267" s="11">
        <v>42064</v>
      </c>
      <c r="B267" s="7">
        <v>0.8666666666666667</v>
      </c>
      <c r="C267" s="7">
        <v>0.87152777777777779</v>
      </c>
      <c r="D267" s="7">
        <f>(0.871527777777778-0.866666666666667)</f>
        <v>4.8611111111109828E-3</v>
      </c>
      <c r="E267" s="7">
        <f>ABS(0.00486111111111098-0.010416666666667)</f>
        <v>5.5555555555560189E-3</v>
      </c>
      <c r="F267" s="1" t="s">
        <v>3</v>
      </c>
    </row>
    <row r="268" spans="1:6" x14ac:dyDescent="0.25">
      <c r="A268" s="11">
        <v>42064</v>
      </c>
      <c r="B268" s="7">
        <v>0.90138888888888891</v>
      </c>
      <c r="C268" s="7">
        <v>0.91180555555555554</v>
      </c>
      <c r="D268" s="7">
        <f>(0.911805555555556-0.901388888888889)</f>
        <v>1.0416666666666963E-2</v>
      </c>
      <c r="E268" s="7">
        <f>ABS(0.010416666666667-0.00625000000000009)</f>
        <v>4.1666666666669095E-3</v>
      </c>
      <c r="F268" s="1" t="s">
        <v>3</v>
      </c>
    </row>
    <row r="269" spans="1:6" x14ac:dyDescent="0.25">
      <c r="A269" s="11">
        <v>42064</v>
      </c>
      <c r="B269" s="7">
        <v>1.0055555555555555</v>
      </c>
      <c r="C269" s="7">
        <v>1.0118055555555556</v>
      </c>
      <c r="D269" s="7">
        <f>(1.01180555555556-1.00555555555556)</f>
        <v>6.2500000000000888E-3</v>
      </c>
      <c r="E269" s="7">
        <f>ABS(0.00625000000000009-0.00555555555555604)</f>
        <v>6.9444444444404993E-4</v>
      </c>
      <c r="F269" s="1" t="s">
        <v>3</v>
      </c>
    </row>
    <row r="270" spans="1:6" x14ac:dyDescent="0.25">
      <c r="A270" s="11">
        <v>42064</v>
      </c>
      <c r="B270" s="7">
        <v>0.42499999999999999</v>
      </c>
      <c r="C270" s="7">
        <v>0.43055555555555558</v>
      </c>
      <c r="D270" s="7">
        <f>(0.430555555555556-0.425)</f>
        <v>5.5555555555560354E-3</v>
      </c>
      <c r="E270" s="7">
        <f>ABS(0.00555555555555604-0.00555555555555504)</f>
        <v>1.0000680839006293E-15</v>
      </c>
      <c r="F270" s="1" t="s">
        <v>3</v>
      </c>
    </row>
    <row r="271" spans="1:6" x14ac:dyDescent="0.25">
      <c r="A271" s="11">
        <v>42064</v>
      </c>
      <c r="B271" s="7">
        <v>0.48888888888888887</v>
      </c>
      <c r="C271" s="7">
        <v>0.49444444444444446</v>
      </c>
      <c r="D271" s="7">
        <f>(0.494444444444444-0.488888888888889)</f>
        <v>5.5555555555550362E-3</v>
      </c>
      <c r="E271" s="7">
        <f>ABS(0.00555555555555504-0.00624999999999987)</f>
        <v>6.9444444444483056E-4</v>
      </c>
      <c r="F271" s="1" t="s">
        <v>3</v>
      </c>
    </row>
    <row r="272" spans="1:6" x14ac:dyDescent="0.25">
      <c r="A272" s="11">
        <v>42064</v>
      </c>
      <c r="B272" s="7">
        <v>1.0173611111111112</v>
      </c>
      <c r="C272" s="7">
        <v>1.023611111111111</v>
      </c>
      <c r="D272" s="7">
        <f>(1.02361111111111-1.01736111111111)</f>
        <v>6.2499999999998668E-3</v>
      </c>
      <c r="E272" s="7">
        <f>ABS(0.00624999999999987-0.00763888888888897)</f>
        <v>1.3888888888890999E-3</v>
      </c>
      <c r="F272" s="1" t="s">
        <v>3</v>
      </c>
    </row>
    <row r="273" spans="1:6" x14ac:dyDescent="0.25">
      <c r="A273" s="11">
        <v>42064</v>
      </c>
      <c r="B273" s="7">
        <v>0.51736111111111105</v>
      </c>
      <c r="C273" s="7">
        <v>0.52500000000000002</v>
      </c>
      <c r="D273" s="7">
        <f>(0.525-0.517361111111111)</f>
        <v>7.6388888888889728E-3</v>
      </c>
      <c r="E273" s="7">
        <f>ABS(0.00763888888888897-0.00763888888888897)</f>
        <v>0</v>
      </c>
      <c r="F273" s="1" t="s">
        <v>3</v>
      </c>
    </row>
    <row r="274" spans="1:6" x14ac:dyDescent="0.25">
      <c r="A274" s="11">
        <v>42064</v>
      </c>
      <c r="B274" s="7">
        <v>0.52152777777777781</v>
      </c>
      <c r="C274" s="7">
        <v>0.52916666666666667</v>
      </c>
      <c r="D274" s="7">
        <f>(0.529166666666667-0.521527777777778)</f>
        <v>7.6388888888889728E-3</v>
      </c>
      <c r="E274" s="7">
        <f>ABS(0.00763888888888897-0.00694444444444398)</f>
        <v>6.9444444444499015E-4</v>
      </c>
      <c r="F274" s="1" t="s">
        <v>3</v>
      </c>
    </row>
    <row r="275" spans="1:6" x14ac:dyDescent="0.25">
      <c r="A275" s="11">
        <v>42064</v>
      </c>
      <c r="B275" s="7">
        <v>0.57013888888888886</v>
      </c>
      <c r="C275" s="7">
        <v>0.57708333333333328</v>
      </c>
      <c r="D275" s="7">
        <f>(0.577083333333333-0.570138888888889)</f>
        <v>6.9444444444439757E-3</v>
      </c>
      <c r="E275" s="7">
        <f>ABS(0.00694444444444398-0.00416666666666599)</f>
        <v>2.77777777777799E-3</v>
      </c>
      <c r="F275" s="1" t="s">
        <v>3</v>
      </c>
    </row>
    <row r="276" spans="1:6" x14ac:dyDescent="0.25">
      <c r="A276" s="11">
        <v>42064</v>
      </c>
      <c r="B276" s="7">
        <v>0.62777777777777777</v>
      </c>
      <c r="C276" s="7">
        <v>0.63194444444444442</v>
      </c>
      <c r="D276" s="7">
        <f>(0.631944444444444-0.627777777777778)</f>
        <v>4.1666666666659857E-3</v>
      </c>
      <c r="E276" s="7">
        <f>ABS(0.00416666666666599-0.00624999999999998)</f>
        <v>2.0833333333339903E-3</v>
      </c>
      <c r="F276" s="1" t="s">
        <v>3</v>
      </c>
    </row>
    <row r="277" spans="1:6" x14ac:dyDescent="0.25">
      <c r="A277" s="11">
        <v>42064</v>
      </c>
      <c r="B277" s="7">
        <v>0.71388888888888891</v>
      </c>
      <c r="C277" s="7">
        <v>0.72013888888888899</v>
      </c>
      <c r="D277" s="7">
        <f>(0.720138888888889-0.713888888888889)</f>
        <v>6.2499999999999778E-3</v>
      </c>
      <c r="E277" s="7">
        <f>ABS(0.00624999999999998-0.00416666666666698)</f>
        <v>2.0833333333330007E-3</v>
      </c>
      <c r="F277" s="1" t="s">
        <v>3</v>
      </c>
    </row>
    <row r="278" spans="1:6" x14ac:dyDescent="0.25">
      <c r="A278" s="11">
        <v>42064</v>
      </c>
      <c r="B278" s="7">
        <v>0.70347222222222217</v>
      </c>
      <c r="C278" s="7">
        <v>0.70763888888888893</v>
      </c>
      <c r="D278" s="7">
        <f>(0.707638888888889-0.703472222222222)</f>
        <v>4.1666666666669849E-3</v>
      </c>
      <c r="E278" s="7">
        <f>ABS(0.00416666666666698-0.011805555555556)</f>
        <v>7.6388888888890196E-3</v>
      </c>
      <c r="F278" s="1" t="s">
        <v>3</v>
      </c>
    </row>
    <row r="279" spans="1:6" x14ac:dyDescent="0.25">
      <c r="A279" s="11">
        <v>42064</v>
      </c>
      <c r="B279" s="7">
        <v>0.78333333333333333</v>
      </c>
      <c r="C279" s="7">
        <v>0.79513888888888884</v>
      </c>
      <c r="D279" s="7">
        <f>(0.795138888888889-0.783333333333333)</f>
        <v>1.1805555555555958E-2</v>
      </c>
      <c r="E279" s="7">
        <f>ABS(0.011805555555556-0.00625000000000009)</f>
        <v>5.5555555555559097E-3</v>
      </c>
      <c r="F279" s="1" t="s">
        <v>3</v>
      </c>
    </row>
    <row r="280" spans="1:6" x14ac:dyDescent="0.25">
      <c r="A280" s="11">
        <v>42064</v>
      </c>
      <c r="B280" s="7">
        <v>0.8569444444444444</v>
      </c>
      <c r="C280" s="7">
        <v>0.86319444444444438</v>
      </c>
      <c r="D280" s="7">
        <f>(0.863194444444444-0.856944444444444)</f>
        <v>6.2500000000000888E-3</v>
      </c>
      <c r="E280" s="7">
        <f>ABS(0.00625000000000009-0.086805555555555)</f>
        <v>8.0555555555554909E-2</v>
      </c>
      <c r="F280" s="1" t="s">
        <v>3</v>
      </c>
    </row>
    <row r="281" spans="1:6" x14ac:dyDescent="0.25">
      <c r="A281" s="11">
        <v>42064</v>
      </c>
      <c r="B281" s="7">
        <v>0.8666666666666667</v>
      </c>
      <c r="C281" s="7">
        <v>0.95347222222222217</v>
      </c>
      <c r="D281" s="7">
        <f>(0.953472222222222-0.866666666666667)</f>
        <v>8.6805555555555025E-2</v>
      </c>
      <c r="E281" s="7">
        <f>ABS(0.086805555555555-0.00902777777777797)</f>
        <v>7.777777777777703E-2</v>
      </c>
      <c r="F281" s="1" t="s">
        <v>3</v>
      </c>
    </row>
    <row r="282" spans="1:6" x14ac:dyDescent="0.25">
      <c r="A282" s="11">
        <v>42064</v>
      </c>
      <c r="B282" s="7">
        <v>0.27777777777777779</v>
      </c>
      <c r="C282" s="7">
        <v>0.28680555555555554</v>
      </c>
      <c r="D282" s="7">
        <f>(0.286805555555556-0.277777777777778)</f>
        <v>9.0277777777779677E-3</v>
      </c>
      <c r="E282" s="7">
        <f>ABS(0.00902777777777797-0.0097222222222222)</f>
        <v>6.9444444444423034E-4</v>
      </c>
      <c r="F282" s="1" t="s">
        <v>3</v>
      </c>
    </row>
    <row r="283" spans="1:6" x14ac:dyDescent="0.25">
      <c r="A283" s="11">
        <v>42064</v>
      </c>
      <c r="B283" s="7">
        <v>3.2638888888888891E-2</v>
      </c>
      <c r="C283" s="7">
        <v>4.2361111111111106E-2</v>
      </c>
      <c r="D283" s="7">
        <f>(0.0423611111111111-0.0326388888888889)</f>
        <v>9.7222222222222016E-3</v>
      </c>
      <c r="E283" s="7">
        <f>ABS(0.0097222222222222-0.00694444444444503)</f>
        <v>2.7777777777771694E-3</v>
      </c>
      <c r="F283" s="1" t="s">
        <v>3</v>
      </c>
    </row>
    <row r="284" spans="1:6" x14ac:dyDescent="0.25">
      <c r="A284" s="11">
        <v>42064</v>
      </c>
      <c r="B284" s="7">
        <v>0.33333333333333331</v>
      </c>
      <c r="C284" s="7">
        <v>0.34027777777777773</v>
      </c>
      <c r="D284" s="7">
        <f>(0.340277777777778-0.333333333333333)</f>
        <v>6.9444444444450304E-3</v>
      </c>
      <c r="E284" s="7">
        <f>ABS(0.00694444444444503-0.00416666666666698)</f>
        <v>2.7777777777780507E-3</v>
      </c>
      <c r="F284" s="1" t="s">
        <v>3</v>
      </c>
    </row>
    <row r="285" spans="1:6" x14ac:dyDescent="0.25">
      <c r="A285" s="11">
        <v>42064</v>
      </c>
      <c r="B285" s="7">
        <v>0.38611111111111113</v>
      </c>
      <c r="C285" s="7">
        <v>0.39027777777777778</v>
      </c>
      <c r="D285" s="7">
        <f>(0.390277777777778-0.386111111111111)</f>
        <v>4.1666666666669849E-3</v>
      </c>
      <c r="E285" s="7">
        <f>ABS(0.00416666666666698-0.00416666666666704)</f>
        <v>5.9847959921199845E-17</v>
      </c>
      <c r="F285" s="1" t="s">
        <v>3</v>
      </c>
    </row>
    <row r="286" spans="1:6" x14ac:dyDescent="0.25">
      <c r="A286" s="11">
        <v>42064</v>
      </c>
      <c r="B286" s="7">
        <v>0.39513888888888887</v>
      </c>
      <c r="C286" s="7">
        <v>0.39930555555555558</v>
      </c>
      <c r="D286" s="7">
        <f>(0.399305555555556-0.395138888888889)</f>
        <v>4.1666666666670404E-3</v>
      </c>
      <c r="E286" s="7">
        <f>ABS(0.00416666666666704-0.016666666666667)</f>
        <v>1.2499999999999959E-2</v>
      </c>
      <c r="F286" s="1" t="s">
        <v>3</v>
      </c>
    </row>
    <row r="287" spans="1:6" x14ac:dyDescent="0.25">
      <c r="A287" s="11">
        <v>42064</v>
      </c>
      <c r="B287" s="7">
        <v>0.45</v>
      </c>
      <c r="C287" s="7">
        <v>0.46666666666666662</v>
      </c>
      <c r="D287" s="7">
        <f>(0.466666666666667-0.45)</f>
        <v>1.6666666666666996E-2</v>
      </c>
      <c r="E287" s="7">
        <f>ABS(0.016666666666667-0.013194444444445)</f>
        <v>3.472222222222E-3</v>
      </c>
      <c r="F287" s="1" t="s">
        <v>3</v>
      </c>
    </row>
    <row r="288" spans="1:6" x14ac:dyDescent="0.25">
      <c r="A288" s="11">
        <v>42064</v>
      </c>
      <c r="B288" s="7">
        <v>0.10972222222222222</v>
      </c>
      <c r="C288" s="7">
        <v>0.12291666666666667</v>
      </c>
      <c r="D288" s="7">
        <f>(0.122916666666667-0.109722222222222)</f>
        <v>1.3194444444444994E-2</v>
      </c>
      <c r="E288" s="7">
        <f>ABS(0.013194444444445-0.00416666666666701)</f>
        <v>9.0277777777779886E-3</v>
      </c>
      <c r="F288" s="1" t="s">
        <v>3</v>
      </c>
    </row>
    <row r="289" spans="1:6" x14ac:dyDescent="0.25">
      <c r="A289" s="11">
        <v>42064</v>
      </c>
      <c r="B289" s="7">
        <v>0.14861111111111111</v>
      </c>
      <c r="C289" s="7">
        <v>0.15277777777777776</v>
      </c>
      <c r="D289" s="7">
        <f>(0.152777777777778-0.148611111111111)</f>
        <v>4.1666666666670127E-3</v>
      </c>
      <c r="E289" s="7">
        <f>ABS(0.00416666666666701-0.00624999999999998)</f>
        <v>2.0833333333329703E-3</v>
      </c>
      <c r="F289" s="1" t="s">
        <v>3</v>
      </c>
    </row>
    <row r="290" spans="1:6" x14ac:dyDescent="0.25">
      <c r="A290" s="11">
        <v>42064</v>
      </c>
      <c r="B290" s="7">
        <v>0.67986111111111114</v>
      </c>
      <c r="C290" s="7">
        <v>0.68611111111111101</v>
      </c>
      <c r="D290" s="7">
        <f>(0.686111111111111-0.679861111111111)</f>
        <v>6.2499999999999778E-3</v>
      </c>
      <c r="E290" s="7">
        <f>ABS(0.00624999999999998-0.0125)</f>
        <v>6.2500000000000203E-3</v>
      </c>
      <c r="F290" s="1" t="s">
        <v>3</v>
      </c>
    </row>
    <row r="291" spans="1:6" x14ac:dyDescent="0.25">
      <c r="A291" s="11">
        <v>42064</v>
      </c>
      <c r="B291" s="7">
        <v>0.78125</v>
      </c>
      <c r="C291" s="7">
        <v>0.79375000000000007</v>
      </c>
      <c r="D291" s="7">
        <f>(0.79375-0.78125)</f>
        <v>1.2499999999999956E-2</v>
      </c>
      <c r="E291" s="7">
        <f>ABS(0.0125-0.0111111111111111)</f>
        <v>1.3888888888889013E-3</v>
      </c>
      <c r="F291" s="1" t="s">
        <v>3</v>
      </c>
    </row>
    <row r="292" spans="1:6" x14ac:dyDescent="0.25">
      <c r="A292" s="11">
        <v>42064</v>
      </c>
      <c r="B292" s="7">
        <v>0.8569444444444444</v>
      </c>
      <c r="C292" s="7">
        <v>0.86805555555555547</v>
      </c>
      <c r="D292" s="7">
        <f>(0.868055555555555-0.856944444444444)</f>
        <v>1.1111111111111072E-2</v>
      </c>
      <c r="E292" s="7">
        <f>ABS(0.0111111111111111-0.00486111111111198)</f>
        <v>6.2499999999991191E-3</v>
      </c>
      <c r="F292" s="1" t="s">
        <v>3</v>
      </c>
    </row>
    <row r="293" spans="1:6" x14ac:dyDescent="0.25">
      <c r="A293" s="11">
        <v>42064</v>
      </c>
      <c r="B293" s="7">
        <v>0.87569444444444444</v>
      </c>
      <c r="C293" s="7">
        <v>0.88055555555555554</v>
      </c>
      <c r="D293" s="7">
        <f>(0.880555555555556-0.875694444444444)</f>
        <v>4.861111111111982E-3</v>
      </c>
      <c r="E293" s="7">
        <f>ABS(0.00486111111111198-0.00416666666666698)</f>
        <v>6.9444444444500056E-4</v>
      </c>
      <c r="F293" s="1" t="s">
        <v>3</v>
      </c>
    </row>
    <row r="294" spans="1:6" x14ac:dyDescent="0.25">
      <c r="A294" s="11">
        <v>42064</v>
      </c>
      <c r="B294" s="7">
        <v>0.46249999999999997</v>
      </c>
      <c r="C294" s="7">
        <v>0.46666666666666662</v>
      </c>
      <c r="D294" s="7">
        <f>(0.466666666666667-0.4625)</f>
        <v>4.1666666666669849E-3</v>
      </c>
      <c r="E294" s="7">
        <f>ABS(0.00416666666666698-0.00694444444444497)</f>
        <v>2.77777777777799E-3</v>
      </c>
      <c r="F294" s="1" t="s">
        <v>3</v>
      </c>
    </row>
    <row r="295" spans="1:6" x14ac:dyDescent="0.25">
      <c r="A295" s="11">
        <v>42064</v>
      </c>
      <c r="B295" s="7">
        <v>0.50486111111111109</v>
      </c>
      <c r="C295" s="7">
        <v>0.51180555555555551</v>
      </c>
      <c r="D295" s="7">
        <f>(0.511805555555556-0.504861111111111)</f>
        <v>6.9444444444449749E-3</v>
      </c>
      <c r="E295" s="7">
        <f>ABS(0.00694444444444497-0.00902777777777697)</f>
        <v>2.0833333333320006E-3</v>
      </c>
      <c r="F295" s="1" t="s">
        <v>3</v>
      </c>
    </row>
    <row r="296" spans="1:6" x14ac:dyDescent="0.25">
      <c r="A296" s="11">
        <v>42064</v>
      </c>
      <c r="B296" s="7">
        <v>0.50555555555555554</v>
      </c>
      <c r="C296" s="7">
        <v>0.51458333333333328</v>
      </c>
      <c r="D296" s="7">
        <f>(0.514583333333333-0.505555555555556)</f>
        <v>9.0277777777769685E-3</v>
      </c>
      <c r="E296" s="7">
        <f>ABS(0.00902777777777697-0.00277777777777699)</f>
        <v>6.2499999999999804E-3</v>
      </c>
      <c r="F296" s="1" t="s">
        <v>3</v>
      </c>
    </row>
    <row r="297" spans="1:6" x14ac:dyDescent="0.25">
      <c r="A297" s="11">
        <v>42064</v>
      </c>
      <c r="B297" s="7">
        <v>0.48055555555555557</v>
      </c>
      <c r="C297" s="7">
        <v>0.48333333333333334</v>
      </c>
      <c r="D297" s="7">
        <f>(0.483333333333333-0.480555555555556)</f>
        <v>2.7777777777769908E-3</v>
      </c>
      <c r="E297" s="7">
        <f>ABS(0.00277777777777699-0.00555555555555498)</f>
        <v>2.77777777777799E-3</v>
      </c>
      <c r="F297" s="1" t="s">
        <v>3</v>
      </c>
    </row>
    <row r="298" spans="1:6" x14ac:dyDescent="0.25">
      <c r="A298" s="11">
        <v>42064</v>
      </c>
      <c r="B298" s="7">
        <v>0.50555555555555554</v>
      </c>
      <c r="C298" s="7">
        <v>0.51111111111111118</v>
      </c>
      <c r="D298" s="7">
        <f>(0.511111111111111-0.505555555555556)</f>
        <v>5.5555555555549807E-3</v>
      </c>
      <c r="E298" s="7">
        <f>ABS(0.00555555555555498-0.011111111111111)</f>
        <v>5.5555555555560207E-3</v>
      </c>
      <c r="F298" s="1" t="s">
        <v>3</v>
      </c>
    </row>
    <row r="299" spans="1:6" x14ac:dyDescent="0.25">
      <c r="A299" s="11">
        <v>42064</v>
      </c>
      <c r="B299" s="7">
        <v>0.48888888888888887</v>
      </c>
      <c r="C299" s="7">
        <v>0.5</v>
      </c>
      <c r="D299" s="7">
        <f>(0.5-0.488888888888889)</f>
        <v>1.1111111111111016E-2</v>
      </c>
      <c r="E299" s="7">
        <f>ABS(0.011111111111111-0.021527777777777)</f>
        <v>1.0416666666666E-2</v>
      </c>
      <c r="F299" s="1" t="s">
        <v>3</v>
      </c>
    </row>
    <row r="300" spans="1:6" x14ac:dyDescent="0.25">
      <c r="A300" s="11">
        <v>42064</v>
      </c>
      <c r="B300" s="7">
        <v>0.53055555555555556</v>
      </c>
      <c r="C300" s="7">
        <v>0.55208333333333337</v>
      </c>
      <c r="D300" s="7">
        <f>(0.552083333333333-0.530555555555556)</f>
        <v>2.1527777777777035E-2</v>
      </c>
      <c r="E300" s="7">
        <f>ABS(0.021527777777777-0.00277777777777799)</f>
        <v>1.8749999999999011E-2</v>
      </c>
      <c r="F300" s="1" t="s">
        <v>3</v>
      </c>
    </row>
    <row r="301" spans="1:6" x14ac:dyDescent="0.25">
      <c r="A301" s="11">
        <v>42064</v>
      </c>
      <c r="B301" s="7">
        <v>0.64374999999999993</v>
      </c>
      <c r="C301" s="7">
        <v>0.64652777777777781</v>
      </c>
      <c r="D301" s="7">
        <f>(0.646527777777778-0.64375)</f>
        <v>2.77777777777799E-3</v>
      </c>
      <c r="E301" s="7">
        <f>ABS(0.00277777777777799-0.00486111111111109)</f>
        <v>2.0833333333331004E-3</v>
      </c>
      <c r="F301" s="1" t="s">
        <v>3</v>
      </c>
    </row>
    <row r="302" spans="1:6" x14ac:dyDescent="0.25">
      <c r="A302" s="11">
        <v>42064</v>
      </c>
      <c r="B302" s="7">
        <v>0.73055555555555562</v>
      </c>
      <c r="C302" s="7">
        <v>0.73541666666666661</v>
      </c>
      <c r="D302" s="7">
        <f>(0.735416666666667-0.730555555555556)</f>
        <v>4.8611111111110938E-3</v>
      </c>
      <c r="E302" s="7">
        <f>ABS(0.00486111111111109-0.00624999999999998)</f>
        <v>1.38888888888889E-3</v>
      </c>
      <c r="F302" s="1" t="s">
        <v>3</v>
      </c>
    </row>
    <row r="303" spans="1:6" x14ac:dyDescent="0.25">
      <c r="A303" s="11">
        <v>42064</v>
      </c>
      <c r="B303" s="7">
        <v>0.74652777777777779</v>
      </c>
      <c r="C303" s="7">
        <v>0.75277777777777777</v>
      </c>
      <c r="D303" s="7">
        <f>(0.752777777777778-0.746527777777778)</f>
        <v>6.2499999999999778E-3</v>
      </c>
      <c r="E303" s="7">
        <f>ABS(0.00624999999999998-0.00694444444444398)</f>
        <v>6.9444444444399962E-4</v>
      </c>
      <c r="F303" s="1" t="s">
        <v>3</v>
      </c>
    </row>
    <row r="304" spans="1:6" x14ac:dyDescent="0.25">
      <c r="A304" s="11">
        <v>42064</v>
      </c>
      <c r="B304" s="7">
        <v>0.81527777777777777</v>
      </c>
      <c r="C304" s="7">
        <v>0.8222222222222223</v>
      </c>
      <c r="D304" s="7">
        <f>(0.822222222222222-0.815277777777778)</f>
        <v>6.9444444444439757E-3</v>
      </c>
      <c r="E304" s="7">
        <f>ABS(0.00694444444444398-0.00763888888888897)</f>
        <v>6.9444444444499015E-4</v>
      </c>
      <c r="F304" s="1" t="s">
        <v>3</v>
      </c>
    </row>
    <row r="305" spans="1:6" x14ac:dyDescent="0.25">
      <c r="A305" s="11">
        <v>42064</v>
      </c>
      <c r="B305" s="7">
        <v>0.86597222222222225</v>
      </c>
      <c r="C305" s="7">
        <v>0.87361111111111101</v>
      </c>
      <c r="D305" s="7">
        <f>(0.873611111111111-0.865972222222222)</f>
        <v>7.6388888888889728E-3</v>
      </c>
      <c r="E305" s="7">
        <f>ABS(0.00763888888888897-0.013888888888889)</f>
        <v>6.250000000000029E-3</v>
      </c>
      <c r="F305" s="1" t="s">
        <v>3</v>
      </c>
    </row>
    <row r="306" spans="1:6" x14ac:dyDescent="0.25">
      <c r="A306" s="11">
        <v>42064</v>
      </c>
      <c r="B306" s="7">
        <v>0.12013888888888889</v>
      </c>
      <c r="C306" s="7">
        <v>0.13402777777777777</v>
      </c>
      <c r="D306" s="7">
        <f>(0.134027777777778-0.120138888888889)</f>
        <v>1.3888888888888992E-2</v>
      </c>
      <c r="E306" s="7">
        <f>ABS(0.013888888888889-0.00555555555555501)</f>
        <v>8.3333333333339889E-3</v>
      </c>
      <c r="F306" s="1" t="s">
        <v>3</v>
      </c>
    </row>
    <row r="307" spans="1:6" x14ac:dyDescent="0.25">
      <c r="A307" s="11">
        <v>42064</v>
      </c>
      <c r="B307" s="7">
        <v>0.19027777777777777</v>
      </c>
      <c r="C307" s="7">
        <v>0.19583333333333333</v>
      </c>
      <c r="D307" s="7">
        <f>(0.195833333333333-0.190277777777778)</f>
        <v>5.5555555555550085E-3</v>
      </c>
      <c r="E307" s="7">
        <f>ABS(0.00555555555555501-0.00347222222222204)</f>
        <v>2.0833333333329703E-3</v>
      </c>
      <c r="F307" s="1" t="s">
        <v>3</v>
      </c>
    </row>
    <row r="308" spans="1:6" x14ac:dyDescent="0.25">
      <c r="A308" s="11">
        <v>42064</v>
      </c>
      <c r="B308" s="7">
        <v>0.31805555555555554</v>
      </c>
      <c r="C308" s="7">
        <v>0.3215277777777778</v>
      </c>
      <c r="D308" s="7">
        <f>(0.321527777777778-0.318055555555556)</f>
        <v>3.4722222222220434E-3</v>
      </c>
      <c r="E308" s="7">
        <f>ABS(0.00347222222222204-0.113888888888889)</f>
        <v>0.11041666666666695</v>
      </c>
      <c r="F308" s="1" t="s">
        <v>3</v>
      </c>
    </row>
    <row r="309" spans="1:6" x14ac:dyDescent="0.25">
      <c r="A309" s="11">
        <v>42064</v>
      </c>
      <c r="B309" s="7">
        <v>0.42777777777777781</v>
      </c>
      <c r="C309" s="7">
        <v>0.54166666666666663</v>
      </c>
      <c r="D309" s="7">
        <f>(0.541666666666667-0.427777777777778)</f>
        <v>0.11388888888888898</v>
      </c>
      <c r="E309" s="7">
        <f>ABS(0.113888888888889-0.00833333333333297)</f>
        <v>0.10555555555555603</v>
      </c>
      <c r="F309" s="1" t="s">
        <v>3</v>
      </c>
    </row>
    <row r="310" spans="1:6" x14ac:dyDescent="0.25">
      <c r="A310" s="11">
        <v>42064</v>
      </c>
      <c r="B310" s="7">
        <v>0.44791666666666669</v>
      </c>
      <c r="C310" s="7">
        <v>0.45624999999999999</v>
      </c>
      <c r="D310" s="7">
        <f>(0.45625-0.447916666666667)</f>
        <v>8.3333333333329707E-3</v>
      </c>
      <c r="E310" s="7">
        <f>ABS(0.00833333333333297-0.038888888888889)</f>
        <v>3.055555555555603E-2</v>
      </c>
      <c r="F310" s="1" t="s">
        <v>3</v>
      </c>
    </row>
    <row r="311" spans="1:6" x14ac:dyDescent="0.25">
      <c r="A311" s="11">
        <v>42064</v>
      </c>
      <c r="B311" s="7">
        <v>0.46249999999999997</v>
      </c>
      <c r="C311" s="7">
        <v>0.50138888888888888</v>
      </c>
      <c r="D311" s="7">
        <f>(0.501388888888889-0.4625)</f>
        <v>3.8888888888888973E-2</v>
      </c>
      <c r="E311" s="7">
        <f>ABS(0.038888888888889-0.00694444444444398)</f>
        <v>3.1944444444445018E-2</v>
      </c>
      <c r="F311" s="1" t="s">
        <v>3</v>
      </c>
    </row>
    <row r="312" spans="1:6" x14ac:dyDescent="0.25">
      <c r="A312" s="11">
        <v>42064</v>
      </c>
      <c r="B312" s="7">
        <v>0.59166666666666667</v>
      </c>
      <c r="C312" s="7">
        <v>0.59861111111111109</v>
      </c>
      <c r="D312" s="7">
        <f>(0.598611111111111-0.591666666666667)</f>
        <v>6.9444444444439757E-3</v>
      </c>
      <c r="E312" s="7">
        <f>ABS(0.00694444444444398-0.050694444444444)</f>
        <v>4.3750000000000018E-2</v>
      </c>
      <c r="F312" s="1" t="s">
        <v>3</v>
      </c>
    </row>
    <row r="313" spans="1:6" x14ac:dyDescent="0.25">
      <c r="A313" s="11">
        <v>42064</v>
      </c>
      <c r="B313" s="7">
        <v>0.65555555555555556</v>
      </c>
      <c r="C313" s="7">
        <v>0.70624999999999993</v>
      </c>
      <c r="D313" s="7">
        <f>(0.70625-0.655555555555556)</f>
        <v>5.0694444444444042E-2</v>
      </c>
      <c r="E313" s="7">
        <f>ABS(0.050694444444444-0.00763888888888897)</f>
        <v>4.3055555555555028E-2</v>
      </c>
      <c r="F313" s="1" t="s">
        <v>3</v>
      </c>
    </row>
    <row r="314" spans="1:6" x14ac:dyDescent="0.25">
      <c r="A314" s="11">
        <v>42064</v>
      </c>
      <c r="B314" s="7">
        <v>0.66388888888888886</v>
      </c>
      <c r="C314" s="7">
        <v>0.67152777777777783</v>
      </c>
      <c r="D314" s="7">
        <f>(0.671527777777778-0.663888888888889)</f>
        <v>7.6388888888889728E-3</v>
      </c>
      <c r="E314" s="7">
        <f>ABS(0.00763888888888897-0.00763888888888908)</f>
        <v>1.1015494072452725E-16</v>
      </c>
      <c r="F314" s="1" t="s">
        <v>3</v>
      </c>
    </row>
    <row r="315" spans="1:6" x14ac:dyDescent="0.25">
      <c r="A315" s="11">
        <v>42064</v>
      </c>
      <c r="B315" s="7">
        <v>0.79652777777777783</v>
      </c>
      <c r="C315" s="7">
        <v>0.8041666666666667</v>
      </c>
      <c r="D315" s="7">
        <f>(0.804166666666667-0.796527777777778)</f>
        <v>7.6388888888890838E-3</v>
      </c>
      <c r="E315" s="7">
        <f>ABS(0.00763888888888908-0.00694444444444409)</f>
        <v>6.9444444444499015E-4</v>
      </c>
      <c r="F315" s="1" t="s">
        <v>3</v>
      </c>
    </row>
    <row r="316" spans="1:6" x14ac:dyDescent="0.25">
      <c r="A316" s="11">
        <v>42064</v>
      </c>
      <c r="B316" s="7">
        <v>0.76527777777777783</v>
      </c>
      <c r="C316" s="7">
        <v>0.77222222222222225</v>
      </c>
      <c r="D316" s="7">
        <f>(0.772222222222222-0.765277777777778)</f>
        <v>6.9444444444440867E-3</v>
      </c>
      <c r="E316" s="7">
        <f>ABS(0.00694444444444409-0.0104166666666661)</f>
        <v>3.4722222222220104E-3</v>
      </c>
      <c r="F316" s="1" t="s">
        <v>3</v>
      </c>
    </row>
    <row r="317" spans="1:6" x14ac:dyDescent="0.25">
      <c r="A317" s="11">
        <v>42064</v>
      </c>
      <c r="B317" s="7">
        <v>0.88541666666666663</v>
      </c>
      <c r="C317" s="7">
        <v>0.89583333333333337</v>
      </c>
      <c r="D317" s="7">
        <f>(0.895833333333333-0.885416666666667)</f>
        <v>1.0416666666666075E-2</v>
      </c>
      <c r="E317" s="7">
        <f>ABS(0.0104166666666661-0.020833333333333)</f>
        <v>1.0416666666666899E-2</v>
      </c>
      <c r="F317" s="1" t="s">
        <v>3</v>
      </c>
    </row>
    <row r="318" spans="1:6" x14ac:dyDescent="0.25">
      <c r="A318" s="11">
        <v>42064</v>
      </c>
      <c r="B318" s="7">
        <v>0.47291666666666665</v>
      </c>
      <c r="C318" s="7">
        <v>0.49374999999999997</v>
      </c>
      <c r="D318" s="7">
        <f>(0.49375-0.472916666666667)</f>
        <v>2.0833333333333037E-2</v>
      </c>
      <c r="E318" s="7">
        <f>ABS(0.020833333333333-0.00625000000000009)</f>
        <v>1.458333333333291E-2</v>
      </c>
      <c r="F318" s="1" t="s">
        <v>3</v>
      </c>
    </row>
    <row r="319" spans="1:6" x14ac:dyDescent="0.25">
      <c r="A319" s="11">
        <v>42064</v>
      </c>
      <c r="B319" s="7">
        <v>0.51250000000000007</v>
      </c>
      <c r="C319" s="7">
        <v>0.51874999999999993</v>
      </c>
      <c r="D319" s="7">
        <f>(0.51875-0.5125)</f>
        <v>6.2500000000000888E-3</v>
      </c>
      <c r="E319" s="7">
        <f>ABS(0.00625000000000009-0.015972222222222)</f>
        <v>9.7222222222219101E-3</v>
      </c>
      <c r="F319" s="1" t="s">
        <v>3</v>
      </c>
    </row>
    <row r="320" spans="1:6" x14ac:dyDescent="0.25">
      <c r="A320" s="11">
        <v>42064</v>
      </c>
      <c r="B320" s="7">
        <v>0.11805555555555557</v>
      </c>
      <c r="C320" s="7">
        <v>0.13402777777777777</v>
      </c>
      <c r="D320" s="7">
        <f>(0.134027777777778-0.118055555555556)</f>
        <v>1.5972222222221999E-2</v>
      </c>
      <c r="E320" s="7">
        <f>ABS(0.015972222222222-0.040972222222222)</f>
        <v>2.5000000000000001E-2</v>
      </c>
      <c r="F320" s="1" t="s">
        <v>3</v>
      </c>
    </row>
    <row r="321" spans="1:6" x14ac:dyDescent="0.25">
      <c r="A321" s="11">
        <v>42064</v>
      </c>
      <c r="B321" s="7">
        <v>0.7090277777777777</v>
      </c>
      <c r="C321" s="7">
        <v>0.75</v>
      </c>
      <c r="D321" s="7">
        <f>(0.75-0.709027777777778)</f>
        <v>4.0972222222221966E-2</v>
      </c>
      <c r="E321" s="7">
        <f>ABS(0.040972222222222-0.00694444444444409)</f>
        <v>3.4027777777777907E-2</v>
      </c>
      <c r="F321" s="1" t="s">
        <v>3</v>
      </c>
    </row>
    <row r="322" spans="1:6" x14ac:dyDescent="0.25">
      <c r="A322" s="11">
        <v>42064</v>
      </c>
      <c r="B322" s="7">
        <v>0.73055555555555562</v>
      </c>
      <c r="C322" s="7">
        <v>0.73749999999999993</v>
      </c>
      <c r="D322" s="7">
        <f>(0.7375-0.730555555555556)</f>
        <v>6.9444444444440867E-3</v>
      </c>
      <c r="E322" s="7">
        <f>ABS(0.00694444444444409-0.013888888888889)</f>
        <v>6.944444444444909E-3</v>
      </c>
      <c r="F322" s="1" t="s">
        <v>3</v>
      </c>
    </row>
    <row r="323" spans="1:6" x14ac:dyDescent="0.25">
      <c r="A323" s="11">
        <v>42064</v>
      </c>
      <c r="B323" s="7">
        <v>0.70416666666666661</v>
      </c>
      <c r="C323" s="7">
        <v>0.71805555555555556</v>
      </c>
      <c r="D323" s="7">
        <f>(0.718055555555556-0.704166666666667)</f>
        <v>1.3888888888888951E-2</v>
      </c>
      <c r="E323" s="7">
        <f>ABS(0.013888888888889-0.0104166666666671)</f>
        <v>3.4722222222218994E-3</v>
      </c>
      <c r="F323" s="1" t="s">
        <v>3</v>
      </c>
    </row>
    <row r="324" spans="1:6" x14ac:dyDescent="0.25">
      <c r="A324" s="11">
        <v>42064</v>
      </c>
      <c r="B324" s="7">
        <v>0.9506944444444444</v>
      </c>
      <c r="C324" s="7">
        <v>0.96111111111111114</v>
      </c>
      <c r="D324" s="7">
        <f>(0.961111111111111-0.950694444444444)</f>
        <v>1.0416666666667074E-2</v>
      </c>
      <c r="E324" s="7">
        <f>ABS(0.0104166666666671-0.015277777777778)</f>
        <v>4.8611111111108996E-3</v>
      </c>
      <c r="F324" s="1" t="s">
        <v>3</v>
      </c>
    </row>
    <row r="325" spans="1:6" x14ac:dyDescent="0.25">
      <c r="A325" s="11">
        <v>42064</v>
      </c>
      <c r="B325" s="7">
        <v>0.11319444444444444</v>
      </c>
      <c r="C325" s="7">
        <v>0.12847222222222224</v>
      </c>
      <c r="D325" s="7">
        <f>(0.128472222222222-0.113194444444444)</f>
        <v>1.5277777777777987E-2</v>
      </c>
      <c r="E325" s="7">
        <f>ABS(0.015277777777778-0.019444444444445)</f>
        <v>4.1666666666670005E-3</v>
      </c>
      <c r="F325" s="1" t="s">
        <v>3</v>
      </c>
    </row>
    <row r="326" spans="1:6" x14ac:dyDescent="0.25">
      <c r="A326" s="11">
        <v>42064</v>
      </c>
      <c r="B326" s="7">
        <v>0.4236111111111111</v>
      </c>
      <c r="C326" s="7">
        <v>0.44305555555555554</v>
      </c>
      <c r="D326" s="7">
        <f>(0.443055555555556-0.423611111111111)</f>
        <v>1.9444444444444986E-2</v>
      </c>
      <c r="E326" s="7">
        <f>ABS(0.019444444444445-0.019444444444444)</f>
        <v>9.9920072216264089E-16</v>
      </c>
      <c r="F326" s="1" t="s">
        <v>3</v>
      </c>
    </row>
    <row r="327" spans="1:6" x14ac:dyDescent="0.25">
      <c r="A327" s="11">
        <v>42064</v>
      </c>
      <c r="B327" s="7">
        <v>0.45277777777777778</v>
      </c>
      <c r="C327" s="7">
        <v>0.47222222222222227</v>
      </c>
      <c r="D327" s="7">
        <f>(0.472222222222222-0.452777777777778)</f>
        <v>1.9444444444443987E-2</v>
      </c>
      <c r="E327" s="7">
        <f>ABS(0.019444444444444-0.00694444444444398)</f>
        <v>1.2500000000000022E-2</v>
      </c>
      <c r="F327" s="1" t="s">
        <v>3</v>
      </c>
    </row>
    <row r="328" spans="1:6" x14ac:dyDescent="0.25">
      <c r="A328" s="11">
        <v>42064</v>
      </c>
      <c r="B328" s="7">
        <v>0.71666666666666667</v>
      </c>
      <c r="C328" s="7">
        <v>0.72361111111111109</v>
      </c>
      <c r="D328" s="7">
        <f>(0.723611111111111-0.716666666666667)</f>
        <v>6.9444444444439757E-3</v>
      </c>
      <c r="E328" s="7">
        <f>ABS(0.00694444444444398-0.0041666666666661)</f>
        <v>2.7777777777778798E-3</v>
      </c>
      <c r="F328" s="1" t="s">
        <v>3</v>
      </c>
    </row>
    <row r="329" spans="1:6" x14ac:dyDescent="0.25">
      <c r="A329" s="11">
        <v>42064</v>
      </c>
      <c r="B329" s="7">
        <v>0.79305555555555562</v>
      </c>
      <c r="C329" s="7">
        <v>0.79722222222222217</v>
      </c>
      <c r="D329" s="7">
        <f>(0.797222222222222-0.793055555555556)</f>
        <v>4.1666666666660968E-3</v>
      </c>
      <c r="E329" s="7">
        <f>ABS(0.0041666666666661-0.00486111111111098)</f>
        <v>6.9444444444487999E-4</v>
      </c>
      <c r="F329" s="1" t="s">
        <v>3</v>
      </c>
    </row>
    <row r="330" spans="1:6" x14ac:dyDescent="0.25">
      <c r="A330" s="11">
        <v>42064</v>
      </c>
      <c r="B330" s="7">
        <v>0.91111111111111109</v>
      </c>
      <c r="C330" s="7">
        <v>0.9159722222222223</v>
      </c>
      <c r="D330" s="7">
        <f>(0.915972222222222-0.911111111111111)</f>
        <v>4.8611111111109828E-3</v>
      </c>
      <c r="E330" s="7">
        <f>ABS(0.00486111111111098-0.00624999999999898)</f>
        <v>1.3888888888880001E-3</v>
      </c>
      <c r="F330" s="1" t="s">
        <v>3</v>
      </c>
    </row>
    <row r="331" spans="1:6" x14ac:dyDescent="0.25">
      <c r="A331" s="11">
        <v>42064</v>
      </c>
      <c r="B331" s="7">
        <v>0.91319444444444453</v>
      </c>
      <c r="C331" s="7">
        <v>0.9194444444444444</v>
      </c>
      <c r="D331" s="7">
        <f>(0.919444444444444-0.913194444444445)</f>
        <v>6.2499999999989786E-3</v>
      </c>
      <c r="E331" s="7">
        <f>ABS(0.00624999999999898-0.00625000000000009)</f>
        <v>1.1093556628871681E-15</v>
      </c>
      <c r="F331" s="1" t="s">
        <v>3</v>
      </c>
    </row>
    <row r="332" spans="1:6" x14ac:dyDescent="0.25">
      <c r="A332" s="11">
        <v>42064</v>
      </c>
      <c r="B332" s="7">
        <v>1.0270833333333333</v>
      </c>
      <c r="C332" s="7">
        <v>1.0333333333333334</v>
      </c>
      <c r="D332" s="7">
        <f>(1.03333333333333-1.02708333333333)</f>
        <v>6.2500000000000888E-3</v>
      </c>
      <c r="E332" s="7">
        <f>ABS(0.00625000000000009-0.00625000000000001)</f>
        <v>7.9797279894933126E-17</v>
      </c>
      <c r="F332" s="1" t="s">
        <v>3</v>
      </c>
    </row>
    <row r="333" spans="1:6" x14ac:dyDescent="0.25">
      <c r="A333" s="11">
        <v>42064</v>
      </c>
      <c r="B333" s="7">
        <v>0.19513888888888889</v>
      </c>
      <c r="C333" s="7">
        <v>0.20138888888888887</v>
      </c>
      <c r="D333" s="7">
        <f>(0.201388888888889-0.195138888888889)</f>
        <v>6.2500000000000056E-3</v>
      </c>
      <c r="E333" s="7">
        <f>ABS(0.00625000000000001-0.00347222222222199)</f>
        <v>2.7777777777780199E-3</v>
      </c>
      <c r="F333" s="1" t="s">
        <v>3</v>
      </c>
    </row>
    <row r="334" spans="1:6" x14ac:dyDescent="0.25">
      <c r="A334" s="11">
        <v>42064</v>
      </c>
      <c r="B334" s="7">
        <v>0.34375</v>
      </c>
      <c r="C334" s="7">
        <v>0.34722222222222227</v>
      </c>
      <c r="D334" s="7">
        <f>(0.347222222222222-0.34375)</f>
        <v>3.4722222222219878E-3</v>
      </c>
      <c r="E334" s="7">
        <f>ABS(0.00347222222222199-0.00555555555555501)</f>
        <v>2.0833333333330202E-3</v>
      </c>
      <c r="F334" s="1" t="s">
        <v>3</v>
      </c>
    </row>
    <row r="335" spans="1:6" x14ac:dyDescent="0.25">
      <c r="A335" s="11">
        <v>42064</v>
      </c>
      <c r="B335" s="7">
        <v>0.1277777777777778</v>
      </c>
      <c r="C335" s="7">
        <v>0.13333333333333333</v>
      </c>
      <c r="D335" s="7">
        <f>(0.133333333333333-0.127777777777778)</f>
        <v>5.5555555555550085E-3</v>
      </c>
      <c r="E335" s="7">
        <f>ABS(0.00555555555555501-0.00763888888888897)</f>
        <v>2.08333333333396E-3</v>
      </c>
      <c r="F335" s="1" t="s">
        <v>3</v>
      </c>
    </row>
    <row r="336" spans="1:6" x14ac:dyDescent="0.25">
      <c r="A336" s="11">
        <v>42064</v>
      </c>
      <c r="B336" s="7">
        <v>0.61041666666666672</v>
      </c>
      <c r="C336" s="7">
        <v>0.61805555555555558</v>
      </c>
      <c r="D336" s="7">
        <f>(0.618055555555556-0.610416666666667)</f>
        <v>7.6388888888889728E-3</v>
      </c>
      <c r="E336" s="7"/>
      <c r="F336" s="1" t="s">
        <v>3</v>
      </c>
    </row>
    <row r="337" spans="1:6" x14ac:dyDescent="0.25">
      <c r="A337" s="11">
        <v>42064</v>
      </c>
      <c r="B337" s="7">
        <v>0.6333333333333333</v>
      </c>
      <c r="C337" s="7">
        <v>0.65833333333333333</v>
      </c>
      <c r="D337" s="7">
        <f>(0.658333333333333-0.633333333333333)</f>
        <v>2.5000000000000022E-2</v>
      </c>
      <c r="E337" s="7">
        <f>ABS(0.025-0.01875)</f>
        <v>6.2500000000000021E-3</v>
      </c>
      <c r="F337" s="1" t="s">
        <v>10</v>
      </c>
    </row>
    <row r="338" spans="1:6" x14ac:dyDescent="0.25">
      <c r="A338" s="11">
        <v>42064</v>
      </c>
      <c r="B338" s="7">
        <v>0.16041666666666668</v>
      </c>
      <c r="C338" s="7">
        <v>0.17916666666666667</v>
      </c>
      <c r="D338" s="7">
        <f>(0.179166666666667-0.160416666666667)</f>
        <v>1.8749999999999989E-2</v>
      </c>
      <c r="E338" s="7">
        <f>ABS(0.01875-0.016666666666667)</f>
        <v>2.0833333333329998E-3</v>
      </c>
      <c r="F338" s="1" t="s">
        <v>10</v>
      </c>
    </row>
    <row r="339" spans="1:6" x14ac:dyDescent="0.25">
      <c r="A339" s="11">
        <v>42064</v>
      </c>
      <c r="B339" s="7">
        <v>0.46736111111111112</v>
      </c>
      <c r="C339" s="7">
        <v>0.48402777777777778</v>
      </c>
      <c r="D339" s="7">
        <f>(0.484027777777778-0.467361111111111)</f>
        <v>1.6666666666666996E-2</v>
      </c>
      <c r="E339" s="7">
        <f>ABS(0.016666666666667-0.025)</f>
        <v>8.3333333333330019E-3</v>
      </c>
      <c r="F339" s="1" t="s">
        <v>10</v>
      </c>
    </row>
    <row r="340" spans="1:6" x14ac:dyDescent="0.25">
      <c r="A340" s="11">
        <v>42064</v>
      </c>
      <c r="B340" s="7">
        <v>0.52847222222222223</v>
      </c>
      <c r="C340" s="7">
        <v>0.55347222222222225</v>
      </c>
      <c r="D340" s="7">
        <f>(0.553472222222222-0.528472222222222)</f>
        <v>2.5000000000000022E-2</v>
      </c>
      <c r="E340" s="7">
        <f>ABS(0.025-0.0215277777777779)</f>
        <v>3.4722222222221023E-3</v>
      </c>
      <c r="F340" s="1" t="s">
        <v>10</v>
      </c>
    </row>
    <row r="341" spans="1:6" x14ac:dyDescent="0.25">
      <c r="A341" s="11">
        <v>42064</v>
      </c>
      <c r="B341" s="7">
        <v>0.61597222222222225</v>
      </c>
      <c r="C341" s="7">
        <v>0.63750000000000007</v>
      </c>
      <c r="D341" s="7">
        <f>(0.6375-0.615972222222222)</f>
        <v>2.1527777777777923E-2</v>
      </c>
      <c r="E341" s="7">
        <f>ABS(0.0215277777777779-0.017361111111111)</f>
        <v>4.1666666666668982E-3</v>
      </c>
      <c r="F341" s="1" t="s">
        <v>10</v>
      </c>
    </row>
    <row r="342" spans="1:6" x14ac:dyDescent="0.25">
      <c r="A342" s="11">
        <v>42064</v>
      </c>
      <c r="B342" s="7">
        <v>0.6645833333333333</v>
      </c>
      <c r="C342" s="7">
        <v>0.68194444444444446</v>
      </c>
      <c r="D342" s="7">
        <f>(0.681944444444444-0.664583333333333)</f>
        <v>1.7361111111111049E-2</v>
      </c>
      <c r="E342" s="7">
        <f>ABS(0.017361111111111-0.0180555555555559)</f>
        <v>6.9444444444489994E-4</v>
      </c>
      <c r="F342" s="1" t="s">
        <v>10</v>
      </c>
    </row>
    <row r="343" spans="1:6" x14ac:dyDescent="0.25">
      <c r="A343" s="11">
        <v>42064</v>
      </c>
      <c r="B343" s="7">
        <v>0.73611111111111116</v>
      </c>
      <c r="C343" s="7">
        <v>0.75416666666666676</v>
      </c>
      <c r="D343" s="7">
        <f>(0.754166666666667-0.736111111111111)</f>
        <v>1.8055555555555935E-2</v>
      </c>
      <c r="E343" s="7">
        <f>ABS(0.0180555555555559-0.0166666666666661)</f>
        <v>1.3888888888897999E-3</v>
      </c>
      <c r="F343" s="1" t="s">
        <v>10</v>
      </c>
    </row>
    <row r="344" spans="1:6" x14ac:dyDescent="0.25">
      <c r="A344" s="11">
        <v>42064</v>
      </c>
      <c r="B344" s="7">
        <v>0.79166666666666663</v>
      </c>
      <c r="C344" s="7">
        <v>0.80833333333333324</v>
      </c>
      <c r="D344" s="7">
        <f>(0.808333333333333-0.791666666666667)</f>
        <v>1.6666666666666052E-2</v>
      </c>
      <c r="E344" s="7">
        <f>ABS(0.0166666666666661-0.0166666666666661)</f>
        <v>0</v>
      </c>
      <c r="F344" s="1" t="s">
        <v>10</v>
      </c>
    </row>
    <row r="345" spans="1:6" x14ac:dyDescent="0.25">
      <c r="A345" s="11">
        <v>42064</v>
      </c>
      <c r="B345" s="7">
        <v>0.91041666666666676</v>
      </c>
      <c r="C345" s="7">
        <v>0.92708333333333337</v>
      </c>
      <c r="D345" s="7">
        <f>(0.927083333333333-0.910416666666667)</f>
        <v>1.6666666666666052E-2</v>
      </c>
      <c r="E345" s="7">
        <f>ABS(0.0166666666666661-0.019444444444444)</f>
        <v>2.7777777777778997E-3</v>
      </c>
      <c r="F345" s="1" t="s">
        <v>10</v>
      </c>
    </row>
    <row r="346" spans="1:6" x14ac:dyDescent="0.25">
      <c r="A346" s="11">
        <v>42064</v>
      </c>
      <c r="B346" s="7">
        <v>0.3576388888888889</v>
      </c>
      <c r="C346" s="7">
        <v>0.37708333333333338</v>
      </c>
      <c r="D346" s="7">
        <f>(0.377083333333333-0.357638888888889)</f>
        <v>1.9444444444443987E-2</v>
      </c>
      <c r="E346" s="7">
        <f>ABS(0.019444444444444-0.017361111111111)</f>
        <v>2.0833333333329998E-3</v>
      </c>
      <c r="F346" s="1" t="s">
        <v>10</v>
      </c>
    </row>
    <row r="347" spans="1:6" x14ac:dyDescent="0.25">
      <c r="A347" s="11">
        <v>42064</v>
      </c>
      <c r="B347" s="7">
        <v>0.44791666666666669</v>
      </c>
      <c r="C347" s="7">
        <v>0.46527777777777773</v>
      </c>
      <c r="D347" s="7">
        <f>(0.465277777777778-0.447916666666667)</f>
        <v>1.7361111111110994E-2</v>
      </c>
      <c r="E347" s="7">
        <f>ABS(0.017361111111111-0.017361111111111)</f>
        <v>0</v>
      </c>
      <c r="F347" s="1" t="s">
        <v>10</v>
      </c>
    </row>
    <row r="348" spans="1:6" x14ac:dyDescent="0.25">
      <c r="A348" s="11">
        <v>42064</v>
      </c>
      <c r="B348" s="7">
        <v>0.69097222222222221</v>
      </c>
      <c r="C348" s="7">
        <v>0.70833333333333337</v>
      </c>
      <c r="D348" s="7">
        <f>(0.708333333333333-0.690972222222222)</f>
        <v>1.7361111111111049E-2</v>
      </c>
      <c r="E348" s="7">
        <f>ABS(0.017361111111111-0.017361111111111)</f>
        <v>0</v>
      </c>
      <c r="F348" s="1" t="s">
        <v>10</v>
      </c>
    </row>
    <row r="349" spans="1:6" x14ac:dyDescent="0.25">
      <c r="A349" s="11">
        <v>42064</v>
      </c>
      <c r="B349" s="7">
        <v>0.78749999999999998</v>
      </c>
      <c r="C349" s="7">
        <v>0.80486111111111114</v>
      </c>
      <c r="D349" s="7">
        <f>(0.804861111111111-0.7875)</f>
        <v>1.7361111111111049E-2</v>
      </c>
      <c r="E349" s="7">
        <f>ABS(0.017361111111111-0.020833333333334)</f>
        <v>3.4722222222229975E-3</v>
      </c>
      <c r="F349" s="1" t="s">
        <v>10</v>
      </c>
    </row>
    <row r="350" spans="1:6" x14ac:dyDescent="0.25">
      <c r="A350" s="11">
        <v>42064</v>
      </c>
      <c r="B350" s="7">
        <v>0.36319444444444443</v>
      </c>
      <c r="C350" s="7">
        <v>0.3840277777777778</v>
      </c>
      <c r="D350" s="7">
        <f>(0.384027777777778-0.363194444444444)</f>
        <v>2.0833333333334036E-2</v>
      </c>
      <c r="E350" s="7">
        <f>ABS(0.020833333333334-0.016666666666666)</f>
        <v>4.166666666667998E-3</v>
      </c>
      <c r="F350" s="1" t="s">
        <v>10</v>
      </c>
    </row>
    <row r="351" spans="1:6" x14ac:dyDescent="0.25">
      <c r="A351" s="11">
        <v>42064</v>
      </c>
      <c r="B351" s="7">
        <v>0.3444444444444445</v>
      </c>
      <c r="C351" s="7">
        <v>0.3611111111111111</v>
      </c>
      <c r="D351" s="7">
        <f>(0.361111111111111-0.344444444444445)</f>
        <v>1.6666666666665997E-2</v>
      </c>
      <c r="E351" s="7">
        <f>ABS(0.016666666666666-0.021527777777777)</f>
        <v>4.8611111111110002E-3</v>
      </c>
      <c r="F351" s="1" t="s">
        <v>10</v>
      </c>
    </row>
    <row r="352" spans="1:6" x14ac:dyDescent="0.25">
      <c r="A352" s="11">
        <v>42064</v>
      </c>
      <c r="B352" s="7">
        <v>0.46180555555555558</v>
      </c>
      <c r="C352" s="7">
        <v>0.48333333333333334</v>
      </c>
      <c r="D352" s="7">
        <f>(0.483333333333333-0.461805555555556)</f>
        <v>2.152777777777698E-2</v>
      </c>
      <c r="E352" s="7">
        <f>ABS(0.021527777777777-0.019444444444444)</f>
        <v>2.0833333333329998E-3</v>
      </c>
      <c r="F352" s="1" t="s">
        <v>10</v>
      </c>
    </row>
    <row r="353" spans="1:6" x14ac:dyDescent="0.25">
      <c r="A353" s="11">
        <v>42064</v>
      </c>
      <c r="B353" s="7">
        <v>0.46666666666666662</v>
      </c>
      <c r="C353" s="7">
        <v>0.4861111111111111</v>
      </c>
      <c r="D353" s="7">
        <f>(0.486111111111111-0.466666666666667)</f>
        <v>1.9444444444443987E-2</v>
      </c>
      <c r="E353" s="7">
        <f>ABS(0.019444444444444-0.032638888888889)</f>
        <v>1.3194444444445001E-2</v>
      </c>
      <c r="F353" s="1" t="s">
        <v>10</v>
      </c>
    </row>
    <row r="354" spans="1:6" x14ac:dyDescent="0.25">
      <c r="A354" s="11">
        <v>42064</v>
      </c>
      <c r="B354" s="7">
        <v>0.61111111111111105</v>
      </c>
      <c r="C354" s="7">
        <v>0.64374999999999993</v>
      </c>
      <c r="D354" s="7">
        <f>(0.64375-0.611111111111111)</f>
        <v>3.2638888888888995E-2</v>
      </c>
      <c r="E354" s="7">
        <f>ABS(0.032638888888889-0.019444444444445)</f>
        <v>1.3194444444444002E-2</v>
      </c>
      <c r="F354" s="1" t="s">
        <v>10</v>
      </c>
    </row>
    <row r="355" spans="1:6" x14ac:dyDescent="0.25">
      <c r="A355" s="11">
        <v>42064</v>
      </c>
      <c r="B355" s="7">
        <v>0.65833333333333333</v>
      </c>
      <c r="C355" s="7">
        <v>0.6777777777777777</v>
      </c>
      <c r="D355" s="7">
        <f>(0.677777777777778-0.658333333333333)</f>
        <v>1.9444444444445041E-2</v>
      </c>
      <c r="E355" s="7">
        <f>ABS(0.019444444444445-0.011805555555555)</f>
        <v>7.6388888888899997E-3</v>
      </c>
      <c r="F355" s="1" t="s">
        <v>10</v>
      </c>
    </row>
    <row r="356" spans="1:6" x14ac:dyDescent="0.25">
      <c r="A356" s="11">
        <v>42064</v>
      </c>
      <c r="B356" s="7">
        <v>0.65902777777777777</v>
      </c>
      <c r="C356" s="7">
        <v>0.67083333333333339</v>
      </c>
      <c r="D356" s="7">
        <f>(0.670833333333333-0.659027777777778)</f>
        <v>1.1805555555554959E-2</v>
      </c>
      <c r="E356" s="7">
        <f>ABS(0.011805555555555-0.0166666666666669)</f>
        <v>4.8611111111118988E-3</v>
      </c>
      <c r="F356" s="1" t="s">
        <v>10</v>
      </c>
    </row>
    <row r="357" spans="1:6" x14ac:dyDescent="0.25">
      <c r="A357" s="11">
        <v>42064</v>
      </c>
      <c r="B357" s="7">
        <v>0.77083333333333337</v>
      </c>
      <c r="C357" s="7">
        <v>0.78749999999999998</v>
      </c>
      <c r="D357" s="7">
        <f>(0.7875-0.770833333333333)</f>
        <v>1.6666666666666941E-2</v>
      </c>
      <c r="E357" s="7">
        <f>ABS(0.0166666666666669-0.0201388888888889)</f>
        <v>3.4722222222220017E-3</v>
      </c>
      <c r="F357" s="1" t="s">
        <v>10</v>
      </c>
    </row>
    <row r="358" spans="1:6" x14ac:dyDescent="0.25">
      <c r="A358" s="11">
        <v>42064</v>
      </c>
      <c r="B358" s="7">
        <v>0.83194444444444438</v>
      </c>
      <c r="C358" s="7">
        <v>0.8520833333333333</v>
      </c>
      <c r="D358" s="7">
        <f>(0.852083333333333-0.831944444444444)</f>
        <v>2.0138888888888928E-2</v>
      </c>
      <c r="E358" s="7">
        <f>ABS(0.0201388888888889-0.017361111111111)</f>
        <v>2.7777777777778997E-3</v>
      </c>
      <c r="F358" s="1" t="s">
        <v>10</v>
      </c>
    </row>
    <row r="359" spans="1:6" x14ac:dyDescent="0.25">
      <c r="A359" s="11">
        <v>42064</v>
      </c>
      <c r="B359" s="7">
        <v>0.88541666666666663</v>
      </c>
      <c r="C359" s="7">
        <v>0.90277777777777779</v>
      </c>
      <c r="D359" s="7">
        <f>(0.902777777777778-0.885416666666667)</f>
        <v>1.7361111111111049E-2</v>
      </c>
      <c r="E359" s="7">
        <f>ABS(0.017361111111111-0.036805555555555)</f>
        <v>1.9444444444444001E-2</v>
      </c>
      <c r="F359" s="1" t="s">
        <v>10</v>
      </c>
    </row>
    <row r="360" spans="1:6" x14ac:dyDescent="0.25">
      <c r="A360" s="11">
        <v>42064</v>
      </c>
      <c r="B360" s="7">
        <v>0.37777777777777777</v>
      </c>
      <c r="C360" s="7">
        <v>0.4145833333333333</v>
      </c>
      <c r="D360" s="7">
        <f>(0.414583333333333-0.377777777777778)</f>
        <v>3.6805555555555036E-2</v>
      </c>
      <c r="E360" s="7">
        <f>ABS(0.036805555555555-0.020138888888889)</f>
        <v>1.6666666666666E-2</v>
      </c>
      <c r="F360" s="1" t="s">
        <v>10</v>
      </c>
    </row>
    <row r="361" spans="1:6" x14ac:dyDescent="0.25">
      <c r="A361" s="11">
        <v>42064</v>
      </c>
      <c r="B361" s="7">
        <v>0.43263888888888885</v>
      </c>
      <c r="C361" s="7">
        <v>0.45277777777777778</v>
      </c>
      <c r="D361" s="7">
        <f>(0.452777777777778-0.432638888888889)</f>
        <v>2.0138888888888984E-2</v>
      </c>
      <c r="E361" s="7">
        <f>ABS(0.020138888888889-0.0375)</f>
        <v>1.7361111111110997E-2</v>
      </c>
      <c r="F361" s="1" t="s">
        <v>10</v>
      </c>
    </row>
    <row r="362" spans="1:6" x14ac:dyDescent="0.25">
      <c r="A362" s="11">
        <v>42064</v>
      </c>
      <c r="B362" s="7">
        <v>0.42222222222222222</v>
      </c>
      <c r="C362" s="7">
        <v>0.4597222222222222</v>
      </c>
      <c r="D362" s="7">
        <f>(0.459722222222222-0.422222222222222)</f>
        <v>3.7499999999999978E-2</v>
      </c>
      <c r="E362" s="7">
        <f>ABS(0.0375-0.016666666666666)</f>
        <v>2.0833333333333998E-2</v>
      </c>
      <c r="F362" s="1" t="s">
        <v>10</v>
      </c>
    </row>
    <row r="363" spans="1:6" x14ac:dyDescent="0.25">
      <c r="A363" s="11">
        <v>42064</v>
      </c>
      <c r="B363" s="7">
        <v>0.4465277777777778</v>
      </c>
      <c r="C363" s="7">
        <v>0.46319444444444446</v>
      </c>
      <c r="D363" s="7">
        <f>(0.463194444444444-0.446527777777778)</f>
        <v>1.6666666666665997E-2</v>
      </c>
      <c r="E363" s="7">
        <f>ABS(0.016666666666666-0.019444444444445)</f>
        <v>2.7777777777789996E-3</v>
      </c>
      <c r="F363" s="1" t="s">
        <v>10</v>
      </c>
    </row>
    <row r="364" spans="1:6" x14ac:dyDescent="0.25">
      <c r="A364" s="11">
        <v>42064</v>
      </c>
      <c r="B364" s="7">
        <v>0.51458333333333328</v>
      </c>
      <c r="C364" s="7">
        <v>0.53402777777777777</v>
      </c>
      <c r="D364" s="7">
        <f>(0.534027777777778-0.514583333333333)</f>
        <v>1.9444444444445041E-2</v>
      </c>
      <c r="E364" s="7">
        <f>ABS(0.019444444444445-0.029861111111111)</f>
        <v>1.0416666666666002E-2</v>
      </c>
      <c r="F364" s="1" t="s">
        <v>10</v>
      </c>
    </row>
    <row r="365" spans="1:6" x14ac:dyDescent="0.25">
      <c r="A365" s="11">
        <v>42064</v>
      </c>
      <c r="B365" s="7">
        <v>0.52430555555555558</v>
      </c>
      <c r="C365" s="7">
        <v>0.5541666666666667</v>
      </c>
      <c r="D365" s="7">
        <f>(0.554166666666667-0.524305555555556)</f>
        <v>2.9861111111111005E-2</v>
      </c>
      <c r="E365" s="7">
        <f>ABS(0.029861111111111-0.029166666666666)</f>
        <v>6.9444444444500056E-4</v>
      </c>
      <c r="F365" s="1" t="s">
        <v>10</v>
      </c>
    </row>
    <row r="366" spans="1:6" x14ac:dyDescent="0.25">
      <c r="A366" s="11">
        <v>42064</v>
      </c>
      <c r="B366" s="7">
        <v>0.52916666666666667</v>
      </c>
      <c r="C366" s="7">
        <v>0.55833333333333335</v>
      </c>
      <c r="D366" s="7">
        <f>(0.558333333333333-0.529166666666667)</f>
        <v>2.9166666666666008E-2</v>
      </c>
      <c r="E366" s="7">
        <f>ABS(0.029166666666666-0.029861111111111)</f>
        <v>6.9444444444500056E-4</v>
      </c>
      <c r="F366" s="1" t="s">
        <v>10</v>
      </c>
    </row>
    <row r="367" spans="1:6" x14ac:dyDescent="0.25">
      <c r="A367" s="11">
        <v>42064</v>
      </c>
      <c r="B367" s="7">
        <v>0.69166666666666676</v>
      </c>
      <c r="C367" s="7">
        <v>0.72152777777777777</v>
      </c>
      <c r="D367" s="7">
        <f>(0.721527777777778-0.691666666666667)</f>
        <v>2.9861111111111005E-2</v>
      </c>
      <c r="E367" s="7">
        <f>ABS(0.029861111111111-0.037500000000001)</f>
        <v>7.6388888888899963E-3</v>
      </c>
      <c r="F367" s="1" t="s">
        <v>10</v>
      </c>
    </row>
    <row r="368" spans="1:6" x14ac:dyDescent="0.25">
      <c r="A368" s="11">
        <v>42064</v>
      </c>
      <c r="B368" s="7">
        <v>0.68819444444444444</v>
      </c>
      <c r="C368" s="7">
        <v>0.72569444444444453</v>
      </c>
      <c r="D368" s="7">
        <f>(0.725694444444445-0.688194444444444)</f>
        <v>3.7500000000000977E-2</v>
      </c>
      <c r="E368" s="7">
        <f>ABS(0.037500000000001-0.022222222222222)</f>
        <v>1.5277777777778997E-2</v>
      </c>
      <c r="F368" s="1" t="s">
        <v>10</v>
      </c>
    </row>
    <row r="369" spans="1:6" x14ac:dyDescent="0.25">
      <c r="A369" s="11">
        <v>42064</v>
      </c>
      <c r="B369" s="7">
        <v>0.69930555555555562</v>
      </c>
      <c r="C369" s="7">
        <v>0.72152777777777777</v>
      </c>
      <c r="D369" s="7">
        <f>(0.721527777777778-0.699305555555556)</f>
        <v>2.2222222222222032E-2</v>
      </c>
      <c r="E369" s="7">
        <f>ABS(0.022222222222222-0.021527777777777)</f>
        <v>6.9444444444500056E-4</v>
      </c>
      <c r="F369" s="1" t="s">
        <v>10</v>
      </c>
    </row>
    <row r="370" spans="1:6" x14ac:dyDescent="0.25">
      <c r="A370" s="11">
        <v>42064</v>
      </c>
      <c r="B370" s="7">
        <v>0.77916666666666667</v>
      </c>
      <c r="C370" s="7">
        <v>0.80069444444444438</v>
      </c>
      <c r="D370" s="7">
        <f>(0.800694444444444-0.779166666666667)</f>
        <v>2.1527777777777035E-2</v>
      </c>
      <c r="E370" s="7">
        <f>ABS(0.021527777777777-0.013888888888889)</f>
        <v>7.6388888888880013E-3</v>
      </c>
      <c r="F370" s="1" t="s">
        <v>10</v>
      </c>
    </row>
    <row r="371" spans="1:6" x14ac:dyDescent="0.25">
      <c r="A371" s="11">
        <v>42064</v>
      </c>
      <c r="B371" s="7">
        <v>0.90763888888888899</v>
      </c>
      <c r="C371" s="7">
        <v>0.92152777777777783</v>
      </c>
      <c r="D371" s="7">
        <f>(0.921527777777778-0.907638888888889)</f>
        <v>1.3888888888888951E-2</v>
      </c>
      <c r="E371" s="7">
        <f>ABS(0.013888888888889-0.025)</f>
        <v>1.1111111111111002E-2</v>
      </c>
      <c r="F371" s="1" t="s">
        <v>10</v>
      </c>
    </row>
    <row r="372" spans="1:6" x14ac:dyDescent="0.25">
      <c r="A372" s="11">
        <v>42064</v>
      </c>
      <c r="B372" s="7">
        <v>0.37152777777777773</v>
      </c>
      <c r="C372" s="7">
        <v>0.39652777777777781</v>
      </c>
      <c r="D372" s="7">
        <f>(0.396527777777778-0.371527777777778)</f>
        <v>2.4999999999999967E-2</v>
      </c>
      <c r="E372" s="7">
        <f>ABS(0.025-0.0173611111111112)</f>
        <v>7.6388888888888028E-3</v>
      </c>
      <c r="F372" s="1" t="s">
        <v>10</v>
      </c>
    </row>
    <row r="373" spans="1:6" x14ac:dyDescent="0.25">
      <c r="A373" s="11">
        <v>42064</v>
      </c>
      <c r="B373" s="7">
        <v>3.3333333333333333E-2</v>
      </c>
      <c r="C373" s="7">
        <v>5.0694444444444452E-2</v>
      </c>
      <c r="D373" s="7">
        <f>(0.0506944444444445-0.0333333333333333)</f>
        <v>1.7361111111111202E-2</v>
      </c>
      <c r="E373" s="7">
        <f>ABS(0.0173611111111112-0.0159722222222231)</f>
        <v>1.3888888888880999E-3</v>
      </c>
      <c r="F373" s="1" t="s">
        <v>10</v>
      </c>
    </row>
    <row r="374" spans="1:6" x14ac:dyDescent="0.25">
      <c r="A374" s="11">
        <v>42064</v>
      </c>
      <c r="B374" s="7">
        <v>0.5756944444444444</v>
      </c>
      <c r="C374" s="7">
        <v>0.59166666666666667</v>
      </c>
      <c r="D374" s="7">
        <f>(0.591666666666667-0.575694444444444)</f>
        <v>1.5972222222223054E-2</v>
      </c>
      <c r="E374" s="7">
        <f>ABS(0.0159722222222231-0.0229166666666669)</f>
        <v>6.9444444444438022E-3</v>
      </c>
      <c r="F374" s="1" t="s">
        <v>10</v>
      </c>
    </row>
    <row r="375" spans="1:6" x14ac:dyDescent="0.25">
      <c r="A375" s="11">
        <v>42064</v>
      </c>
      <c r="B375" s="7">
        <v>0.70347222222222217</v>
      </c>
      <c r="C375" s="7">
        <v>0.72638888888888886</v>
      </c>
      <c r="D375" s="7">
        <f>(0.726388888888889-0.703472222222222)</f>
        <v>2.2916666666666918E-2</v>
      </c>
      <c r="E375" s="7">
        <f>ABS(0.0229166666666669-0.024305555555555)</f>
        <v>1.3888888888880999E-3</v>
      </c>
      <c r="F375" s="1" t="s">
        <v>10</v>
      </c>
    </row>
    <row r="376" spans="1:6" x14ac:dyDescent="0.25">
      <c r="A376" s="11">
        <v>42064</v>
      </c>
      <c r="B376" s="7">
        <v>0.84652777777777777</v>
      </c>
      <c r="C376" s="7">
        <v>0.87083333333333324</v>
      </c>
      <c r="D376" s="7">
        <f>(0.870833333333333-0.846527777777778)</f>
        <v>2.4305555555555025E-2</v>
      </c>
      <c r="E376" s="7">
        <f>ABS(0.024305555555555-0.00833333333333308)</f>
        <v>1.5972222222221923E-2</v>
      </c>
      <c r="F376" s="1" t="s">
        <v>10</v>
      </c>
    </row>
    <row r="377" spans="1:6" x14ac:dyDescent="0.25">
      <c r="A377" s="11">
        <v>42064</v>
      </c>
      <c r="B377" s="7">
        <v>0.88263888888888886</v>
      </c>
      <c r="C377" s="7">
        <v>0.89097222222222217</v>
      </c>
      <c r="D377" s="7">
        <f>(0.890972222222222-0.882638888888889)</f>
        <v>8.3333333333330817E-3</v>
      </c>
      <c r="E377" s="7">
        <f>ABS(0.00833333333333308-0.023611111111111)</f>
        <v>1.527777777777792E-2</v>
      </c>
      <c r="F377" s="1" t="s">
        <v>10</v>
      </c>
    </row>
    <row r="378" spans="1:6" x14ac:dyDescent="0.25">
      <c r="A378" s="11">
        <v>42064</v>
      </c>
      <c r="B378" s="7">
        <v>0.44861111111111113</v>
      </c>
      <c r="C378" s="7">
        <v>0.47222222222222227</v>
      </c>
      <c r="D378" s="7">
        <f>(0.472222222222222-0.448611111111111)</f>
        <v>2.3611111111110972E-2</v>
      </c>
      <c r="E378" s="7">
        <f>ABS(0.023611111111111-0.029166666666667)</f>
        <v>5.5555555555560007E-3</v>
      </c>
      <c r="F378" s="1" t="s">
        <v>10</v>
      </c>
    </row>
    <row r="379" spans="1:6" x14ac:dyDescent="0.25">
      <c r="A379" s="11">
        <v>42064</v>
      </c>
      <c r="B379" s="7">
        <v>0.45694444444444443</v>
      </c>
      <c r="C379" s="7">
        <v>0.4861111111111111</v>
      </c>
      <c r="D379" s="7">
        <f>(0.486111111111111-0.456944444444444)</f>
        <v>2.9166666666667007E-2</v>
      </c>
      <c r="E379" s="7">
        <f>ABS(0.029166666666667-0.018055555555556)</f>
        <v>1.1111111111110999E-2</v>
      </c>
      <c r="F379" s="1" t="s">
        <v>10</v>
      </c>
    </row>
    <row r="380" spans="1:6" x14ac:dyDescent="0.25">
      <c r="A380" s="11">
        <v>42064</v>
      </c>
      <c r="B380" s="7">
        <v>0.47986111111111113</v>
      </c>
      <c r="C380" s="7">
        <v>0.49791666666666662</v>
      </c>
      <c r="D380" s="7">
        <f>(0.497916666666667-0.479861111111111)</f>
        <v>1.8055555555555991E-2</v>
      </c>
      <c r="E380" s="7">
        <f>ABS(0.018055555555556-0.01875)</f>
        <v>6.9444444444399789E-4</v>
      </c>
      <c r="F380" s="1" t="s">
        <v>10</v>
      </c>
    </row>
    <row r="381" spans="1:6" x14ac:dyDescent="0.25">
      <c r="A381" s="11">
        <v>42064</v>
      </c>
      <c r="B381" s="7">
        <v>0.56388888888888888</v>
      </c>
      <c r="C381" s="7">
        <v>0.58263888888888882</v>
      </c>
      <c r="D381" s="7">
        <f>(0.582638888888889-0.563888888888889)</f>
        <v>1.8750000000000044E-2</v>
      </c>
      <c r="E381" s="7">
        <f>ABS(0.01875-0.0159722222222219)</f>
        <v>2.777777777778101E-3</v>
      </c>
      <c r="F381" s="1" t="s">
        <v>10</v>
      </c>
    </row>
    <row r="382" spans="1:6" x14ac:dyDescent="0.25">
      <c r="A382" s="11">
        <v>42064</v>
      </c>
      <c r="B382" s="7">
        <v>0.61527777777777781</v>
      </c>
      <c r="C382" s="7">
        <v>0.63124999999999998</v>
      </c>
      <c r="D382" s="7">
        <f>(0.63125-0.615277777777778)</f>
        <v>1.5972222222221943E-2</v>
      </c>
      <c r="E382" s="7">
        <f>ABS(0.0159722222222219-0.027777777777778)</f>
        <v>1.18055555555561E-2</v>
      </c>
      <c r="F382" s="1" t="s">
        <v>10</v>
      </c>
    </row>
    <row r="383" spans="1:6" x14ac:dyDescent="0.25">
      <c r="A383" s="11">
        <v>42064</v>
      </c>
      <c r="B383" s="7">
        <v>0.70138888888888884</v>
      </c>
      <c r="C383" s="7">
        <v>0.72916666666666663</v>
      </c>
      <c r="D383" s="7">
        <f>(0.729166666666667-0.701388888888889)</f>
        <v>2.7777777777778012E-2</v>
      </c>
      <c r="E383" s="7">
        <f>ABS(0.027777777777778-0.0152777777777779)</f>
        <v>1.2500000000000098E-2</v>
      </c>
      <c r="F383" s="1" t="s">
        <v>10</v>
      </c>
    </row>
    <row r="384" spans="1:6" x14ac:dyDescent="0.25">
      <c r="A384" s="11">
        <v>42064</v>
      </c>
      <c r="B384" s="7">
        <v>0.49513888888888885</v>
      </c>
      <c r="C384" s="7">
        <v>0.51041666666666663</v>
      </c>
      <c r="D384" s="7">
        <f>(0.510416666666667-0.495138888888889)</f>
        <v>1.5277777777777946E-2</v>
      </c>
      <c r="E384" s="7">
        <f>ABS(0.0152777777777779-0.016666666666667)</f>
        <v>1.3888888888890991E-3</v>
      </c>
      <c r="F384" s="1" t="s">
        <v>10</v>
      </c>
    </row>
    <row r="385" spans="1:6" x14ac:dyDescent="0.25">
      <c r="A385" s="11">
        <v>42064</v>
      </c>
      <c r="B385" s="7">
        <v>0.32361111111111113</v>
      </c>
      <c r="C385" s="7">
        <v>0.34027777777777773</v>
      </c>
      <c r="D385" s="7">
        <f>(0.340277777777778-0.323611111111111)</f>
        <v>1.6666666666666996E-2</v>
      </c>
      <c r="E385" s="7">
        <f>ABS(0.016666666666667-0.022222222222222)</f>
        <v>5.5555555555550015E-3</v>
      </c>
      <c r="F385" s="1" t="s">
        <v>10</v>
      </c>
    </row>
    <row r="386" spans="1:6" x14ac:dyDescent="0.25">
      <c r="A386" s="11">
        <v>42064</v>
      </c>
      <c r="B386" s="7">
        <v>0.35625000000000001</v>
      </c>
      <c r="C386" s="7">
        <v>0.37847222222222227</v>
      </c>
      <c r="D386" s="7">
        <f>(0.378472222222222-0.35625)</f>
        <v>2.2222222222221977E-2</v>
      </c>
      <c r="E386" s="7">
        <f>ABS(0.022222222222222-0.024305555555556)</f>
        <v>2.083333333333999E-3</v>
      </c>
      <c r="F386" s="1" t="s">
        <v>10</v>
      </c>
    </row>
    <row r="387" spans="1:6" x14ac:dyDescent="0.25">
      <c r="A387" s="11">
        <v>42064</v>
      </c>
      <c r="B387" s="7">
        <v>0.3659722222222222</v>
      </c>
      <c r="C387" s="7">
        <v>0.39027777777777778</v>
      </c>
      <c r="D387" s="7">
        <f>(0.390277777777778-0.365972222222222)</f>
        <v>2.4305555555556024E-2</v>
      </c>
      <c r="E387" s="7">
        <f>ABS(0.024305555555556-0.024305555555556)</f>
        <v>0</v>
      </c>
      <c r="F387" s="1" t="s">
        <v>10</v>
      </c>
    </row>
    <row r="388" spans="1:6" x14ac:dyDescent="0.25">
      <c r="A388" s="11">
        <v>42064</v>
      </c>
      <c r="B388" s="7">
        <v>0.45833333333333331</v>
      </c>
      <c r="C388" s="7">
        <v>0.4826388888888889</v>
      </c>
      <c r="D388" s="7">
        <f>(0.482638888888889-0.458333333333333)</f>
        <v>2.4305555555556024E-2</v>
      </c>
      <c r="E388" s="7">
        <f>ABS(0.024305555555556-0.024305555555556)</f>
        <v>0</v>
      </c>
      <c r="F388" s="1" t="s">
        <v>10</v>
      </c>
    </row>
    <row r="389" spans="1:6" x14ac:dyDescent="0.25">
      <c r="A389" s="11">
        <v>42064</v>
      </c>
      <c r="B389" s="7">
        <v>0.45833333333333331</v>
      </c>
      <c r="C389" s="7">
        <v>0.4826388888888889</v>
      </c>
      <c r="D389" s="7">
        <f>(0.482638888888889-0.458333333333333)</f>
        <v>2.4305555555556024E-2</v>
      </c>
      <c r="E389" s="7">
        <f>ABS(0.024305555555556-0.0194444444444439)</f>
        <v>4.8611111111121E-3</v>
      </c>
      <c r="F389" s="1" t="s">
        <v>10</v>
      </c>
    </row>
    <row r="390" spans="1:6" x14ac:dyDescent="0.25">
      <c r="A390" s="11">
        <v>42064</v>
      </c>
      <c r="B390" s="7">
        <v>0.52013888888888882</v>
      </c>
      <c r="C390" s="7">
        <v>0.5395833333333333</v>
      </c>
      <c r="D390" s="7">
        <f>(0.539583333333333-0.520138888888889)</f>
        <v>1.9444444444443931E-2</v>
      </c>
      <c r="E390" s="7">
        <f>ABS(0.0194444444444439-0.011805555555556)</f>
        <v>7.6388888888879007E-3</v>
      </c>
      <c r="F390" s="1" t="s">
        <v>10</v>
      </c>
    </row>
    <row r="391" spans="1:6" x14ac:dyDescent="0.25">
      <c r="A391" s="11">
        <v>42064</v>
      </c>
      <c r="B391" s="7">
        <v>0.58124999999999993</v>
      </c>
      <c r="C391" s="7">
        <v>0.59305555555555556</v>
      </c>
      <c r="D391" s="7">
        <f>(0.593055555555556-0.58125)</f>
        <v>1.1805555555555958E-2</v>
      </c>
      <c r="E391" s="7">
        <f>ABS(0.011805555555556-0.0194444444444449)</f>
        <v>7.6388888888888999E-3</v>
      </c>
      <c r="F391" s="1" t="s">
        <v>10</v>
      </c>
    </row>
    <row r="392" spans="1:6" x14ac:dyDescent="0.25">
      <c r="A392" s="11">
        <v>42064</v>
      </c>
      <c r="B392" s="7">
        <v>0.70833333333333337</v>
      </c>
      <c r="C392" s="7">
        <v>0.72777777777777775</v>
      </c>
      <c r="D392" s="7">
        <f>(0.727777777777778-0.708333333333333)</f>
        <v>1.944444444444493E-2</v>
      </c>
      <c r="E392" s="7">
        <f>ABS(0.0194444444444449-0.0166666666666671)</f>
        <v>2.7777777777777991E-3</v>
      </c>
      <c r="F392" s="1" t="s">
        <v>10</v>
      </c>
    </row>
    <row r="393" spans="1:6" x14ac:dyDescent="0.25">
      <c r="A393" s="11">
        <v>42064</v>
      </c>
      <c r="B393" s="7">
        <v>0.7631944444444444</v>
      </c>
      <c r="C393" s="7">
        <v>0.77986111111111101</v>
      </c>
      <c r="D393" s="7">
        <f>(0.779861111111111-0.763194444444444)</f>
        <v>1.6666666666667052E-2</v>
      </c>
      <c r="E393" s="7">
        <f>ABS(0.0166666666666671-0.029166666666666)</f>
        <v>1.2499999999998901E-2</v>
      </c>
      <c r="F393" s="1" t="s">
        <v>10</v>
      </c>
    </row>
    <row r="394" spans="1:6" x14ac:dyDescent="0.25">
      <c r="A394" s="11">
        <v>42064</v>
      </c>
      <c r="B394" s="7">
        <v>0.80763888888888891</v>
      </c>
      <c r="C394" s="7">
        <v>0.83680555555555547</v>
      </c>
      <c r="D394" s="7">
        <f>(0.836805555555555-0.807638888888889)</f>
        <v>2.9166666666666008E-2</v>
      </c>
      <c r="E394" s="7">
        <f>ABS(0.029166666666666-0.025694444444445)</f>
        <v>3.4722222222210025E-3</v>
      </c>
      <c r="F394" s="1" t="s">
        <v>10</v>
      </c>
    </row>
    <row r="395" spans="1:6" x14ac:dyDescent="0.25">
      <c r="A395" s="11">
        <v>42064</v>
      </c>
      <c r="B395" s="7">
        <v>0.87847222222222221</v>
      </c>
      <c r="C395" s="7">
        <v>0.90416666666666667</v>
      </c>
      <c r="D395" s="7">
        <f>(0.904166666666667-0.878472222222222)</f>
        <v>2.5694444444445019E-2</v>
      </c>
      <c r="E395" s="7">
        <f>ABS(0.025694444444445-0.020833333333333)</f>
        <v>4.8611111111119994E-3</v>
      </c>
      <c r="F395" s="1" t="s">
        <v>10</v>
      </c>
    </row>
    <row r="396" spans="1:6" x14ac:dyDescent="0.25">
      <c r="A396" s="11">
        <v>42064</v>
      </c>
      <c r="B396" s="7">
        <v>0.51041666666666663</v>
      </c>
      <c r="C396" s="7">
        <v>0.53125</v>
      </c>
      <c r="D396" s="7">
        <f>(0.53125-0.510416666666667)</f>
        <v>2.0833333333333037E-2</v>
      </c>
      <c r="E396" s="7">
        <f>ABS(0.020833333333333-0.019444444444445)</f>
        <v>1.3888888888879992E-3</v>
      </c>
      <c r="F396" s="1" t="s">
        <v>10</v>
      </c>
    </row>
    <row r="397" spans="1:6" x14ac:dyDescent="0.25">
      <c r="A397" s="11">
        <v>42064</v>
      </c>
      <c r="B397" s="7">
        <v>0.63472222222222219</v>
      </c>
      <c r="C397" s="7">
        <v>0.65416666666666667</v>
      </c>
      <c r="D397" s="7">
        <f>(0.654166666666667-0.634722222222222)</f>
        <v>1.9444444444445041E-2</v>
      </c>
      <c r="E397" s="7">
        <f>ABS(0.019444444444445-0.0201388888888889)</f>
        <v>6.9444444444390074E-4</v>
      </c>
      <c r="F397" s="1" t="s">
        <v>10</v>
      </c>
    </row>
    <row r="398" spans="1:6" x14ac:dyDescent="0.25">
      <c r="A398" s="11">
        <v>42064</v>
      </c>
      <c r="B398" s="7">
        <v>0.73611111111111116</v>
      </c>
      <c r="C398" s="7">
        <v>0.75624999999999998</v>
      </c>
      <c r="D398" s="7">
        <f>(0.75625-0.736111111111111)</f>
        <v>2.0138888888888928E-2</v>
      </c>
      <c r="E398" s="7">
        <f>ABS(0.0201388888888889-0.0194444444444449)</f>
        <v>6.9444444444400136E-4</v>
      </c>
      <c r="F398" s="1" t="s">
        <v>10</v>
      </c>
    </row>
    <row r="399" spans="1:6" x14ac:dyDescent="0.25">
      <c r="A399" s="11">
        <v>42064</v>
      </c>
      <c r="B399" s="7">
        <v>0.77083333333333337</v>
      </c>
      <c r="C399" s="7">
        <v>0.79027777777777775</v>
      </c>
      <c r="D399" s="7">
        <f>(0.790277777777778-0.770833333333333)</f>
        <v>1.944444444444493E-2</v>
      </c>
      <c r="E399" s="7">
        <f>ABS(0.0194444444444449-0.035416666666667)</f>
        <v>1.59722222222221E-2</v>
      </c>
      <c r="F399" s="1" t="s">
        <v>10</v>
      </c>
    </row>
    <row r="400" spans="1:6" x14ac:dyDescent="0.25">
      <c r="A400" s="11">
        <v>42064</v>
      </c>
      <c r="B400" s="7">
        <v>0.31875000000000003</v>
      </c>
      <c r="C400" s="7">
        <v>0.35416666666666669</v>
      </c>
      <c r="D400" s="7">
        <f>(0.354166666666667-0.31875)</f>
        <v>3.541666666666704E-2</v>
      </c>
      <c r="E400" s="7">
        <f>ABS(0.035416666666667-0.016666666666666)</f>
        <v>1.8750000000000999E-2</v>
      </c>
      <c r="F400" s="1" t="s">
        <v>10</v>
      </c>
    </row>
    <row r="401" spans="1:6" x14ac:dyDescent="0.25">
      <c r="A401" s="11">
        <v>42064</v>
      </c>
      <c r="B401" s="7">
        <v>0.33055555555555555</v>
      </c>
      <c r="C401" s="7">
        <v>0.34722222222222227</v>
      </c>
      <c r="D401" s="7">
        <f>(0.347222222222222-0.330555555555556)</f>
        <v>1.6666666666665997E-2</v>
      </c>
      <c r="E401" s="7">
        <f>ABS(0.016666666666666-0.017361111111111)</f>
        <v>6.9444444444500056E-4</v>
      </c>
      <c r="F401" s="1" t="s">
        <v>10</v>
      </c>
    </row>
    <row r="402" spans="1:6" x14ac:dyDescent="0.25">
      <c r="A402" s="11">
        <v>42064</v>
      </c>
      <c r="B402" s="7">
        <v>0.38055555555555554</v>
      </c>
      <c r="C402" s="7">
        <v>0.3979166666666667</v>
      </c>
      <c r="D402" s="7">
        <f>(0.397916666666667-0.380555555555556)</f>
        <v>1.7361111111110994E-2</v>
      </c>
      <c r="E402" s="7">
        <f>ABS(0.017361111111111-0.016666666666667)</f>
        <v>6.9444444444400136E-4</v>
      </c>
      <c r="F402" s="1" t="s">
        <v>10</v>
      </c>
    </row>
    <row r="403" spans="1:6" x14ac:dyDescent="0.25">
      <c r="A403" s="11">
        <v>42064</v>
      </c>
      <c r="B403" s="7">
        <v>0.39999999999999997</v>
      </c>
      <c r="C403" s="7">
        <v>0.41666666666666669</v>
      </c>
      <c r="D403" s="7">
        <f>(0.416666666666667-0.4)</f>
        <v>1.6666666666666996E-2</v>
      </c>
      <c r="E403" s="7">
        <f>ABS(0.016666666666667-0.016666666666667)</f>
        <v>0</v>
      </c>
      <c r="F403" s="1" t="s">
        <v>10</v>
      </c>
    </row>
    <row r="404" spans="1:6" x14ac:dyDescent="0.25">
      <c r="A404" s="11">
        <v>42064</v>
      </c>
      <c r="B404" s="7">
        <v>0.4548611111111111</v>
      </c>
      <c r="C404" s="7">
        <v>0.47152777777777777</v>
      </c>
      <c r="D404" s="7">
        <f>(0.471527777777778-0.454861111111111)</f>
        <v>1.6666666666666996E-2</v>
      </c>
      <c r="E404" s="7">
        <f>ABS(0.016666666666667-0.015277777777778)</f>
        <v>1.3888888888890002E-3</v>
      </c>
      <c r="F404" s="1" t="s">
        <v>10</v>
      </c>
    </row>
    <row r="405" spans="1:6" x14ac:dyDescent="0.25">
      <c r="A405" s="11">
        <v>42064</v>
      </c>
      <c r="B405" s="7">
        <v>0.48888888888888887</v>
      </c>
      <c r="C405" s="7">
        <v>0.50416666666666665</v>
      </c>
      <c r="D405" s="7">
        <f>(0.504166666666667-0.488888888888889)</f>
        <v>1.5277777777778001E-2</v>
      </c>
      <c r="E405" s="7">
        <f>ABS(0.015277777777778-0.025694444444444)</f>
        <v>1.0416666666666E-2</v>
      </c>
      <c r="F405" s="1" t="s">
        <v>10</v>
      </c>
    </row>
    <row r="406" spans="1:6" x14ac:dyDescent="0.25">
      <c r="A406" s="11">
        <v>42064</v>
      </c>
      <c r="B406" s="7">
        <v>0.53055555555555556</v>
      </c>
      <c r="C406" s="7">
        <v>0.55625000000000002</v>
      </c>
      <c r="D406" s="7">
        <f>(0.55625-0.530555555555556)</f>
        <v>2.569444444444402E-2</v>
      </c>
      <c r="E406" s="7">
        <f>ABS(0.025694444444444-0.027083333333333)</f>
        <v>1.3888888888890019E-3</v>
      </c>
      <c r="F406" s="1" t="s">
        <v>10</v>
      </c>
    </row>
    <row r="407" spans="1:6" x14ac:dyDescent="0.25">
      <c r="A407" s="11">
        <v>42064</v>
      </c>
      <c r="B407" s="7">
        <v>0.52916666666666667</v>
      </c>
      <c r="C407" s="7">
        <v>0.55625000000000002</v>
      </c>
      <c r="D407" s="7">
        <f>(0.55625-0.529166666666667)</f>
        <v>2.7083333333333015E-2</v>
      </c>
      <c r="E407" s="7">
        <f>ABS(0.027083333333333-0.0187499999999999)</f>
        <v>8.3333333333331025E-3</v>
      </c>
      <c r="F407" s="1" t="s">
        <v>10</v>
      </c>
    </row>
    <row r="408" spans="1:6" x14ac:dyDescent="0.25">
      <c r="A408" s="11">
        <v>42064</v>
      </c>
      <c r="B408" s="7">
        <v>0.61527777777777781</v>
      </c>
      <c r="C408" s="7">
        <v>0.63402777777777775</v>
      </c>
      <c r="D408" s="7">
        <f>(0.634027777777778-0.615277777777778)</f>
        <v>1.8749999999999933E-2</v>
      </c>
      <c r="E408" s="7">
        <f>ABS(0.0187499999999999-0.0166666666666669)</f>
        <v>2.0833333333329998E-3</v>
      </c>
      <c r="F408" s="1" t="s">
        <v>10</v>
      </c>
    </row>
    <row r="409" spans="1:6" x14ac:dyDescent="0.25">
      <c r="A409" s="11">
        <v>42064</v>
      </c>
      <c r="B409" s="7">
        <v>0.64444444444444449</v>
      </c>
      <c r="C409" s="7">
        <v>0.66111111111111109</v>
      </c>
      <c r="D409" s="7">
        <f>(0.661111111111111-0.644444444444444)</f>
        <v>1.6666666666666941E-2</v>
      </c>
      <c r="E409" s="7">
        <f>ABS(0.0166666666666669-0.019444444444444)</f>
        <v>2.7777777777771018E-3</v>
      </c>
      <c r="F409" s="1" t="s">
        <v>10</v>
      </c>
    </row>
    <row r="410" spans="1:6" x14ac:dyDescent="0.25">
      <c r="A410" s="11">
        <v>42064</v>
      </c>
      <c r="B410" s="7">
        <v>0.8125</v>
      </c>
      <c r="C410" s="7">
        <v>0.83194444444444438</v>
      </c>
      <c r="D410" s="7">
        <f>(0.831944444444444-0.8125)</f>
        <v>1.9444444444444042E-2</v>
      </c>
      <c r="E410" s="7">
        <f>ABS(0.019444444444444-0.00833333333333297)</f>
        <v>1.111111111111103E-2</v>
      </c>
      <c r="F410" s="1" t="s">
        <v>10</v>
      </c>
    </row>
    <row r="411" spans="1:6" x14ac:dyDescent="0.25">
      <c r="A411" s="11">
        <v>42064</v>
      </c>
      <c r="B411" s="7">
        <v>0.81180555555555556</v>
      </c>
      <c r="C411" s="7">
        <v>0.82013888888888886</v>
      </c>
      <c r="D411" s="7">
        <f>(0.820138888888889-0.811805555555556)</f>
        <v>8.3333333333329707E-3</v>
      </c>
      <c r="E411" s="7">
        <f>ABS(0.00833333333333297-0.0159722222222219)</f>
        <v>7.6388888888889277E-3</v>
      </c>
      <c r="F411" s="1" t="s">
        <v>10</v>
      </c>
    </row>
    <row r="412" spans="1:6" x14ac:dyDescent="0.25">
      <c r="A412" s="11">
        <v>42064</v>
      </c>
      <c r="B412" s="7">
        <v>0.86388888888888893</v>
      </c>
      <c r="C412" s="7">
        <v>0.87986111111111109</v>
      </c>
      <c r="D412" s="7">
        <f>(0.879861111111111-0.863888888888889)</f>
        <v>1.5972222222221943E-2</v>
      </c>
      <c r="E412" s="7">
        <f>ABS(0.0159722222222219-0.0375)</f>
        <v>2.15277777777781E-2</v>
      </c>
      <c r="F412" s="1" t="s">
        <v>10</v>
      </c>
    </row>
    <row r="413" spans="1:6" x14ac:dyDescent="0.25">
      <c r="A413" s="11">
        <v>42064</v>
      </c>
      <c r="B413" s="7">
        <v>0.87986111111111109</v>
      </c>
      <c r="C413" s="7">
        <v>0.91736111111111107</v>
      </c>
      <c r="D413" s="7">
        <f>(0.917361111111111-0.879861111111111)</f>
        <v>3.7499999999999978E-2</v>
      </c>
      <c r="E413" s="7">
        <f>ABS(0.0375-0.022222222222223)</f>
        <v>1.5277777777776998E-2</v>
      </c>
      <c r="F413" s="1" t="s">
        <v>10</v>
      </c>
    </row>
    <row r="414" spans="1:6" x14ac:dyDescent="0.25">
      <c r="A414" s="11">
        <v>42064</v>
      </c>
      <c r="B414" s="7">
        <v>0.48958333333333331</v>
      </c>
      <c r="C414" s="7">
        <v>0.51180555555555551</v>
      </c>
      <c r="D414" s="7">
        <f>(0.511805555555556-0.489583333333333)</f>
        <v>2.2222222222222976E-2</v>
      </c>
      <c r="E414" s="7">
        <f>ABS(0.022222222222223-0.038888888888889)</f>
        <v>1.6666666666666E-2</v>
      </c>
      <c r="F414" s="1" t="s">
        <v>10</v>
      </c>
    </row>
    <row r="415" spans="1:6" x14ac:dyDescent="0.25">
      <c r="A415" s="11">
        <v>42064</v>
      </c>
      <c r="B415" s="7">
        <v>0.52013888888888882</v>
      </c>
      <c r="C415" s="7">
        <v>0.55902777777777779</v>
      </c>
      <c r="D415" s="7">
        <f>(0.559027777777778-0.520138888888889)</f>
        <v>3.8888888888888973E-2</v>
      </c>
      <c r="E415" s="7">
        <f>ABS(0.038888888888889-0.0152777777777781)</f>
        <v>2.3611111111110902E-2</v>
      </c>
      <c r="F415" s="1" t="s">
        <v>10</v>
      </c>
    </row>
    <row r="416" spans="1:6" x14ac:dyDescent="0.25">
      <c r="A416" s="11">
        <v>42064</v>
      </c>
      <c r="B416" s="7">
        <v>0.57361111111111118</v>
      </c>
      <c r="C416" s="7">
        <v>0.58888888888888891</v>
      </c>
      <c r="D416" s="7">
        <f>(0.588888888888889-0.573611111111111)</f>
        <v>1.5277777777778057E-2</v>
      </c>
      <c r="E416" s="7">
        <f>ABS(0.0152777777777781-0.017361111111111)</f>
        <v>2.0833333333329009E-3</v>
      </c>
      <c r="F416" s="1" t="s">
        <v>10</v>
      </c>
    </row>
    <row r="417" spans="1:6" x14ac:dyDescent="0.25">
      <c r="A417" s="11">
        <v>42064</v>
      </c>
      <c r="B417" s="7">
        <v>0.59236111111111112</v>
      </c>
      <c r="C417" s="7">
        <v>0.60972222222222217</v>
      </c>
      <c r="D417" s="7">
        <f>(0.609722222222222-0.592361111111111)</f>
        <v>1.7361111111111049E-2</v>
      </c>
      <c r="E417" s="7">
        <f>ABS(0.017361111111111-0.01875)</f>
        <v>1.3888888888889984E-3</v>
      </c>
      <c r="F417" s="1" t="s">
        <v>10</v>
      </c>
    </row>
    <row r="418" spans="1:6" x14ac:dyDescent="0.25">
      <c r="A418" s="11">
        <v>42064</v>
      </c>
      <c r="B418" s="7">
        <v>0.71805555555555556</v>
      </c>
      <c r="C418" s="7">
        <v>0.7368055555555556</v>
      </c>
      <c r="D418" s="7">
        <f>(0.736805555555556-0.718055555555556)</f>
        <v>1.8750000000000044E-2</v>
      </c>
      <c r="E418" s="7">
        <f>ABS(0.01875-0.019444444444444)</f>
        <v>6.9444444444400136E-4</v>
      </c>
      <c r="F418" s="1" t="s">
        <v>10</v>
      </c>
    </row>
    <row r="419" spans="1:6" x14ac:dyDescent="0.25">
      <c r="A419" s="11">
        <v>42064</v>
      </c>
      <c r="B419" s="7">
        <v>0.78611111111111109</v>
      </c>
      <c r="C419" s="7">
        <v>0.80555555555555547</v>
      </c>
      <c r="D419" s="7">
        <f>(0.805555555555555-0.786111111111111)</f>
        <v>1.9444444444444042E-2</v>
      </c>
      <c r="E419" s="7">
        <f>ABS(0.019444444444444-0.021527777777777)</f>
        <v>2.0833333333329998E-3</v>
      </c>
      <c r="F419" s="1" t="s">
        <v>10</v>
      </c>
    </row>
    <row r="420" spans="1:6" x14ac:dyDescent="0.25">
      <c r="A420" s="11">
        <v>42064</v>
      </c>
      <c r="B420" s="7">
        <v>0.84930555555555554</v>
      </c>
      <c r="C420" s="7">
        <v>0.87083333333333324</v>
      </c>
      <c r="D420" s="7">
        <f>(0.870833333333333-0.849305555555556)</f>
        <v>2.1527777777777035E-2</v>
      </c>
      <c r="E420" s="7">
        <f>ABS(0.021527777777777-0.0166666666666671)</f>
        <v>4.8611111111099004E-3</v>
      </c>
      <c r="F420" s="1" t="s">
        <v>10</v>
      </c>
    </row>
    <row r="421" spans="1:6" x14ac:dyDescent="0.25">
      <c r="A421" s="11">
        <v>42064</v>
      </c>
      <c r="B421" s="7">
        <v>0.9145833333333333</v>
      </c>
      <c r="C421" s="7">
        <v>0.93125000000000002</v>
      </c>
      <c r="D421" s="7">
        <f>(0.93125-0.914583333333333)</f>
        <v>1.6666666666667052E-2</v>
      </c>
      <c r="E421" s="7">
        <f>ABS(0.0166666666666671-0.020833333333333)</f>
        <v>4.166666666665899E-3</v>
      </c>
      <c r="F421" s="1" t="s">
        <v>10</v>
      </c>
    </row>
    <row r="422" spans="1:6" x14ac:dyDescent="0.25">
      <c r="A422" s="11">
        <v>42064</v>
      </c>
      <c r="B422" s="7">
        <v>0.12638888888888888</v>
      </c>
      <c r="C422" s="7">
        <v>0.14722222222222223</v>
      </c>
      <c r="D422" s="7">
        <f>(0.147222222222222-0.126388888888889)</f>
        <v>2.083333333333301E-2</v>
      </c>
      <c r="E422" s="7">
        <f>ABS(0.020833333333333-0.019444444444445)</f>
        <v>1.3888888888879992E-3</v>
      </c>
      <c r="F422" s="1" t="s">
        <v>10</v>
      </c>
    </row>
    <row r="423" spans="1:6" x14ac:dyDescent="0.25">
      <c r="A423" s="11">
        <v>42064</v>
      </c>
      <c r="B423" s="7">
        <v>0.37986111111111115</v>
      </c>
      <c r="C423" s="7">
        <v>0.39930555555555558</v>
      </c>
      <c r="D423" s="7">
        <f>(0.399305555555556-0.379861111111111)</f>
        <v>1.9444444444445041E-2</v>
      </c>
      <c r="E423" s="7">
        <f>ABS(0.019444444444445-0.031944444444444)</f>
        <v>1.2499999999998998E-2</v>
      </c>
      <c r="F423" s="1" t="s">
        <v>10</v>
      </c>
    </row>
    <row r="424" spans="1:6" x14ac:dyDescent="0.25">
      <c r="A424" s="11">
        <v>42064</v>
      </c>
      <c r="B424" s="7">
        <v>0.18402777777777779</v>
      </c>
      <c r="C424" s="7">
        <v>0.21597222222222223</v>
      </c>
      <c r="D424" s="7">
        <f>(0.215972222222222-0.184027777777778)</f>
        <v>3.1944444444443998E-2</v>
      </c>
      <c r="E424" s="7">
        <f>ABS(0.031944444444444-0.020833333333333)</f>
        <v>1.1111111111110999E-2</v>
      </c>
      <c r="F424" s="1" t="s">
        <v>10</v>
      </c>
    </row>
    <row r="425" spans="1:6" x14ac:dyDescent="0.25">
      <c r="A425" s="11">
        <v>42064</v>
      </c>
      <c r="B425" s="7">
        <v>0.53749999999999998</v>
      </c>
      <c r="C425" s="7">
        <v>0.55833333333333335</v>
      </c>
      <c r="D425" s="7">
        <f>(0.558333333333333-0.5375)</f>
        <v>2.0833333333333037E-2</v>
      </c>
      <c r="E425" s="7">
        <f>ABS(0.020833333333333-0.0166666666666659)</f>
        <v>4.1666666666670994E-3</v>
      </c>
      <c r="F425" s="1" t="s">
        <v>10</v>
      </c>
    </row>
    <row r="426" spans="1:6" x14ac:dyDescent="0.25">
      <c r="A426" s="11">
        <v>42064</v>
      </c>
      <c r="B426" s="7">
        <v>0.87291666666666667</v>
      </c>
      <c r="C426" s="7">
        <v>0.88958333333333339</v>
      </c>
      <c r="D426" s="7">
        <f>(0.889583333333333-0.872916666666667)</f>
        <v>1.6666666666665941E-2</v>
      </c>
      <c r="E426" s="7">
        <f>ABS(0.0166666666666659-0.025694444444445)</f>
        <v>9.0277777777790988E-3</v>
      </c>
      <c r="F426" s="1" t="s">
        <v>10</v>
      </c>
    </row>
    <row r="427" spans="1:6" x14ac:dyDescent="0.25">
      <c r="A427" s="11">
        <v>42064</v>
      </c>
      <c r="B427" s="7">
        <v>0.18333333333333335</v>
      </c>
      <c r="C427" s="7">
        <v>0.20902777777777778</v>
      </c>
      <c r="D427" s="7">
        <f>(0.209027777777778-0.183333333333333)</f>
        <v>2.5694444444445019E-2</v>
      </c>
      <c r="E427" s="7">
        <f>ABS(0.025694444444445-0.0166666666666661)</f>
        <v>9.0277777777788976E-3</v>
      </c>
      <c r="F427" s="1" t="s">
        <v>10</v>
      </c>
    </row>
    <row r="428" spans="1:6" x14ac:dyDescent="0.25">
      <c r="A428" s="11">
        <v>42064</v>
      </c>
      <c r="B428" s="7">
        <v>0.50277777777777777</v>
      </c>
      <c r="C428" s="7">
        <v>0.51944444444444449</v>
      </c>
      <c r="D428" s="7">
        <f>(0.519444444444444-0.502777777777778)</f>
        <v>1.6666666666666052E-2</v>
      </c>
      <c r="E428" s="7">
        <f>ABS(0.0166666666666661-0.0173611111111109)</f>
        <v>6.9444444444479933E-4</v>
      </c>
      <c r="F428" s="1" t="s">
        <v>10</v>
      </c>
    </row>
    <row r="429" spans="1:6" x14ac:dyDescent="0.25">
      <c r="A429" s="11">
        <v>42064</v>
      </c>
      <c r="B429" s="7">
        <v>0.74097222222222225</v>
      </c>
      <c r="C429" s="7">
        <v>0.7583333333333333</v>
      </c>
      <c r="D429" s="7">
        <f>(0.758333333333333-0.740972222222222)</f>
        <v>1.7361111111110938E-2</v>
      </c>
      <c r="E429" s="7">
        <f>ABS(0.0173611111111109-0.0145833333333339)</f>
        <v>2.7777777777769994E-3</v>
      </c>
      <c r="F429" s="1" t="s">
        <v>10</v>
      </c>
    </row>
    <row r="430" spans="1:6" x14ac:dyDescent="0.25">
      <c r="A430" s="11">
        <v>42064</v>
      </c>
      <c r="B430" s="7">
        <v>0.83680555555555547</v>
      </c>
      <c r="C430" s="7">
        <v>0.85138888888888886</v>
      </c>
      <c r="D430" s="7">
        <f>(0.851388888888889-0.836805555555555)</f>
        <v>1.4583333333333948E-2</v>
      </c>
      <c r="E430" s="7">
        <f>ABS(0.0145833333333339-0.0173611111111109)</f>
        <v>2.7777777777769994E-3</v>
      </c>
      <c r="F430" s="1" t="s">
        <v>10</v>
      </c>
    </row>
    <row r="431" spans="1:6" x14ac:dyDescent="0.25">
      <c r="A431" s="11">
        <v>42064</v>
      </c>
      <c r="B431" s="7">
        <v>0.86736111111111114</v>
      </c>
      <c r="C431" s="7">
        <v>0.8847222222222223</v>
      </c>
      <c r="D431" s="7">
        <f>(0.884722222222222-0.867361111111111)</f>
        <v>1.7361111111110938E-2</v>
      </c>
      <c r="E431" s="7">
        <f>ABS(0.0173611111111109-0.0104166666666671)</f>
        <v>6.9444444444438005E-3</v>
      </c>
      <c r="F431" s="1" t="s">
        <v>10</v>
      </c>
    </row>
    <row r="432" spans="1:6" x14ac:dyDescent="0.25">
      <c r="A432" s="11">
        <v>42064</v>
      </c>
      <c r="B432" s="7">
        <v>0.9472222222222223</v>
      </c>
      <c r="C432" s="7">
        <v>0.95763888888888893</v>
      </c>
      <c r="D432" s="7">
        <f>(0.957638888888889-0.947222222222222)</f>
        <v>1.0416666666667074E-2</v>
      </c>
      <c r="E432" s="7">
        <f>ABS(0.0104166666666671-0.0194444444444444)</f>
        <v>9.0277777777772999E-3</v>
      </c>
      <c r="F432" s="1" t="s">
        <v>10</v>
      </c>
    </row>
    <row r="433" spans="1:6" x14ac:dyDescent="0.25">
      <c r="A433" s="11">
        <v>42064</v>
      </c>
      <c r="B433" s="7">
        <v>5.2777777777777778E-2</v>
      </c>
      <c r="C433" s="7">
        <v>7.2222222222222229E-2</v>
      </c>
      <c r="D433" s="7">
        <f>(0.0722222222222222-0.0527777777777778)</f>
        <v>1.9444444444444403E-2</v>
      </c>
      <c r="E433" s="7">
        <f>ABS(0.0194444444444444-0.013888888888889)</f>
        <v>5.5555555555554005E-3</v>
      </c>
      <c r="F433" s="1" t="s">
        <v>10</v>
      </c>
    </row>
    <row r="434" spans="1:6" x14ac:dyDescent="0.25">
      <c r="A434" s="11">
        <v>42064</v>
      </c>
      <c r="B434" s="7">
        <v>0.22569444444444445</v>
      </c>
      <c r="C434" s="7">
        <v>0.23958333333333334</v>
      </c>
      <c r="D434" s="7">
        <f>(0.239583333333333-0.225694444444444)</f>
        <v>1.3888888888889006E-2</v>
      </c>
      <c r="E434" s="7">
        <f>ABS(0.013888888888889-0.018055555555556)</f>
        <v>4.1666666666670023E-3</v>
      </c>
      <c r="F434" s="1" t="s">
        <v>10</v>
      </c>
    </row>
    <row r="435" spans="1:6" x14ac:dyDescent="0.25">
      <c r="A435" s="11">
        <v>42064</v>
      </c>
      <c r="B435" s="7">
        <v>0.41944444444444445</v>
      </c>
      <c r="C435" s="7">
        <v>0.4375</v>
      </c>
      <c r="D435" s="7">
        <f>(0.4375-0.419444444444444)</f>
        <v>1.8055555555555991E-2</v>
      </c>
      <c r="E435" s="7">
        <f>ABS(0.018055555555556-0.023611111111111)</f>
        <v>5.5555555555549981E-3</v>
      </c>
      <c r="F435" s="1" t="s">
        <v>10</v>
      </c>
    </row>
    <row r="436" spans="1:6" x14ac:dyDescent="0.25">
      <c r="A436" s="11">
        <v>42064</v>
      </c>
      <c r="B436" s="7">
        <v>0.57013888888888886</v>
      </c>
      <c r="C436" s="7">
        <v>0.59375</v>
      </c>
      <c r="D436" s="7">
        <f>(0.59375-0.570138888888889)</f>
        <v>2.3611111111111027E-2</v>
      </c>
      <c r="E436" s="7">
        <f>ABS(0.023611111111111-0.027083333333334)</f>
        <v>3.4722222222230009E-3</v>
      </c>
      <c r="F436" s="1" t="s">
        <v>10</v>
      </c>
    </row>
    <row r="437" spans="1:6" x14ac:dyDescent="0.25">
      <c r="A437" s="11">
        <v>42064</v>
      </c>
      <c r="B437" s="7">
        <v>0.62847222222222221</v>
      </c>
      <c r="C437" s="7">
        <v>0.65555555555555556</v>
      </c>
      <c r="D437" s="7">
        <f>(0.655555555555556-0.628472222222222)</f>
        <v>2.7083333333334014E-2</v>
      </c>
      <c r="E437" s="7">
        <f>ABS(0.027083333333334-0.0166666666666671)</f>
        <v>1.04166666666669E-2</v>
      </c>
      <c r="F437" s="1" t="s">
        <v>10</v>
      </c>
    </row>
    <row r="438" spans="1:6" x14ac:dyDescent="0.25">
      <c r="A438" s="11">
        <v>42064</v>
      </c>
      <c r="B438" s="7">
        <v>0.625</v>
      </c>
      <c r="C438" s="7">
        <v>0.64166666666666672</v>
      </c>
      <c r="D438" s="7">
        <f>(0.641666666666667-0.625)</f>
        <v>1.6666666666667052E-2</v>
      </c>
      <c r="E438" s="7">
        <f>ABS(0.0166666666666671-0.0145833333333331)</f>
        <v>2.0833333333340007E-3</v>
      </c>
      <c r="F438" s="1" t="s">
        <v>10</v>
      </c>
    </row>
    <row r="439" spans="1:6" x14ac:dyDescent="0.25">
      <c r="A439" s="11">
        <v>42064</v>
      </c>
      <c r="B439" s="7">
        <v>0.72569444444444453</v>
      </c>
      <c r="C439" s="7">
        <v>0.7402777777777777</v>
      </c>
      <c r="D439" s="7">
        <f>(0.740277777777778-0.725694444444445)</f>
        <v>1.4583333333333059E-2</v>
      </c>
      <c r="E439" s="7">
        <f>ABS(0.0145833333333331-0.011805555555555)</f>
        <v>2.7777777777780992E-3</v>
      </c>
      <c r="F439" s="1" t="s">
        <v>10</v>
      </c>
    </row>
    <row r="440" spans="1:6" x14ac:dyDescent="0.25">
      <c r="A440" s="11">
        <v>42064</v>
      </c>
      <c r="B440" s="7">
        <v>0.87638888888888899</v>
      </c>
      <c r="C440" s="7">
        <v>0.8881944444444444</v>
      </c>
      <c r="D440" s="7">
        <f>(0.888194444444444-0.876388888888889)</f>
        <v>1.1805555555554959E-2</v>
      </c>
      <c r="E440" s="7">
        <f>ABS(0.011805555555555-0.01875)</f>
        <v>6.9444444444449992E-3</v>
      </c>
      <c r="F440" s="1" t="s">
        <v>10</v>
      </c>
    </row>
    <row r="441" spans="1:6" x14ac:dyDescent="0.25">
      <c r="A441" s="11">
        <v>42064</v>
      </c>
      <c r="B441" s="7">
        <v>2.4999999999999998E-2</v>
      </c>
      <c r="C441" s="7">
        <v>4.3750000000000004E-2</v>
      </c>
      <c r="D441" s="7">
        <f>(0.04375-0.025)</f>
        <v>1.8749999999999996E-2</v>
      </c>
      <c r="E441" s="7">
        <f>ABS(0.01875-0.0180555555555556)</f>
        <v>6.9444444444440034E-4</v>
      </c>
      <c r="F441" s="1" t="s">
        <v>10</v>
      </c>
    </row>
    <row r="442" spans="1:6" x14ac:dyDescent="0.25">
      <c r="A442" s="11">
        <v>42064</v>
      </c>
      <c r="B442" s="7">
        <v>2.5694444444444447E-2</v>
      </c>
      <c r="C442" s="7">
        <v>4.3750000000000004E-2</v>
      </c>
      <c r="D442" s="7">
        <f>(0.04375-0.0256944444444444)</f>
        <v>1.8055555555555595E-2</v>
      </c>
      <c r="E442" s="7">
        <f>ABS(0.0180555555555556-0.01875)</f>
        <v>6.9444444444440034E-4</v>
      </c>
      <c r="F442" s="1" t="s">
        <v>10</v>
      </c>
    </row>
    <row r="443" spans="1:6" x14ac:dyDescent="0.25">
      <c r="A443" s="11">
        <v>42064</v>
      </c>
      <c r="B443" s="7">
        <v>0.33055555555555555</v>
      </c>
      <c r="C443" s="7">
        <v>0.34930555555555554</v>
      </c>
      <c r="D443" s="7">
        <f>(0.349305555555556-0.330555555555556)</f>
        <v>1.8749999999999989E-2</v>
      </c>
      <c r="E443" s="7">
        <f>ABS(0.01875-0.018055555555556)</f>
        <v>6.9444444444399789E-4</v>
      </c>
      <c r="F443" s="1" t="s">
        <v>10</v>
      </c>
    </row>
    <row r="444" spans="1:6" x14ac:dyDescent="0.25">
      <c r="A444" s="11">
        <v>42064</v>
      </c>
      <c r="B444" s="7">
        <v>0.34861111111111115</v>
      </c>
      <c r="C444" s="7">
        <v>0.3666666666666667</v>
      </c>
      <c r="D444" s="7">
        <f>(0.366666666666667-0.348611111111111)</f>
        <v>1.8055555555555991E-2</v>
      </c>
      <c r="E444" s="7">
        <f>ABS(0.018055555555556-0.0173611111111119)</f>
        <v>6.9444444444410197E-4</v>
      </c>
      <c r="F444" s="1" t="s">
        <v>10</v>
      </c>
    </row>
    <row r="445" spans="1:6" x14ac:dyDescent="0.25">
      <c r="A445" s="11">
        <v>42064</v>
      </c>
      <c r="B445" s="7">
        <v>0.61319444444444449</v>
      </c>
      <c r="C445" s="7">
        <v>0.63055555555555554</v>
      </c>
      <c r="D445" s="7">
        <f>(0.630555555555556-0.613194444444444)</f>
        <v>1.7361111111111938E-2</v>
      </c>
      <c r="E445" s="7">
        <f>ABS(0.0173611111111119-0.018055555555555)</f>
        <v>6.944444444430993E-4</v>
      </c>
      <c r="F445" s="1" t="s">
        <v>10</v>
      </c>
    </row>
    <row r="446" spans="1:6" x14ac:dyDescent="0.25">
      <c r="A446" s="11">
        <v>42064</v>
      </c>
      <c r="B446" s="7">
        <v>0.64027777777777783</v>
      </c>
      <c r="C446" s="7">
        <v>0.65833333333333333</v>
      </c>
      <c r="D446" s="7">
        <f>(0.658333333333333-0.640277777777778)</f>
        <v>1.8055555555555047E-2</v>
      </c>
      <c r="E446" s="7">
        <f>ABS(0.018055555555555-0.017361111111112)</f>
        <v>6.9444444444299869E-4</v>
      </c>
      <c r="F446" s="1" t="s">
        <v>10</v>
      </c>
    </row>
    <row r="447" spans="1:6" x14ac:dyDescent="0.25">
      <c r="A447" s="11">
        <v>42064</v>
      </c>
      <c r="B447" s="7">
        <v>0.75069444444444444</v>
      </c>
      <c r="C447" s="7">
        <v>0.7680555555555556</v>
      </c>
      <c r="D447" s="7">
        <f>(0.768055555555556-0.750694444444444)</f>
        <v>1.7361111111112049E-2</v>
      </c>
      <c r="E447" s="7">
        <f>ABS(0.017361111111112-0.0152777777777779)</f>
        <v>2.0833333333340996E-3</v>
      </c>
      <c r="F447" s="1" t="s">
        <v>10</v>
      </c>
    </row>
    <row r="448" spans="1:6" x14ac:dyDescent="0.25">
      <c r="A448" s="11">
        <v>42064</v>
      </c>
      <c r="B448" s="7">
        <v>0.8125</v>
      </c>
      <c r="C448" s="7">
        <v>0.82777777777777783</v>
      </c>
      <c r="D448" s="7">
        <f>(0.827777777777778-0.8125)</f>
        <v>1.5277777777777946E-2</v>
      </c>
      <c r="E448" s="7">
        <f>ABS(0.0152777777777779-0.0159722222222221)</f>
        <v>6.9444444444419912E-4</v>
      </c>
      <c r="F448" s="1" t="s">
        <v>10</v>
      </c>
    </row>
    <row r="449" spans="1:6" x14ac:dyDescent="0.25">
      <c r="A449" s="11">
        <v>42064</v>
      </c>
      <c r="B449" s="7">
        <v>0.84375</v>
      </c>
      <c r="C449" s="7">
        <v>0.85972222222222217</v>
      </c>
      <c r="D449" s="7">
        <f>(0.859722222222222-0.84375)</f>
        <v>1.5972222222222054E-2</v>
      </c>
      <c r="E449" s="7">
        <f>ABS(0.0159722222222221-0.023611111111112)</f>
        <v>7.6388888888898991E-3</v>
      </c>
      <c r="F449" s="1" t="s">
        <v>10</v>
      </c>
    </row>
    <row r="450" spans="1:6" x14ac:dyDescent="0.25">
      <c r="A450" s="11">
        <v>42064</v>
      </c>
      <c r="B450" s="7">
        <v>0.86805555555555547</v>
      </c>
      <c r="C450" s="7">
        <v>0.89166666666666661</v>
      </c>
      <c r="D450" s="7">
        <f>(0.891666666666667-0.868055555555555)</f>
        <v>2.3611111111112026E-2</v>
      </c>
      <c r="E450" s="7">
        <f>ABS(0.023611111111112-0.0131944444444451)</f>
        <v>1.0416666666666899E-2</v>
      </c>
      <c r="F450" s="1" t="s">
        <v>10</v>
      </c>
    </row>
    <row r="451" spans="1:6" x14ac:dyDescent="0.25">
      <c r="A451" s="11">
        <v>42064</v>
      </c>
      <c r="B451" s="7">
        <v>0.8833333333333333</v>
      </c>
      <c r="C451" s="7">
        <v>0.8965277777777777</v>
      </c>
      <c r="D451" s="7">
        <f>(0.896527777777778-0.883333333333333)</f>
        <v>1.3194444444445064E-2</v>
      </c>
      <c r="E451" s="7">
        <f>ABS(0.0131944444444451-0.010416666666667)</f>
        <v>2.777777777778101E-3</v>
      </c>
      <c r="F451" s="1" t="s">
        <v>10</v>
      </c>
    </row>
    <row r="452" spans="1:6" x14ac:dyDescent="0.25">
      <c r="A452" s="11">
        <v>42064</v>
      </c>
      <c r="B452" s="7">
        <v>0.96736111111111101</v>
      </c>
      <c r="C452" s="7">
        <v>0.97777777777777775</v>
      </c>
      <c r="D452" s="7">
        <f>(0.977777777777778-0.967361111111111)</f>
        <v>1.0416666666666963E-2</v>
      </c>
      <c r="E452" s="7">
        <f>ABS(0.010416666666667-0.0152777777777778)</f>
        <v>4.8611111111108007E-3</v>
      </c>
      <c r="F452" s="1" t="s">
        <v>10</v>
      </c>
    </row>
    <row r="453" spans="1:6" x14ac:dyDescent="0.25">
      <c r="A453" s="11">
        <v>42064</v>
      </c>
      <c r="B453" s="7">
        <v>3.9583333333333331E-2</v>
      </c>
      <c r="C453" s="7">
        <v>5.486111111111111E-2</v>
      </c>
      <c r="D453" s="7">
        <f>(0.0548611111111111-0.0395833333333333)</f>
        <v>1.52777777777778E-2</v>
      </c>
      <c r="E453" s="7">
        <f>ABS(0.0152777777777778-0.0159722222222222)</f>
        <v>6.9444444444440034E-4</v>
      </c>
      <c r="F453" s="1" t="s">
        <v>10</v>
      </c>
    </row>
    <row r="454" spans="1:6" x14ac:dyDescent="0.25">
      <c r="A454" s="11">
        <v>42064</v>
      </c>
      <c r="B454" s="7">
        <v>6.1111111111111116E-2</v>
      </c>
      <c r="C454" s="7">
        <v>7.7083333333333337E-2</v>
      </c>
      <c r="D454" s="7">
        <f>(0.0770833333333333-0.0611111111111111)</f>
        <v>1.5972222222222193E-2</v>
      </c>
      <c r="E454" s="7">
        <f>ABS(0.0159722222222222-0.0125000000000001)</f>
        <v>3.4722222222221006E-3</v>
      </c>
      <c r="F454" s="1" t="s">
        <v>10</v>
      </c>
    </row>
    <row r="455" spans="1:6" x14ac:dyDescent="0.25">
      <c r="A455" s="11">
        <v>42064</v>
      </c>
      <c r="B455" s="7">
        <v>0.54375000000000007</v>
      </c>
      <c r="C455" s="7">
        <v>0.55625000000000002</v>
      </c>
      <c r="D455" s="7">
        <f>(0.55625-0.54375)</f>
        <v>1.2500000000000067E-2</v>
      </c>
      <c r="E455" s="7">
        <f>ABS(0.0125000000000001-0.024305555555556)</f>
        <v>1.18055555555559E-2</v>
      </c>
      <c r="F455" s="1" t="s">
        <v>10</v>
      </c>
    </row>
    <row r="456" spans="1:6" x14ac:dyDescent="0.25">
      <c r="A456" s="11">
        <v>42064</v>
      </c>
      <c r="B456" s="7">
        <v>0.6</v>
      </c>
      <c r="C456" s="7">
        <v>0.62430555555555556</v>
      </c>
      <c r="D456" s="7">
        <f>(0.624305555555556-0.6)</f>
        <v>2.4305555555556024E-2</v>
      </c>
      <c r="E456" s="7">
        <f>ABS(0.024305555555556-0.020138888888889)</f>
        <v>4.1666666666669988E-3</v>
      </c>
      <c r="F456" s="1" t="s">
        <v>10</v>
      </c>
    </row>
    <row r="457" spans="1:6" x14ac:dyDescent="0.25">
      <c r="A457" s="11">
        <v>42064</v>
      </c>
      <c r="B457" s="7">
        <v>0.76527777777777783</v>
      </c>
      <c r="C457" s="7">
        <v>0.78541666666666676</v>
      </c>
      <c r="D457" s="7">
        <f>(0.785416666666667-0.765277777777778)</f>
        <v>2.0138888888889039E-2</v>
      </c>
      <c r="E457" s="7">
        <f>ABS(0.020138888888889-0.022222222222222)</f>
        <v>2.0833333333329998E-3</v>
      </c>
      <c r="F457" s="1" t="s">
        <v>10</v>
      </c>
    </row>
    <row r="458" spans="1:6" x14ac:dyDescent="0.25">
      <c r="A458" s="11">
        <v>42064</v>
      </c>
      <c r="B458" s="7">
        <v>0.77500000000000002</v>
      </c>
      <c r="C458" s="7">
        <v>0.79722222222222217</v>
      </c>
      <c r="D458" s="7">
        <f>(0.797222222222222-0.775)</f>
        <v>2.2222222222222032E-2</v>
      </c>
      <c r="E458" s="7">
        <f>ABS(0.022222222222222-0.0152777777777779)</f>
        <v>6.9444444444441006E-3</v>
      </c>
      <c r="F458" s="1" t="s">
        <v>10</v>
      </c>
    </row>
    <row r="459" spans="1:6" x14ac:dyDescent="0.25">
      <c r="A459" s="11">
        <v>42064</v>
      </c>
      <c r="B459" s="7">
        <v>0.80208333333333337</v>
      </c>
      <c r="C459" s="7">
        <v>0.81736111111111109</v>
      </c>
      <c r="D459" s="7">
        <f>(0.817361111111111-0.802083333333333)</f>
        <v>1.5277777777777946E-2</v>
      </c>
      <c r="E459" s="7">
        <f>ABS(0.0152777777777779-0.00902777777777697)</f>
        <v>6.2500000000009302E-3</v>
      </c>
      <c r="F459" s="1" t="s">
        <v>10</v>
      </c>
    </row>
    <row r="460" spans="1:6" x14ac:dyDescent="0.25">
      <c r="A460" s="11">
        <v>42064</v>
      </c>
      <c r="B460" s="7">
        <v>0.9243055555555556</v>
      </c>
      <c r="C460" s="7">
        <v>0.93333333333333324</v>
      </c>
      <c r="D460" s="7">
        <f>(0.933333333333333-0.924305555555556)</f>
        <v>9.0277777777769685E-3</v>
      </c>
      <c r="E460" s="7">
        <f>ABS(0.00902777777777697-0.0402777777777777)</f>
        <v>3.1250000000000729E-2</v>
      </c>
      <c r="F460" s="1" t="s">
        <v>10</v>
      </c>
    </row>
    <row r="461" spans="1:6" x14ac:dyDescent="0.25">
      <c r="A461" s="11">
        <v>42064</v>
      </c>
      <c r="B461" s="7">
        <v>2.9166666666666664E-2</v>
      </c>
      <c r="C461" s="7">
        <v>6.9444444444444434E-2</v>
      </c>
      <c r="D461" s="7">
        <f>(0.0694444444444444-0.0291666666666667)</f>
        <v>4.0277777777777704E-2</v>
      </c>
      <c r="E461" s="7">
        <f>ABS(0.0402777777777777-0.018055555555555)</f>
        <v>2.2222222222222698E-2</v>
      </c>
      <c r="F461" s="1" t="s">
        <v>10</v>
      </c>
    </row>
    <row r="462" spans="1:6" x14ac:dyDescent="0.25">
      <c r="A462" s="11">
        <v>42064</v>
      </c>
      <c r="B462" s="7">
        <v>0.34791666666666665</v>
      </c>
      <c r="C462" s="7">
        <v>0.3659722222222222</v>
      </c>
      <c r="D462" s="7">
        <f>(0.365972222222222-0.347916666666667)</f>
        <v>1.8055555555554992E-2</v>
      </c>
      <c r="E462" s="7">
        <f>ABS(0.018055555555555-0.072222222222223)</f>
        <v>5.4166666666668008E-2</v>
      </c>
      <c r="F462" s="1" t="s">
        <v>10</v>
      </c>
    </row>
    <row r="463" spans="1:6" x14ac:dyDescent="0.25">
      <c r="A463" s="11">
        <v>42064</v>
      </c>
      <c r="B463" s="7">
        <v>0.36319444444444443</v>
      </c>
      <c r="C463" s="7">
        <v>0.43541666666666662</v>
      </c>
      <c r="D463" s="7">
        <f>(0.435416666666667-0.363194444444444)</f>
        <v>7.222222222222302E-2</v>
      </c>
      <c r="E463" s="7">
        <f>ABS(0.072222222222223-0.020138888888889)</f>
        <v>5.2083333333334009E-2</v>
      </c>
      <c r="F463" s="1" t="s">
        <v>10</v>
      </c>
    </row>
    <row r="464" spans="1:6" x14ac:dyDescent="0.25">
      <c r="A464" s="11">
        <v>42064</v>
      </c>
      <c r="B464" s="7">
        <v>0.40277777777777773</v>
      </c>
      <c r="C464" s="7">
        <v>0.42291666666666666</v>
      </c>
      <c r="D464" s="7">
        <f>(0.422916666666667-0.402777777777778)</f>
        <v>2.0138888888888984E-2</v>
      </c>
      <c r="E464" s="7">
        <f>ABS(0.020138888888889-0.0194444444444449)</f>
        <v>6.9444444444410197E-4</v>
      </c>
      <c r="F464" s="1" t="s">
        <v>10</v>
      </c>
    </row>
    <row r="465" spans="1:6" x14ac:dyDescent="0.25">
      <c r="A465" s="11">
        <v>42064</v>
      </c>
      <c r="B465" s="7">
        <v>0.49444444444444446</v>
      </c>
      <c r="C465" s="7">
        <v>0.51388888888888895</v>
      </c>
      <c r="D465" s="7">
        <f>(0.513888888888889-0.494444444444444)</f>
        <v>1.944444444444493E-2</v>
      </c>
      <c r="E465" s="7">
        <f>ABS(0.0194444444444449-0.0159722222222229)</f>
        <v>3.4722222222219983E-3</v>
      </c>
      <c r="F465" s="1" t="s">
        <v>10</v>
      </c>
    </row>
    <row r="466" spans="1:6" x14ac:dyDescent="0.25">
      <c r="A466" s="11">
        <v>42064</v>
      </c>
      <c r="B466" s="7">
        <v>0.77430555555555547</v>
      </c>
      <c r="C466" s="7">
        <v>0.79027777777777775</v>
      </c>
      <c r="D466" s="7">
        <f>(0.790277777777778-0.774305555555555)</f>
        <v>1.5972222222222943E-2</v>
      </c>
      <c r="E466" s="7">
        <f>ABS(0.0159722222222229-0.018055555555556)</f>
        <v>2.0833333333331004E-3</v>
      </c>
      <c r="F466" s="1" t="s">
        <v>10</v>
      </c>
    </row>
    <row r="467" spans="1:6" x14ac:dyDescent="0.25">
      <c r="A467" s="11">
        <v>42064</v>
      </c>
      <c r="B467" s="7">
        <v>0.91111111111111109</v>
      </c>
      <c r="C467" s="7">
        <v>0.9291666666666667</v>
      </c>
      <c r="D467" s="7">
        <f>(0.929166666666667-0.911111111111111)</f>
        <v>1.8055555555556047E-2</v>
      </c>
      <c r="E467" s="7">
        <f>ABS(0.018055555555556-0.0159722222222221)</f>
        <v>2.0833333333339019E-3</v>
      </c>
      <c r="F467" s="1" t="s">
        <v>10</v>
      </c>
    </row>
    <row r="468" spans="1:6" x14ac:dyDescent="0.25">
      <c r="A468" s="11">
        <v>42064</v>
      </c>
      <c r="B468" s="7">
        <v>0.93888888888888899</v>
      </c>
      <c r="C468" s="7">
        <v>0.95486111111111116</v>
      </c>
      <c r="D468" s="7">
        <f>(0.954861111111111-0.938888888888889)</f>
        <v>1.5972222222222054E-2</v>
      </c>
      <c r="E468" s="7">
        <f>ABS(0.0159722222222221-0.020833333333333)</f>
        <v>4.8611111111108996E-3</v>
      </c>
      <c r="F468" s="1" t="s">
        <v>10</v>
      </c>
    </row>
    <row r="469" spans="1:6" x14ac:dyDescent="0.25">
      <c r="A469" s="11">
        <v>42064</v>
      </c>
      <c r="B469" s="7">
        <v>0.25555555555555559</v>
      </c>
      <c r="C469" s="7">
        <v>0.27638888888888885</v>
      </c>
      <c r="D469" s="7">
        <f>(0.276388888888889-0.255555555555556)</f>
        <v>2.0833333333333037E-2</v>
      </c>
      <c r="E469" s="7">
        <f>ABS(0.020833333333333-0.025)</f>
        <v>4.1666666666670023E-3</v>
      </c>
      <c r="F469" s="1" t="s">
        <v>10</v>
      </c>
    </row>
    <row r="470" spans="1:6" x14ac:dyDescent="0.25">
      <c r="A470" s="11">
        <v>42064</v>
      </c>
      <c r="B470" s="7">
        <v>0.36805555555555558</v>
      </c>
      <c r="C470" s="7">
        <v>0.39305555555555555</v>
      </c>
      <c r="D470" s="7">
        <f>(0.393055555555556-0.368055555555556)</f>
        <v>2.4999999999999967E-2</v>
      </c>
      <c r="E470" s="7">
        <f>ABS(0.025-0.020833333333333)</f>
        <v>4.1666666666670023E-3</v>
      </c>
      <c r="F470" s="1" t="s">
        <v>10</v>
      </c>
    </row>
    <row r="471" spans="1:6" x14ac:dyDescent="0.25">
      <c r="A471" s="11">
        <v>42064</v>
      </c>
      <c r="B471" s="7">
        <v>0.48055555555555557</v>
      </c>
      <c r="C471" s="7">
        <v>0.50138888888888888</v>
      </c>
      <c r="D471" s="7">
        <f>(0.501388888888889-0.480555555555556)</f>
        <v>2.0833333333332982E-2</v>
      </c>
      <c r="E471" s="7">
        <f>ABS(0.020833333333333-0.017361111111111)</f>
        <v>3.4722222222219983E-3</v>
      </c>
      <c r="F471" s="1" t="s">
        <v>10</v>
      </c>
    </row>
    <row r="472" spans="1:6" x14ac:dyDescent="0.25">
      <c r="A472" s="11">
        <v>42064</v>
      </c>
      <c r="B472" s="7">
        <v>0.50277777777777777</v>
      </c>
      <c r="C472" s="7">
        <v>0.52013888888888882</v>
      </c>
      <c r="D472" s="7">
        <f>(0.520138888888889-0.502777777777778)</f>
        <v>1.7361111111111049E-2</v>
      </c>
      <c r="E472" s="7">
        <f>ABS(0.017361111111111-0.0187499999999999)</f>
        <v>1.3888888888888978E-3</v>
      </c>
      <c r="F472" s="1" t="s">
        <v>10</v>
      </c>
    </row>
    <row r="473" spans="1:6" x14ac:dyDescent="0.25">
      <c r="A473" s="11">
        <v>42064</v>
      </c>
      <c r="B473" s="7">
        <v>0.55069444444444449</v>
      </c>
      <c r="C473" s="7">
        <v>0.56944444444444442</v>
      </c>
      <c r="D473" s="7">
        <f>(0.569444444444444-0.550694444444444)</f>
        <v>1.8749999999999933E-2</v>
      </c>
      <c r="E473" s="7">
        <f>ABS(0.0187499999999999-0.020138888888889)</f>
        <v>1.3888888888891025E-3</v>
      </c>
      <c r="F473" s="1" t="s">
        <v>10</v>
      </c>
    </row>
    <row r="474" spans="1:6" x14ac:dyDescent="0.25">
      <c r="A474" s="11">
        <v>42064</v>
      </c>
      <c r="B474" s="7">
        <v>0.62708333333333333</v>
      </c>
      <c r="C474" s="7">
        <v>0.64722222222222225</v>
      </c>
      <c r="D474" s="7">
        <f>(0.647222222222222-0.627083333333333)</f>
        <v>2.0138888888889039E-2</v>
      </c>
      <c r="E474" s="7">
        <f>ABS(0.020138888888889-0.027083333333333)</f>
        <v>6.944444444444E-3</v>
      </c>
      <c r="F474" s="1" t="s">
        <v>10</v>
      </c>
    </row>
    <row r="475" spans="1:6" x14ac:dyDescent="0.25">
      <c r="A475" s="11">
        <v>42064</v>
      </c>
      <c r="B475" s="7">
        <v>0.63263888888888886</v>
      </c>
      <c r="C475" s="7">
        <v>0.65972222222222221</v>
      </c>
      <c r="D475" s="7">
        <f>(0.659722222222222-0.632638888888889)</f>
        <v>2.7083333333333015E-2</v>
      </c>
      <c r="E475" s="7">
        <f>ABS(0.027083333333333-0.0159722222222221)</f>
        <v>1.1111111111110902E-2</v>
      </c>
      <c r="F475" s="1" t="s">
        <v>10</v>
      </c>
    </row>
    <row r="476" spans="1:6" x14ac:dyDescent="0.25">
      <c r="A476" s="11">
        <v>42064</v>
      </c>
      <c r="B476" s="7">
        <v>0.76180555555555562</v>
      </c>
      <c r="C476" s="7">
        <v>0.77777777777777779</v>
      </c>
      <c r="D476" s="7">
        <f>(0.777777777777778-0.761805555555556)</f>
        <v>1.5972222222222054E-2</v>
      </c>
      <c r="E476" s="7">
        <f>ABS(0.0159722222222221-0.0152777777777779)</f>
        <v>6.9444444444419912E-4</v>
      </c>
      <c r="F476" s="1" t="s">
        <v>10</v>
      </c>
    </row>
    <row r="477" spans="1:6" x14ac:dyDescent="0.25">
      <c r="A477" s="11">
        <v>42064</v>
      </c>
      <c r="B477" s="7">
        <v>0.77847222222222223</v>
      </c>
      <c r="C477" s="7">
        <v>0.79375000000000007</v>
      </c>
      <c r="D477" s="7">
        <f>(0.79375-0.778472222222222)</f>
        <v>1.5277777777777946E-2</v>
      </c>
      <c r="E477" s="7">
        <f>ABS(0.0152777777777779-0.020138888888888)</f>
        <v>4.8611111111100981E-3</v>
      </c>
      <c r="F477" s="1" t="s">
        <v>10</v>
      </c>
    </row>
    <row r="478" spans="1:6" x14ac:dyDescent="0.25">
      <c r="A478" s="11">
        <v>42064</v>
      </c>
      <c r="B478" s="7">
        <v>0.78541666666666676</v>
      </c>
      <c r="C478" s="7">
        <v>0.80555555555555547</v>
      </c>
      <c r="D478" s="7">
        <f>(0.805555555555555-0.785416666666667)</f>
        <v>2.013888888888804E-2</v>
      </c>
      <c r="E478" s="7">
        <f>ABS(0.020138888888888-0.0145833333333329)</f>
        <v>5.5555555555550987E-3</v>
      </c>
      <c r="F478" s="1" t="s">
        <v>10</v>
      </c>
    </row>
    <row r="479" spans="1:6" x14ac:dyDescent="0.25">
      <c r="A479" s="11">
        <v>42064</v>
      </c>
      <c r="B479" s="7">
        <v>0.86249999999999993</v>
      </c>
      <c r="C479" s="7">
        <v>0.87708333333333333</v>
      </c>
      <c r="D479" s="7">
        <f>(0.877083333333333-0.8625)</f>
        <v>1.4583333333332948E-2</v>
      </c>
      <c r="E479" s="7">
        <f>ABS(0.0145833333333329-0.020833333333333)</f>
        <v>6.2500000000000992E-3</v>
      </c>
      <c r="F479" s="1" t="s">
        <v>10</v>
      </c>
    </row>
    <row r="480" spans="1:6" x14ac:dyDescent="0.25">
      <c r="A480" s="11">
        <v>42064</v>
      </c>
      <c r="B480" s="7">
        <v>0.12638888888888888</v>
      </c>
      <c r="C480" s="7">
        <v>0.14722222222222223</v>
      </c>
      <c r="D480" s="7">
        <f>(0.147222222222222-0.126388888888889)</f>
        <v>2.083333333333301E-2</v>
      </c>
      <c r="E480" s="7">
        <f>ABS(0.020833333333333-0.0180555555555549)</f>
        <v>2.7777777777780975E-3</v>
      </c>
      <c r="F480" s="1" t="s">
        <v>10</v>
      </c>
    </row>
    <row r="481" spans="1:6" x14ac:dyDescent="0.25">
      <c r="A481" s="11">
        <v>42064</v>
      </c>
      <c r="B481" s="7">
        <v>0.5229166666666667</v>
      </c>
      <c r="C481" s="7">
        <v>0.54097222222222219</v>
      </c>
      <c r="D481" s="7">
        <f>(0.540972222222222-0.522916666666667)</f>
        <v>1.8055555555554936E-2</v>
      </c>
      <c r="E481" s="7">
        <f>ABS(0.0180555555555549-0.019444444444444)</f>
        <v>1.3888888888890991E-3</v>
      </c>
      <c r="F481" s="1" t="s">
        <v>10</v>
      </c>
    </row>
    <row r="482" spans="1:6" x14ac:dyDescent="0.25">
      <c r="A482" s="11">
        <v>42064</v>
      </c>
      <c r="B482" s="7">
        <v>0.57500000000000007</v>
      </c>
      <c r="C482" s="7">
        <v>0.59444444444444444</v>
      </c>
      <c r="D482" s="7">
        <f>(0.594444444444444-0.575)</f>
        <v>1.9444444444444042E-2</v>
      </c>
      <c r="E482" s="7">
        <f>ABS(0.019444444444444-0.013194444444444)</f>
        <v>6.2500000000000003E-3</v>
      </c>
      <c r="F482" s="1" t="s">
        <v>10</v>
      </c>
    </row>
    <row r="483" spans="1:6" x14ac:dyDescent="0.25">
      <c r="A483" s="11">
        <v>42064</v>
      </c>
      <c r="B483" s="7">
        <v>0.7368055555555556</v>
      </c>
      <c r="C483" s="7">
        <v>0.75</v>
      </c>
      <c r="D483" s="7">
        <f>(0.75-0.736805555555556)</f>
        <v>1.3194444444443953E-2</v>
      </c>
      <c r="E483" s="7">
        <f>ABS(0.013194444444444-0.0298611111111109)</f>
        <v>1.6666666666666899E-2</v>
      </c>
      <c r="F483" s="1" t="s">
        <v>10</v>
      </c>
    </row>
    <row r="484" spans="1:6" x14ac:dyDescent="0.25">
      <c r="A484" s="11">
        <v>42064</v>
      </c>
      <c r="B484" s="7">
        <v>0.79722222222222217</v>
      </c>
      <c r="C484" s="7">
        <v>0.82708333333333339</v>
      </c>
      <c r="D484" s="7">
        <f>(0.827083333333333-0.797222222222222)</f>
        <v>2.9861111111110894E-2</v>
      </c>
      <c r="E484" s="7">
        <f>ABS(0.0298611111111109-0.0145833333333329)</f>
        <v>1.5277777777778001E-2</v>
      </c>
      <c r="F484" s="1" t="s">
        <v>10</v>
      </c>
    </row>
    <row r="485" spans="1:6" x14ac:dyDescent="0.25">
      <c r="A485" s="11">
        <v>42064</v>
      </c>
      <c r="B485" s="7">
        <v>0.83263888888888893</v>
      </c>
      <c r="C485" s="7">
        <v>0.84722222222222221</v>
      </c>
      <c r="D485" s="7">
        <f>(0.847222222222222-0.832638888888889)</f>
        <v>1.4583333333332948E-2</v>
      </c>
      <c r="E485" s="7">
        <f>ABS(0.0145833333333329-0.00763888888888897)</f>
        <v>6.9444444444439297E-3</v>
      </c>
      <c r="F485" s="1" t="s">
        <v>10</v>
      </c>
    </row>
    <row r="486" spans="1:6" x14ac:dyDescent="0.25">
      <c r="A486" s="11">
        <v>42064</v>
      </c>
      <c r="B486" s="7">
        <v>0.8979166666666667</v>
      </c>
      <c r="C486" s="7">
        <v>0.90555555555555556</v>
      </c>
      <c r="D486" s="7">
        <f>(0.905555555555556-0.897916666666667)</f>
        <v>7.6388888888889728E-3</v>
      </c>
      <c r="E486" s="7">
        <f>ABS(0.00763888888888897-0.0180555555555499)</f>
        <v>1.0416666666660929E-2</v>
      </c>
      <c r="F486" s="1" t="s">
        <v>10</v>
      </c>
    </row>
    <row r="487" spans="1:6" x14ac:dyDescent="0.25">
      <c r="A487" s="11">
        <v>42064</v>
      </c>
      <c r="B487" s="7">
        <v>1.0104166666666667</v>
      </c>
      <c r="C487" s="7">
        <v>1.0284722222222222</v>
      </c>
      <c r="D487" s="7">
        <f>(1.02847222222222-1.01041666666667)</f>
        <v>1.805555555554994E-2</v>
      </c>
      <c r="E487" s="7">
        <f>ABS(0.0180555555555499-0.015972222222222)</f>
        <v>2.0833333333278997E-3</v>
      </c>
      <c r="F487" s="1" t="s">
        <v>10</v>
      </c>
    </row>
    <row r="488" spans="1:6" x14ac:dyDescent="0.25">
      <c r="A488" s="11">
        <v>42064</v>
      </c>
      <c r="B488" s="7">
        <v>0.12847222222222224</v>
      </c>
      <c r="C488" s="7">
        <v>0.14444444444444446</v>
      </c>
      <c r="D488" s="7">
        <f>(0.144444444444444-0.128472222222222)</f>
        <v>1.5972222222221999E-2</v>
      </c>
      <c r="E488" s="7">
        <f>ABS(0.015972222222222-0.022916666666667)</f>
        <v>6.9444444444450026E-3</v>
      </c>
      <c r="F488" s="1" t="s">
        <v>10</v>
      </c>
    </row>
    <row r="489" spans="1:6" x14ac:dyDescent="0.25">
      <c r="A489" s="11">
        <v>42064</v>
      </c>
      <c r="B489" s="7">
        <v>0.32708333333333334</v>
      </c>
      <c r="C489" s="7">
        <v>0.35000000000000003</v>
      </c>
      <c r="D489" s="7">
        <f>(0.35-0.327083333333333)</f>
        <v>2.2916666666666974E-2</v>
      </c>
      <c r="E489" s="7">
        <f>ABS(0.022916666666667-0.018055555555555)</f>
        <v>4.8611111111120028E-3</v>
      </c>
      <c r="F489" s="1" t="s">
        <v>10</v>
      </c>
    </row>
    <row r="490" spans="1:6" x14ac:dyDescent="0.25">
      <c r="A490" s="11">
        <v>42064</v>
      </c>
      <c r="B490" s="7">
        <v>0.43888888888888888</v>
      </c>
      <c r="C490" s="7">
        <v>0.45694444444444443</v>
      </c>
      <c r="D490" s="7">
        <f>(0.456944444444444-0.438888888888889)</f>
        <v>1.8055555555554992E-2</v>
      </c>
      <c r="E490" s="7">
        <f>ABS(0.018055555555555-0.0173611111111109)</f>
        <v>6.944444444440985E-4</v>
      </c>
      <c r="F490" s="1" t="s">
        <v>10</v>
      </c>
    </row>
    <row r="491" spans="1:6" x14ac:dyDescent="0.25">
      <c r="A491" s="11">
        <v>42064</v>
      </c>
      <c r="B491" s="7">
        <v>0.52777777777777779</v>
      </c>
      <c r="C491" s="7">
        <v>0.54513888888888895</v>
      </c>
      <c r="D491" s="7">
        <f>(0.545138888888889-0.527777777777778)</f>
        <v>1.7361111111110938E-2</v>
      </c>
      <c r="E491" s="7">
        <f>ABS(0.0173611111111109-0.024305555555556)</f>
        <v>6.9444444444450998E-3</v>
      </c>
      <c r="F491" s="1" t="s">
        <v>10</v>
      </c>
    </row>
    <row r="492" spans="1:6" x14ac:dyDescent="0.25">
      <c r="A492" s="11">
        <v>42064</v>
      </c>
      <c r="B492" s="7">
        <v>0.47569444444444442</v>
      </c>
      <c r="C492" s="7">
        <v>0.5</v>
      </c>
      <c r="D492" s="7">
        <f>(0.5-0.475694444444444)</f>
        <v>2.4305555555556024E-2</v>
      </c>
      <c r="E492" s="7">
        <f>ABS(0.024305555555556-0.0173611111111109)</f>
        <v>6.9444444444450998E-3</v>
      </c>
      <c r="F492" s="1" t="s">
        <v>10</v>
      </c>
    </row>
    <row r="493" spans="1:6" x14ac:dyDescent="0.25">
      <c r="A493" s="11">
        <v>42064</v>
      </c>
      <c r="B493" s="7">
        <v>0.55486111111111114</v>
      </c>
      <c r="C493" s="7">
        <v>0.57222222222222219</v>
      </c>
      <c r="D493" s="7">
        <f>(0.572222222222222-0.554861111111111)</f>
        <v>1.7361111111110938E-2</v>
      </c>
      <c r="E493" s="7">
        <f>ABS(0.0173611111111109-0.018055555555555)</f>
        <v>6.944444444440985E-4</v>
      </c>
      <c r="F493" s="1" t="s">
        <v>10</v>
      </c>
    </row>
    <row r="494" spans="1:6" x14ac:dyDescent="0.25">
      <c r="A494" s="11">
        <v>42064</v>
      </c>
      <c r="B494" s="7">
        <v>0.57430555555555551</v>
      </c>
      <c r="C494" s="7">
        <v>0.59236111111111112</v>
      </c>
      <c r="D494" s="7">
        <f>(0.592361111111111-0.574305555555556)</f>
        <v>1.8055555555555047E-2</v>
      </c>
      <c r="E494" s="7">
        <f>ABS(0.018055555555555-0.019444444444444)</f>
        <v>1.3888888888890019E-3</v>
      </c>
      <c r="F494" s="1" t="s">
        <v>10</v>
      </c>
    </row>
    <row r="495" spans="1:6" x14ac:dyDescent="0.25">
      <c r="A495" s="11">
        <v>42064</v>
      </c>
      <c r="B495" s="7">
        <v>0.73055555555555562</v>
      </c>
      <c r="C495" s="7">
        <v>0.75</v>
      </c>
      <c r="D495" s="7">
        <f>(0.75-0.730555555555556)</f>
        <v>1.9444444444444042E-2</v>
      </c>
      <c r="E495" s="7">
        <f>ABS(0.019444444444444-0.0194444444444449)</f>
        <v>8.9858676055598607E-16</v>
      </c>
      <c r="F495" s="1" t="s">
        <v>10</v>
      </c>
    </row>
    <row r="496" spans="1:6" x14ac:dyDescent="0.25">
      <c r="A496" s="11">
        <v>42064</v>
      </c>
      <c r="B496" s="7">
        <v>0.74097222222222225</v>
      </c>
      <c r="C496" s="7">
        <v>0.76041666666666663</v>
      </c>
      <c r="D496" s="7">
        <f>(0.760416666666667-0.740972222222222)</f>
        <v>1.944444444444493E-2</v>
      </c>
      <c r="E496" s="7">
        <f>ABS(0.0194444444444449-0.013888888888889)</f>
        <v>5.5555555555559001E-3</v>
      </c>
      <c r="F496" s="1" t="s">
        <v>10</v>
      </c>
    </row>
    <row r="497" spans="1:6" x14ac:dyDescent="0.25">
      <c r="A497" s="11">
        <v>42064</v>
      </c>
      <c r="B497" s="7">
        <v>0.77986111111111101</v>
      </c>
      <c r="C497" s="7">
        <v>0.79375000000000007</v>
      </c>
      <c r="D497" s="7">
        <f>(0.79375-0.779861111111111)</f>
        <v>1.3888888888888951E-2</v>
      </c>
      <c r="E497" s="7">
        <f>ABS(0.013888888888889-0.0152777777777781)</f>
        <v>1.3888888888891008E-3</v>
      </c>
      <c r="F497" s="1" t="s">
        <v>10</v>
      </c>
    </row>
    <row r="498" spans="1:6" x14ac:dyDescent="0.25">
      <c r="A498" s="11">
        <v>42064</v>
      </c>
      <c r="B498" s="7">
        <v>0.84861111111111109</v>
      </c>
      <c r="C498" s="7">
        <v>0.86388888888888893</v>
      </c>
      <c r="D498" s="7">
        <f>(0.863888888888889-0.848611111111111)</f>
        <v>1.5277777777778057E-2</v>
      </c>
      <c r="E498" s="7">
        <f>ABS(0.0152777777777781-0.047222222222223)</f>
        <v>3.19444444444449E-2</v>
      </c>
      <c r="F498" s="5" t="s">
        <v>10</v>
      </c>
    </row>
    <row r="499" spans="1:6" x14ac:dyDescent="0.25">
      <c r="A499" s="11">
        <v>42064</v>
      </c>
      <c r="B499" s="7">
        <v>0.43958333333333338</v>
      </c>
      <c r="C499" s="7">
        <v>0.48680555555555555</v>
      </c>
      <c r="D499" s="7">
        <f>(0.486805555555556-0.439583333333333)</f>
        <v>4.7222222222222998E-2</v>
      </c>
      <c r="E499" s="7">
        <f>ABS(0.047222222222223-0.01875)</f>
        <v>2.8472222222222999E-2</v>
      </c>
      <c r="F499" s="1" t="s">
        <v>10</v>
      </c>
    </row>
    <row r="500" spans="1:6" x14ac:dyDescent="0.25">
      <c r="A500" s="11">
        <v>42064</v>
      </c>
      <c r="B500" s="7">
        <v>0.48125000000000001</v>
      </c>
      <c r="C500" s="7">
        <v>0.5</v>
      </c>
      <c r="D500" s="7">
        <f>(0.5-0.48125)</f>
        <v>1.8749999999999989E-2</v>
      </c>
      <c r="E500" s="7">
        <f>ABS(0.01875-0.0138888888888881)</f>
        <v>4.8611111111118988E-3</v>
      </c>
      <c r="F500" s="1" t="s">
        <v>10</v>
      </c>
    </row>
    <row r="501" spans="1:6" x14ac:dyDescent="0.25">
      <c r="A501" s="11">
        <v>42064</v>
      </c>
      <c r="B501" s="7">
        <v>0.63055555555555554</v>
      </c>
      <c r="C501" s="7">
        <v>0.64444444444444449</v>
      </c>
      <c r="D501" s="7">
        <f>(0.644444444444444-0.630555555555556)</f>
        <v>1.3888888888888062E-2</v>
      </c>
      <c r="E501" s="7">
        <f>ABS(0.0138888888888881-0.0125)</f>
        <v>1.3888888888880999E-3</v>
      </c>
      <c r="F501" s="1" t="s">
        <v>10</v>
      </c>
    </row>
    <row r="502" spans="1:6" x14ac:dyDescent="0.25">
      <c r="A502" s="11">
        <v>42064</v>
      </c>
      <c r="B502" s="7">
        <v>0.17986111111111111</v>
      </c>
      <c r="C502" s="7">
        <v>0.19236111111111112</v>
      </c>
      <c r="D502" s="7">
        <f>(0.192361111111111-0.179861111111111)</f>
        <v>1.2500000000000011E-2</v>
      </c>
      <c r="E502" s="7">
        <f>ABS(0.0125-0.0159722222222219)</f>
        <v>3.4722222222218976E-3</v>
      </c>
      <c r="F502" s="1" t="s">
        <v>10</v>
      </c>
    </row>
    <row r="503" spans="1:6" x14ac:dyDescent="0.25">
      <c r="A503" s="11">
        <v>42064</v>
      </c>
      <c r="B503" s="7">
        <v>0.68611111111111101</v>
      </c>
      <c r="C503" s="7">
        <v>0.70208333333333339</v>
      </c>
      <c r="D503" s="7">
        <f>(0.702083333333333-0.686111111111111)</f>
        <v>1.5972222222221943E-2</v>
      </c>
      <c r="E503" s="7">
        <f>ABS(0.0159722222222219-0.019444444444444)</f>
        <v>3.4722222222221023E-3</v>
      </c>
      <c r="F503" s="1" t="s">
        <v>10</v>
      </c>
    </row>
    <row r="504" spans="1:6" x14ac:dyDescent="0.25">
      <c r="A504" s="11">
        <v>42064</v>
      </c>
      <c r="B504" s="7">
        <v>0.23750000000000002</v>
      </c>
      <c r="C504" s="7">
        <v>0.25694444444444448</v>
      </c>
      <c r="D504" s="7">
        <f>(0.256944444444444-0.2375)</f>
        <v>1.9444444444443987E-2</v>
      </c>
      <c r="E504" s="7">
        <f>ABS(0.019444444444444-0.027777777777777)</f>
        <v>8.3333333333329984E-3</v>
      </c>
      <c r="F504" s="1" t="s">
        <v>10</v>
      </c>
    </row>
    <row r="505" spans="1:6" x14ac:dyDescent="0.25">
      <c r="A505" s="11">
        <v>42064</v>
      </c>
      <c r="B505" s="7">
        <v>0.41180555555555554</v>
      </c>
      <c r="C505" s="7">
        <v>0.43958333333333338</v>
      </c>
      <c r="D505" s="7">
        <f>(0.439583333333333-0.411805555555556)</f>
        <v>2.7777777777777013E-2</v>
      </c>
      <c r="E505" s="7">
        <f>ABS(0.027777777777777-0.0270833333333339)</f>
        <v>6.944444444430993E-4</v>
      </c>
      <c r="F505" s="1" t="s">
        <v>10</v>
      </c>
    </row>
    <row r="506" spans="1:6" x14ac:dyDescent="0.25">
      <c r="A506" s="11">
        <v>42064</v>
      </c>
      <c r="B506" s="7">
        <v>0.54722222222222217</v>
      </c>
      <c r="C506" s="7">
        <v>0.57430555555555551</v>
      </c>
      <c r="D506" s="7">
        <f>(0.574305555555556-0.547222222222222)</f>
        <v>2.7083333333333903E-2</v>
      </c>
      <c r="E506" s="7">
        <f>ABS(0.0270833333333339-0.019444444444444)</f>
        <v>7.6388888888898991E-3</v>
      </c>
      <c r="F506" s="1" t="s">
        <v>10</v>
      </c>
    </row>
    <row r="507" spans="1:6" x14ac:dyDescent="0.25">
      <c r="A507" s="11">
        <v>42064</v>
      </c>
      <c r="B507" s="7">
        <v>0.56874999999999998</v>
      </c>
      <c r="C507" s="7">
        <v>0.58819444444444446</v>
      </c>
      <c r="D507" s="7">
        <f>(0.588194444444444-0.56875)</f>
        <v>1.9444444444444042E-2</v>
      </c>
      <c r="E507" s="7">
        <f>ABS(0.019444444444444-0.0173611111111109)</f>
        <v>2.0833333333331004E-3</v>
      </c>
      <c r="F507" s="1" t="s">
        <v>10</v>
      </c>
    </row>
    <row r="508" spans="1:6" x14ac:dyDescent="0.25">
      <c r="A508" s="11">
        <v>42064</v>
      </c>
      <c r="B508" s="7">
        <v>0.65277777777777779</v>
      </c>
      <c r="C508" s="7">
        <v>0.67013888888888884</v>
      </c>
      <c r="D508" s="7">
        <f>(0.670138888888889-0.652777777777778)</f>
        <v>1.7361111111110938E-2</v>
      </c>
      <c r="E508" s="7">
        <f>ABS(0.0173611111111109-0.0159722222222229)</f>
        <v>1.3888888888879992E-3</v>
      </c>
      <c r="F508" s="1" t="s">
        <v>10</v>
      </c>
    </row>
    <row r="509" spans="1:6" x14ac:dyDescent="0.25">
      <c r="A509" s="11">
        <v>42064</v>
      </c>
      <c r="B509" s="7">
        <v>0.74305555555555547</v>
      </c>
      <c r="C509" s="7">
        <v>0.75902777777777775</v>
      </c>
      <c r="D509" s="7">
        <f>(0.759027777777778-0.743055555555555)</f>
        <v>1.5972222222222943E-2</v>
      </c>
      <c r="E509" s="7">
        <f>ABS(0.0159722222222229-0.0152777777777781)</f>
        <v>6.9444444444480107E-4</v>
      </c>
      <c r="F509" s="1" t="s">
        <v>10</v>
      </c>
    </row>
    <row r="510" spans="1:6" x14ac:dyDescent="0.25">
      <c r="A510" s="11">
        <v>42064</v>
      </c>
      <c r="B510" s="7">
        <v>0.79513888888888884</v>
      </c>
      <c r="C510" s="7">
        <v>0.81041666666666667</v>
      </c>
      <c r="D510" s="7">
        <f>(0.810416666666667-0.795138888888889)</f>
        <v>1.5277777777778057E-2</v>
      </c>
      <c r="E510" s="7">
        <f>ABS(0.0152777777777781-0.011805555555556)</f>
        <v>3.4722222222221006E-3</v>
      </c>
      <c r="F510" s="1" t="s">
        <v>10</v>
      </c>
    </row>
    <row r="511" spans="1:6" x14ac:dyDescent="0.25">
      <c r="A511" s="11">
        <v>42064</v>
      </c>
      <c r="B511" s="7">
        <v>0.84583333333333333</v>
      </c>
      <c r="C511" s="7">
        <v>0.85763888888888884</v>
      </c>
      <c r="D511" s="7">
        <f>(0.857638888888889-0.845833333333333)</f>
        <v>1.1805555555555958E-2</v>
      </c>
      <c r="E511" s="7">
        <f>ABS(0.011805555555556-0.021527777777778)</f>
        <v>9.7222222222220003E-3</v>
      </c>
      <c r="F511" s="1" t="s">
        <v>10</v>
      </c>
    </row>
    <row r="512" spans="1:6" x14ac:dyDescent="0.25">
      <c r="A512" s="11">
        <v>42064</v>
      </c>
      <c r="B512" s="7">
        <v>0.39097222222222222</v>
      </c>
      <c r="C512" s="7">
        <v>0.41250000000000003</v>
      </c>
      <c r="D512" s="7">
        <f>(0.4125-0.390972222222222)</f>
        <v>2.1527777777777979E-2</v>
      </c>
      <c r="E512" s="7">
        <f>ABS(0.021527777777778-0.025694444444444)</f>
        <v>4.1666666666659996E-3</v>
      </c>
      <c r="F512" s="1" t="s">
        <v>10</v>
      </c>
    </row>
    <row r="513" spans="1:6" x14ac:dyDescent="0.25">
      <c r="A513" s="11">
        <v>42064</v>
      </c>
      <c r="B513" s="7">
        <v>0.41388888888888892</v>
      </c>
      <c r="C513" s="7">
        <v>0.43958333333333338</v>
      </c>
      <c r="D513" s="7">
        <f>(0.439583333333333-0.413888888888889)</f>
        <v>2.569444444444402E-2</v>
      </c>
      <c r="E513" s="7">
        <f>ABS(0.025694444444444-0.024305555555556)</f>
        <v>1.3888888888879992E-3</v>
      </c>
      <c r="F513" s="1" t="s">
        <v>10</v>
      </c>
    </row>
    <row r="514" spans="1:6" x14ac:dyDescent="0.25">
      <c r="A514" s="11">
        <v>42064</v>
      </c>
      <c r="B514" s="7">
        <v>0.51111111111111118</v>
      </c>
      <c r="C514" s="7">
        <v>0.53541666666666665</v>
      </c>
      <c r="D514" s="7">
        <f>(0.535416666666667-0.511111111111111)</f>
        <v>2.4305555555556024E-2</v>
      </c>
      <c r="E514" s="7">
        <f>ABS(0.024305555555556-0.020138888888889)</f>
        <v>4.1666666666669988E-3</v>
      </c>
      <c r="F514" s="1" t="s">
        <v>10</v>
      </c>
    </row>
    <row r="515" spans="1:6" x14ac:dyDescent="0.25">
      <c r="A515" s="11">
        <v>42064</v>
      </c>
      <c r="B515" s="7">
        <v>0.42499999999999999</v>
      </c>
      <c r="C515" s="7">
        <v>0.44513888888888892</v>
      </c>
      <c r="D515" s="7">
        <f>(0.445138888888889-0.425)</f>
        <v>2.0138888888888984E-2</v>
      </c>
      <c r="E515" s="7">
        <f>ABS(0.020138888888889-0.022222222222222)</f>
        <v>2.0833333333329998E-3</v>
      </c>
      <c r="F515" s="1" t="s">
        <v>10</v>
      </c>
    </row>
    <row r="516" spans="1:6" x14ac:dyDescent="0.25">
      <c r="A516" s="11">
        <v>42064</v>
      </c>
      <c r="B516" s="7">
        <v>0.48888888888888887</v>
      </c>
      <c r="C516" s="7">
        <v>0.51111111111111118</v>
      </c>
      <c r="D516" s="7">
        <f>(0.511111111111111-0.488888888888889)</f>
        <v>2.2222222222221977E-2</v>
      </c>
      <c r="E516" s="7">
        <f>ABS(0.022222222222222-0.02013888888889)</f>
        <v>2.0833333333320006E-3</v>
      </c>
      <c r="F516" s="1" t="s">
        <v>10</v>
      </c>
    </row>
    <row r="517" spans="1:6" x14ac:dyDescent="0.25">
      <c r="A517" s="11">
        <v>42064</v>
      </c>
      <c r="B517" s="7">
        <v>1.0173611111111112</v>
      </c>
      <c r="C517" s="7">
        <v>1.0374999999999999</v>
      </c>
      <c r="D517" s="7">
        <f>(1.0375-1.01736111111111)</f>
        <v>2.0138888888890039E-2</v>
      </c>
      <c r="E517" s="7">
        <f>ABS(0.02013888888889-0.0215277777777779)</f>
        <v>1.3888888888878986E-3</v>
      </c>
      <c r="F517" s="1" t="s">
        <v>10</v>
      </c>
    </row>
    <row r="518" spans="1:6" x14ac:dyDescent="0.25">
      <c r="A518" s="11">
        <v>42064</v>
      </c>
      <c r="B518" s="7">
        <v>0.51736111111111105</v>
      </c>
      <c r="C518" s="7">
        <v>0.53888888888888886</v>
      </c>
      <c r="D518" s="7">
        <f>(0.538888888888889-0.517361111111111)</f>
        <v>2.1527777777777923E-2</v>
      </c>
      <c r="E518" s="7">
        <f>ABS(0.0215277777777779-0.0166666666666659)</f>
        <v>4.8611111111119994E-3</v>
      </c>
      <c r="F518" s="1" t="s">
        <v>10</v>
      </c>
    </row>
    <row r="519" spans="1:6" x14ac:dyDescent="0.25">
      <c r="A519" s="11">
        <v>42064</v>
      </c>
      <c r="B519" s="7">
        <v>0.52152777777777781</v>
      </c>
      <c r="C519" s="7">
        <v>0.53819444444444442</v>
      </c>
      <c r="D519" s="7">
        <f>(0.538194444444444-0.521527777777778)</f>
        <v>1.6666666666665941E-2</v>
      </c>
      <c r="E519" s="7">
        <f>ABS(0.0166666666666659-0.019444444444444)</f>
        <v>2.777777777778101E-3</v>
      </c>
      <c r="F519" s="1" t="s">
        <v>10</v>
      </c>
    </row>
    <row r="520" spans="1:6" x14ac:dyDescent="0.25">
      <c r="A520" s="11">
        <v>42064</v>
      </c>
      <c r="B520" s="7">
        <v>0.57013888888888886</v>
      </c>
      <c r="C520" s="7">
        <v>0.58958333333333335</v>
      </c>
      <c r="D520" s="7">
        <f>(0.589583333333333-0.570138888888889)</f>
        <v>1.9444444444444042E-2</v>
      </c>
      <c r="E520" s="7">
        <f>ABS(0.019444444444444-0.019444444444444)</f>
        <v>0</v>
      </c>
      <c r="F520" s="1" t="s">
        <v>10</v>
      </c>
    </row>
    <row r="521" spans="1:6" x14ac:dyDescent="0.25">
      <c r="A521" s="11">
        <v>42064</v>
      </c>
      <c r="B521" s="7">
        <v>0.62777777777777777</v>
      </c>
      <c r="C521" s="7">
        <v>0.64722222222222225</v>
      </c>
      <c r="D521" s="7">
        <f>(0.647222222222222-0.627777777777778)</f>
        <v>1.9444444444444042E-2</v>
      </c>
      <c r="E521" s="7">
        <f>ABS(0.019444444444444-0.0201388888888889)</f>
        <v>6.9444444444489994E-4</v>
      </c>
      <c r="F521" s="1" t="s">
        <v>10</v>
      </c>
    </row>
    <row r="522" spans="1:6" x14ac:dyDescent="0.25">
      <c r="A522" s="11">
        <v>42064</v>
      </c>
      <c r="B522" s="7">
        <v>0.71388888888888891</v>
      </c>
      <c r="C522" s="7">
        <v>0.73402777777777783</v>
      </c>
      <c r="D522" s="7">
        <f>(0.734027777777778-0.713888888888889)</f>
        <v>2.0138888888888928E-2</v>
      </c>
      <c r="E522" s="7">
        <f>ABS(0.0201388888888889-0.0166666666666669)</f>
        <v>3.4722222222220017E-3</v>
      </c>
      <c r="F522" s="1" t="s">
        <v>10</v>
      </c>
    </row>
    <row r="523" spans="1:6" x14ac:dyDescent="0.25">
      <c r="A523" s="11">
        <v>42064</v>
      </c>
      <c r="B523" s="7">
        <v>0.70347222222222217</v>
      </c>
      <c r="C523" s="7">
        <v>0.72013888888888899</v>
      </c>
      <c r="D523" s="7">
        <f>(0.720138888888889-0.703472222222222)</f>
        <v>1.6666666666666941E-2</v>
      </c>
      <c r="E523" s="7">
        <f>ABS(0.0166666666666669-0.020833333333334)</f>
        <v>4.1666666666670994E-3</v>
      </c>
      <c r="F523" s="1" t="s">
        <v>10</v>
      </c>
    </row>
    <row r="524" spans="1:6" x14ac:dyDescent="0.25">
      <c r="A524" s="11">
        <v>42064</v>
      </c>
      <c r="B524" s="7">
        <v>0.78333333333333333</v>
      </c>
      <c r="C524" s="7">
        <v>0.8041666666666667</v>
      </c>
      <c r="D524" s="7">
        <f>(0.804166666666667-0.783333333333333)</f>
        <v>2.0833333333334036E-2</v>
      </c>
      <c r="E524" s="7">
        <f>ABS(0.020833333333334-0.017361111111112)</f>
        <v>3.4722222222219983E-3</v>
      </c>
      <c r="F524" s="1" t="s">
        <v>10</v>
      </c>
    </row>
    <row r="525" spans="1:6" x14ac:dyDescent="0.25">
      <c r="A525" s="11">
        <v>42064</v>
      </c>
      <c r="B525" s="7">
        <v>0.8256944444444444</v>
      </c>
      <c r="C525" s="7">
        <v>0.84305555555555556</v>
      </c>
      <c r="D525" s="7">
        <f>(0.843055555555556-0.825694444444444)</f>
        <v>1.7361111111112049E-2</v>
      </c>
      <c r="E525" s="7">
        <f>ABS(0.017361111111112-0.00833333333333408)</f>
        <v>9.0277777777779209E-3</v>
      </c>
      <c r="F525" s="1" t="s">
        <v>10</v>
      </c>
    </row>
    <row r="526" spans="1:6" x14ac:dyDescent="0.25">
      <c r="A526" s="11">
        <v>42064</v>
      </c>
      <c r="B526" s="7">
        <v>0.8569444444444444</v>
      </c>
      <c r="C526" s="7">
        <v>0.8652777777777777</v>
      </c>
      <c r="D526" s="7">
        <f>(0.865277777777778-0.856944444444444)</f>
        <v>8.3333333333340809E-3</v>
      </c>
      <c r="E526" s="7">
        <f>ABS(0.00833333333333408-0.020833333333333)</f>
        <v>1.249999999999892E-2</v>
      </c>
      <c r="F526" s="1" t="s">
        <v>10</v>
      </c>
    </row>
    <row r="527" spans="1:6" x14ac:dyDescent="0.25">
      <c r="A527" s="11">
        <v>42064</v>
      </c>
      <c r="B527" s="7">
        <v>0.27777777777777779</v>
      </c>
      <c r="C527" s="7">
        <v>0.2986111111111111</v>
      </c>
      <c r="D527" s="7">
        <f>(0.298611111111111-0.277777777777778)</f>
        <v>2.0833333333332982E-2</v>
      </c>
      <c r="E527" s="7">
        <f>ABS(0.020833333333333-0.020833333333334)</f>
        <v>9.9920072216264089E-16</v>
      </c>
      <c r="F527" s="1" t="s">
        <v>10</v>
      </c>
    </row>
    <row r="528" spans="1:6" x14ac:dyDescent="0.25">
      <c r="A528" s="11">
        <v>42064</v>
      </c>
      <c r="B528" s="7">
        <v>0.33333333333333331</v>
      </c>
      <c r="C528" s="7">
        <v>0.35416666666666669</v>
      </c>
      <c r="D528" s="7">
        <f>(0.354166666666667-0.333333333333333)</f>
        <v>2.0833333333334036E-2</v>
      </c>
      <c r="E528" s="7">
        <f>ABS(0.020833333333334-0.01875)</f>
        <v>2.083333333333999E-3</v>
      </c>
      <c r="F528" s="1" t="s">
        <v>10</v>
      </c>
    </row>
    <row r="529" spans="1:6" x14ac:dyDescent="0.25">
      <c r="A529" s="11">
        <v>42064</v>
      </c>
      <c r="B529" s="7">
        <v>0.38611111111111113</v>
      </c>
      <c r="C529" s="7">
        <v>0.40486111111111112</v>
      </c>
      <c r="D529" s="7">
        <f>(0.404861111111111-0.386111111111111)</f>
        <v>1.8749999999999989E-2</v>
      </c>
      <c r="E529" s="7">
        <f>ABS(0.01875-0.017361111111111)</f>
        <v>1.3888888888889984E-3</v>
      </c>
      <c r="F529" s="1" t="s">
        <v>10</v>
      </c>
    </row>
    <row r="530" spans="1:6" x14ac:dyDescent="0.25">
      <c r="A530" s="11">
        <v>42064</v>
      </c>
      <c r="B530" s="7">
        <v>0.39513888888888887</v>
      </c>
      <c r="C530" s="7">
        <v>0.41250000000000003</v>
      </c>
      <c r="D530" s="7">
        <f>(0.4125-0.395138888888889)</f>
        <v>1.7361111111110994E-2</v>
      </c>
      <c r="E530" s="7">
        <f>ABS(0.017361111111111-0.022916666666667)</f>
        <v>5.5555555555560007E-3</v>
      </c>
      <c r="F530" s="1" t="s">
        <v>10</v>
      </c>
    </row>
    <row r="531" spans="1:6" x14ac:dyDescent="0.25">
      <c r="A531" s="11">
        <v>42064</v>
      </c>
      <c r="B531" s="7">
        <v>0.45</v>
      </c>
      <c r="C531" s="7">
        <v>0.47291666666666665</v>
      </c>
      <c r="D531" s="7">
        <f>(0.472916666666667-0.45)</f>
        <v>2.2916666666666974E-2</v>
      </c>
      <c r="E531" s="7">
        <f>ABS(0.022916666666667-0.039583333333333)</f>
        <v>1.6666666666665997E-2</v>
      </c>
      <c r="F531" s="1" t="s">
        <v>10</v>
      </c>
    </row>
    <row r="532" spans="1:6" x14ac:dyDescent="0.25">
      <c r="A532" s="11">
        <v>42064</v>
      </c>
      <c r="B532" s="7">
        <v>0.43263888888888885</v>
      </c>
      <c r="C532" s="7">
        <v>0.47222222222222227</v>
      </c>
      <c r="D532" s="7">
        <f>(0.472222222222222-0.432638888888889)</f>
        <v>3.9583333333332971E-2</v>
      </c>
      <c r="E532" s="7">
        <f>ABS(0.039583333333333-0.016666666666667)</f>
        <v>2.2916666666665999E-2</v>
      </c>
      <c r="F532" s="1" t="s">
        <v>10</v>
      </c>
    </row>
    <row r="533" spans="1:6" x14ac:dyDescent="0.25">
      <c r="A533" s="11">
        <v>42064</v>
      </c>
      <c r="B533" s="7">
        <v>0.10972222222222222</v>
      </c>
      <c r="C533" s="7">
        <v>0.12638888888888888</v>
      </c>
      <c r="D533" s="7">
        <f>(0.126388888888889-0.109722222222222)</f>
        <v>1.6666666666666996E-2</v>
      </c>
      <c r="E533" s="7">
        <f>ABS(0.016666666666667-0.015972222222222)</f>
        <v>6.9444444444500056E-4</v>
      </c>
      <c r="F533" s="1" t="s">
        <v>10</v>
      </c>
    </row>
    <row r="534" spans="1:6" x14ac:dyDescent="0.25">
      <c r="A534" s="11">
        <v>42064</v>
      </c>
      <c r="B534" s="7">
        <v>0.14861111111111111</v>
      </c>
      <c r="C534" s="7">
        <v>0.16458333333333333</v>
      </c>
      <c r="D534" s="7">
        <f>(0.164583333333333-0.148611111111111)</f>
        <v>1.5972222222221999E-2</v>
      </c>
      <c r="E534" s="7">
        <f>ABS(0.015972222222222-0.0229166666666669)</f>
        <v>6.944444444444902E-3</v>
      </c>
      <c r="F534" s="1" t="s">
        <v>10</v>
      </c>
    </row>
    <row r="535" spans="1:6" x14ac:dyDescent="0.25">
      <c r="A535" s="11">
        <v>42064</v>
      </c>
      <c r="B535" s="7">
        <v>0.67986111111111114</v>
      </c>
      <c r="C535" s="7">
        <v>0.70277777777777783</v>
      </c>
      <c r="D535" s="7">
        <f>(0.702777777777778-0.679861111111111)</f>
        <v>2.2916666666666918E-2</v>
      </c>
      <c r="E535" s="7">
        <f>ABS(0.0229166666666669-0.0159722222222221)</f>
        <v>6.9444444444448014E-3</v>
      </c>
      <c r="F535" s="1" t="s">
        <v>10</v>
      </c>
    </row>
    <row r="536" spans="1:6" x14ac:dyDescent="0.25">
      <c r="A536" s="11">
        <v>42064</v>
      </c>
      <c r="B536" s="7">
        <v>0.78125</v>
      </c>
      <c r="C536" s="7">
        <v>0.79722222222222217</v>
      </c>
      <c r="D536" s="7">
        <f>(0.797222222222222-0.78125)</f>
        <v>1.5972222222222054E-2</v>
      </c>
      <c r="E536" s="7">
        <f>ABS(0.0159722222222221-0.017361111111111)</f>
        <v>1.3888888888889013E-3</v>
      </c>
      <c r="F536" s="1" t="s">
        <v>10</v>
      </c>
    </row>
    <row r="537" spans="1:6" x14ac:dyDescent="0.25">
      <c r="A537" s="11">
        <v>42064</v>
      </c>
      <c r="B537" s="7">
        <v>0.78125</v>
      </c>
      <c r="C537" s="7">
        <v>0.79861111111111116</v>
      </c>
      <c r="D537" s="7">
        <f>(0.798611111111111-0.78125)</f>
        <v>1.7361111111111049E-2</v>
      </c>
      <c r="E537" s="7">
        <f>ABS(0.017361111111111-0.018055555555556)</f>
        <v>6.9444444444500056E-4</v>
      </c>
      <c r="F537" s="1" t="s">
        <v>10</v>
      </c>
    </row>
    <row r="538" spans="1:6" x14ac:dyDescent="0.25">
      <c r="A538" s="11">
        <v>42064</v>
      </c>
      <c r="B538" s="7">
        <v>0.87569444444444444</v>
      </c>
      <c r="C538" s="7">
        <v>0.89374999999999993</v>
      </c>
      <c r="D538" s="7">
        <f>(0.89375-0.875694444444444)</f>
        <v>1.8055555555556047E-2</v>
      </c>
      <c r="E538" s="7">
        <f>ABS(0.018055555555556-0.024305555555556)</f>
        <v>6.2499999999999986E-3</v>
      </c>
      <c r="F538" s="1" t="s">
        <v>10</v>
      </c>
    </row>
    <row r="539" spans="1:6" x14ac:dyDescent="0.25">
      <c r="A539" s="11">
        <v>42064</v>
      </c>
      <c r="B539" s="7">
        <v>0.46249999999999997</v>
      </c>
      <c r="C539" s="7">
        <v>0.48680555555555555</v>
      </c>
      <c r="D539" s="7">
        <f>(0.486805555555556-0.4625)</f>
        <v>2.4305555555555969E-2</v>
      </c>
      <c r="E539" s="7">
        <f>ABS(0.024305555555556-0.0305555555555549)</f>
        <v>6.2499999999988988E-3</v>
      </c>
      <c r="F539" s="1" t="s">
        <v>10</v>
      </c>
    </row>
    <row r="540" spans="1:6" x14ac:dyDescent="0.25">
      <c r="A540" s="11">
        <v>42064</v>
      </c>
      <c r="B540" s="7">
        <v>0.48055555555555557</v>
      </c>
      <c r="C540" s="7">
        <v>0.51111111111111118</v>
      </c>
      <c r="D540" s="7">
        <f>(0.511111111111111-0.480555555555556)</f>
        <v>3.0555555555554947E-2</v>
      </c>
      <c r="E540" s="7">
        <f>ABS(0.0305555555555549-0.018055555555555)</f>
        <v>1.24999999999999E-2</v>
      </c>
      <c r="F540" s="1" t="s">
        <v>10</v>
      </c>
    </row>
    <row r="541" spans="1:6" x14ac:dyDescent="0.25">
      <c r="A541" s="11">
        <v>42064</v>
      </c>
      <c r="B541" s="7">
        <v>0.48888888888888887</v>
      </c>
      <c r="C541" s="7">
        <v>0.50694444444444442</v>
      </c>
      <c r="D541" s="7">
        <f>(0.506944444444444-0.488888888888889)</f>
        <v>1.8055555555554992E-2</v>
      </c>
      <c r="E541" s="7">
        <f>ABS(0.018055555555555-0.021527777777777)</f>
        <v>3.4722222222220017E-3</v>
      </c>
      <c r="F541" s="1" t="s">
        <v>10</v>
      </c>
    </row>
    <row r="542" spans="1:6" x14ac:dyDescent="0.25">
      <c r="A542" s="11">
        <v>42064</v>
      </c>
      <c r="B542" s="7">
        <v>0.53055555555555556</v>
      </c>
      <c r="C542" s="7">
        <v>0.55208333333333337</v>
      </c>
      <c r="D542" s="7">
        <f>(0.552083333333333-0.530555555555556)</f>
        <v>2.1527777777777035E-2</v>
      </c>
      <c r="E542" s="7">
        <f>ABS(0.021527777777777-0.0159722222222221)</f>
        <v>5.5555555555549009E-3</v>
      </c>
      <c r="F542" s="1" t="s">
        <v>10</v>
      </c>
    </row>
    <row r="543" spans="1:6" x14ac:dyDescent="0.25">
      <c r="A543" s="11">
        <v>42064</v>
      </c>
      <c r="B543" s="7">
        <v>0.73055555555555562</v>
      </c>
      <c r="C543" s="7">
        <v>0.74652777777777779</v>
      </c>
      <c r="D543" s="7">
        <f>(0.746527777777778-0.730555555555556)</f>
        <v>1.5972222222222054E-2</v>
      </c>
      <c r="E543" s="7">
        <f>ABS(0.0159722222222221-0.038194444444444)</f>
        <v>2.2222222222221904E-2</v>
      </c>
      <c r="F543" s="1" t="s">
        <v>10</v>
      </c>
    </row>
    <row r="544" spans="1:6" x14ac:dyDescent="0.25">
      <c r="A544" s="11">
        <v>42064</v>
      </c>
      <c r="B544" s="7">
        <v>0.74652777777777779</v>
      </c>
      <c r="C544" s="7">
        <v>0.78472222222222221</v>
      </c>
      <c r="D544" s="7">
        <f>(0.784722222222222-0.746527777777778)</f>
        <v>3.8194444444443976E-2</v>
      </c>
      <c r="E544" s="7">
        <f>ABS(0.038194444444444-0.0166666666666661)</f>
        <v>2.1527777777777903E-2</v>
      </c>
      <c r="F544" s="1" t="s">
        <v>10</v>
      </c>
    </row>
    <row r="545" spans="1:6" x14ac:dyDescent="0.25">
      <c r="A545" s="11">
        <v>42064</v>
      </c>
      <c r="B545" s="7">
        <v>0.81527777777777777</v>
      </c>
      <c r="C545" s="7">
        <v>0.83194444444444438</v>
      </c>
      <c r="D545" s="7">
        <f>(0.831944444444444-0.815277777777778)</f>
        <v>1.6666666666666052E-2</v>
      </c>
      <c r="E545" s="7">
        <f>ABS(0.0166666666666661-0.0125)</f>
        <v>4.1666666666661002E-3</v>
      </c>
      <c r="F545" s="1" t="s">
        <v>10</v>
      </c>
    </row>
    <row r="546" spans="1:6" x14ac:dyDescent="0.25">
      <c r="A546" s="11">
        <v>42064</v>
      </c>
      <c r="B546" s="7">
        <v>0.86597222222222225</v>
      </c>
      <c r="C546" s="7">
        <v>0.87847222222222221</v>
      </c>
      <c r="D546" s="7">
        <f>(0.878472222222222-0.865972222222222)</f>
        <v>1.2499999999999956E-2</v>
      </c>
      <c r="E546" s="7">
        <f>ABS(0.0125-0.011111111111111)</f>
        <v>1.3888888888890002E-3</v>
      </c>
      <c r="F546" s="1" t="s">
        <v>10</v>
      </c>
    </row>
    <row r="547" spans="1:6" x14ac:dyDescent="0.25">
      <c r="A547" s="11">
        <v>42064</v>
      </c>
      <c r="B547" s="7">
        <v>0.90555555555555556</v>
      </c>
      <c r="C547" s="7">
        <v>0.91666666666666663</v>
      </c>
      <c r="D547" s="7">
        <f>(0.916666666666667-0.905555555555556)</f>
        <v>1.1111111111110961E-2</v>
      </c>
      <c r="E547" s="7">
        <f>ABS(0.011111111111111-0.052777777777778)</f>
        <v>4.1666666666666997E-2</v>
      </c>
      <c r="F547" s="1" t="s">
        <v>10</v>
      </c>
    </row>
    <row r="548" spans="1:6" x14ac:dyDescent="0.25">
      <c r="A548" s="11">
        <v>42064</v>
      </c>
      <c r="B548" s="7">
        <v>0.19027777777777777</v>
      </c>
      <c r="C548" s="7">
        <v>0.24305555555555555</v>
      </c>
      <c r="D548" s="7">
        <f>(0.243055555555556-0.190277777777778)</f>
        <v>5.2777777777778007E-2</v>
      </c>
      <c r="E548" s="7">
        <f>ABS(0.052777777777778-0.015972222222222)</f>
        <v>3.6805555555556001E-2</v>
      </c>
      <c r="F548" s="1" t="s">
        <v>10</v>
      </c>
    </row>
    <row r="549" spans="1:6" x14ac:dyDescent="0.25">
      <c r="A549" s="11">
        <v>42064</v>
      </c>
      <c r="B549" s="7">
        <v>0.31805555555555554</v>
      </c>
      <c r="C549" s="7">
        <v>0.33402777777777781</v>
      </c>
      <c r="D549" s="7">
        <f>(0.334027777777778-0.318055555555556)</f>
        <v>1.5972222222221999E-2</v>
      </c>
      <c r="E549" s="7">
        <f>ABS(0.015972222222222-0.022222222222222)</f>
        <v>6.2500000000000021E-3</v>
      </c>
      <c r="F549" s="1" t="s">
        <v>10</v>
      </c>
    </row>
    <row r="550" spans="1:6" x14ac:dyDescent="0.25">
      <c r="A550" s="11">
        <v>42064</v>
      </c>
      <c r="B550" s="7">
        <v>0.42777777777777781</v>
      </c>
      <c r="C550" s="7">
        <v>0.45</v>
      </c>
      <c r="D550" s="7">
        <f>(0.45-0.427777777777778)</f>
        <v>2.2222222222222032E-2</v>
      </c>
      <c r="E550" s="7">
        <f>ABS(0.022222222222222-0.016666666666666)</f>
        <v>5.5555555555560007E-3</v>
      </c>
      <c r="F550" s="1" t="s">
        <v>10</v>
      </c>
    </row>
    <row r="551" spans="1:6" x14ac:dyDescent="0.25">
      <c r="A551" s="11">
        <v>42064</v>
      </c>
      <c r="B551" s="7">
        <v>0.44791666666666669</v>
      </c>
      <c r="C551" s="7">
        <v>0.46458333333333335</v>
      </c>
      <c r="D551" s="7">
        <f>(0.464583333333333-0.447916666666667)</f>
        <v>1.6666666666665997E-2</v>
      </c>
      <c r="E551" s="7">
        <f>ABS(0.016666666666666-0.051388888888889)</f>
        <v>3.4722222222223001E-2</v>
      </c>
      <c r="F551" s="1" t="s">
        <v>10</v>
      </c>
    </row>
    <row r="552" spans="1:6" x14ac:dyDescent="0.25">
      <c r="A552" s="11">
        <v>42064</v>
      </c>
      <c r="B552" s="7">
        <v>0.45624999999999999</v>
      </c>
      <c r="C552" s="7">
        <v>0.50763888888888886</v>
      </c>
      <c r="D552" s="7">
        <f>(0.507638888888889-0.45625)</f>
        <v>5.1388888888888984E-2</v>
      </c>
      <c r="E552" s="7">
        <f>ABS(0.051388888888889-0.0375)</f>
        <v>1.3888888888888999E-2</v>
      </c>
      <c r="F552" s="1" t="s">
        <v>10</v>
      </c>
    </row>
    <row r="553" spans="1:6" x14ac:dyDescent="0.25">
      <c r="A553" s="11">
        <v>42064</v>
      </c>
      <c r="B553" s="7">
        <v>0.46249999999999997</v>
      </c>
      <c r="C553" s="7">
        <v>0.5</v>
      </c>
      <c r="D553" s="7">
        <f>(0.5-0.4625)</f>
        <v>3.7499999999999978E-2</v>
      </c>
      <c r="E553" s="7">
        <f>ABS(0.0375-0.01875)</f>
        <v>1.8749999999999999E-2</v>
      </c>
      <c r="F553" s="1" t="s">
        <v>10</v>
      </c>
    </row>
    <row r="554" spans="1:6" x14ac:dyDescent="0.25">
      <c r="A554" s="11">
        <v>42064</v>
      </c>
      <c r="B554" s="7">
        <v>0.65555555555555556</v>
      </c>
      <c r="C554" s="7">
        <v>0.6743055555555556</v>
      </c>
      <c r="D554" s="7">
        <f>(0.674305555555556-0.655555555555556)</f>
        <v>1.8750000000000044E-2</v>
      </c>
      <c r="E554" s="7">
        <f>ABS(0.01875-0.020833333333333)</f>
        <v>2.0833333333329998E-3</v>
      </c>
      <c r="F554" s="1" t="s">
        <v>10</v>
      </c>
    </row>
    <row r="555" spans="1:6" x14ac:dyDescent="0.25">
      <c r="A555" s="11">
        <v>42064</v>
      </c>
      <c r="B555" s="7">
        <v>0.66388888888888886</v>
      </c>
      <c r="C555" s="7">
        <v>0.68472222222222223</v>
      </c>
      <c r="D555" s="7">
        <f>(0.684722222222222-0.663888888888889)</f>
        <v>2.0833333333333037E-2</v>
      </c>
      <c r="E555" s="7">
        <f>ABS(0.020833333333333-0.0159722222222221)</f>
        <v>4.8611111111108996E-3</v>
      </c>
      <c r="F555" s="1" t="s">
        <v>10</v>
      </c>
    </row>
    <row r="556" spans="1:6" x14ac:dyDescent="0.25">
      <c r="A556" s="11">
        <v>42064</v>
      </c>
      <c r="B556" s="7">
        <v>0.79652777777777783</v>
      </c>
      <c r="C556" s="7">
        <v>0.8125</v>
      </c>
      <c r="D556" s="7">
        <f>(0.8125-0.796527777777778)</f>
        <v>1.5972222222222054E-2</v>
      </c>
      <c r="E556" s="7">
        <f>ABS(0.0159722222222221-0.017361111111111)</f>
        <v>1.3888888888889013E-3</v>
      </c>
      <c r="F556" s="1" t="s">
        <v>10</v>
      </c>
    </row>
    <row r="557" spans="1:6" x14ac:dyDescent="0.25">
      <c r="A557" s="11">
        <v>42064</v>
      </c>
      <c r="B557" s="7">
        <v>0.76527777777777783</v>
      </c>
      <c r="C557" s="7">
        <v>0.78263888888888899</v>
      </c>
      <c r="D557" s="7">
        <f>(0.782638888888889-0.765277777777778)</f>
        <v>1.7361111111111049E-2</v>
      </c>
      <c r="E557" s="7">
        <f>ABS(0.017361111111111-0.020138888888889)</f>
        <v>2.7777777777780004E-3</v>
      </c>
      <c r="F557" s="1" t="s">
        <v>10</v>
      </c>
    </row>
    <row r="558" spans="1:6" x14ac:dyDescent="0.25">
      <c r="A558" s="11">
        <v>42064</v>
      </c>
      <c r="B558" s="7">
        <v>0.47291666666666665</v>
      </c>
      <c r="C558" s="7">
        <v>0.49305555555555558</v>
      </c>
      <c r="D558" s="7">
        <f>(0.493055555555556-0.472916666666667)</f>
        <v>2.0138888888889039E-2</v>
      </c>
      <c r="E558" s="7">
        <f>ABS(0.020138888888889-0.025)</f>
        <v>4.8611111111110002E-3</v>
      </c>
      <c r="F558" s="1" t="s">
        <v>10</v>
      </c>
    </row>
    <row r="559" spans="1:6" x14ac:dyDescent="0.25">
      <c r="A559" s="11">
        <v>42064</v>
      </c>
      <c r="B559" s="7">
        <v>0.51250000000000007</v>
      </c>
      <c r="C559" s="7">
        <v>0.53749999999999998</v>
      </c>
      <c r="D559" s="7">
        <f>(0.5375-0.5125)</f>
        <v>2.5000000000000022E-2</v>
      </c>
      <c r="E559" s="7">
        <f>ABS(0.025-0.020833333333333)</f>
        <v>4.1666666666670023E-3</v>
      </c>
      <c r="F559" s="1" t="s">
        <v>10</v>
      </c>
    </row>
    <row r="560" spans="1:6" x14ac:dyDescent="0.25">
      <c r="A560" s="11">
        <v>42064</v>
      </c>
      <c r="B560" s="7">
        <v>0.11805555555555557</v>
      </c>
      <c r="C560" s="7">
        <v>0.1388888888888889</v>
      </c>
      <c r="D560" s="7">
        <f>(0.138888888888889-0.118055555555556)</f>
        <v>2.083333333333301E-2</v>
      </c>
      <c r="E560" s="7">
        <f>ABS(0.020833333333333-0.028472222222222)</f>
        <v>7.6388888888890005E-3</v>
      </c>
      <c r="F560" s="1" t="s">
        <v>10</v>
      </c>
    </row>
    <row r="561" spans="1:6" x14ac:dyDescent="0.25">
      <c r="A561" s="11">
        <v>42064</v>
      </c>
      <c r="B561" s="7">
        <v>0.7090277777777777</v>
      </c>
      <c r="C561" s="7">
        <v>0.73749999999999993</v>
      </c>
      <c r="D561" s="7">
        <f>(0.7375-0.709027777777778)</f>
        <v>2.847222222222201E-2</v>
      </c>
      <c r="E561" s="7">
        <f>ABS(0.028472222222222-0.0159722222222231)</f>
        <v>1.2499999999998901E-2</v>
      </c>
      <c r="F561" s="1" t="s">
        <v>10</v>
      </c>
    </row>
    <row r="562" spans="1:6" x14ac:dyDescent="0.25">
      <c r="A562" s="11">
        <v>42064</v>
      </c>
      <c r="B562" s="7">
        <v>0.9506944444444444</v>
      </c>
      <c r="C562" s="7">
        <v>0.96666666666666667</v>
      </c>
      <c r="D562" s="7">
        <f>(0.966666666666667-0.950694444444444)</f>
        <v>1.5972222222223054E-2</v>
      </c>
      <c r="E562" s="7">
        <f>ABS(0.0159722222222231-0.015277777777778)</f>
        <v>6.9444444444509944E-4</v>
      </c>
      <c r="F562" s="1" t="s">
        <v>10</v>
      </c>
    </row>
    <row r="563" spans="1:6" x14ac:dyDescent="0.25">
      <c r="A563" s="11">
        <v>42064</v>
      </c>
      <c r="B563" s="7">
        <v>0.11319444444444444</v>
      </c>
      <c r="C563" s="7">
        <v>0.12847222222222224</v>
      </c>
      <c r="D563" s="7">
        <f>(0.128472222222222-0.113194444444444)</f>
        <v>1.5277777777777987E-2</v>
      </c>
      <c r="E563" s="7">
        <f>ABS(0.015277777777778-0.00625000000000003)</f>
        <v>9.0277777777779695E-3</v>
      </c>
      <c r="F563" s="1" t="s">
        <v>10</v>
      </c>
    </row>
    <row r="564" spans="1:6" x14ac:dyDescent="0.25">
      <c r="A564" s="11">
        <v>42064</v>
      </c>
      <c r="B564" s="7">
        <v>0.4236111111111111</v>
      </c>
      <c r="C564" s="7">
        <v>0.42986111111111108</v>
      </c>
      <c r="D564" s="7">
        <f>(0.429861111111111-0.423611111111111)</f>
        <v>6.2500000000000333E-3</v>
      </c>
      <c r="E564" s="7">
        <f>ABS(0.00625000000000003-0.019444444444444)</f>
        <v>1.3194444444443971E-2</v>
      </c>
      <c r="F564" s="1" t="s">
        <v>10</v>
      </c>
    </row>
    <row r="565" spans="1:6" x14ac:dyDescent="0.25">
      <c r="A565" s="11">
        <v>42064</v>
      </c>
      <c r="B565" s="7">
        <v>0.45277777777777778</v>
      </c>
      <c r="C565" s="7">
        <v>0.47222222222222227</v>
      </c>
      <c r="D565" s="7">
        <f>(0.472222222222222-0.452777777777778)</f>
        <v>1.9444444444443987E-2</v>
      </c>
      <c r="E565" s="7">
        <f>ABS(0.019444444444444-0.0173611111111109)</f>
        <v>2.0833333333331004E-3</v>
      </c>
      <c r="F565" s="1" t="s">
        <v>10</v>
      </c>
    </row>
    <row r="566" spans="1:6" x14ac:dyDescent="0.25">
      <c r="A566" s="11">
        <v>42064</v>
      </c>
      <c r="B566" s="7">
        <v>0.71666666666666667</v>
      </c>
      <c r="C566" s="7">
        <v>0.73402777777777783</v>
      </c>
      <c r="D566" s="7">
        <f>(0.734027777777778-0.716666666666667)</f>
        <v>1.7361111111110938E-2</v>
      </c>
      <c r="E566" s="7">
        <f>ABS(0.0173611111111109-0.020833333333333)</f>
        <v>3.4722222222220989E-3</v>
      </c>
      <c r="F566" s="1" t="s">
        <v>10</v>
      </c>
    </row>
    <row r="567" spans="1:6" x14ac:dyDescent="0.25">
      <c r="A567" s="11">
        <v>42064</v>
      </c>
      <c r="B567" s="7">
        <v>0.79305555555555562</v>
      </c>
      <c r="C567" s="7">
        <v>0.81388888888888899</v>
      </c>
      <c r="D567" s="7">
        <f>(0.813888888888889-0.793055555555556)</f>
        <v>2.0833333333333037E-2</v>
      </c>
      <c r="E567" s="7">
        <f>ABS(0.020833333333333-0.020833333333333)</f>
        <v>0</v>
      </c>
      <c r="F567" s="5" t="s">
        <v>10</v>
      </c>
    </row>
    <row r="568" spans="1:6" x14ac:dyDescent="0.25">
      <c r="A568" s="11">
        <v>42064</v>
      </c>
      <c r="B568" s="7">
        <v>0.91111111111111109</v>
      </c>
      <c r="C568" s="7">
        <v>0.93194444444444446</v>
      </c>
      <c r="D568" s="7">
        <f>(0.931944444444444-0.911111111111111)</f>
        <v>2.0833333333333037E-2</v>
      </c>
      <c r="E568" s="7">
        <f>ABS(0.020833333333333-0.0111111111111111)</f>
        <v>9.7222222222218997E-3</v>
      </c>
      <c r="F568" s="1" t="s">
        <v>10</v>
      </c>
    </row>
    <row r="569" spans="1:6" x14ac:dyDescent="0.25">
      <c r="A569" s="11">
        <v>42064</v>
      </c>
      <c r="B569" s="7">
        <v>0.91319444444444453</v>
      </c>
      <c r="C569" s="7">
        <v>0.9243055555555556</v>
      </c>
      <c r="D569" s="7">
        <f>(0.924305555555556-0.913194444444445)</f>
        <v>1.1111111111111072E-2</v>
      </c>
      <c r="E569" s="7">
        <f>ABS(0.0111111111111111-0.0166666666666667)</f>
        <v>5.5555555555556017E-3</v>
      </c>
      <c r="F569" s="1" t="s">
        <v>10</v>
      </c>
    </row>
    <row r="570" spans="1:6" x14ac:dyDescent="0.25">
      <c r="A570" s="11">
        <v>42064</v>
      </c>
      <c r="B570" s="7">
        <v>2.7083333333333334E-2</v>
      </c>
      <c r="C570" s="7">
        <v>4.3750000000000004E-2</v>
      </c>
      <c r="D570" s="7">
        <f>(0.04375-0.0270833333333333)</f>
        <v>1.6666666666666698E-2</v>
      </c>
      <c r="E570" s="7">
        <f>ABS(0.0166666666666667-0.015972222222222)</f>
        <v>6.9444444444470219E-4</v>
      </c>
      <c r="F570" s="1" t="s">
        <v>10</v>
      </c>
    </row>
    <row r="571" spans="1:6" x14ac:dyDescent="0.25">
      <c r="A571" s="11">
        <v>42064</v>
      </c>
      <c r="B571" s="7">
        <v>0.19513888888888889</v>
      </c>
      <c r="C571" s="7">
        <v>0.21111111111111111</v>
      </c>
      <c r="D571" s="7">
        <f>(0.211111111111111-0.195138888888889)</f>
        <v>1.5972222222221999E-2</v>
      </c>
      <c r="E571" s="7">
        <f>ABS(0.015972222222222-0.015277777777778)</f>
        <v>6.9444444444399962E-4</v>
      </c>
      <c r="F571" s="1" t="s">
        <v>10</v>
      </c>
    </row>
    <row r="572" spans="1:6" x14ac:dyDescent="0.25">
      <c r="A572" s="11">
        <v>42064</v>
      </c>
      <c r="B572" s="7">
        <v>0.1277777777777778</v>
      </c>
      <c r="C572" s="7">
        <v>0.14305555555555557</v>
      </c>
      <c r="D572" s="7">
        <f>(0.143055555555556-0.127777777777778)</f>
        <v>1.5277777777778001E-2</v>
      </c>
      <c r="E572" s="7">
        <f>ABS(0.015277777777778-0.0173611111111109)</f>
        <v>2.0833333333329009E-3</v>
      </c>
      <c r="F572" s="1" t="s">
        <v>10</v>
      </c>
    </row>
    <row r="573" spans="1:6" x14ac:dyDescent="0.25">
      <c r="A573" s="11">
        <v>42064</v>
      </c>
      <c r="B573" s="7">
        <v>0.61041666666666672</v>
      </c>
      <c r="C573" s="7">
        <v>0.62777777777777777</v>
      </c>
      <c r="D573" s="7">
        <f>(0.627777777777778-0.610416666666667)</f>
        <v>1.7361111111110938E-2</v>
      </c>
      <c r="E573" s="7"/>
      <c r="F573" s="1" t="s">
        <v>10</v>
      </c>
    </row>
    <row r="574" spans="1:6" x14ac:dyDescent="0.25">
      <c r="A574" s="11">
        <v>42064</v>
      </c>
      <c r="B574" s="7">
        <v>0.52847222222222223</v>
      </c>
      <c r="C574" s="7">
        <v>0.5541666666666667</v>
      </c>
      <c r="D574" s="7">
        <f>(0.554166666666667-0.528472222222222)</f>
        <v>2.5694444444445019E-2</v>
      </c>
      <c r="E574" s="7">
        <f>ABS(0.025694444444445-0.013888888888889)</f>
        <v>1.1805555555555999E-2</v>
      </c>
      <c r="F574" s="1" t="s">
        <v>8</v>
      </c>
    </row>
    <row r="575" spans="1:6" x14ac:dyDescent="0.25">
      <c r="A575" s="11">
        <v>42064</v>
      </c>
      <c r="B575" s="7">
        <v>0.44791666666666669</v>
      </c>
      <c r="C575" s="7">
        <v>0.46180555555555558</v>
      </c>
      <c r="D575" s="7">
        <f>(0.461805555555556-0.447916666666667)</f>
        <v>1.3888888888889006E-2</v>
      </c>
      <c r="E575" s="7">
        <f>ABS(0.013888888888889-0.03125)</f>
        <v>1.7361111111111001E-2</v>
      </c>
      <c r="F575" s="1" t="s">
        <v>8</v>
      </c>
    </row>
    <row r="576" spans="1:6" x14ac:dyDescent="0.25">
      <c r="A576" s="11">
        <v>42064</v>
      </c>
      <c r="B576" s="7">
        <v>0.52430555555555558</v>
      </c>
      <c r="C576" s="7">
        <v>0.55555555555555558</v>
      </c>
      <c r="D576" s="7">
        <f>(0.555555555555556-0.524305555555556)</f>
        <v>3.125E-2</v>
      </c>
      <c r="E576" s="7">
        <f>ABS(0.03125-0.026388888888889)</f>
        <v>4.8611111111110002E-3</v>
      </c>
      <c r="F576" s="1" t="s">
        <v>8</v>
      </c>
    </row>
    <row r="577" spans="1:6" x14ac:dyDescent="0.25">
      <c r="A577" s="11">
        <v>42064</v>
      </c>
      <c r="B577" s="7">
        <v>0.52916666666666667</v>
      </c>
      <c r="C577" s="7">
        <v>0.55555555555555558</v>
      </c>
      <c r="D577" s="7">
        <f>(0.555555555555556-0.529166666666667)</f>
        <v>2.6388888888889017E-2</v>
      </c>
      <c r="E577" s="7">
        <f>ABS(0.026388888888889-0.011805555555556)</f>
        <v>1.4583333333333E-2</v>
      </c>
      <c r="F577" s="1" t="s">
        <v>8</v>
      </c>
    </row>
    <row r="578" spans="1:6" x14ac:dyDescent="0.25">
      <c r="A578" s="11">
        <v>42064</v>
      </c>
      <c r="B578" s="7">
        <v>0.70347222222222217</v>
      </c>
      <c r="C578" s="7">
        <v>0.71527777777777779</v>
      </c>
      <c r="D578" s="7">
        <f>(0.715277777777778-0.703472222222222)</f>
        <v>1.1805555555555958E-2</v>
      </c>
      <c r="E578" s="7">
        <f>ABS(0.011805555555556-0.024305555555556)</f>
        <v>1.2500000000000001E-2</v>
      </c>
      <c r="F578" s="1" t="s">
        <v>8</v>
      </c>
    </row>
    <row r="579" spans="1:6" x14ac:dyDescent="0.25">
      <c r="A579" s="11">
        <v>42064</v>
      </c>
      <c r="B579" s="7">
        <v>0.35625000000000001</v>
      </c>
      <c r="C579" s="7">
        <v>0.38055555555555554</v>
      </c>
      <c r="D579" s="7">
        <f>(0.380555555555556-0.35625)</f>
        <v>2.4305555555555969E-2</v>
      </c>
      <c r="E579" s="7">
        <f>ABS(0.024305555555556-0.013194444444444)</f>
        <v>1.1111111111112E-2</v>
      </c>
      <c r="F579" s="1" t="s">
        <v>8</v>
      </c>
    </row>
    <row r="580" spans="1:6" x14ac:dyDescent="0.25">
      <c r="A580" s="11">
        <v>42064</v>
      </c>
      <c r="B580" s="7">
        <v>0.38055555555555554</v>
      </c>
      <c r="C580" s="7">
        <v>0.39374999999999999</v>
      </c>
      <c r="D580" s="7">
        <f>(0.39375-0.380555555555556)</f>
        <v>1.3194444444444009E-2</v>
      </c>
      <c r="E580" s="7">
        <f>ABS(0.013194444444444-0.026388888888888)</f>
        <v>1.3194444444444E-2</v>
      </c>
      <c r="F580" s="1" t="s">
        <v>8</v>
      </c>
    </row>
    <row r="581" spans="1:6" x14ac:dyDescent="0.25">
      <c r="A581" s="11">
        <v>42064</v>
      </c>
      <c r="B581" s="7">
        <v>0.53055555555555556</v>
      </c>
      <c r="C581" s="7">
        <v>0.55694444444444446</v>
      </c>
      <c r="D581" s="7">
        <f>(0.556944444444444-0.530555555555556)</f>
        <v>2.6388888888888018E-2</v>
      </c>
      <c r="E581" s="7">
        <f>ABS(0.026388888888888-0.0145833333333329)</f>
        <v>1.1805555555555101E-2</v>
      </c>
      <c r="F581" s="1" t="s">
        <v>8</v>
      </c>
    </row>
    <row r="582" spans="1:6" x14ac:dyDescent="0.25">
      <c r="A582" s="11">
        <v>42064</v>
      </c>
      <c r="B582" s="7">
        <v>0.8125</v>
      </c>
      <c r="C582" s="7">
        <v>0.82708333333333339</v>
      </c>
      <c r="D582" s="7">
        <f>(0.827083333333333-0.8125)</f>
        <v>1.4583333333332948E-2</v>
      </c>
      <c r="E582" s="7">
        <f>ABS(0.0145833333333329-0.020833333333333)</f>
        <v>6.2500000000000992E-3</v>
      </c>
      <c r="F582" s="1" t="s">
        <v>8</v>
      </c>
    </row>
    <row r="583" spans="1:6" x14ac:dyDescent="0.25">
      <c r="A583" s="11">
        <v>42064</v>
      </c>
      <c r="B583" s="7">
        <v>0.54166666666666663</v>
      </c>
      <c r="C583" s="7">
        <v>0.5625</v>
      </c>
      <c r="D583" s="7">
        <f>(0.5625-0.541666666666667)</f>
        <v>2.0833333333333037E-2</v>
      </c>
      <c r="E583" s="7">
        <f>ABS(0.020833333333333-0.027777777777778)</f>
        <v>6.9444444444449992E-3</v>
      </c>
      <c r="F583" s="1" t="s">
        <v>8</v>
      </c>
    </row>
    <row r="584" spans="1:6" x14ac:dyDescent="0.25">
      <c r="A584" s="11">
        <v>42064</v>
      </c>
      <c r="B584" s="7">
        <v>0.4861111111111111</v>
      </c>
      <c r="C584" s="7">
        <v>0.51388888888888895</v>
      </c>
      <c r="D584" s="7">
        <f>(0.513888888888889-0.486111111111111)</f>
        <v>2.7777777777777957E-2</v>
      </c>
      <c r="E584" s="7">
        <f>ABS(0.027777777777778-0.013888888888888)</f>
        <v>1.3888888888889998E-2</v>
      </c>
      <c r="F584" s="1" t="s">
        <v>8</v>
      </c>
    </row>
    <row r="585" spans="1:6" x14ac:dyDescent="0.25">
      <c r="A585" s="11">
        <v>42064</v>
      </c>
      <c r="B585" s="7">
        <v>0.9243055555555556</v>
      </c>
      <c r="C585" s="7">
        <v>0.93819444444444444</v>
      </c>
      <c r="D585" s="7">
        <f>(0.938194444444444-0.924305555555556)</f>
        <v>1.3888888888887951E-2</v>
      </c>
      <c r="E585" s="7">
        <f>ABS(0.013888888888888-0.0194444444444444)</f>
        <v>5.5555555555563997E-3</v>
      </c>
      <c r="F585" s="1" t="s">
        <v>8</v>
      </c>
    </row>
    <row r="586" spans="1:6" x14ac:dyDescent="0.25">
      <c r="A586" s="11">
        <v>42064</v>
      </c>
      <c r="B586" s="7">
        <v>2.9166666666666664E-2</v>
      </c>
      <c r="C586" s="7">
        <v>4.8611111111111112E-2</v>
      </c>
      <c r="D586" s="7">
        <f>(0.0486111111111111-0.0291666666666667)</f>
        <v>1.94444444444444E-2</v>
      </c>
      <c r="E586" s="7">
        <f>ABS(0.0194444444444444-0.015972222222222)</f>
        <v>3.4722222222224007E-3</v>
      </c>
      <c r="F586" s="1" t="s">
        <v>8</v>
      </c>
    </row>
    <row r="587" spans="1:6" x14ac:dyDescent="0.25">
      <c r="A587" s="11">
        <v>42064</v>
      </c>
      <c r="B587" s="7">
        <v>0.34652777777777777</v>
      </c>
      <c r="C587" s="7">
        <v>0.36249999999999999</v>
      </c>
      <c r="D587" s="7">
        <f>(0.3625-0.346527777777778)</f>
        <v>1.5972222222221999E-2</v>
      </c>
      <c r="E587" s="7">
        <f>ABS(0.015972222222222-0.013888888888889)</f>
        <v>2.0833333333329998E-3</v>
      </c>
      <c r="F587" s="1" t="s">
        <v>8</v>
      </c>
    </row>
    <row r="588" spans="1:6" x14ac:dyDescent="0.25">
      <c r="A588" s="11">
        <v>42064</v>
      </c>
      <c r="B588" s="7">
        <v>0.30416666666666664</v>
      </c>
      <c r="C588" s="7">
        <v>0.31805555555555554</v>
      </c>
      <c r="D588" s="7">
        <f>(0.318055555555556-0.304166666666667)</f>
        <v>1.3888888888889006E-2</v>
      </c>
      <c r="E588" s="7">
        <f>ABS(0.013888888888889-0.030555555555556)</f>
        <v>1.6666666666667E-2</v>
      </c>
      <c r="F588" s="1" t="s">
        <v>8</v>
      </c>
    </row>
    <row r="589" spans="1:6" x14ac:dyDescent="0.25">
      <c r="A589" s="11">
        <v>42064</v>
      </c>
      <c r="B589" s="7">
        <v>0.3125</v>
      </c>
      <c r="C589" s="7">
        <v>0.3430555555555555</v>
      </c>
      <c r="D589" s="7">
        <f>(0.343055555555556-0.3125)</f>
        <v>3.0555555555556002E-2</v>
      </c>
      <c r="E589" s="7">
        <f>ABS(0.030555555555556-0.014583333333333)</f>
        <v>1.5972222222222998E-2</v>
      </c>
      <c r="F589" s="1" t="s">
        <v>8</v>
      </c>
    </row>
    <row r="590" spans="1:6" x14ac:dyDescent="0.25">
      <c r="A590" s="11">
        <v>42064</v>
      </c>
      <c r="B590" s="7">
        <v>0.46736111111111112</v>
      </c>
      <c r="C590" s="7">
        <v>0.48194444444444445</v>
      </c>
      <c r="D590" s="7">
        <f>(0.481944444444444-0.467361111111111)</f>
        <v>1.4583333333333004E-2</v>
      </c>
      <c r="E590" s="7">
        <f>ABS(0.014583333333333-0.028472222222222)</f>
        <v>1.3888888888888999E-2</v>
      </c>
      <c r="F590" s="1" t="s">
        <v>8</v>
      </c>
    </row>
    <row r="591" spans="1:6" x14ac:dyDescent="0.25">
      <c r="A591" s="11">
        <v>42064</v>
      </c>
      <c r="B591" s="7">
        <v>0.53472222222222221</v>
      </c>
      <c r="C591" s="7">
        <v>0.56319444444444444</v>
      </c>
      <c r="D591" s="7">
        <f>(0.563194444444444-0.534722222222222)</f>
        <v>2.847222222222201E-2</v>
      </c>
      <c r="E591" s="7">
        <f>ABS(0.028472222222222-0.0173611111111119)</f>
        <v>1.11111111111101E-2</v>
      </c>
      <c r="F591" s="1" t="s">
        <v>8</v>
      </c>
    </row>
    <row r="592" spans="1:6" x14ac:dyDescent="0.25">
      <c r="A592" s="11">
        <v>42064</v>
      </c>
      <c r="B592" s="7">
        <v>0.58194444444444449</v>
      </c>
      <c r="C592" s="7">
        <v>0.59930555555555554</v>
      </c>
      <c r="D592" s="7">
        <f>(0.599305555555556-0.581944444444444)</f>
        <v>1.7361111111111938E-2</v>
      </c>
      <c r="E592" s="7">
        <f>ABS(0.0173611111111119-0.0173611111111109)</f>
        <v>9.9920072216264089E-16</v>
      </c>
      <c r="F592" s="1" t="s">
        <v>8</v>
      </c>
    </row>
    <row r="593" spans="1:6" x14ac:dyDescent="0.25">
      <c r="A593" s="11">
        <v>42064</v>
      </c>
      <c r="B593" s="7">
        <v>0.65277777777777779</v>
      </c>
      <c r="C593" s="7">
        <v>0.67013888888888884</v>
      </c>
      <c r="D593" s="7">
        <f>(0.670138888888889-0.652777777777778)</f>
        <v>1.7361111111110938E-2</v>
      </c>
      <c r="E593" s="7">
        <f>ABS(0.0173611111111109-0.025694444444445)</f>
        <v>8.3333333333340982E-3</v>
      </c>
      <c r="F593" s="1" t="s">
        <v>8</v>
      </c>
    </row>
    <row r="594" spans="1:6" x14ac:dyDescent="0.25">
      <c r="A594" s="11">
        <v>42064</v>
      </c>
      <c r="B594" s="7">
        <v>0.39097222222222222</v>
      </c>
      <c r="C594" s="7">
        <v>0.41666666666666669</v>
      </c>
      <c r="D594" s="7">
        <f>(0.416666666666667-0.390972222222222)</f>
        <v>2.5694444444445019E-2</v>
      </c>
      <c r="E594" s="7">
        <f>ABS(0.025694444444445-0.020833333333333)</f>
        <v>4.8611111111119994E-3</v>
      </c>
      <c r="F594" s="1" t="s">
        <v>8</v>
      </c>
    </row>
    <row r="595" spans="1:6" x14ac:dyDescent="0.25">
      <c r="A595" s="11">
        <v>42064</v>
      </c>
      <c r="B595" s="7">
        <v>0.42499999999999999</v>
      </c>
      <c r="C595" s="7">
        <v>0.4458333333333333</v>
      </c>
      <c r="D595" s="7">
        <f>(0.445833333333333-0.425)</f>
        <v>2.0833333333333037E-2</v>
      </c>
      <c r="E595" s="7">
        <f>ABS(0.020833333333333-0.00833333333333297)</f>
        <v>1.2500000000000028E-2</v>
      </c>
      <c r="F595" s="1" t="s">
        <v>8</v>
      </c>
    </row>
    <row r="596" spans="1:6" x14ac:dyDescent="0.25">
      <c r="A596" s="11">
        <v>42064</v>
      </c>
      <c r="B596" s="7">
        <v>0.88055555555555554</v>
      </c>
      <c r="C596" s="7">
        <v>0.88888888888888884</v>
      </c>
      <c r="D596" s="7">
        <f>(0.888888888888889-0.880555555555556)</f>
        <v>8.3333333333329707E-3</v>
      </c>
      <c r="E596" s="7">
        <f>ABS(0.00833333333333297-0.0125)</f>
        <v>4.16666666666703E-3</v>
      </c>
      <c r="F596" s="1" t="s">
        <v>8</v>
      </c>
    </row>
    <row r="597" spans="1:6" x14ac:dyDescent="0.25">
      <c r="A597" s="11">
        <v>42064</v>
      </c>
      <c r="B597" s="7">
        <v>0.77222222222222225</v>
      </c>
      <c r="C597" s="7">
        <v>0.78472222222222221</v>
      </c>
      <c r="D597" s="7">
        <f>(0.784722222222222-0.772222222222222)</f>
        <v>1.2499999999999956E-2</v>
      </c>
      <c r="E597" s="7">
        <f>ABS(0.0125-0.014583333333333)</f>
        <v>2.0833333333329998E-3</v>
      </c>
      <c r="F597" s="1" t="s">
        <v>8</v>
      </c>
    </row>
    <row r="598" spans="1:6" x14ac:dyDescent="0.25">
      <c r="A598" s="11">
        <v>42064</v>
      </c>
      <c r="B598" s="7">
        <v>0.44791666666666669</v>
      </c>
      <c r="C598" s="7">
        <v>0.46249999999999997</v>
      </c>
      <c r="D598" s="7">
        <f>(0.4625-0.447916666666667)</f>
        <v>1.4583333333333004E-2</v>
      </c>
      <c r="E598" s="7">
        <f>ABS(0.014583333333333-0.0111111111111111)</f>
        <v>3.4722222222219011E-3</v>
      </c>
      <c r="F598" s="1" t="s">
        <v>8</v>
      </c>
    </row>
    <row r="599" spans="1:6" x14ac:dyDescent="0.25">
      <c r="A599" s="11">
        <v>42064</v>
      </c>
      <c r="B599" s="7">
        <v>0.76527777777777783</v>
      </c>
      <c r="C599" s="7">
        <v>0.77638888888888891</v>
      </c>
      <c r="D599" s="7">
        <f>(0.776388888888889-0.765277777777778)</f>
        <v>1.1111111111111072E-2</v>
      </c>
      <c r="E599" s="7"/>
      <c r="F599" s="1" t="s">
        <v>8</v>
      </c>
    </row>
    <row r="600" spans="1:6" x14ac:dyDescent="0.25">
      <c r="A600" s="11">
        <v>42064</v>
      </c>
      <c r="B600" s="7">
        <v>0.29791666666666666</v>
      </c>
      <c r="C600" s="7">
        <v>0.33611111111111108</v>
      </c>
      <c r="D600" s="7">
        <f>(0.336111111111111-0.297916666666667)</f>
        <v>3.8194444444444031E-2</v>
      </c>
      <c r="E600" s="7">
        <f>ABS(0.038194444444444-0.021527777777777)</f>
        <v>1.6666666666667003E-2</v>
      </c>
      <c r="F600" s="1" t="s">
        <v>11</v>
      </c>
    </row>
    <row r="601" spans="1:6" x14ac:dyDescent="0.25">
      <c r="A601" s="11">
        <v>42064</v>
      </c>
      <c r="B601" s="7">
        <v>0.16041666666666668</v>
      </c>
      <c r="C601" s="7">
        <v>0.18194444444444444</v>
      </c>
      <c r="D601" s="7">
        <f>(0.181944444444444-0.160416666666667)</f>
        <v>2.152777777777698E-2</v>
      </c>
      <c r="E601" s="7">
        <f>ABS(0.021527777777777-0.020138888888889)</f>
        <v>1.3888888888879992E-3</v>
      </c>
      <c r="F601" s="1" t="s">
        <v>11</v>
      </c>
    </row>
    <row r="602" spans="1:6" x14ac:dyDescent="0.25">
      <c r="A602" s="11">
        <v>42064</v>
      </c>
      <c r="B602" s="7">
        <v>0.46736111111111112</v>
      </c>
      <c r="C602" s="7">
        <v>0.48749999999999999</v>
      </c>
      <c r="D602" s="7">
        <f>(0.4875-0.467361111111111)</f>
        <v>2.0138888888888984E-2</v>
      </c>
      <c r="E602" s="7">
        <f>ABS(0.020138888888889-0.0215277777777779)</f>
        <v>1.3888888888888978E-3</v>
      </c>
      <c r="F602" s="1" t="s">
        <v>11</v>
      </c>
    </row>
    <row r="603" spans="1:6" x14ac:dyDescent="0.25">
      <c r="A603" s="11">
        <v>42064</v>
      </c>
      <c r="B603" s="7">
        <v>0.61597222222222225</v>
      </c>
      <c r="C603" s="7">
        <v>0.63750000000000007</v>
      </c>
      <c r="D603" s="7">
        <f>(0.6375-0.615972222222222)</f>
        <v>2.1527777777777923E-2</v>
      </c>
      <c r="E603" s="7">
        <f>ABS(0.0215277777777779-0.020138888888889)</f>
        <v>1.3888888888888978E-3</v>
      </c>
      <c r="F603" s="1" t="s">
        <v>11</v>
      </c>
    </row>
    <row r="604" spans="1:6" x14ac:dyDescent="0.25">
      <c r="A604" s="11">
        <v>42064</v>
      </c>
      <c r="B604" s="7">
        <v>0.6645833333333333</v>
      </c>
      <c r="C604" s="7">
        <v>0.68472222222222223</v>
      </c>
      <c r="D604" s="7">
        <f>(0.684722222222222-0.664583333333333)</f>
        <v>2.0138888888889039E-2</v>
      </c>
      <c r="E604" s="7">
        <f>ABS(0.020138888888889-0.0222222222222219)</f>
        <v>2.0833333333328992E-3</v>
      </c>
      <c r="F604" s="1" t="s">
        <v>11</v>
      </c>
    </row>
    <row r="605" spans="1:6" x14ac:dyDescent="0.25">
      <c r="A605" s="11">
        <v>42064</v>
      </c>
      <c r="B605" s="7">
        <v>0.7090277777777777</v>
      </c>
      <c r="C605" s="7">
        <v>0.73125000000000007</v>
      </c>
      <c r="D605" s="7">
        <f>(0.73125-0.709027777777778)</f>
        <v>2.2222222222221921E-2</v>
      </c>
      <c r="E605" s="7">
        <f>ABS(0.0222222222222219-0.013194444444444)</f>
        <v>9.0277777777779001E-3</v>
      </c>
      <c r="F605" s="1" t="s">
        <v>11</v>
      </c>
    </row>
    <row r="606" spans="1:6" x14ac:dyDescent="0.25">
      <c r="A606" s="11">
        <v>42064</v>
      </c>
      <c r="B606" s="7">
        <v>0.80902777777777779</v>
      </c>
      <c r="C606" s="7">
        <v>0.8222222222222223</v>
      </c>
      <c r="D606" s="7">
        <f>(0.822222222222222-0.809027777777778)</f>
        <v>1.3194444444443953E-2</v>
      </c>
      <c r="E606" s="7">
        <f>ABS(0.013194444444444-0.023611111111111)</f>
        <v>1.0416666666666999E-2</v>
      </c>
      <c r="F606" s="1" t="s">
        <v>11</v>
      </c>
    </row>
    <row r="607" spans="1:6" x14ac:dyDescent="0.25">
      <c r="A607" s="11">
        <v>42064</v>
      </c>
      <c r="B607" s="7">
        <v>0.91041666666666676</v>
      </c>
      <c r="C607" s="7">
        <v>0.93402777777777779</v>
      </c>
      <c r="D607" s="7">
        <f>(0.934027777777778-0.910416666666667)</f>
        <v>2.3611111111111027E-2</v>
      </c>
      <c r="E607" s="7">
        <f>ABS(0.023611111111111-0.01875)</f>
        <v>4.8611111111110002E-3</v>
      </c>
      <c r="F607" s="1" t="s">
        <v>11</v>
      </c>
    </row>
    <row r="608" spans="1:6" x14ac:dyDescent="0.25">
      <c r="A608" s="11">
        <v>42064</v>
      </c>
      <c r="B608" s="7">
        <v>0.3576388888888889</v>
      </c>
      <c r="C608" s="7">
        <v>0.37638888888888888</v>
      </c>
      <c r="D608" s="7">
        <f>(0.376388888888889-0.357638888888889)</f>
        <v>1.8749999999999989E-2</v>
      </c>
      <c r="E608" s="7">
        <f>ABS(0.01875-0.0152777777777779)</f>
        <v>3.4722222222220989E-3</v>
      </c>
      <c r="F608" s="1" t="s">
        <v>11</v>
      </c>
    </row>
    <row r="609" spans="1:6" x14ac:dyDescent="0.25">
      <c r="A609" s="11">
        <v>42064</v>
      </c>
      <c r="B609" s="7">
        <v>0.96388888888888891</v>
      </c>
      <c r="C609" s="7">
        <v>0.97916666666666663</v>
      </c>
      <c r="D609" s="7">
        <f>(0.979166666666667-0.963888888888889)</f>
        <v>1.5277777777777946E-2</v>
      </c>
      <c r="E609" s="7">
        <f>ABS(0.0152777777777779-0.027083333333334)</f>
        <v>1.18055555555561E-2</v>
      </c>
      <c r="F609" s="1" t="s">
        <v>11</v>
      </c>
    </row>
    <row r="610" spans="1:6" x14ac:dyDescent="0.25">
      <c r="A610" s="11">
        <v>42064</v>
      </c>
      <c r="B610" s="7">
        <v>0.20069444444444443</v>
      </c>
      <c r="C610" s="7">
        <v>0.22777777777777777</v>
      </c>
      <c r="D610" s="7">
        <f>(0.227777777777778-0.200694444444444)</f>
        <v>2.7083333333333987E-2</v>
      </c>
      <c r="E610" s="7">
        <f>ABS(0.027083333333334-0.057638888888889)</f>
        <v>3.0555555555555003E-2</v>
      </c>
      <c r="F610" s="1" t="s">
        <v>11</v>
      </c>
    </row>
    <row r="611" spans="1:6" x14ac:dyDescent="0.25">
      <c r="A611" s="11">
        <v>42064</v>
      </c>
      <c r="B611" s="7">
        <v>0.44791666666666669</v>
      </c>
      <c r="C611" s="7">
        <v>0.50555555555555554</v>
      </c>
      <c r="D611" s="7">
        <f>(0.505555555555556-0.447916666666667)</f>
        <v>5.7638888888888962E-2</v>
      </c>
      <c r="E611" s="7">
        <f>ABS(0.057638888888889-0.0152777777777781)</f>
        <v>4.2361111111110905E-2</v>
      </c>
      <c r="F611" s="1" t="s">
        <v>11</v>
      </c>
    </row>
    <row r="612" spans="1:6" x14ac:dyDescent="0.25">
      <c r="A612" s="11">
        <v>42064</v>
      </c>
      <c r="B612" s="7">
        <v>0.65833333333333333</v>
      </c>
      <c r="C612" s="7">
        <v>0.67361111111111116</v>
      </c>
      <c r="D612" s="7">
        <f>(0.673611111111111-0.658333333333333)</f>
        <v>1.5277777777778057E-2</v>
      </c>
      <c r="E612" s="7">
        <f>ABS(0.0152777777777781-0.0166666666666661)</f>
        <v>1.388888888888001E-3</v>
      </c>
      <c r="F612" s="1" t="s">
        <v>11</v>
      </c>
    </row>
    <row r="613" spans="1:6" x14ac:dyDescent="0.25">
      <c r="A613" s="11">
        <v>42064</v>
      </c>
      <c r="B613" s="7">
        <v>0.65902777777777777</v>
      </c>
      <c r="C613" s="7">
        <v>0.67569444444444438</v>
      </c>
      <c r="D613" s="7">
        <f>(0.675694444444444-0.659027777777778)</f>
        <v>1.6666666666666052E-2</v>
      </c>
      <c r="E613" s="7">
        <f>ABS(0.0166666666666661-0.070138888888889)</f>
        <v>5.34722222222229E-2</v>
      </c>
      <c r="F613" s="1" t="s">
        <v>11</v>
      </c>
    </row>
    <row r="614" spans="1:6" x14ac:dyDescent="0.25">
      <c r="A614" s="11">
        <v>42064</v>
      </c>
      <c r="B614" s="7">
        <v>0.67499999999999993</v>
      </c>
      <c r="C614" s="7">
        <v>0.74513888888888891</v>
      </c>
      <c r="D614" s="7">
        <f>(0.745138888888889-0.675)</f>
        <v>7.0138888888888973E-2</v>
      </c>
      <c r="E614" s="7">
        <f>ABS(0.070138888888889-0.0215277777777779)</f>
        <v>4.8611111111111105E-2</v>
      </c>
      <c r="F614" s="1" t="s">
        <v>11</v>
      </c>
    </row>
    <row r="615" spans="1:6" x14ac:dyDescent="0.25">
      <c r="A615" s="11">
        <v>42064</v>
      </c>
      <c r="B615" s="7">
        <v>0.83194444444444438</v>
      </c>
      <c r="C615" s="7">
        <v>0.8534722222222223</v>
      </c>
      <c r="D615" s="7">
        <f>(0.853472222222222-0.831944444444444)</f>
        <v>2.1527777777777923E-2</v>
      </c>
      <c r="E615" s="7">
        <f>ABS(0.0215277777777779-0.020833333333333)</f>
        <v>6.9444444444489994E-4</v>
      </c>
      <c r="F615" s="1" t="s">
        <v>11</v>
      </c>
    </row>
    <row r="616" spans="1:6" x14ac:dyDescent="0.25">
      <c r="A616" s="11">
        <v>42064</v>
      </c>
      <c r="B616" s="7">
        <v>0.4465277777777778</v>
      </c>
      <c r="C616" s="7">
        <v>0.46736111111111112</v>
      </c>
      <c r="D616" s="7">
        <f>(0.467361111111111-0.446527777777778)</f>
        <v>2.0833333333332982E-2</v>
      </c>
      <c r="E616" s="7">
        <f>ABS(0.020833333333333-0.0333333333333331)</f>
        <v>1.2500000000000098E-2</v>
      </c>
      <c r="F616" s="1" t="s">
        <v>11</v>
      </c>
    </row>
    <row r="617" spans="1:6" x14ac:dyDescent="0.25">
      <c r="A617" s="11">
        <v>42064</v>
      </c>
      <c r="B617" s="7">
        <v>0.51388888888888895</v>
      </c>
      <c r="C617" s="7">
        <v>0.54722222222222217</v>
      </c>
      <c r="D617" s="7">
        <f>(0.547222222222222-0.513888888888889)</f>
        <v>3.3333333333333104E-2</v>
      </c>
      <c r="E617" s="7">
        <f>ABS(0.0333333333333331-0.020833333333334)</f>
        <v>1.2499999999999099E-2</v>
      </c>
      <c r="F617" s="1" t="s">
        <v>11</v>
      </c>
    </row>
    <row r="618" spans="1:6" x14ac:dyDescent="0.25">
      <c r="A618" s="11">
        <v>42064</v>
      </c>
      <c r="B618" s="7">
        <v>0.51458333333333328</v>
      </c>
      <c r="C618" s="7">
        <v>0.53541666666666665</v>
      </c>
      <c r="D618" s="7">
        <f>(0.535416666666667-0.514583333333333)</f>
        <v>2.0833333333334036E-2</v>
      </c>
      <c r="E618" s="7">
        <f>ABS(0.020833333333334-0.0229166666666669)</f>
        <v>2.0833333333329027E-3</v>
      </c>
      <c r="F618" s="1" t="s">
        <v>11</v>
      </c>
    </row>
    <row r="619" spans="1:6" x14ac:dyDescent="0.25">
      <c r="A619" s="11">
        <v>42064</v>
      </c>
      <c r="B619" s="7">
        <v>0.76874999999999993</v>
      </c>
      <c r="C619" s="7">
        <v>0.79166666666666663</v>
      </c>
      <c r="D619" s="7">
        <f>(0.791666666666667-0.76875)</f>
        <v>2.2916666666666918E-2</v>
      </c>
      <c r="E619" s="7">
        <f>ABS(0.0229166666666669-0.0194444444444501)</f>
        <v>3.472222222216801E-3</v>
      </c>
      <c r="F619" s="1" t="s">
        <v>11</v>
      </c>
    </row>
    <row r="620" spans="1:6" x14ac:dyDescent="0.25">
      <c r="A620" s="11">
        <v>42064</v>
      </c>
      <c r="B620" s="7">
        <v>1.0111111111111111</v>
      </c>
      <c r="C620" s="7">
        <v>1.0305555555555557</v>
      </c>
      <c r="D620" s="7">
        <f>(1.03055555555556-1.01111111111111)</f>
        <v>1.9444444444450149E-2</v>
      </c>
      <c r="E620" s="7">
        <f>ABS(0.0194444444444501-0.033333333333333)</f>
        <v>1.38888888888829E-2</v>
      </c>
      <c r="F620" s="1" t="s">
        <v>11</v>
      </c>
    </row>
    <row r="621" spans="1:6" x14ac:dyDescent="0.25">
      <c r="A621" s="11">
        <v>42064</v>
      </c>
      <c r="B621" s="7">
        <v>0.69166666666666676</v>
      </c>
      <c r="C621" s="7">
        <v>0.72499999999999998</v>
      </c>
      <c r="D621" s="7">
        <f>(0.725-0.691666666666667)</f>
        <v>3.3333333333332993E-2</v>
      </c>
      <c r="E621" s="7">
        <f>ABS(0.033333333333333-0.025694444444444)</f>
        <v>7.6388888888890005E-3</v>
      </c>
      <c r="F621" s="1" t="s">
        <v>11</v>
      </c>
    </row>
    <row r="622" spans="1:6" x14ac:dyDescent="0.25">
      <c r="A622" s="11">
        <v>42064</v>
      </c>
      <c r="B622" s="7">
        <v>0.69930555555555562</v>
      </c>
      <c r="C622" s="7">
        <v>0.72499999999999998</v>
      </c>
      <c r="D622" s="7">
        <f>(0.725-0.699305555555556)</f>
        <v>2.569444444444402E-2</v>
      </c>
      <c r="E622" s="7">
        <f>ABS(0.025694444444444-0.025694444444444)</f>
        <v>0</v>
      </c>
      <c r="F622" s="1" t="s">
        <v>11</v>
      </c>
    </row>
    <row r="623" spans="1:6" x14ac:dyDescent="0.25">
      <c r="A623" s="11">
        <v>42064</v>
      </c>
      <c r="B623" s="7">
        <v>0.76180555555555562</v>
      </c>
      <c r="C623" s="7">
        <v>0.78749999999999998</v>
      </c>
      <c r="D623" s="7">
        <f>(0.7875-0.761805555555556)</f>
        <v>2.569444444444402E-2</v>
      </c>
      <c r="E623" s="7">
        <f>ABS(0.025694444444444-0.01875)</f>
        <v>6.944444444444E-3</v>
      </c>
      <c r="F623" s="1" t="s">
        <v>11</v>
      </c>
    </row>
    <row r="624" spans="1:6" x14ac:dyDescent="0.25">
      <c r="A624" s="11">
        <v>42064</v>
      </c>
      <c r="B624" s="7">
        <v>0.77916666666666667</v>
      </c>
      <c r="C624" s="7">
        <v>0.79791666666666661</v>
      </c>
      <c r="D624" s="7">
        <f>(0.797916666666667-0.779166666666667)</f>
        <v>1.8750000000000044E-2</v>
      </c>
      <c r="E624" s="7">
        <f>ABS(0.01875-0.0472222222222219)</f>
        <v>2.8472222222221902E-2</v>
      </c>
      <c r="F624" s="1" t="s">
        <v>11</v>
      </c>
    </row>
    <row r="625" spans="1:6" x14ac:dyDescent="0.25">
      <c r="A625" s="11">
        <v>42064</v>
      </c>
      <c r="B625" s="7">
        <v>0.70347222222222217</v>
      </c>
      <c r="C625" s="7">
        <v>0.75069444444444444</v>
      </c>
      <c r="D625" s="7">
        <f>(0.750694444444444-0.703472222222222)</f>
        <v>4.7222222222221943E-2</v>
      </c>
      <c r="E625" s="7">
        <f>ABS(0.0472222222222219-0.019444444444444)</f>
        <v>2.7777777777777901E-2</v>
      </c>
      <c r="F625" s="1" t="s">
        <v>11</v>
      </c>
    </row>
    <row r="626" spans="1:6" x14ac:dyDescent="0.25">
      <c r="A626" s="11">
        <v>42064</v>
      </c>
      <c r="B626" s="7">
        <v>0.84652777777777777</v>
      </c>
      <c r="C626" s="7">
        <v>0.86597222222222225</v>
      </c>
      <c r="D626" s="7">
        <f>(0.865972222222222-0.846527777777778)</f>
        <v>1.9444444444444042E-2</v>
      </c>
      <c r="E626" s="7">
        <f>ABS(0.019444444444444-0.020138888888889)</f>
        <v>6.9444444444500056E-4</v>
      </c>
      <c r="F626" s="1" t="s">
        <v>11</v>
      </c>
    </row>
    <row r="627" spans="1:6" x14ac:dyDescent="0.25">
      <c r="A627" s="11">
        <v>42064</v>
      </c>
      <c r="B627" s="7">
        <v>0.47986111111111113</v>
      </c>
      <c r="C627" s="7">
        <v>0.5</v>
      </c>
      <c r="D627" s="7">
        <f>(0.5-0.479861111111111)</f>
        <v>2.0138888888888984E-2</v>
      </c>
      <c r="E627" s="7">
        <f>ABS(0.020138888888889-0.020833333333333)</f>
        <v>6.9444444444399789E-4</v>
      </c>
      <c r="F627" s="1" t="s">
        <v>11</v>
      </c>
    </row>
    <row r="628" spans="1:6" x14ac:dyDescent="0.25">
      <c r="A628" s="11">
        <v>42064</v>
      </c>
      <c r="B628" s="7">
        <v>0.56388888888888888</v>
      </c>
      <c r="C628" s="7">
        <v>0.58472222222222225</v>
      </c>
      <c r="D628" s="7">
        <f>(0.584722222222222-0.563888888888889)</f>
        <v>2.0833333333333037E-2</v>
      </c>
      <c r="E628" s="7">
        <f>ABS(0.020833333333333-0.0194444444444439)</f>
        <v>1.3888888888890991E-3</v>
      </c>
      <c r="F628" s="1" t="s">
        <v>11</v>
      </c>
    </row>
    <row r="629" spans="1:6" x14ac:dyDescent="0.25">
      <c r="A629" s="11">
        <v>42064</v>
      </c>
      <c r="B629" s="7">
        <v>0.61527777777777781</v>
      </c>
      <c r="C629" s="7">
        <v>0.63472222222222219</v>
      </c>
      <c r="D629" s="7">
        <f>(0.634722222222222-0.615277777777778)</f>
        <v>1.9444444444443931E-2</v>
      </c>
      <c r="E629" s="7">
        <f>ABS(0.0194444444444439-0)</f>
        <v>1.94444444444439E-2</v>
      </c>
      <c r="F629" s="1" t="s">
        <v>11</v>
      </c>
    </row>
    <row r="630" spans="1:6" x14ac:dyDescent="0.25">
      <c r="A630" s="11">
        <v>42064</v>
      </c>
      <c r="B630" s="7">
        <v>0.85625000000000007</v>
      </c>
      <c r="C630" s="7">
        <v>0.85625000000000007</v>
      </c>
      <c r="D630" s="7">
        <f>(0.85625-0.85625)</f>
        <v>0</v>
      </c>
      <c r="E630" s="7">
        <f>ABS(0-0.024305555555556)</f>
        <v>2.4305555555556E-2</v>
      </c>
      <c r="F630" s="1" t="s">
        <v>11</v>
      </c>
    </row>
    <row r="631" spans="1:6" x14ac:dyDescent="0.25">
      <c r="A631" s="11">
        <v>42064</v>
      </c>
      <c r="B631" s="7">
        <v>0.35625000000000001</v>
      </c>
      <c r="C631" s="7">
        <v>0.38055555555555554</v>
      </c>
      <c r="D631" s="7">
        <f>(0.380555555555556-0.35625)</f>
        <v>2.4305555555555969E-2</v>
      </c>
      <c r="E631" s="7">
        <f>ABS(0.024305555555556-0.028472222222223)</f>
        <v>4.1666666666669988E-3</v>
      </c>
      <c r="F631" s="1" t="s">
        <v>11</v>
      </c>
    </row>
    <row r="632" spans="1:6" x14ac:dyDescent="0.25">
      <c r="A632" s="11">
        <v>42064</v>
      </c>
      <c r="B632" s="7">
        <v>0.45833333333333331</v>
      </c>
      <c r="C632" s="7">
        <v>0.48680555555555555</v>
      </c>
      <c r="D632" s="7">
        <f>(0.486805555555556-0.458333333333333)</f>
        <v>2.8472222222223009E-2</v>
      </c>
      <c r="E632" s="7">
        <f>ABS(0.028472222222223-0.0145833333333329)</f>
        <v>1.3888888888890099E-2</v>
      </c>
      <c r="F632" s="1" t="s">
        <v>11</v>
      </c>
    </row>
    <row r="633" spans="1:6" x14ac:dyDescent="0.25">
      <c r="A633" s="11">
        <v>42064</v>
      </c>
      <c r="B633" s="7">
        <v>0.58124999999999993</v>
      </c>
      <c r="C633" s="7">
        <v>0.59583333333333333</v>
      </c>
      <c r="D633" s="7">
        <f>(0.595833333333333-0.58125)</f>
        <v>1.4583333333332948E-2</v>
      </c>
      <c r="E633" s="7">
        <f>ABS(0.0145833333333329-0.0194444444444439)</f>
        <v>4.8611111111110002E-3</v>
      </c>
      <c r="F633" s="1" t="s">
        <v>11</v>
      </c>
    </row>
    <row r="634" spans="1:6" x14ac:dyDescent="0.25">
      <c r="A634" s="11">
        <v>42064</v>
      </c>
      <c r="B634" s="7">
        <v>0.80763888888888891</v>
      </c>
      <c r="C634" s="7">
        <v>0.82708333333333339</v>
      </c>
      <c r="D634" s="7">
        <f>(0.827083333333333-0.807638888888889)</f>
        <v>1.9444444444443931E-2</v>
      </c>
      <c r="E634" s="7">
        <f>ABS(0.0194444444444439-0.0222222222222229)</f>
        <v>2.7777777777789996E-3</v>
      </c>
      <c r="F634" s="1" t="s">
        <v>11</v>
      </c>
    </row>
    <row r="635" spans="1:6" x14ac:dyDescent="0.25">
      <c r="A635" s="11">
        <v>42064</v>
      </c>
      <c r="B635" s="7">
        <v>0.77083333333333337</v>
      </c>
      <c r="C635" s="7">
        <v>0.79305555555555562</v>
      </c>
      <c r="D635" s="7">
        <f>(0.793055555555556-0.770833333333333)</f>
        <v>2.222222222222292E-2</v>
      </c>
      <c r="E635" s="7">
        <f>ABS(0.0222222222222229-0.029861111111111)</f>
        <v>7.6388888888881019E-3</v>
      </c>
      <c r="F635" s="1" t="s">
        <v>11</v>
      </c>
    </row>
    <row r="636" spans="1:6" x14ac:dyDescent="0.25">
      <c r="A636" s="11">
        <v>42064</v>
      </c>
      <c r="B636" s="7">
        <v>0.2902777777777778</v>
      </c>
      <c r="C636" s="7">
        <v>0.32013888888888892</v>
      </c>
      <c r="D636" s="7">
        <f>(0.320138888888889-0.290277777777778)</f>
        <v>2.986111111111095E-2</v>
      </c>
      <c r="E636" s="7">
        <f>ABS(0.029861111111111-0.027777777777777)</f>
        <v>2.0833333333340025E-3</v>
      </c>
      <c r="F636" s="1" t="s">
        <v>11</v>
      </c>
    </row>
    <row r="637" spans="1:6" x14ac:dyDescent="0.25">
      <c r="A637" s="11">
        <v>42064</v>
      </c>
      <c r="B637" s="7">
        <v>0.53055555555555556</v>
      </c>
      <c r="C637" s="7">
        <v>0.55833333333333335</v>
      </c>
      <c r="D637" s="7">
        <f>(0.558333333333333-0.530555555555556)</f>
        <v>2.7777777777777013E-2</v>
      </c>
      <c r="E637" s="7">
        <f>ABS(0.027777777777777-0.0194444444444442)</f>
        <v>8.3333333333328007E-3</v>
      </c>
      <c r="F637" s="1" t="s">
        <v>11</v>
      </c>
    </row>
    <row r="638" spans="1:6" x14ac:dyDescent="0.25">
      <c r="A638" s="11">
        <v>42064</v>
      </c>
      <c r="B638" s="7">
        <v>8.4027777777777771E-2</v>
      </c>
      <c r="C638" s="7">
        <v>0.10347222222222223</v>
      </c>
      <c r="D638" s="7">
        <f>(0.103472222222222-0.0840277777777778)</f>
        <v>1.9444444444444195E-2</v>
      </c>
      <c r="E638" s="7">
        <f>ABS(0.0194444444444442-0.018055555555555)</f>
        <v>1.3888888888891997E-3</v>
      </c>
      <c r="F638" s="1" t="s">
        <v>11</v>
      </c>
    </row>
    <row r="639" spans="1:6" x14ac:dyDescent="0.25">
      <c r="A639" s="11">
        <v>42064</v>
      </c>
      <c r="B639" s="7">
        <v>0.33055555555555555</v>
      </c>
      <c r="C639" s="7">
        <v>0.34861111111111115</v>
      </c>
      <c r="D639" s="7">
        <f>(0.348611111111111-0.330555555555556)</f>
        <v>1.8055555555554992E-2</v>
      </c>
      <c r="E639" s="7">
        <f>ABS(0.018055555555555-0.020138888888888)</f>
        <v>2.0833333333329998E-3</v>
      </c>
      <c r="F639" s="1" t="s">
        <v>11</v>
      </c>
    </row>
    <row r="640" spans="1:6" x14ac:dyDescent="0.25">
      <c r="A640" s="11">
        <v>42064</v>
      </c>
      <c r="B640" s="7">
        <v>0.39930555555555558</v>
      </c>
      <c r="C640" s="7">
        <v>0.41944444444444445</v>
      </c>
      <c r="D640" s="7">
        <f>(0.419444444444444-0.399305555555556)</f>
        <v>2.0138888888887985E-2</v>
      </c>
      <c r="E640" s="7">
        <f>ABS(0.020138888888888-0.019444444444445)</f>
        <v>6.9444444444299869E-4</v>
      </c>
      <c r="F640" s="1" t="s">
        <v>11</v>
      </c>
    </row>
    <row r="641" spans="1:6" x14ac:dyDescent="0.25">
      <c r="A641" s="11">
        <v>42064</v>
      </c>
      <c r="B641" s="7">
        <v>0.4548611111111111</v>
      </c>
      <c r="C641" s="7">
        <v>0.47430555555555554</v>
      </c>
      <c r="D641" s="7">
        <f>(0.474305555555556-0.454861111111111)</f>
        <v>1.9444444444444986E-2</v>
      </c>
      <c r="E641" s="7">
        <f>ABS(0.019444444444445-0.0208333333333339)</f>
        <v>1.3888888888889013E-3</v>
      </c>
      <c r="F641" s="1" t="s">
        <v>11</v>
      </c>
    </row>
    <row r="642" spans="1:6" x14ac:dyDescent="0.25">
      <c r="A642" s="11">
        <v>42064</v>
      </c>
      <c r="B642" s="7">
        <v>0.64444444444444449</v>
      </c>
      <c r="C642" s="7">
        <v>0.66527777777777775</v>
      </c>
      <c r="D642" s="7">
        <f>(0.665277777777778-0.644444444444444)</f>
        <v>2.0833333333333925E-2</v>
      </c>
      <c r="E642" s="7">
        <f>ABS(0.0208333333333339-0.028472222222222)</f>
        <v>7.6388888888880985E-3</v>
      </c>
      <c r="F642" s="1" t="s">
        <v>11</v>
      </c>
    </row>
    <row r="643" spans="1:6" x14ac:dyDescent="0.25">
      <c r="A643" s="11">
        <v>42064</v>
      </c>
      <c r="B643" s="7">
        <v>0.87986111111111109</v>
      </c>
      <c r="C643" s="7">
        <v>0.90833333333333333</v>
      </c>
      <c r="D643" s="7">
        <f>(0.908333333333333-0.879861111111111)</f>
        <v>2.847222222222201E-2</v>
      </c>
      <c r="E643" s="7">
        <f>ABS(0.028472222222222-0.01875)</f>
        <v>9.7222222222220003E-3</v>
      </c>
      <c r="F643" s="1" t="s">
        <v>11</v>
      </c>
    </row>
    <row r="644" spans="1:6" x14ac:dyDescent="0.25">
      <c r="A644" s="11">
        <v>42064</v>
      </c>
      <c r="B644" s="7">
        <v>0.57361111111111118</v>
      </c>
      <c r="C644" s="7">
        <v>0.59236111111111112</v>
      </c>
      <c r="D644" s="7">
        <f>(0.592361111111111-0.573611111111111)</f>
        <v>1.8750000000000044E-2</v>
      </c>
      <c r="E644" s="7">
        <f>ABS(0.01875-0.020833333333333)</f>
        <v>2.0833333333329998E-3</v>
      </c>
      <c r="F644" s="1" t="s">
        <v>11</v>
      </c>
    </row>
    <row r="645" spans="1:6" x14ac:dyDescent="0.25">
      <c r="A645" s="11">
        <v>42064</v>
      </c>
      <c r="B645" s="7">
        <v>0.71805555555555556</v>
      </c>
      <c r="C645" s="7">
        <v>0.73888888888888893</v>
      </c>
      <c r="D645" s="7">
        <f>(0.738888888888889-0.718055555555556)</f>
        <v>2.0833333333333037E-2</v>
      </c>
      <c r="E645" s="7">
        <f>ABS(0.020833333333333-0.019444444444444)</f>
        <v>1.3888888888889984E-3</v>
      </c>
      <c r="F645" s="1" t="s">
        <v>11</v>
      </c>
    </row>
    <row r="646" spans="1:6" x14ac:dyDescent="0.25">
      <c r="A646" s="11">
        <v>42064</v>
      </c>
      <c r="B646" s="7">
        <v>0.78680555555555554</v>
      </c>
      <c r="C646" s="7">
        <v>0.80625000000000002</v>
      </c>
      <c r="D646" s="7">
        <f>(0.80625-0.786805555555556)</f>
        <v>1.9444444444444042E-2</v>
      </c>
      <c r="E646" s="7">
        <f>ABS(0.019444444444444-0.019444444444444)</f>
        <v>0</v>
      </c>
      <c r="F646" s="1" t="s">
        <v>11</v>
      </c>
    </row>
    <row r="647" spans="1:6" x14ac:dyDescent="0.25">
      <c r="A647" s="11">
        <v>42064</v>
      </c>
      <c r="B647" s="7">
        <v>0.78611111111111109</v>
      </c>
      <c r="C647" s="7">
        <v>0.80555555555555547</v>
      </c>
      <c r="D647" s="7">
        <f>(0.805555555555555-0.786111111111111)</f>
        <v>1.9444444444444042E-2</v>
      </c>
      <c r="E647" s="7">
        <f>ABS(0.019444444444444-0.038194444444444)</f>
        <v>1.8750000000000003E-2</v>
      </c>
      <c r="F647" s="1" t="s">
        <v>11</v>
      </c>
    </row>
    <row r="648" spans="1:6" x14ac:dyDescent="0.25">
      <c r="A648" s="11">
        <v>42064</v>
      </c>
      <c r="B648" s="7">
        <v>0.18402777777777779</v>
      </c>
      <c r="C648" s="7">
        <v>0.22222222222222221</v>
      </c>
      <c r="D648" s="7">
        <f>(0.222222222222222-0.184027777777778)</f>
        <v>3.8194444444443976E-2</v>
      </c>
      <c r="E648" s="7">
        <f>ABS(0.038194444444444-0.022916666666666)</f>
        <v>1.5277777777778005E-2</v>
      </c>
      <c r="F648" s="1" t="s">
        <v>11</v>
      </c>
    </row>
    <row r="649" spans="1:6" x14ac:dyDescent="0.25">
      <c r="A649" s="11">
        <v>42064</v>
      </c>
      <c r="B649" s="7">
        <v>0.51180555555555551</v>
      </c>
      <c r="C649" s="7">
        <v>0.53472222222222221</v>
      </c>
      <c r="D649" s="7">
        <f>(0.534722222222222-0.511805555555556)</f>
        <v>2.291666666666603E-2</v>
      </c>
      <c r="E649" s="7">
        <f>ABS(0.022916666666666-0.0215277777777779)</f>
        <v>1.3888888888880999E-3</v>
      </c>
      <c r="F649" s="1" t="s">
        <v>11</v>
      </c>
    </row>
    <row r="650" spans="1:6" x14ac:dyDescent="0.25">
      <c r="A650" s="11">
        <v>42064</v>
      </c>
      <c r="B650" s="7">
        <v>0.89861111111111114</v>
      </c>
      <c r="C650" s="7">
        <v>0.92013888888888884</v>
      </c>
      <c r="D650" s="7">
        <f>(0.920138888888889-0.898611111111111)</f>
        <v>2.1527777777777923E-2</v>
      </c>
      <c r="E650" s="7">
        <f>ABS(0.0215277777777779-0.026388888888889)</f>
        <v>4.8611111111111008E-3</v>
      </c>
      <c r="F650" s="1" t="s">
        <v>11</v>
      </c>
    </row>
    <row r="651" spans="1:6" x14ac:dyDescent="0.25">
      <c r="A651" s="11">
        <v>42064</v>
      </c>
      <c r="B651" s="7">
        <v>0.10694444444444444</v>
      </c>
      <c r="C651" s="7">
        <v>0.13333333333333333</v>
      </c>
      <c r="D651" s="7">
        <f>(0.133333333333333-0.106944444444444)</f>
        <v>2.6388888888889003E-2</v>
      </c>
      <c r="E651" s="7">
        <f>ABS(0.026388888888889-0.022916666666666)</f>
        <v>3.4722222222230009E-3</v>
      </c>
      <c r="F651" s="1" t="s">
        <v>11</v>
      </c>
    </row>
    <row r="652" spans="1:6" x14ac:dyDescent="0.25">
      <c r="A652" s="11">
        <v>42064</v>
      </c>
      <c r="B652" s="7">
        <v>0.43055555555555558</v>
      </c>
      <c r="C652" s="7">
        <v>0.45347222222222222</v>
      </c>
      <c r="D652" s="7">
        <f>(0.453472222222222-0.430555555555556)</f>
        <v>2.2916666666665975E-2</v>
      </c>
      <c r="E652" s="7">
        <f>ABS(0.022916666666666-0.020138888888889)</f>
        <v>2.7777777777769977E-3</v>
      </c>
      <c r="F652" s="1" t="s">
        <v>11</v>
      </c>
    </row>
    <row r="653" spans="1:6" x14ac:dyDescent="0.25">
      <c r="A653" s="11">
        <v>42064</v>
      </c>
      <c r="B653" s="7">
        <v>0.50277777777777777</v>
      </c>
      <c r="C653" s="7">
        <v>0.5229166666666667</v>
      </c>
      <c r="D653" s="7">
        <f>(0.522916666666667-0.502777777777778)</f>
        <v>2.0138888888889039E-2</v>
      </c>
      <c r="E653" s="7">
        <f>ABS(0.020138888888889-0.022222222222222)</f>
        <v>2.0833333333329998E-3</v>
      </c>
      <c r="F653" s="5" t="s">
        <v>11</v>
      </c>
    </row>
    <row r="654" spans="1:6" x14ac:dyDescent="0.25">
      <c r="A654" s="11">
        <v>42064</v>
      </c>
      <c r="B654" s="7">
        <v>0.57777777777777783</v>
      </c>
      <c r="C654" s="7">
        <v>0.6</v>
      </c>
      <c r="D654" s="7">
        <f>(0.6-0.577777777777778)</f>
        <v>2.2222222222222032E-2</v>
      </c>
      <c r="E654" s="7">
        <f>ABS(0.022222222222222-0.055555555555555)</f>
        <v>3.3333333333332993E-2</v>
      </c>
      <c r="F654" s="1" t="s">
        <v>11</v>
      </c>
    </row>
    <row r="655" spans="1:6" x14ac:dyDescent="0.25">
      <c r="A655" s="11">
        <v>42064</v>
      </c>
      <c r="B655" s="7">
        <v>0.68263888888888891</v>
      </c>
      <c r="C655" s="7">
        <v>0.73819444444444438</v>
      </c>
      <c r="D655" s="7">
        <f>(0.738194444444444-0.682638888888889)</f>
        <v>5.5555555555555025E-2</v>
      </c>
      <c r="E655" s="7">
        <f>ABS(0.055555555555555-0.0173611111111119)</f>
        <v>3.8194444444443101E-2</v>
      </c>
      <c r="F655" s="1" t="s">
        <v>11</v>
      </c>
    </row>
    <row r="656" spans="1:6" x14ac:dyDescent="0.25">
      <c r="A656" s="11">
        <v>42064</v>
      </c>
      <c r="B656" s="7">
        <v>0.83680555555555547</v>
      </c>
      <c r="C656" s="7">
        <v>0.85416666666666663</v>
      </c>
      <c r="D656" s="7">
        <f>(0.854166666666667-0.836805555555555)</f>
        <v>1.7361111111111938E-2</v>
      </c>
      <c r="E656" s="7">
        <f>ABS(0.0173611111111119-0.013888888888889)</f>
        <v>3.4722222222229003E-3</v>
      </c>
      <c r="F656" s="1" t="s">
        <v>11</v>
      </c>
    </row>
    <row r="657" spans="1:6" x14ac:dyDescent="0.25">
      <c r="A657" s="11">
        <v>42064</v>
      </c>
      <c r="B657" s="7">
        <v>0.22569444444444445</v>
      </c>
      <c r="C657" s="7">
        <v>0.23958333333333334</v>
      </c>
      <c r="D657" s="7">
        <f>(0.239583333333333-0.225694444444444)</f>
        <v>1.3888888888889006E-2</v>
      </c>
      <c r="E657" s="7">
        <f>ABS(0.013888888888889-0.022222222222223)</f>
        <v>8.3333333333340011E-3</v>
      </c>
      <c r="F657" s="1" t="s">
        <v>11</v>
      </c>
    </row>
    <row r="658" spans="1:6" x14ac:dyDescent="0.25">
      <c r="A658" s="11">
        <v>42064</v>
      </c>
      <c r="B658" s="7">
        <v>0.41944444444444445</v>
      </c>
      <c r="C658" s="7">
        <v>0.44166666666666665</v>
      </c>
      <c r="D658" s="7">
        <f>(0.441666666666667-0.419444444444444)</f>
        <v>2.2222222222222976E-2</v>
      </c>
      <c r="E658" s="7">
        <f>ABS(0.022222222222223-0.022222222222222)</f>
        <v>9.9920072216264089E-16</v>
      </c>
      <c r="F658" s="1" t="s">
        <v>11</v>
      </c>
    </row>
    <row r="659" spans="1:6" x14ac:dyDescent="0.25">
      <c r="A659" s="11">
        <v>42064</v>
      </c>
      <c r="B659" s="7">
        <v>0.44791666666666669</v>
      </c>
      <c r="C659" s="7">
        <v>0.47013888888888888</v>
      </c>
      <c r="D659" s="7">
        <f>(0.470138888888889-0.447916666666667)</f>
        <v>2.2222222222221977E-2</v>
      </c>
      <c r="E659" s="7">
        <f>ABS(0.022222222222222-0.036111111111111)</f>
        <v>1.3888888888888996E-2</v>
      </c>
      <c r="F659" s="1" t="s">
        <v>11</v>
      </c>
    </row>
    <row r="660" spans="1:6" x14ac:dyDescent="0.25">
      <c r="A660" s="11">
        <v>42064</v>
      </c>
      <c r="B660" s="7">
        <v>0.57013888888888886</v>
      </c>
      <c r="C660" s="7">
        <v>0.60625000000000007</v>
      </c>
      <c r="D660" s="7">
        <f>(0.60625-0.570138888888889)</f>
        <v>3.6111111111110983E-2</v>
      </c>
      <c r="E660" s="7">
        <f>ABS(0.036111111111111-0.026388888888889)</f>
        <v>9.7222222222219969E-3</v>
      </c>
      <c r="F660" s="1" t="s">
        <v>11</v>
      </c>
    </row>
    <row r="661" spans="1:6" x14ac:dyDescent="0.25">
      <c r="A661" s="11">
        <v>42064</v>
      </c>
      <c r="B661" s="7">
        <v>0.62986111111111109</v>
      </c>
      <c r="C661" s="7">
        <v>0.65625</v>
      </c>
      <c r="D661" s="7">
        <f>(0.65625-0.629861111111111)</f>
        <v>2.6388888888889017E-2</v>
      </c>
      <c r="E661" s="7">
        <f>ABS(0.026388888888889-0.027083333333333)</f>
        <v>6.9444444444400136E-4</v>
      </c>
      <c r="F661" s="1" t="s">
        <v>11</v>
      </c>
    </row>
    <row r="662" spans="1:6" x14ac:dyDescent="0.25">
      <c r="A662" s="11">
        <v>42064</v>
      </c>
      <c r="B662" s="7">
        <v>0.82291666666666663</v>
      </c>
      <c r="C662" s="7">
        <v>0.85</v>
      </c>
      <c r="D662" s="7">
        <f>(0.85-0.822916666666667)</f>
        <v>2.7083333333333015E-2</v>
      </c>
      <c r="E662" s="7">
        <f>ABS(0.027083333333333-0.0250000000000001)</f>
        <v>2.0833333333329027E-3</v>
      </c>
      <c r="F662" s="1" t="s">
        <v>11</v>
      </c>
    </row>
    <row r="663" spans="1:6" x14ac:dyDescent="0.25">
      <c r="A663" s="11">
        <v>42064</v>
      </c>
      <c r="B663" s="7">
        <v>7.6388888888888895E-2</v>
      </c>
      <c r="C663" s="7">
        <v>0.1013888888888889</v>
      </c>
      <c r="D663" s="7">
        <f>(0.101388888888889-0.0763888888888889)</f>
        <v>2.5000000000000105E-2</v>
      </c>
      <c r="E663" s="7">
        <f>ABS(0.0250000000000001-0.020833333333333)</f>
        <v>4.1666666666670994E-3</v>
      </c>
      <c r="F663" s="1" t="s">
        <v>11</v>
      </c>
    </row>
    <row r="664" spans="1:6" x14ac:dyDescent="0.25">
      <c r="A664" s="11">
        <v>42064</v>
      </c>
      <c r="B664" s="7">
        <v>0.72569444444444453</v>
      </c>
      <c r="C664" s="7">
        <v>0.74652777777777779</v>
      </c>
      <c r="D664" s="7">
        <f>(0.746527777777778-0.725694444444445)</f>
        <v>2.0833333333333037E-2</v>
      </c>
      <c r="E664" s="7">
        <f>ABS(0.020833333333333-0.025)</f>
        <v>4.1666666666670023E-3</v>
      </c>
      <c r="F664" s="1" t="s">
        <v>11</v>
      </c>
    </row>
    <row r="665" spans="1:6" x14ac:dyDescent="0.25">
      <c r="A665" s="11">
        <v>42064</v>
      </c>
      <c r="B665" s="7">
        <v>0.87638888888888899</v>
      </c>
      <c r="C665" s="7">
        <v>0.90138888888888891</v>
      </c>
      <c r="D665" s="7">
        <f>(0.901388888888889-0.876388888888889)</f>
        <v>2.5000000000000022E-2</v>
      </c>
      <c r="E665" s="7">
        <f>ABS(0.025-0.0104166666666671)</f>
        <v>1.4583333333332902E-2</v>
      </c>
      <c r="F665" s="1" t="s">
        <v>11</v>
      </c>
    </row>
    <row r="666" spans="1:6" x14ac:dyDescent="0.25">
      <c r="A666" s="11">
        <v>42064</v>
      </c>
      <c r="B666" s="7">
        <v>0.9472222222222223</v>
      </c>
      <c r="C666" s="7">
        <v>0.95763888888888893</v>
      </c>
      <c r="D666" s="7">
        <f>(0.957638888888889-0.947222222222222)</f>
        <v>1.0416666666667074E-2</v>
      </c>
      <c r="E666" s="7">
        <f>ABS(0.0104166666666671-0.022916666666666)</f>
        <v>1.2499999999998899E-2</v>
      </c>
      <c r="F666" s="1" t="s">
        <v>11</v>
      </c>
    </row>
    <row r="667" spans="1:6" x14ac:dyDescent="0.25">
      <c r="A667" s="11">
        <v>42064</v>
      </c>
      <c r="B667" s="7">
        <v>0.37777777777777777</v>
      </c>
      <c r="C667" s="7">
        <v>0.40069444444444446</v>
      </c>
      <c r="D667" s="7">
        <f>(0.400694444444444-0.377777777777778)</f>
        <v>2.291666666666603E-2</v>
      </c>
      <c r="E667" s="7">
        <f>ABS(0.022916666666666-0.017361111111111)</f>
        <v>5.5555555555549981E-3</v>
      </c>
      <c r="F667" s="1" t="s">
        <v>11</v>
      </c>
    </row>
    <row r="668" spans="1:6" x14ac:dyDescent="0.25">
      <c r="A668" s="11">
        <v>42064</v>
      </c>
      <c r="B668" s="7">
        <v>0.12847222222222224</v>
      </c>
      <c r="C668" s="7">
        <v>0.14583333333333334</v>
      </c>
      <c r="D668" s="7">
        <f>(0.145833333333333-0.128472222222222)</f>
        <v>1.7361111111111022E-2</v>
      </c>
      <c r="E668" s="7">
        <f>ABS(0.017361111111111-0.020138888888889)</f>
        <v>2.7777777777780004E-3</v>
      </c>
      <c r="F668" s="1" t="s">
        <v>11</v>
      </c>
    </row>
    <row r="669" spans="1:6" x14ac:dyDescent="0.25">
      <c r="A669" s="11">
        <v>42064</v>
      </c>
      <c r="B669" s="7">
        <v>0.41666666666666669</v>
      </c>
      <c r="C669" s="7">
        <v>0.4368055555555555</v>
      </c>
      <c r="D669" s="7">
        <f>(0.436805555555556-0.416666666666667)</f>
        <v>2.0138888888888984E-2</v>
      </c>
      <c r="E669" s="7">
        <f>ABS(0.020138888888889-0.0194444444444449)</f>
        <v>6.9444444444410197E-4</v>
      </c>
      <c r="F669" s="1" t="s">
        <v>11</v>
      </c>
    </row>
    <row r="670" spans="1:6" x14ac:dyDescent="0.25">
      <c r="A670" s="11">
        <v>42064</v>
      </c>
      <c r="B670" s="7">
        <v>0.61319444444444449</v>
      </c>
      <c r="C670" s="7">
        <v>0.63263888888888886</v>
      </c>
      <c r="D670" s="7">
        <f>(0.632638888888889-0.613194444444444)</f>
        <v>1.944444444444493E-2</v>
      </c>
      <c r="E670" s="7">
        <f>ABS(0.0194444444444449-0.027083333333333)</f>
        <v>7.6388888888881019E-3</v>
      </c>
      <c r="F670" s="1" t="s">
        <v>11</v>
      </c>
    </row>
    <row r="671" spans="1:6" x14ac:dyDescent="0.25">
      <c r="A671" s="11">
        <v>42064</v>
      </c>
      <c r="B671" s="7">
        <v>0.6</v>
      </c>
      <c r="C671" s="7">
        <v>0.62708333333333333</v>
      </c>
      <c r="D671" s="7">
        <f>(0.627083333333333-0.6)</f>
        <v>2.7083333333333015E-2</v>
      </c>
      <c r="E671" s="7">
        <f>ABS(0.027083333333333-0.028472222222222)</f>
        <v>1.3888888888889984E-3</v>
      </c>
      <c r="F671" s="1" t="s">
        <v>11</v>
      </c>
    </row>
    <row r="672" spans="1:6" x14ac:dyDescent="0.25">
      <c r="A672" s="11">
        <v>42064</v>
      </c>
      <c r="B672" s="7">
        <v>0.76527777777777783</v>
      </c>
      <c r="C672" s="7">
        <v>0.79375000000000007</v>
      </c>
      <c r="D672" s="7">
        <f>(0.79375-0.765277777777778)</f>
        <v>2.847222222222201E-2</v>
      </c>
      <c r="E672" s="7">
        <f>ABS(0.028472222222222-0.0208333333333329)</f>
        <v>7.6388888888891011E-3</v>
      </c>
      <c r="F672" s="1" t="s">
        <v>11</v>
      </c>
    </row>
    <row r="673" spans="1:6" x14ac:dyDescent="0.25">
      <c r="A673" s="11">
        <v>42064</v>
      </c>
      <c r="B673" s="7">
        <v>0.77500000000000002</v>
      </c>
      <c r="C673" s="7">
        <v>0.79583333333333339</v>
      </c>
      <c r="D673" s="7">
        <f>(0.795833333333333-0.775)</f>
        <v>2.0833333333332926E-2</v>
      </c>
      <c r="E673" s="7">
        <f>ABS(0.0208333333333329-0.013888888888888)</f>
        <v>6.9444444444448986E-3</v>
      </c>
      <c r="F673" s="1" t="s">
        <v>11</v>
      </c>
    </row>
    <row r="674" spans="1:6" x14ac:dyDescent="0.25">
      <c r="A674" s="11">
        <v>42064</v>
      </c>
      <c r="B674" s="7">
        <v>0.9243055555555556</v>
      </c>
      <c r="C674" s="7">
        <v>0.93819444444444444</v>
      </c>
      <c r="D674" s="7">
        <f>(0.938194444444444-0.924305555555556)</f>
        <v>1.3888888888887951E-2</v>
      </c>
      <c r="E674" s="7">
        <f>ABS(0.013888888888888-0.022222222222223)</f>
        <v>8.3333333333350003E-3</v>
      </c>
      <c r="F674" s="1" t="s">
        <v>11</v>
      </c>
    </row>
    <row r="675" spans="1:6" x14ac:dyDescent="0.25">
      <c r="A675" s="11">
        <v>42064</v>
      </c>
      <c r="B675" s="7">
        <v>0.97916666666666663</v>
      </c>
      <c r="C675" s="7">
        <v>1.0013888888888889</v>
      </c>
      <c r="D675" s="7">
        <f>(1.00138888888889-0.979166666666667)</f>
        <v>2.2222222222223031E-2</v>
      </c>
      <c r="E675" s="7">
        <f>ABS(0.022222222222223-0.0194444444444444)</f>
        <v>2.7777777777786006E-3</v>
      </c>
      <c r="F675" s="1" t="s">
        <v>11</v>
      </c>
    </row>
    <row r="676" spans="1:6" x14ac:dyDescent="0.25">
      <c r="A676" s="11">
        <v>42064</v>
      </c>
      <c r="B676" s="7">
        <v>2.9166666666666664E-2</v>
      </c>
      <c r="C676" s="7">
        <v>4.8611111111111112E-2</v>
      </c>
      <c r="D676" s="7">
        <f>(0.0486111111111111-0.0291666666666667)</f>
        <v>1.94444444444444E-2</v>
      </c>
      <c r="E676" s="7">
        <f>ABS(0.0194444444444444-0.0201388888888893)</f>
        <v>6.9444444444489994E-4</v>
      </c>
      <c r="F676" s="1" t="s">
        <v>11</v>
      </c>
    </row>
    <row r="677" spans="1:6" x14ac:dyDescent="0.25">
      <c r="A677" s="11">
        <v>42064</v>
      </c>
      <c r="B677" s="7">
        <v>9.7916666666666666E-2</v>
      </c>
      <c r="C677" s="7">
        <v>0.11805555555555557</v>
      </c>
      <c r="D677" s="7">
        <f>(0.118055555555556-0.0979166666666667)</f>
        <v>2.0138888888889303E-2</v>
      </c>
      <c r="E677" s="7">
        <f>ABS(0.0201388888888893-0.0243055555555556)</f>
        <v>4.1666666666663014E-3</v>
      </c>
      <c r="F677" s="1" t="s">
        <v>11</v>
      </c>
    </row>
    <row r="678" spans="1:6" x14ac:dyDescent="0.25">
      <c r="A678" s="11">
        <v>42064</v>
      </c>
      <c r="B678" s="7">
        <v>3.1944444444444449E-2</v>
      </c>
      <c r="C678" s="7">
        <v>5.6250000000000001E-2</v>
      </c>
      <c r="D678" s="7">
        <f>(0.05625-0.0319444444444444)</f>
        <v>2.4305555555555601E-2</v>
      </c>
      <c r="E678" s="7">
        <f>ABS(0.0243055555555556-0.069444444444444)</f>
        <v>4.5138888888888402E-2</v>
      </c>
      <c r="F678" s="1" t="s">
        <v>11</v>
      </c>
    </row>
    <row r="679" spans="1:6" x14ac:dyDescent="0.25">
      <c r="A679" s="11">
        <v>42064</v>
      </c>
      <c r="B679" s="7">
        <v>0.40277777777777773</v>
      </c>
      <c r="C679" s="7">
        <v>0.47222222222222227</v>
      </c>
      <c r="D679" s="7">
        <f>(0.472222222222222-0.402777777777778)</f>
        <v>6.9444444444443976E-2</v>
      </c>
      <c r="E679" s="7">
        <f>ABS(0.069444444444444-0.0159722222222229)</f>
        <v>5.3472222222221102E-2</v>
      </c>
      <c r="F679" s="1" t="s">
        <v>11</v>
      </c>
    </row>
    <row r="680" spans="1:6" x14ac:dyDescent="0.25">
      <c r="A680" s="11">
        <v>42064</v>
      </c>
      <c r="B680" s="7">
        <v>0.77430555555555547</v>
      </c>
      <c r="C680" s="7">
        <v>0.79027777777777775</v>
      </c>
      <c r="D680" s="7">
        <f>(0.790277777777778-0.774305555555555)</f>
        <v>1.5972222222222943E-2</v>
      </c>
      <c r="E680" s="7">
        <f>ABS(0.0159722222222229-0.025)</f>
        <v>9.0277777777771004E-3</v>
      </c>
      <c r="F680" s="1" t="s">
        <v>11</v>
      </c>
    </row>
    <row r="681" spans="1:6" x14ac:dyDescent="0.25">
      <c r="A681" s="11">
        <v>42064</v>
      </c>
      <c r="B681" s="7">
        <v>0.91111111111111109</v>
      </c>
      <c r="C681" s="7">
        <v>0.93611111111111101</v>
      </c>
      <c r="D681" s="7">
        <f>(0.936111111111111-0.911111111111111)</f>
        <v>2.5000000000000022E-2</v>
      </c>
      <c r="E681" s="7">
        <f>ABS(0.025-0.022222222222222)</f>
        <v>2.7777777777780004E-3</v>
      </c>
      <c r="F681" s="1" t="s">
        <v>11</v>
      </c>
    </row>
    <row r="682" spans="1:6" x14ac:dyDescent="0.25">
      <c r="A682" s="11">
        <v>42064</v>
      </c>
      <c r="B682" s="7">
        <v>0.25555555555555559</v>
      </c>
      <c r="C682" s="7">
        <v>0.27777777777777779</v>
      </c>
      <c r="D682" s="7">
        <f>(0.277777777777778-0.255555555555556)</f>
        <v>2.2222222222222032E-2</v>
      </c>
      <c r="E682" s="7">
        <f>ABS(0.022222222222222-0.022916666666666)</f>
        <v>6.9444444444399789E-4</v>
      </c>
      <c r="F682" s="1" t="s">
        <v>11</v>
      </c>
    </row>
    <row r="683" spans="1:6" x14ac:dyDescent="0.25">
      <c r="A683" s="11">
        <v>42064</v>
      </c>
      <c r="B683" s="7">
        <v>0.46666666666666662</v>
      </c>
      <c r="C683" s="7">
        <v>0.48958333333333331</v>
      </c>
      <c r="D683" s="7">
        <f>(0.489583333333333-0.466666666666667)</f>
        <v>2.2916666666665975E-2</v>
      </c>
      <c r="E683" s="7">
        <f>ABS(0.022916666666666-0.0201388888888889)</f>
        <v>2.7777777777770983E-3</v>
      </c>
      <c r="F683" s="1" t="s">
        <v>11</v>
      </c>
    </row>
    <row r="684" spans="1:6" x14ac:dyDescent="0.25">
      <c r="A684" s="11">
        <v>42064</v>
      </c>
      <c r="B684" s="7">
        <v>0.55069444444444449</v>
      </c>
      <c r="C684" s="7">
        <v>0.5708333333333333</v>
      </c>
      <c r="D684" s="7">
        <f>(0.570833333333333-0.550694444444444)</f>
        <v>2.0138888888888928E-2</v>
      </c>
      <c r="E684" s="7">
        <f>ABS(0.0201388888888889-0.020833333333333)</f>
        <v>6.944444444440985E-4</v>
      </c>
      <c r="F684" s="1" t="s">
        <v>11</v>
      </c>
    </row>
    <row r="685" spans="1:6" x14ac:dyDescent="0.25">
      <c r="A685" s="11">
        <v>42064</v>
      </c>
      <c r="B685" s="7">
        <v>0.78541666666666676</v>
      </c>
      <c r="C685" s="7">
        <v>0.80625000000000002</v>
      </c>
      <c r="D685" s="7">
        <f>(0.80625-0.785416666666667)</f>
        <v>2.0833333333333037E-2</v>
      </c>
      <c r="E685" s="7">
        <f>ABS(0.020833333333333-0.0145833333333329)</f>
        <v>6.2500000000000992E-3</v>
      </c>
      <c r="F685" s="1" t="s">
        <v>11</v>
      </c>
    </row>
    <row r="686" spans="1:6" x14ac:dyDescent="0.25">
      <c r="A686" s="11">
        <v>42064</v>
      </c>
      <c r="B686" s="7">
        <v>0.7368055555555556</v>
      </c>
      <c r="C686" s="7">
        <v>0.75138888888888899</v>
      </c>
      <c r="D686" s="7">
        <f>(0.751388888888889-0.736805555555556)</f>
        <v>1.4583333333332948E-2</v>
      </c>
      <c r="E686" s="7">
        <f>ABS(0.0145833333333329-0.0305555555555559)</f>
        <v>1.5972222222223002E-2</v>
      </c>
      <c r="F686" s="1" t="s">
        <v>11</v>
      </c>
    </row>
    <row r="687" spans="1:6" x14ac:dyDescent="0.25">
      <c r="A687" s="11">
        <v>42064</v>
      </c>
      <c r="B687" s="7">
        <v>0.79722222222222217</v>
      </c>
      <c r="C687" s="7">
        <v>0.82777777777777783</v>
      </c>
      <c r="D687" s="7">
        <f>(0.827777777777778-0.797222222222222)</f>
        <v>3.0555555555555891E-2</v>
      </c>
      <c r="E687" s="7">
        <f>ABS(0.0305555555555559-0.031944444444445)</f>
        <v>1.3888888888890956E-3</v>
      </c>
      <c r="F687" s="1" t="s">
        <v>11</v>
      </c>
    </row>
    <row r="688" spans="1:6" x14ac:dyDescent="0.25">
      <c r="A688" s="11">
        <v>42064</v>
      </c>
      <c r="B688" s="7">
        <v>0.29583333333333334</v>
      </c>
      <c r="C688" s="7">
        <v>0.32777777777777778</v>
      </c>
      <c r="D688" s="7">
        <f>(0.327777777777778-0.295833333333333)</f>
        <v>3.1944444444444997E-2</v>
      </c>
      <c r="E688" s="7">
        <f>ABS(0.031944444444445-0.0229166666666669)</f>
        <v>9.0277777777780961E-3</v>
      </c>
      <c r="F688" s="1" t="s">
        <v>11</v>
      </c>
    </row>
    <row r="689" spans="1:6" x14ac:dyDescent="0.25">
      <c r="A689" s="11">
        <v>42064</v>
      </c>
      <c r="B689" s="7">
        <v>0.74097222222222225</v>
      </c>
      <c r="C689" s="7">
        <v>0.76388888888888884</v>
      </c>
      <c r="D689" s="7">
        <f>(0.763888888888889-0.740972222222222)</f>
        <v>2.2916666666666918E-2</v>
      </c>
      <c r="E689" s="7">
        <f>ABS(0.0229166666666669-0.021527777777778)</f>
        <v>1.3888888888889013E-3</v>
      </c>
      <c r="F689" s="1" t="s">
        <v>11</v>
      </c>
    </row>
    <row r="690" spans="1:6" x14ac:dyDescent="0.25">
      <c r="A690" s="11">
        <v>42064</v>
      </c>
      <c r="B690" s="7">
        <v>0.77986111111111101</v>
      </c>
      <c r="C690" s="7">
        <v>0.80138888888888893</v>
      </c>
      <c r="D690" s="7">
        <f>(0.801388888888889-0.779861111111111)</f>
        <v>2.1527777777778034E-2</v>
      </c>
      <c r="E690" s="7">
        <f>ABS(0.021527777777778-0.046527777777778)</f>
        <v>2.5000000000000001E-2</v>
      </c>
      <c r="F690" s="1" t="s">
        <v>11</v>
      </c>
    </row>
    <row r="691" spans="1:6" x14ac:dyDescent="0.25">
      <c r="A691" s="11">
        <v>42064</v>
      </c>
      <c r="B691" s="7">
        <v>0.43958333333333338</v>
      </c>
      <c r="C691" s="7">
        <v>0.4861111111111111</v>
      </c>
      <c r="D691" s="7">
        <f>(0.486111111111111-0.439583333333333)</f>
        <v>4.6527777777778001E-2</v>
      </c>
      <c r="E691" s="7">
        <f>ABS(0.046527777777778-0.0305555555555559)</f>
        <v>1.59722222222221E-2</v>
      </c>
      <c r="F691" s="1" t="s">
        <v>11</v>
      </c>
    </row>
    <row r="692" spans="1:6" x14ac:dyDescent="0.25">
      <c r="A692" s="11">
        <v>42064</v>
      </c>
      <c r="B692" s="7">
        <v>0.48125000000000001</v>
      </c>
      <c r="C692" s="7">
        <v>0.51180555555555551</v>
      </c>
      <c r="D692" s="7">
        <f>(0.511805555555556-0.48125)</f>
        <v>3.0555555555555947E-2</v>
      </c>
      <c r="E692" s="7">
        <f>ABS(0.0305555555555559-0.023611111111111)</f>
        <v>6.944444444444902E-3</v>
      </c>
      <c r="F692" s="1" t="s">
        <v>11</v>
      </c>
    </row>
    <row r="693" spans="1:6" x14ac:dyDescent="0.25">
      <c r="A693" s="11">
        <v>42064</v>
      </c>
      <c r="B693" s="7">
        <v>0.68611111111111101</v>
      </c>
      <c r="C693" s="7">
        <v>0.70972222222222225</v>
      </c>
      <c r="D693" s="7">
        <f>(0.709722222222222-0.686111111111111)</f>
        <v>2.3611111111111027E-2</v>
      </c>
      <c r="E693" s="7">
        <f>ABS(0.023611111111111-0.0166666666666669)</f>
        <v>6.9444444444441006E-3</v>
      </c>
      <c r="F693" s="1" t="s">
        <v>11</v>
      </c>
    </row>
    <row r="694" spans="1:6" x14ac:dyDescent="0.25">
      <c r="A694" s="11">
        <v>42064</v>
      </c>
      <c r="B694" s="7">
        <v>0.96111111111111114</v>
      </c>
      <c r="C694" s="7">
        <v>0.97777777777777775</v>
      </c>
      <c r="D694" s="7">
        <f>(0.977777777777778-0.961111111111111)</f>
        <v>1.6666666666666941E-2</v>
      </c>
      <c r="E694" s="7">
        <f>ABS(0.0166666666666669-0.020138888888889)</f>
        <v>3.4722222222221023E-3</v>
      </c>
      <c r="F694" s="1" t="s">
        <v>11</v>
      </c>
    </row>
    <row r="695" spans="1:6" x14ac:dyDescent="0.25">
      <c r="A695" s="11">
        <v>42064</v>
      </c>
      <c r="B695" s="7">
        <v>0.20208333333333331</v>
      </c>
      <c r="C695" s="7">
        <v>0.22222222222222221</v>
      </c>
      <c r="D695" s="7">
        <f>(0.222222222222222-0.202083333333333)</f>
        <v>2.0138888888888984E-2</v>
      </c>
      <c r="E695" s="7">
        <f>ABS(0.020138888888889-0.020138888888889)</f>
        <v>0</v>
      </c>
      <c r="F695" s="1" t="s">
        <v>11</v>
      </c>
    </row>
    <row r="696" spans="1:6" x14ac:dyDescent="0.25">
      <c r="A696" s="11">
        <v>42064</v>
      </c>
      <c r="B696" s="7">
        <v>0.23750000000000002</v>
      </c>
      <c r="C696" s="7">
        <v>0.25763888888888892</v>
      </c>
      <c r="D696" s="7">
        <f>(0.257638888888889-0.2375)</f>
        <v>2.0138888888888984E-2</v>
      </c>
      <c r="E696" s="7">
        <f>ABS(0.020138888888889-0.022916666666666)</f>
        <v>2.7777777777769977E-3</v>
      </c>
      <c r="F696" s="1" t="s">
        <v>11</v>
      </c>
    </row>
    <row r="697" spans="1:6" x14ac:dyDescent="0.25">
      <c r="A697" s="11">
        <v>42064</v>
      </c>
      <c r="B697" s="7">
        <v>0.65277777777777779</v>
      </c>
      <c r="C697" s="7">
        <v>0.67569444444444438</v>
      </c>
      <c r="D697" s="7">
        <f>(0.675694444444444-0.652777777777778)</f>
        <v>2.291666666666603E-2</v>
      </c>
      <c r="E697" s="7">
        <f>ABS(0.022916666666666-0.020833333333333)</f>
        <v>2.0833333333329998E-3</v>
      </c>
      <c r="F697" s="1" t="s">
        <v>11</v>
      </c>
    </row>
    <row r="698" spans="1:6" x14ac:dyDescent="0.25">
      <c r="A698" s="11">
        <v>42064</v>
      </c>
      <c r="B698" s="7">
        <v>0.91527777777777775</v>
      </c>
      <c r="C698" s="7">
        <v>0.93611111111111101</v>
      </c>
      <c r="D698" s="7">
        <f>(0.936111111111111-0.915277777777778)</f>
        <v>2.0833333333333037E-2</v>
      </c>
      <c r="E698" s="7">
        <f>ABS(0.020833333333333-0.021527777777778)</f>
        <v>6.9444444444500056E-4</v>
      </c>
      <c r="F698" s="1" t="s">
        <v>11</v>
      </c>
    </row>
    <row r="699" spans="1:6" x14ac:dyDescent="0.25">
      <c r="A699" s="11">
        <v>42064</v>
      </c>
      <c r="B699" s="7">
        <v>0.15763888888888888</v>
      </c>
      <c r="C699" s="7">
        <v>0.17916666666666667</v>
      </c>
      <c r="D699" s="7">
        <f>(0.179166666666667-0.157638888888889)</f>
        <v>2.1527777777778007E-2</v>
      </c>
      <c r="E699" s="7">
        <f>ABS(0.021527777777778-0.028472222222222)</f>
        <v>6.944444444444E-3</v>
      </c>
      <c r="F699" s="1" t="s">
        <v>11</v>
      </c>
    </row>
    <row r="700" spans="1:6" x14ac:dyDescent="0.25">
      <c r="A700" s="11">
        <v>42064</v>
      </c>
      <c r="B700" s="7">
        <v>0.51111111111111118</v>
      </c>
      <c r="C700" s="7">
        <v>0.5395833333333333</v>
      </c>
      <c r="D700" s="7">
        <f>(0.539583333333333-0.511111111111111)</f>
        <v>2.847222222222201E-2</v>
      </c>
      <c r="E700" s="7">
        <f>ABS(0.028472222222222-0.023611111111111)</f>
        <v>4.8611111111110002E-3</v>
      </c>
      <c r="F700" s="1" t="s">
        <v>11</v>
      </c>
    </row>
    <row r="701" spans="1:6" x14ac:dyDescent="0.25">
      <c r="A701" s="11">
        <v>42064</v>
      </c>
      <c r="B701" s="7">
        <v>0.84305555555555556</v>
      </c>
      <c r="C701" s="7">
        <v>0.8666666666666667</v>
      </c>
      <c r="D701" s="7">
        <f>(0.866666666666667-0.843055555555556)</f>
        <v>2.3611111111111027E-2</v>
      </c>
      <c r="E701" s="7">
        <f>ABS(0.023611111111111-0.024305555555555)</f>
        <v>6.9444444444400136E-4</v>
      </c>
      <c r="F701" s="1" t="s">
        <v>11</v>
      </c>
    </row>
    <row r="702" spans="1:6" x14ac:dyDescent="0.25">
      <c r="A702" s="11">
        <v>42064</v>
      </c>
      <c r="B702" s="7">
        <v>0.90138888888888891</v>
      </c>
      <c r="C702" s="7">
        <v>0.92569444444444438</v>
      </c>
      <c r="D702" s="7">
        <f>(0.925694444444444-0.901388888888889)</f>
        <v>2.4305555555555025E-2</v>
      </c>
      <c r="E702" s="7">
        <f>ABS(0.024305555555555-0.0208333333333299)</f>
        <v>3.4722222222250999E-3</v>
      </c>
      <c r="F702" s="1" t="s">
        <v>11</v>
      </c>
    </row>
    <row r="703" spans="1:6" x14ac:dyDescent="0.25">
      <c r="A703" s="11">
        <v>42064</v>
      </c>
      <c r="B703" s="7">
        <v>1.0055555555555555</v>
      </c>
      <c r="C703" s="7">
        <v>1.0263888888888888</v>
      </c>
      <c r="D703" s="7">
        <f>(1.02638888888889-1.00555555555556)</f>
        <v>2.0833333333329929E-2</v>
      </c>
      <c r="E703" s="7">
        <f>ABS(0.0208333333333299-0.0243055555555549)</f>
        <v>3.4722222222249993E-3</v>
      </c>
      <c r="F703" s="1" t="s">
        <v>11</v>
      </c>
    </row>
    <row r="704" spans="1:6" x14ac:dyDescent="0.25">
      <c r="A704" s="11">
        <v>42064</v>
      </c>
      <c r="B704" s="7">
        <v>0.52152777777777781</v>
      </c>
      <c r="C704" s="7">
        <v>0.54583333333333328</v>
      </c>
      <c r="D704" s="7">
        <f>(0.545833333333333-0.521527777777778)</f>
        <v>2.4305555555554914E-2</v>
      </c>
      <c r="E704" s="7">
        <f>ABS(0.0243055555555549-0.0222222222222229)</f>
        <v>2.0833333333320006E-3</v>
      </c>
      <c r="F704" s="1" t="s">
        <v>11</v>
      </c>
    </row>
    <row r="705" spans="1:6" x14ac:dyDescent="0.25">
      <c r="A705" s="11">
        <v>42064</v>
      </c>
      <c r="B705" s="7">
        <v>0.70347222222222217</v>
      </c>
      <c r="C705" s="7">
        <v>0.72569444444444453</v>
      </c>
      <c r="D705" s="7">
        <f>(0.725694444444445-0.703472222222222)</f>
        <v>2.222222222222292E-2</v>
      </c>
      <c r="E705" s="7">
        <f>ABS(0.0222222222222229-0.011805555555556)</f>
        <v>1.04166666666669E-2</v>
      </c>
      <c r="F705" s="1" t="s">
        <v>11</v>
      </c>
    </row>
    <row r="706" spans="1:6" x14ac:dyDescent="0.25">
      <c r="A706" s="11">
        <v>42064</v>
      </c>
      <c r="B706" s="7">
        <v>0.78333333333333333</v>
      </c>
      <c r="C706" s="7">
        <v>0.79513888888888884</v>
      </c>
      <c r="D706" s="7">
        <f>(0.795138888888889-0.783333333333333)</f>
        <v>1.1805555555555958E-2</v>
      </c>
      <c r="E706" s="7">
        <f>ABS(0.011805555555556-0.0104166666666661)</f>
        <v>1.3888888888898988E-3</v>
      </c>
      <c r="F706" s="1" t="s">
        <v>11</v>
      </c>
    </row>
    <row r="707" spans="1:6" x14ac:dyDescent="0.25">
      <c r="A707" s="11">
        <v>42064</v>
      </c>
      <c r="B707" s="7">
        <v>0.85069444444444453</v>
      </c>
      <c r="C707" s="7">
        <v>0.86111111111111116</v>
      </c>
      <c r="D707" s="7">
        <f>(0.861111111111111-0.850694444444445)</f>
        <v>1.0416666666666075E-2</v>
      </c>
      <c r="E707" s="7">
        <f>ABS(0.0104166666666661-0.0229166666666669)</f>
        <v>1.25000000000008E-2</v>
      </c>
      <c r="F707" s="1" t="s">
        <v>11</v>
      </c>
    </row>
    <row r="708" spans="1:6" x14ac:dyDescent="0.25">
      <c r="A708" s="11">
        <v>42064</v>
      </c>
      <c r="B708" s="7">
        <v>0.83333333333333337</v>
      </c>
      <c r="C708" s="7">
        <v>0.85625000000000007</v>
      </c>
      <c r="D708" s="7">
        <f>(0.85625-0.833333333333333)</f>
        <v>2.2916666666666918E-2</v>
      </c>
      <c r="E708" s="7">
        <f>ABS(0.0229166666666669-0.0125000000000001)</f>
        <v>1.0416666666666801E-2</v>
      </c>
      <c r="F708" s="1" t="s">
        <v>11</v>
      </c>
    </row>
    <row r="709" spans="1:6" x14ac:dyDescent="0.25">
      <c r="A709" s="11">
        <v>42064</v>
      </c>
      <c r="B709" s="7">
        <v>0.8569444444444444</v>
      </c>
      <c r="C709" s="7">
        <v>0.86944444444444446</v>
      </c>
      <c r="D709" s="7">
        <f>(0.869444444444444-0.856944444444444)</f>
        <v>1.2500000000000067E-2</v>
      </c>
      <c r="E709" s="7">
        <f>ABS(0.0125000000000001-0.095138888888888)</f>
        <v>8.2638888888887901E-2</v>
      </c>
      <c r="F709" s="1" t="s">
        <v>11</v>
      </c>
    </row>
    <row r="710" spans="1:6" x14ac:dyDescent="0.25">
      <c r="A710" s="11">
        <v>42064</v>
      </c>
      <c r="B710" s="7">
        <v>0.8666666666666667</v>
      </c>
      <c r="C710" s="7">
        <v>0.96180555555555547</v>
      </c>
      <c r="D710" s="7">
        <f>(0.961805555555555-0.866666666666667)</f>
        <v>9.5138888888887996E-2</v>
      </c>
      <c r="E710" s="7">
        <f>ABS(0.095138888888888-0.0256944444444444)</f>
        <v>6.9444444444443587E-2</v>
      </c>
      <c r="F710" s="1" t="s">
        <v>11</v>
      </c>
    </row>
    <row r="711" spans="1:6" x14ac:dyDescent="0.25">
      <c r="A711" s="11">
        <v>42064</v>
      </c>
      <c r="B711" s="7">
        <v>3.2638888888888891E-2</v>
      </c>
      <c r="C711" s="7">
        <v>5.8333333333333327E-2</v>
      </c>
      <c r="D711" s="7">
        <f>(0.0583333333333333-0.0326388888888889)</f>
        <v>2.5694444444444402E-2</v>
      </c>
      <c r="E711" s="7">
        <f>ABS(0.0256944444444444-0.025694444444445)</f>
        <v>5.9674487573602164E-16</v>
      </c>
      <c r="F711" s="1" t="s">
        <v>11</v>
      </c>
    </row>
    <row r="712" spans="1:6" x14ac:dyDescent="0.25">
      <c r="A712" s="11">
        <v>42064</v>
      </c>
      <c r="B712" s="7">
        <v>0.38611111111111113</v>
      </c>
      <c r="C712" s="7">
        <v>0.41180555555555554</v>
      </c>
      <c r="D712" s="7">
        <f>(0.411805555555556-0.386111111111111)</f>
        <v>2.5694444444444964E-2</v>
      </c>
      <c r="E712" s="7">
        <f>ABS(0.025694444444445-0.025)</f>
        <v>6.9444444444499709E-4</v>
      </c>
      <c r="F712" s="1" t="s">
        <v>11</v>
      </c>
    </row>
    <row r="713" spans="1:6" x14ac:dyDescent="0.25">
      <c r="A713" s="11">
        <v>42064</v>
      </c>
      <c r="B713" s="7">
        <v>0.39513888888888887</v>
      </c>
      <c r="C713" s="7">
        <v>0.4201388888888889</v>
      </c>
      <c r="D713" s="7">
        <f>(0.420138888888889-0.395138888888889)</f>
        <v>2.5000000000000022E-2</v>
      </c>
      <c r="E713" s="7">
        <f>ABS(0.025-0.026388888888889)</f>
        <v>1.3888888888889984E-3</v>
      </c>
      <c r="F713" s="1" t="s">
        <v>11</v>
      </c>
    </row>
    <row r="714" spans="1:6" x14ac:dyDescent="0.25">
      <c r="A714" s="11">
        <v>42064</v>
      </c>
      <c r="B714" s="7">
        <v>0.67986111111111114</v>
      </c>
      <c r="C714" s="7">
        <v>0.70624999999999993</v>
      </c>
      <c r="D714" s="7">
        <f>(0.70625-0.679861111111111)</f>
        <v>2.6388888888889017E-2</v>
      </c>
      <c r="E714" s="7">
        <f>ABS(0.026388888888889-0.028472222222222)</f>
        <v>2.0833333333329998E-3</v>
      </c>
      <c r="F714" s="1" t="s">
        <v>11</v>
      </c>
    </row>
    <row r="715" spans="1:6" x14ac:dyDescent="0.25">
      <c r="A715" s="11">
        <v>42064</v>
      </c>
      <c r="B715" s="7">
        <v>0.93680555555555556</v>
      </c>
      <c r="C715" s="7">
        <v>0.96527777777777779</v>
      </c>
      <c r="D715" s="7">
        <f>(0.965277777777778-0.936805555555556)</f>
        <v>2.847222222222201E-2</v>
      </c>
      <c r="E715" s="7">
        <f>ABS(0.028472222222222-0.048611111111111)</f>
        <v>2.0138888888889001E-2</v>
      </c>
      <c r="F715" s="1" t="s">
        <v>11</v>
      </c>
    </row>
    <row r="716" spans="1:6" x14ac:dyDescent="0.25">
      <c r="A716" s="11">
        <v>42064</v>
      </c>
      <c r="B716" s="7">
        <v>0.17708333333333334</v>
      </c>
      <c r="C716" s="7">
        <v>0.22569444444444445</v>
      </c>
      <c r="D716" s="7">
        <f>(0.225694444444444-0.177083333333333)</f>
        <v>4.8611111111110994E-2</v>
      </c>
      <c r="E716" s="7">
        <f>ABS(0.048611111111111-0.020833333333333)</f>
        <v>2.7777777777778002E-2</v>
      </c>
      <c r="F716" s="1" t="s">
        <v>11</v>
      </c>
    </row>
    <row r="717" spans="1:6" x14ac:dyDescent="0.25">
      <c r="A717" s="11">
        <v>42064</v>
      </c>
      <c r="B717" s="7">
        <v>0.46249999999999997</v>
      </c>
      <c r="C717" s="7">
        <v>0.48333333333333334</v>
      </c>
      <c r="D717" s="7">
        <f>(0.483333333333333-0.4625)</f>
        <v>2.0833333333332982E-2</v>
      </c>
      <c r="E717" s="7">
        <f>ABS(0.020833333333333-0.021527777777778)</f>
        <v>6.9444444444500056E-4</v>
      </c>
      <c r="F717" s="1" t="s">
        <v>11</v>
      </c>
    </row>
    <row r="718" spans="1:6" x14ac:dyDescent="0.25">
      <c r="A718" s="11">
        <v>42064</v>
      </c>
      <c r="B718" s="7">
        <v>0.55972222222222223</v>
      </c>
      <c r="C718" s="7">
        <v>0.58124999999999993</v>
      </c>
      <c r="D718" s="7">
        <f>(0.58125-0.559722222222222)</f>
        <v>2.1527777777778034E-2</v>
      </c>
      <c r="E718" s="7">
        <f>ABS(0.021527777777778-0.022222222222222)</f>
        <v>6.9444444444400136E-4</v>
      </c>
      <c r="F718" s="1" t="s">
        <v>11</v>
      </c>
    </row>
    <row r="719" spans="1:6" x14ac:dyDescent="0.25">
      <c r="A719" s="11">
        <v>42064</v>
      </c>
      <c r="B719" s="7">
        <v>0.53055555555555556</v>
      </c>
      <c r="C719" s="7">
        <v>0.55277777777777781</v>
      </c>
      <c r="D719" s="7">
        <f>(0.552777777777778-0.530555555555556)</f>
        <v>2.2222222222222032E-2</v>
      </c>
      <c r="E719" s="7">
        <f>ABS(0.022222222222222-0.019444444444444)</f>
        <v>2.7777777777780004E-3</v>
      </c>
      <c r="F719" s="1" t="s">
        <v>11</v>
      </c>
    </row>
    <row r="720" spans="1:6" x14ac:dyDescent="0.25">
      <c r="A720" s="11">
        <v>42064</v>
      </c>
      <c r="B720" s="7">
        <v>0.67152777777777783</v>
      </c>
      <c r="C720" s="7">
        <v>0.69097222222222221</v>
      </c>
      <c r="D720" s="7">
        <f>(0.690972222222222-0.671527777777778)</f>
        <v>1.9444444444444042E-2</v>
      </c>
      <c r="E720" s="7">
        <f>ABS(0.019444444444444-0.0145833333333339)</f>
        <v>4.8611111111100998E-3</v>
      </c>
      <c r="F720" s="1" t="s">
        <v>11</v>
      </c>
    </row>
    <row r="721" spans="1:7" x14ac:dyDescent="0.25">
      <c r="A721" s="11">
        <v>42064</v>
      </c>
      <c r="B721" s="7">
        <v>0.74305555555555547</v>
      </c>
      <c r="C721" s="7">
        <v>0.75763888888888886</v>
      </c>
      <c r="D721" s="7">
        <f>(0.757638888888889-0.743055555555555)</f>
        <v>1.4583333333333948E-2</v>
      </c>
      <c r="E721" s="7">
        <f>ABS(0.0145833333333339-0.01875)</f>
        <v>4.1666666666660985E-3</v>
      </c>
      <c r="F721" s="1" t="s">
        <v>11</v>
      </c>
    </row>
    <row r="722" spans="1:7" x14ac:dyDescent="0.25">
      <c r="A722" s="11">
        <v>42064</v>
      </c>
      <c r="B722" s="7">
        <v>0.12013888888888889</v>
      </c>
      <c r="C722" s="7">
        <v>0.1388888888888889</v>
      </c>
      <c r="D722" s="7">
        <f>(0.138888888888889-0.120138888888889)</f>
        <v>1.8750000000000003E-2</v>
      </c>
      <c r="E722" s="7">
        <f>ABS(0.01875-0.01875)</f>
        <v>0</v>
      </c>
      <c r="F722" s="1" t="s">
        <v>11</v>
      </c>
    </row>
    <row r="723" spans="1:7" x14ac:dyDescent="0.25">
      <c r="A723" s="11">
        <v>42064</v>
      </c>
      <c r="B723" s="7">
        <v>0.18958333333333333</v>
      </c>
      <c r="C723" s="7">
        <v>0.20833333333333334</v>
      </c>
      <c r="D723" s="7">
        <f>(0.208333333333333-0.189583333333333)</f>
        <v>1.8750000000000017E-2</v>
      </c>
      <c r="E723" s="7">
        <f>ABS(0.01875-0.021527777777778)</f>
        <v>2.7777777777780004E-3</v>
      </c>
      <c r="F723" s="1" t="s">
        <v>11</v>
      </c>
    </row>
    <row r="724" spans="1:7" x14ac:dyDescent="0.25">
      <c r="A724" s="11">
        <v>42064</v>
      </c>
      <c r="B724" s="7">
        <v>0.19027777777777777</v>
      </c>
      <c r="C724" s="7">
        <v>0.21180555555555555</v>
      </c>
      <c r="D724" s="7">
        <f>(0.211805555555556-0.190277777777778)</f>
        <v>2.1527777777778007E-2</v>
      </c>
      <c r="E724" s="7">
        <f>ABS(0.021527777777778-0.024305555555555)</f>
        <v>2.7777777777770012E-3</v>
      </c>
      <c r="F724" s="1" t="s">
        <v>11</v>
      </c>
      <c r="G724" s="4"/>
    </row>
    <row r="725" spans="1:7" x14ac:dyDescent="0.25">
      <c r="A725" s="11">
        <v>42064</v>
      </c>
      <c r="B725" s="7">
        <v>0.44791666666666669</v>
      </c>
      <c r="C725" s="7">
        <v>0.47222222222222227</v>
      </c>
      <c r="D725" s="7">
        <f>(0.472222222222222-0.447916666666667)</f>
        <v>2.430555555555497E-2</v>
      </c>
      <c r="E725" s="7">
        <f>ABS(0.024305555555555-0.01875)</f>
        <v>5.5555555555550015E-3</v>
      </c>
      <c r="F725" s="1" t="s">
        <v>11</v>
      </c>
    </row>
    <row r="726" spans="1:7" x14ac:dyDescent="0.25">
      <c r="A726" s="11">
        <v>42064</v>
      </c>
      <c r="B726" s="7">
        <v>0.65555555555555556</v>
      </c>
      <c r="C726" s="7">
        <v>0.6743055555555556</v>
      </c>
      <c r="D726" s="7">
        <f>(0.674305555555556-0.655555555555556)</f>
        <v>1.8750000000000044E-2</v>
      </c>
      <c r="E726" s="7">
        <f>ABS(0.01875-0.018055555555555)</f>
        <v>6.9444444444500056E-4</v>
      </c>
      <c r="F726" s="1" t="s">
        <v>11</v>
      </c>
    </row>
    <row r="727" spans="1:7" x14ac:dyDescent="0.25">
      <c r="A727" s="11">
        <v>42064</v>
      </c>
      <c r="B727" s="7">
        <v>0.79652777777777783</v>
      </c>
      <c r="C727" s="7">
        <v>0.81458333333333333</v>
      </c>
      <c r="D727" s="7">
        <f>(0.814583333333333-0.796527777777778)</f>
        <v>1.8055555555555047E-2</v>
      </c>
      <c r="E727" s="7">
        <f>ABS(0.018055555555555-0.020138888888889)</f>
        <v>2.0833333333340025E-3</v>
      </c>
      <c r="F727" s="5" t="s">
        <v>11</v>
      </c>
    </row>
    <row r="728" spans="1:7" x14ac:dyDescent="0.25">
      <c r="A728" s="11">
        <v>42064</v>
      </c>
      <c r="B728" s="7">
        <v>0.47291666666666665</v>
      </c>
      <c r="C728" s="7">
        <v>0.49305555555555558</v>
      </c>
      <c r="D728" s="7">
        <f>(0.493055555555556-0.472916666666667)</f>
        <v>2.0138888888889039E-2</v>
      </c>
      <c r="E728" s="7">
        <f>ABS(0.020138888888889-0.020833333333333)</f>
        <v>6.9444444444399789E-4</v>
      </c>
      <c r="F728" s="1" t="s">
        <v>11</v>
      </c>
    </row>
    <row r="729" spans="1:7" x14ac:dyDescent="0.25">
      <c r="A729" s="11">
        <v>42064</v>
      </c>
      <c r="B729" s="7">
        <v>0.11805555555555557</v>
      </c>
      <c r="C729" s="7">
        <v>0.1388888888888889</v>
      </c>
      <c r="D729" s="7">
        <f>(0.138888888888889-0.118055555555556)</f>
        <v>2.083333333333301E-2</v>
      </c>
      <c r="E729" s="7">
        <f>ABS(0.020833333333333-0.029166666666666)</f>
        <v>8.3333333333330019E-3</v>
      </c>
      <c r="F729" s="1" t="s">
        <v>11</v>
      </c>
    </row>
    <row r="730" spans="1:7" x14ac:dyDescent="0.25">
      <c r="A730" s="11">
        <v>42064</v>
      </c>
      <c r="B730" s="7">
        <v>0.7090277777777777</v>
      </c>
      <c r="C730" s="7">
        <v>0.73819444444444438</v>
      </c>
      <c r="D730" s="7">
        <f>(0.738194444444444-0.709027777777778)</f>
        <v>2.9166666666666008E-2</v>
      </c>
      <c r="E730" s="7">
        <f>ABS(0.029166666666666-0.027777777777778)</f>
        <v>1.3888888888880027E-3</v>
      </c>
      <c r="F730" s="1" t="s">
        <v>11</v>
      </c>
    </row>
    <row r="731" spans="1:7" x14ac:dyDescent="0.25">
      <c r="A731" s="11">
        <v>42064</v>
      </c>
      <c r="B731" s="7">
        <v>0.9506944444444444</v>
      </c>
      <c r="C731" s="7">
        <v>0.9784722222222223</v>
      </c>
      <c r="D731" s="7">
        <f>(0.978472222222222-0.950694444444444)</f>
        <v>2.7777777777778012E-2</v>
      </c>
      <c r="E731" s="7">
        <f>ABS(0.027777777777778-0.036111111111111)</f>
        <v>8.3333333333329984E-3</v>
      </c>
      <c r="F731" s="1" t="s">
        <v>11</v>
      </c>
    </row>
    <row r="732" spans="1:7" x14ac:dyDescent="0.25">
      <c r="A732" s="11">
        <v>42064</v>
      </c>
      <c r="B732" s="7">
        <v>0.19375000000000001</v>
      </c>
      <c r="C732" s="7">
        <v>0.2298611111111111</v>
      </c>
      <c r="D732" s="7">
        <f>(0.229861111111111-0.19375)</f>
        <v>3.6111111111110983E-2</v>
      </c>
      <c r="E732" s="7">
        <f>ABS(0.036111111111111-0.029166666666667)</f>
        <v>6.9444444444439965E-3</v>
      </c>
      <c r="F732" s="1" t="s">
        <v>11</v>
      </c>
    </row>
    <row r="733" spans="1:7" x14ac:dyDescent="0.25">
      <c r="A733" s="11">
        <v>42064</v>
      </c>
      <c r="B733" s="7">
        <v>0.4513888888888889</v>
      </c>
      <c r="C733" s="7">
        <v>0.48055555555555557</v>
      </c>
      <c r="D733" s="7">
        <f>(0.480555555555556-0.451388888888889)</f>
        <v>2.9166666666667007E-2</v>
      </c>
      <c r="E733" s="7">
        <f>ABS(0.029166666666667-0.00694444444444503)</f>
        <v>2.222222222222197E-2</v>
      </c>
      <c r="F733" s="1" t="s">
        <v>11</v>
      </c>
    </row>
    <row r="734" spans="1:7" x14ac:dyDescent="0.25">
      <c r="A734" s="11">
        <v>42064</v>
      </c>
      <c r="B734" s="7">
        <v>0.4236111111111111</v>
      </c>
      <c r="C734" s="7">
        <v>0.43055555555555558</v>
      </c>
      <c r="D734" s="7">
        <f>(0.430555555555556-0.423611111111111)</f>
        <v>6.9444444444450304E-3</v>
      </c>
      <c r="E734" s="7">
        <f>ABS(0.00694444444444503-0.020138888888889)</f>
        <v>1.3194444444443971E-2</v>
      </c>
      <c r="F734" s="1" t="s">
        <v>11</v>
      </c>
    </row>
    <row r="735" spans="1:7" x14ac:dyDescent="0.25">
      <c r="A735" s="11">
        <v>42064</v>
      </c>
      <c r="B735" s="7">
        <v>0.45277777777777778</v>
      </c>
      <c r="C735" s="7">
        <v>0.47291666666666665</v>
      </c>
      <c r="D735" s="7">
        <f>(0.472916666666667-0.452777777777778)</f>
        <v>2.0138888888888984E-2</v>
      </c>
      <c r="E735" s="7">
        <f>ABS(0.020138888888889-0.025)</f>
        <v>4.8611111111110002E-3</v>
      </c>
      <c r="F735" s="1" t="s">
        <v>11</v>
      </c>
    </row>
    <row r="736" spans="1:7" x14ac:dyDescent="0.25">
      <c r="A736" s="11">
        <v>42064</v>
      </c>
      <c r="B736" s="7">
        <v>0.19027777777777777</v>
      </c>
      <c r="C736" s="7">
        <v>0.21527777777777779</v>
      </c>
      <c r="D736" s="7">
        <f>(0.215277777777778-0.190277777777778)</f>
        <v>2.5000000000000022E-2</v>
      </c>
      <c r="E736" s="7">
        <f>ABS(0.025-0.0152777777777779)</f>
        <v>9.7222222222221009E-3</v>
      </c>
      <c r="F736" s="1" t="s">
        <v>11</v>
      </c>
    </row>
    <row r="737" spans="1:6" x14ac:dyDescent="0.25">
      <c r="A737" s="11">
        <v>42064</v>
      </c>
      <c r="B737" s="7">
        <v>0.92708333333333337</v>
      </c>
      <c r="C737" s="7">
        <v>0.94236111111111109</v>
      </c>
      <c r="D737" s="7">
        <f>(0.942361111111111-0.927083333333333)</f>
        <v>1.5277777777777946E-2</v>
      </c>
      <c r="E737" s="7">
        <f>ABS(0.0152777777777779-0.020138888888889)</f>
        <v>4.8611111111111008E-3</v>
      </c>
      <c r="F737" s="1" t="s">
        <v>11</v>
      </c>
    </row>
    <row r="738" spans="1:6" x14ac:dyDescent="0.25">
      <c r="A738" s="11">
        <v>42064</v>
      </c>
      <c r="B738" s="7">
        <v>0.71666666666666667</v>
      </c>
      <c r="C738" s="7">
        <v>0.7368055555555556</v>
      </c>
      <c r="D738" s="7">
        <f>(0.736805555555556-0.716666666666667)</f>
        <v>2.0138888888889039E-2</v>
      </c>
      <c r="E738" s="7">
        <f>ABS(0.020138888888889-0.022916666666666)</f>
        <v>2.7777777777769977E-3</v>
      </c>
      <c r="F738" s="1" t="s">
        <v>11</v>
      </c>
    </row>
    <row r="739" spans="1:6" x14ac:dyDescent="0.25">
      <c r="A739" s="11">
        <v>42064</v>
      </c>
      <c r="B739" s="7">
        <v>0.79305555555555562</v>
      </c>
      <c r="C739" s="7">
        <v>0.81597222222222221</v>
      </c>
      <c r="D739" s="7">
        <f>(0.815972222222222-0.793055555555556)</f>
        <v>2.291666666666603E-2</v>
      </c>
      <c r="E739" s="7">
        <f>ABS(0.022916666666666-0.019444444444444)</f>
        <v>3.4722222222219983E-3</v>
      </c>
      <c r="F739" s="1" t="s">
        <v>11</v>
      </c>
    </row>
    <row r="740" spans="1:6" x14ac:dyDescent="0.25">
      <c r="A740" s="11">
        <v>42064</v>
      </c>
      <c r="B740" s="7">
        <v>0.91111111111111109</v>
      </c>
      <c r="C740" s="7">
        <v>0.93055555555555547</v>
      </c>
      <c r="D740" s="7">
        <f>(0.930555555555555-0.911111111111111)</f>
        <v>1.9444444444444042E-2</v>
      </c>
      <c r="E740" s="7">
        <f>ABS(0.019444444444444-0.0131944444444441)</f>
        <v>6.2499999999999015E-3</v>
      </c>
      <c r="F740" s="1" t="s">
        <v>11</v>
      </c>
    </row>
    <row r="741" spans="1:6" x14ac:dyDescent="0.25">
      <c r="A741" s="11">
        <v>42064</v>
      </c>
      <c r="B741" s="7">
        <v>0.91319444444444453</v>
      </c>
      <c r="C741" s="7">
        <v>0.92638888888888893</v>
      </c>
      <c r="D741" s="7">
        <f>(0.926388888888889-0.913194444444445)</f>
        <v>1.3194444444444065E-2</v>
      </c>
      <c r="E741" s="7">
        <f>ABS(0.0131944444444441-0.0229166666666667)</f>
        <v>9.7222222222226005E-3</v>
      </c>
      <c r="F741" s="1" t="s">
        <v>11</v>
      </c>
    </row>
    <row r="742" spans="1:6" x14ac:dyDescent="0.25">
      <c r="A742" s="11">
        <v>42064</v>
      </c>
      <c r="B742" s="7">
        <v>2.7083333333333334E-2</v>
      </c>
      <c r="C742" s="7">
        <v>4.9999999999999996E-2</v>
      </c>
      <c r="D742" s="7">
        <f>(0.05-0.0270833333333333)</f>
        <v>2.2916666666666703E-2</v>
      </c>
      <c r="E742" s="7">
        <f>ABS(0.0229166666666667-0.020138888888888)</f>
        <v>2.7777777777787012E-3</v>
      </c>
      <c r="F742" s="1" t="s">
        <v>11</v>
      </c>
    </row>
    <row r="743" spans="1:6" x14ac:dyDescent="0.25">
      <c r="A743" s="11">
        <v>42064</v>
      </c>
      <c r="B743" s="7">
        <v>0.28055555555555556</v>
      </c>
      <c r="C743" s="7">
        <v>0.30069444444444443</v>
      </c>
      <c r="D743" s="7">
        <f>(0.300694444444444-0.280555555555556)</f>
        <v>2.0138888888887985E-2</v>
      </c>
      <c r="E743" s="7">
        <f>ABS(0.020138888888888-0.0173611111111109)</f>
        <v>2.7777777777770983E-3</v>
      </c>
      <c r="F743" s="1" t="s">
        <v>11</v>
      </c>
    </row>
    <row r="744" spans="1:6" x14ac:dyDescent="0.25">
      <c r="A744" s="11">
        <v>42064</v>
      </c>
      <c r="B744" s="7">
        <v>0.61041666666666672</v>
      </c>
      <c r="C744" s="7">
        <v>0.62777777777777777</v>
      </c>
      <c r="D744" s="7">
        <f>(0.627777777777778-0.610416666666667)</f>
        <v>1.7361111111110938E-2</v>
      </c>
      <c r="E744" s="7"/>
      <c r="F744" s="1" t="s">
        <v>11</v>
      </c>
    </row>
  </sheetData>
  <sortState ref="B3:H745">
    <sortCondition ref="F3:F74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12"/>
  <sheetViews>
    <sheetView topLeftCell="F1" workbookViewId="0">
      <selection activeCell="H4" sqref="H4:M8"/>
    </sheetView>
  </sheetViews>
  <sheetFormatPr defaultRowHeight="15" x14ac:dyDescent="0.25"/>
  <cols>
    <col min="1" max="1" width="15.7109375" customWidth="1"/>
    <col min="2" max="5" width="15.7109375" style="2" customWidth="1"/>
    <col min="6" max="6" width="15.7109375" style="1" customWidth="1"/>
    <col min="10" max="10" width="7.28515625" customWidth="1"/>
    <col min="11" max="11" width="17" bestFit="1" customWidth="1"/>
    <col min="12" max="12" width="12" bestFit="1" customWidth="1"/>
    <col min="13" max="13" width="17" bestFit="1" customWidth="1"/>
  </cols>
  <sheetData>
    <row r="1" spans="1:13" s="1" customFormat="1" x14ac:dyDescent="0.25">
      <c r="A1" s="1" t="s">
        <v>12</v>
      </c>
      <c r="B1" s="2" t="s">
        <v>0</v>
      </c>
      <c r="C1" s="2" t="s">
        <v>1</v>
      </c>
      <c r="D1" s="2" t="s">
        <v>13</v>
      </c>
      <c r="E1" s="2" t="s">
        <v>18</v>
      </c>
      <c r="F1" s="1" t="s">
        <v>2</v>
      </c>
    </row>
    <row r="3" spans="1:13" x14ac:dyDescent="0.25">
      <c r="A3" s="11">
        <v>42095</v>
      </c>
      <c r="B3" s="7">
        <v>0.28055555555555556</v>
      </c>
      <c r="C3" s="7">
        <v>0.30277777777777776</v>
      </c>
      <c r="D3" s="7">
        <f>(0.302777777777778-0.280555555555556)</f>
        <v>2.2222222222221977E-2</v>
      </c>
      <c r="E3" s="7">
        <f>ABS(0.022222222222222-0.010416666666666)</f>
        <v>1.1805555555556001E-2</v>
      </c>
      <c r="F3" s="1" t="s">
        <v>9</v>
      </c>
      <c r="I3" s="1"/>
      <c r="J3" s="1" t="s">
        <v>7</v>
      </c>
      <c r="K3" s="1" t="s">
        <v>15</v>
      </c>
      <c r="L3" s="1" t="s">
        <v>17</v>
      </c>
      <c r="M3" s="1" t="s">
        <v>16</v>
      </c>
    </row>
    <row r="4" spans="1:13" x14ac:dyDescent="0.25">
      <c r="A4" s="11">
        <v>42095</v>
      </c>
      <c r="B4" s="7">
        <v>0.34027777777777773</v>
      </c>
      <c r="C4" s="7">
        <v>0.35069444444444442</v>
      </c>
      <c r="D4" s="7">
        <f>(0.350694444444444-0.340277777777778)</f>
        <v>1.0416666666665964E-2</v>
      </c>
      <c r="E4" s="7">
        <f>ABS(0.010416666666666-0.013194444444445)</f>
        <v>2.7777777777789996E-3</v>
      </c>
      <c r="F4" s="1" t="s">
        <v>9</v>
      </c>
      <c r="H4" s="14">
        <v>42095</v>
      </c>
      <c r="I4" t="s">
        <v>19</v>
      </c>
      <c r="J4" t="s">
        <v>9</v>
      </c>
      <c r="K4" s="18">
        <v>58</v>
      </c>
      <c r="L4" s="3">
        <f>AVERAGE(D3:D60)</f>
        <v>1.9049329501915759E-2</v>
      </c>
      <c r="M4" s="3">
        <f>AVERAGE(E3:E59)</f>
        <v>7.9312865497076692E-3</v>
      </c>
    </row>
    <row r="5" spans="1:13" x14ac:dyDescent="0.25">
      <c r="A5" s="11">
        <v>42095</v>
      </c>
      <c r="B5" s="7">
        <v>0.32847222222222222</v>
      </c>
      <c r="C5" s="7">
        <v>0.34166666666666662</v>
      </c>
      <c r="D5" s="7">
        <f>(0.341666666666667-0.328472222222222)</f>
        <v>1.3194444444445008E-2</v>
      </c>
      <c r="E5" s="7">
        <f>ABS(0.013194444444445-0.013888888888888)</f>
        <v>6.9444444444300042E-4</v>
      </c>
      <c r="F5" s="1" t="s">
        <v>9</v>
      </c>
      <c r="H5" s="14">
        <v>42095</v>
      </c>
      <c r="I5" t="s">
        <v>19</v>
      </c>
      <c r="J5" t="s">
        <v>3</v>
      </c>
      <c r="K5" s="18">
        <v>264</v>
      </c>
      <c r="L5" s="3">
        <f>AVERAGE(D61:D324)</f>
        <v>1.1379419191919201E-2</v>
      </c>
      <c r="M5" s="3">
        <f>AVERAGE(E61:E323)</f>
        <v>9.6166032953106297E-3</v>
      </c>
    </row>
    <row r="6" spans="1:13" x14ac:dyDescent="0.25">
      <c r="A6" s="11">
        <v>42095</v>
      </c>
      <c r="B6" s="7">
        <v>0.35555555555555557</v>
      </c>
      <c r="C6" s="7">
        <v>0.36944444444444446</v>
      </c>
      <c r="D6" s="7">
        <f>(0.369444444444444-0.355555555555556)</f>
        <v>1.3888888888888007E-2</v>
      </c>
      <c r="E6" s="7">
        <f>ABS(0.013888888888888-0.018055555555555)</f>
        <v>4.1666666666669988E-3</v>
      </c>
      <c r="F6" s="1" t="s">
        <v>9</v>
      </c>
      <c r="H6" s="14">
        <v>42095</v>
      </c>
      <c r="I6" t="s">
        <v>19</v>
      </c>
      <c r="J6" t="s">
        <v>10</v>
      </c>
      <c r="K6" s="18">
        <v>229</v>
      </c>
      <c r="L6" s="3">
        <f>AVERAGE(D325:D553)</f>
        <v>1.9665817564289177E-2</v>
      </c>
      <c r="M6" s="3">
        <f>AVERAGE(E325:E552)</f>
        <v>8.0653021442496104E-3</v>
      </c>
    </row>
    <row r="7" spans="1:13" x14ac:dyDescent="0.25">
      <c r="A7" s="11">
        <v>42095</v>
      </c>
      <c r="B7" s="7">
        <v>0.71805555555555556</v>
      </c>
      <c r="C7" s="7">
        <v>0.73611111111111116</v>
      </c>
      <c r="D7" s="7">
        <f>(0.736111111111111-0.718055555555556)</f>
        <v>1.8055555555555047E-2</v>
      </c>
      <c r="E7" s="7">
        <f>ABS(0.018055555555555-0.016666666666667)</f>
        <v>1.3888888888879992E-3</v>
      </c>
      <c r="F7" s="1" t="s">
        <v>9</v>
      </c>
      <c r="H7" s="14">
        <v>42095</v>
      </c>
      <c r="I7" t="s">
        <v>19</v>
      </c>
      <c r="J7" t="s">
        <v>8</v>
      </c>
      <c r="K7" s="18">
        <v>32</v>
      </c>
      <c r="L7" s="3">
        <f>AVERAGE(D554:D585)</f>
        <v>1.4843749999999959E-2</v>
      </c>
      <c r="M7" s="3">
        <f>AVERAGE(E554:E584)</f>
        <v>5.9587813620067516E-3</v>
      </c>
    </row>
    <row r="8" spans="1:13" x14ac:dyDescent="0.25">
      <c r="A8" s="11">
        <v>42095</v>
      </c>
      <c r="B8" s="7">
        <v>0.39027777777777778</v>
      </c>
      <c r="C8" s="7">
        <v>0.4069444444444445</v>
      </c>
      <c r="D8" s="7">
        <f>(0.406944444444445-0.390277777777778)</f>
        <v>1.6666666666666996E-2</v>
      </c>
      <c r="E8" s="7">
        <f>ABS(0.016666666666667-0.013888888888889)</f>
        <v>2.7777777777780004E-3</v>
      </c>
      <c r="F8" s="1" t="s">
        <v>9</v>
      </c>
      <c r="H8" s="14">
        <v>42095</v>
      </c>
      <c r="I8" t="s">
        <v>19</v>
      </c>
      <c r="J8" t="s">
        <v>11</v>
      </c>
      <c r="K8" s="18">
        <v>127</v>
      </c>
      <c r="L8" s="3">
        <f>AVERAGE(D586:D712)</f>
        <v>2.2080052493438269E-2</v>
      </c>
      <c r="M8" s="3">
        <f>AVERAGE(E586:E711)</f>
        <v>5.7760141093474975E-3</v>
      </c>
    </row>
    <row r="9" spans="1:13" x14ac:dyDescent="0.25">
      <c r="A9" s="11">
        <v>42095</v>
      </c>
      <c r="B9" s="7">
        <v>0.67708333333333337</v>
      </c>
      <c r="C9" s="7">
        <v>0.69097222222222221</v>
      </c>
      <c r="D9" s="7">
        <f>(0.690972222222222-0.677083333333333)</f>
        <v>1.3888888888888951E-2</v>
      </c>
      <c r="E9" s="7">
        <f>ABS(0.013888888888889-0.019444444444445)</f>
        <v>5.5555555555560007E-3</v>
      </c>
      <c r="F9" s="1" t="s">
        <v>9</v>
      </c>
    </row>
    <row r="10" spans="1:13" x14ac:dyDescent="0.25">
      <c r="A10" s="11">
        <v>42095</v>
      </c>
      <c r="B10" s="7">
        <v>0.81111111111111101</v>
      </c>
      <c r="C10" s="7">
        <v>0.8305555555555556</v>
      </c>
      <c r="D10" s="7">
        <f>(0.830555555555556-0.811111111111111)</f>
        <v>1.9444444444445041E-2</v>
      </c>
      <c r="E10" s="7">
        <f>ABS(0.019444444444445-0.0138888888888881)</f>
        <v>5.5555555555568993E-3</v>
      </c>
      <c r="F10" s="1" t="s">
        <v>9</v>
      </c>
    </row>
    <row r="11" spans="1:13" x14ac:dyDescent="0.25">
      <c r="A11" s="11">
        <v>42095</v>
      </c>
      <c r="B11" s="7">
        <v>0.94930555555555562</v>
      </c>
      <c r="C11" s="7">
        <v>0.96319444444444446</v>
      </c>
      <c r="D11" s="7">
        <f>(0.963194444444444-0.949305555555556)</f>
        <v>1.3888888888888062E-2</v>
      </c>
      <c r="E11" s="7">
        <f>ABS(0.0138888888888881-0.013194444444445)</f>
        <v>6.9444444444310104E-4</v>
      </c>
      <c r="F11" s="1" t="s">
        <v>9</v>
      </c>
      <c r="I11" s="1"/>
      <c r="J11" s="1"/>
      <c r="K11" s="1"/>
      <c r="L11" s="1"/>
    </row>
    <row r="12" spans="1:13" x14ac:dyDescent="0.25">
      <c r="A12" s="11">
        <v>42095</v>
      </c>
      <c r="B12" s="7">
        <v>0.52708333333333335</v>
      </c>
      <c r="C12" s="7">
        <v>0.54027777777777775</v>
      </c>
      <c r="D12" s="7">
        <f>(0.540277777777778-0.527083333333333)</f>
        <v>1.3194444444444953E-2</v>
      </c>
      <c r="E12" s="7">
        <f>ABS(0.013194444444445-0.013194444444445)</f>
        <v>0</v>
      </c>
      <c r="F12" s="1" t="s">
        <v>9</v>
      </c>
    </row>
    <row r="13" spans="1:13" x14ac:dyDescent="0.25">
      <c r="A13" s="11">
        <v>42095</v>
      </c>
      <c r="B13" s="7">
        <v>0.30208333333333331</v>
      </c>
      <c r="C13" s="7">
        <v>0.31527777777777777</v>
      </c>
      <c r="D13" s="7">
        <f>(0.315277777777778-0.302083333333333)</f>
        <v>1.3194444444445008E-2</v>
      </c>
      <c r="E13" s="7">
        <f>ABS(0.013194444444445-0.0152777777777779)</f>
        <v>2.0833333333329009E-3</v>
      </c>
      <c r="F13" s="1" t="s">
        <v>9</v>
      </c>
    </row>
    <row r="14" spans="1:13" x14ac:dyDescent="0.25">
      <c r="A14" s="11">
        <v>42095</v>
      </c>
      <c r="B14" s="7">
        <v>0.96388888888888891</v>
      </c>
      <c r="C14" s="7">
        <v>0.97916666666666663</v>
      </c>
      <c r="D14" s="7">
        <f>(0.979166666666667-0.963888888888889)</f>
        <v>1.5277777777777946E-2</v>
      </c>
      <c r="E14" s="7">
        <f>ABS(0.0152777777777779-0.0131944444444441)</f>
        <v>2.0833333333338012E-3</v>
      </c>
      <c r="F14" s="1" t="s">
        <v>9</v>
      </c>
    </row>
    <row r="15" spans="1:13" x14ac:dyDescent="0.25">
      <c r="A15" s="11">
        <v>42095</v>
      </c>
      <c r="B15" s="7">
        <v>0.57500000000000007</v>
      </c>
      <c r="C15" s="7">
        <v>0.58819444444444446</v>
      </c>
      <c r="D15" s="7">
        <f>(0.588194444444444-0.575)</f>
        <v>1.3194444444444065E-2</v>
      </c>
      <c r="E15" s="7">
        <f>ABS(0.0131944444444441-0.013194444444445)</f>
        <v>9.0032148403196288E-16</v>
      </c>
      <c r="F15" s="1" t="s">
        <v>9</v>
      </c>
    </row>
    <row r="16" spans="1:13" x14ac:dyDescent="0.25">
      <c r="A16" s="11">
        <v>42095</v>
      </c>
      <c r="B16" s="7">
        <v>0.2986111111111111</v>
      </c>
      <c r="C16" s="7">
        <v>0.31180555555555556</v>
      </c>
      <c r="D16" s="7">
        <f>(0.311805555555556-0.298611111111111)</f>
        <v>1.3194444444445008E-2</v>
      </c>
      <c r="E16" s="7">
        <f>ABS(0.013194444444445-0.0208333333333329)</f>
        <v>7.638888888887899E-3</v>
      </c>
      <c r="F16" s="1" t="s">
        <v>9</v>
      </c>
    </row>
    <row r="17" spans="1:6" x14ac:dyDescent="0.25">
      <c r="A17" s="11">
        <v>42095</v>
      </c>
      <c r="B17" s="7">
        <v>0.58263888888888882</v>
      </c>
      <c r="C17" s="7">
        <v>0.60347222222222219</v>
      </c>
      <c r="D17" s="7">
        <f>(0.603472222222222-0.582638888888889)</f>
        <v>2.0833333333332926E-2</v>
      </c>
      <c r="E17" s="7">
        <f>ABS(0.0208333333333329-0.0208333333333329)</f>
        <v>0</v>
      </c>
      <c r="F17" s="1" t="s">
        <v>9</v>
      </c>
    </row>
    <row r="18" spans="1:6" x14ac:dyDescent="0.25">
      <c r="A18" s="11">
        <v>42095</v>
      </c>
      <c r="B18" s="7">
        <v>0.73749999999999993</v>
      </c>
      <c r="C18" s="7">
        <v>0.7583333333333333</v>
      </c>
      <c r="D18" s="7">
        <f>(0.758333333333333-0.7375)</f>
        <v>2.0833333333332926E-2</v>
      </c>
      <c r="E18" s="7">
        <f>ABS(0.0208333333333329-0.011805555555555)</f>
        <v>9.0277777777778984E-3</v>
      </c>
      <c r="F18" s="1" t="s">
        <v>9</v>
      </c>
    </row>
    <row r="19" spans="1:6" x14ac:dyDescent="0.25">
      <c r="A19" s="11">
        <v>42095</v>
      </c>
      <c r="B19" s="7">
        <v>0.61041666666666672</v>
      </c>
      <c r="C19" s="7">
        <v>0.62222222222222223</v>
      </c>
      <c r="D19" s="7">
        <f>(0.622222222222222-0.610416666666667)</f>
        <v>1.1805555555554959E-2</v>
      </c>
      <c r="E19" s="7">
        <f>ABS(0.011805555555555-0.0159722222222221)</f>
        <v>4.1666666666670994E-3</v>
      </c>
      <c r="F19" s="1" t="s">
        <v>9</v>
      </c>
    </row>
    <row r="20" spans="1:6" x14ac:dyDescent="0.25">
      <c r="A20" s="11">
        <v>42095</v>
      </c>
      <c r="B20" s="7">
        <v>0.63888888888888895</v>
      </c>
      <c r="C20" s="7">
        <v>0.65486111111111112</v>
      </c>
      <c r="D20" s="7">
        <f>(0.654861111111111-0.638888888888889)</f>
        <v>1.5972222222222054E-2</v>
      </c>
      <c r="E20" s="7">
        <f>ABS(0.0159722222222221-0.0152777777777771)</f>
        <v>6.9444444444499882E-4</v>
      </c>
      <c r="F20" s="1" t="s">
        <v>9</v>
      </c>
    </row>
    <row r="21" spans="1:6" x14ac:dyDescent="0.25">
      <c r="A21" s="11">
        <v>42095</v>
      </c>
      <c r="B21" s="7">
        <v>0.91666666666666663</v>
      </c>
      <c r="C21" s="7">
        <v>0.93194444444444446</v>
      </c>
      <c r="D21" s="7">
        <f>(0.931944444444444-0.916666666666667)</f>
        <v>1.5277777777777057E-2</v>
      </c>
      <c r="E21" s="7">
        <f>ABS(0.0152777777777771-0.0166666666666671)</f>
        <v>1.3888888888899994E-3</v>
      </c>
      <c r="F21" s="1" t="s">
        <v>9</v>
      </c>
    </row>
    <row r="22" spans="1:6" x14ac:dyDescent="0.25">
      <c r="A22" s="11">
        <v>42095</v>
      </c>
      <c r="B22" s="7">
        <v>0.88888888888888884</v>
      </c>
      <c r="C22" s="7">
        <v>0.90555555555555556</v>
      </c>
      <c r="D22" s="7">
        <f>(0.905555555555556-0.888888888888889)</f>
        <v>1.6666666666667052E-2</v>
      </c>
      <c r="E22" s="7">
        <f>ABS(0.0166666666666671-0.0263888888888889)</f>
        <v>9.7222222222217991E-3</v>
      </c>
      <c r="F22" s="1" t="s">
        <v>9</v>
      </c>
    </row>
    <row r="23" spans="1:6" x14ac:dyDescent="0.25">
      <c r="A23" s="11">
        <v>42095</v>
      </c>
      <c r="B23" s="7">
        <v>6.1111111111111116E-2</v>
      </c>
      <c r="C23" s="7">
        <v>8.7500000000000008E-2</v>
      </c>
      <c r="D23" s="7">
        <f>(0.0875-0.0611111111111111)</f>
        <v>2.6388888888888892E-2</v>
      </c>
      <c r="E23" s="7">
        <f>ABS(0.0263888888888889-0.022222222222222)</f>
        <v>4.1666666666668982E-3</v>
      </c>
      <c r="F23" s="1" t="s">
        <v>9</v>
      </c>
    </row>
    <row r="24" spans="1:6" x14ac:dyDescent="0.25">
      <c r="A24" s="11">
        <v>42095</v>
      </c>
      <c r="B24" s="7">
        <v>0.36874999999999997</v>
      </c>
      <c r="C24" s="7">
        <v>0.39097222222222222</v>
      </c>
      <c r="D24" s="7">
        <f>(0.390972222222222-0.36875)</f>
        <v>2.2222222222221977E-2</v>
      </c>
      <c r="E24" s="7">
        <f>ABS(0.022222222222222-0.0131944444444441)</f>
        <v>9.0277777777779018E-3</v>
      </c>
      <c r="F24" s="1" t="s">
        <v>9</v>
      </c>
    </row>
    <row r="25" spans="1:6" x14ac:dyDescent="0.25">
      <c r="A25" s="11">
        <v>42095</v>
      </c>
      <c r="B25" s="7">
        <v>0.54027777777777775</v>
      </c>
      <c r="C25" s="7">
        <v>0.55347222222222225</v>
      </c>
      <c r="D25" s="7">
        <f>(0.553472222222222-0.540277777777778)</f>
        <v>1.3194444444444065E-2</v>
      </c>
      <c r="E25" s="7">
        <f>ABS(0.0131944444444441-0.0138888888888881)</f>
        <v>6.9444444444400136E-4</v>
      </c>
      <c r="F25" s="1" t="s">
        <v>9</v>
      </c>
    </row>
    <row r="26" spans="1:6" x14ac:dyDescent="0.25">
      <c r="A26" s="11">
        <v>42095</v>
      </c>
      <c r="B26" s="7">
        <v>0.94305555555555554</v>
      </c>
      <c r="C26" s="7">
        <v>0.95694444444444438</v>
      </c>
      <c r="D26" s="7">
        <f>(0.956944444444444-0.943055555555556)</f>
        <v>1.3888888888888062E-2</v>
      </c>
      <c r="E26" s="7">
        <f>ABS(0.0138888888888881-0.0138888888888889)</f>
        <v>7.9970752242530807E-16</v>
      </c>
      <c r="F26" s="1" t="s">
        <v>9</v>
      </c>
    </row>
    <row r="27" spans="1:6" x14ac:dyDescent="0.25">
      <c r="A27" s="11">
        <v>42095</v>
      </c>
      <c r="B27" s="7">
        <v>3.6111111111111115E-2</v>
      </c>
      <c r="C27" s="7">
        <v>4.9999999999999996E-2</v>
      </c>
      <c r="D27" s="7">
        <f>(0.05-0.0361111111111111)</f>
        <v>1.3888888888888902E-2</v>
      </c>
      <c r="E27" s="7">
        <f>ABS(0.0138888888888889-0.0152777777777777)</f>
        <v>1.388888888888799E-3</v>
      </c>
      <c r="F27" s="1" t="s">
        <v>9</v>
      </c>
    </row>
    <row r="28" spans="1:6" x14ac:dyDescent="0.25">
      <c r="A28" s="11">
        <v>42095</v>
      </c>
      <c r="B28" s="7">
        <v>4.9305555555555554E-2</v>
      </c>
      <c r="C28" s="7">
        <v>6.458333333333334E-2</v>
      </c>
      <c r="D28" s="7">
        <f>(0.0645833333333333-0.0493055555555556)</f>
        <v>1.5277777777777696E-2</v>
      </c>
      <c r="E28" s="7">
        <f>ABS(0.0152777777777777-0.019444444444444)</f>
        <v>4.1666666666663014E-3</v>
      </c>
      <c r="F28" s="1" t="s">
        <v>9</v>
      </c>
    </row>
    <row r="29" spans="1:6" x14ac:dyDescent="0.25">
      <c r="A29" s="11">
        <v>42095</v>
      </c>
      <c r="B29" s="7">
        <v>0.34930555555555554</v>
      </c>
      <c r="C29" s="7">
        <v>0.36874999999999997</v>
      </c>
      <c r="D29" s="7">
        <f>(0.36875-0.349305555555556)</f>
        <v>1.9444444444444042E-2</v>
      </c>
      <c r="E29" s="7">
        <f>ABS(0.019444444444444-0.018055555555555)</f>
        <v>1.3888888888890019E-3</v>
      </c>
      <c r="F29" s="1" t="s">
        <v>9</v>
      </c>
    </row>
    <row r="30" spans="1:6" x14ac:dyDescent="0.25">
      <c r="A30" s="11">
        <v>42095</v>
      </c>
      <c r="B30" s="7">
        <v>0.27916666666666667</v>
      </c>
      <c r="C30" s="7">
        <v>0.29722222222222222</v>
      </c>
      <c r="D30" s="7">
        <f>(0.297222222222222-0.279166666666667)</f>
        <v>1.8055555555554992E-2</v>
      </c>
      <c r="E30" s="7">
        <f>ABS(0.018055555555555-0.022916666666667)</f>
        <v>4.8611111111120028E-3</v>
      </c>
      <c r="F30" s="1" t="s">
        <v>9</v>
      </c>
    </row>
    <row r="31" spans="1:6" x14ac:dyDescent="0.25">
      <c r="A31" s="11">
        <v>42095</v>
      </c>
      <c r="B31" s="7">
        <v>0.53263888888888888</v>
      </c>
      <c r="C31" s="7">
        <v>0.55555555555555558</v>
      </c>
      <c r="D31" s="7">
        <f>(0.555555555555556-0.532638888888889)</f>
        <v>2.2916666666667029E-2</v>
      </c>
      <c r="E31" s="7">
        <f>ABS(0.022916666666667-0.13125)</f>
        <v>0.108333333333333</v>
      </c>
      <c r="F31" s="1" t="s">
        <v>9</v>
      </c>
    </row>
    <row r="32" spans="1:6" x14ac:dyDescent="0.25">
      <c r="A32" s="11">
        <v>42095</v>
      </c>
      <c r="B32" s="7">
        <v>0.45833333333333331</v>
      </c>
      <c r="C32" s="7">
        <v>0.58958333333333335</v>
      </c>
      <c r="D32" s="7">
        <f>(0.589583333333333-0.458333333333333)</f>
        <v>0.13125000000000003</v>
      </c>
      <c r="E32" s="7">
        <f>ABS(0.13125-0.0152777777777781)</f>
        <v>0.11597222222222191</v>
      </c>
      <c r="F32" s="1" t="s">
        <v>9</v>
      </c>
    </row>
    <row r="33" spans="1:6" x14ac:dyDescent="0.25">
      <c r="A33" s="11">
        <v>42095</v>
      </c>
      <c r="B33" s="7">
        <v>0.85763888888888884</v>
      </c>
      <c r="C33" s="7">
        <v>0.87291666666666667</v>
      </c>
      <c r="D33" s="7">
        <f>(0.872916666666667-0.857638888888889)</f>
        <v>1.5277777777778057E-2</v>
      </c>
      <c r="E33" s="7">
        <f>ABS(0.0152777777777781-0.013888888888889)</f>
        <v>1.3888888888891008E-3</v>
      </c>
      <c r="F33" s="1" t="s">
        <v>9</v>
      </c>
    </row>
    <row r="34" spans="1:6" x14ac:dyDescent="0.25">
      <c r="A34" s="11">
        <v>42095</v>
      </c>
      <c r="B34" s="7">
        <v>0.8652777777777777</v>
      </c>
      <c r="C34" s="7">
        <v>0.87916666666666676</v>
      </c>
      <c r="D34" s="7">
        <f>(0.879166666666667-0.865277777777778)</f>
        <v>1.3888888888888951E-2</v>
      </c>
      <c r="E34" s="7">
        <f>ABS(0.013888888888889-0.015972222222222)</f>
        <v>2.0833333333329998E-3</v>
      </c>
      <c r="F34" s="1" t="s">
        <v>9</v>
      </c>
    </row>
    <row r="35" spans="1:6" x14ac:dyDescent="0.25">
      <c r="A35" s="11">
        <v>42095</v>
      </c>
      <c r="B35" s="7">
        <v>0.43541666666666662</v>
      </c>
      <c r="C35" s="7">
        <v>0.4513888888888889</v>
      </c>
      <c r="D35" s="7">
        <f>(0.451388888888889-0.435416666666667)</f>
        <v>1.5972222222221999E-2</v>
      </c>
      <c r="E35" s="7">
        <f>ABS(0.015972222222222-0.0131944444444451)</f>
        <v>2.7777777777768988E-3</v>
      </c>
      <c r="F35" s="1" t="s">
        <v>9</v>
      </c>
    </row>
    <row r="36" spans="1:6" x14ac:dyDescent="0.25">
      <c r="A36" s="11">
        <v>42095</v>
      </c>
      <c r="B36" s="7">
        <v>0.6333333333333333</v>
      </c>
      <c r="C36" s="7">
        <v>0.64652777777777781</v>
      </c>
      <c r="D36" s="7">
        <f>(0.646527777777778-0.633333333333333)</f>
        <v>1.3194444444445064E-2</v>
      </c>
      <c r="E36" s="7">
        <f>ABS(0.0131944444444451-0.010416666666667)</f>
        <v>2.777777777778101E-3</v>
      </c>
      <c r="F36" s="1" t="s">
        <v>9</v>
      </c>
    </row>
    <row r="37" spans="1:6" x14ac:dyDescent="0.25">
      <c r="A37" s="11">
        <v>42095</v>
      </c>
      <c r="B37" s="7">
        <v>0.77638888888888891</v>
      </c>
      <c r="C37" s="7">
        <v>0.78680555555555554</v>
      </c>
      <c r="D37" s="7">
        <f>(0.786805555555556-0.776388888888889)</f>
        <v>1.0416666666666963E-2</v>
      </c>
      <c r="E37" s="7">
        <f>ABS(0.010416666666667-0.015277777777778)</f>
        <v>4.8611111111110002E-3</v>
      </c>
      <c r="F37" s="5" t="s">
        <v>9</v>
      </c>
    </row>
    <row r="38" spans="1:6" x14ac:dyDescent="0.25">
      <c r="A38" s="11">
        <v>42095</v>
      </c>
      <c r="B38" s="7">
        <v>0.31736111111111115</v>
      </c>
      <c r="C38" s="7">
        <v>0.33263888888888887</v>
      </c>
      <c r="D38" s="7">
        <f>(0.332638888888889-0.317361111111111)</f>
        <v>1.5277777777778001E-2</v>
      </c>
      <c r="E38" s="7">
        <f>ABS(0.015277777777778-0.011805555555555)</f>
        <v>3.4722222222229992E-3</v>
      </c>
      <c r="F38" s="1" t="s">
        <v>9</v>
      </c>
    </row>
    <row r="39" spans="1:6" x14ac:dyDescent="0.25">
      <c r="A39" s="11">
        <v>42095</v>
      </c>
      <c r="B39" s="7">
        <v>0.7715277777777777</v>
      </c>
      <c r="C39" s="7">
        <v>0.78333333333333333</v>
      </c>
      <c r="D39" s="7">
        <f>(0.783333333333333-0.771527777777778)</f>
        <v>1.1805555555554959E-2</v>
      </c>
      <c r="E39" s="7">
        <f>ABS(0.011805555555555-0.013194444444445)</f>
        <v>1.3888888888899994E-3</v>
      </c>
      <c r="F39" s="1" t="s">
        <v>9</v>
      </c>
    </row>
    <row r="40" spans="1:6" x14ac:dyDescent="0.25">
      <c r="A40" s="11">
        <v>42095</v>
      </c>
      <c r="B40" s="7">
        <v>0.83333333333333337</v>
      </c>
      <c r="C40" s="7">
        <v>0.84652777777777777</v>
      </c>
      <c r="D40" s="7">
        <f>(0.846527777777778-0.833333333333333)</f>
        <v>1.3194444444444953E-2</v>
      </c>
      <c r="E40" s="7">
        <f>ABS(0.013194444444445-0.0166666666666671)</f>
        <v>3.4722222222221006E-3</v>
      </c>
      <c r="F40" s="1" t="s">
        <v>9</v>
      </c>
    </row>
    <row r="41" spans="1:6" x14ac:dyDescent="0.25">
      <c r="A41" s="11">
        <v>42095</v>
      </c>
      <c r="B41" s="7">
        <v>0.88750000000000007</v>
      </c>
      <c r="C41" s="7">
        <v>0.90416666666666667</v>
      </c>
      <c r="D41" s="7">
        <f>(0.904166666666667-0.8875)</f>
        <v>1.6666666666667052E-2</v>
      </c>
      <c r="E41" s="7">
        <f>ABS(0.0166666666666671-0.0166666666666669)</f>
        <v>2.0122792321330962E-16</v>
      </c>
      <c r="F41" s="1" t="s">
        <v>9</v>
      </c>
    </row>
    <row r="42" spans="1:6" x14ac:dyDescent="0.25">
      <c r="A42" s="11">
        <v>42095</v>
      </c>
      <c r="B42" s="7">
        <v>0.62222222222222223</v>
      </c>
      <c r="C42" s="7">
        <v>0.63888888888888895</v>
      </c>
      <c r="D42" s="7">
        <f>(0.638888888888889-0.622222222222222)</f>
        <v>1.6666666666666941E-2</v>
      </c>
      <c r="E42" s="7">
        <f>ABS(0.0166666666666669-0.013888888888889)</f>
        <v>2.7777777777778997E-3</v>
      </c>
      <c r="F42" s="1" t="s">
        <v>9</v>
      </c>
    </row>
    <row r="43" spans="1:6" x14ac:dyDescent="0.25">
      <c r="A43" s="11">
        <v>42095</v>
      </c>
      <c r="B43" s="7">
        <v>0.33333333333333331</v>
      </c>
      <c r="C43" s="7">
        <v>0.34722222222222227</v>
      </c>
      <c r="D43" s="7">
        <f>(0.347222222222222-0.333333333333333)</f>
        <v>1.3888888888889006E-2</v>
      </c>
      <c r="E43" s="7">
        <f>ABS(0.013888888888889-0.020138888888889)</f>
        <v>6.2500000000000021E-3</v>
      </c>
      <c r="F43" s="1" t="s">
        <v>9</v>
      </c>
    </row>
    <row r="44" spans="1:6" x14ac:dyDescent="0.25">
      <c r="A44" s="11">
        <v>42095</v>
      </c>
      <c r="B44" s="7">
        <v>0.2951388888888889</v>
      </c>
      <c r="C44" s="7">
        <v>0.31527777777777777</v>
      </c>
      <c r="D44" s="7">
        <f>(0.315277777777778-0.295138888888889)</f>
        <v>2.0138888888888984E-2</v>
      </c>
      <c r="E44" s="7">
        <f>ABS(0.020138888888889-0.0437500000000001)</f>
        <v>2.36111111111111E-2</v>
      </c>
      <c r="F44" s="1" t="s">
        <v>9</v>
      </c>
    </row>
    <row r="45" spans="1:6" x14ac:dyDescent="0.25">
      <c r="A45" s="11">
        <v>42095</v>
      </c>
      <c r="B45" s="7">
        <v>0.56736111111111109</v>
      </c>
      <c r="C45" s="7">
        <v>0.61111111111111105</v>
      </c>
      <c r="D45" s="7">
        <f>(0.611111111111111-0.567361111111111)</f>
        <v>4.3750000000000067E-2</v>
      </c>
      <c r="E45" s="7">
        <f>ABS(0.0437500000000001-0.041666666666667)</f>
        <v>2.0833333333331039E-3</v>
      </c>
      <c r="F45" s="1" t="s">
        <v>9</v>
      </c>
    </row>
    <row r="46" spans="1:6" x14ac:dyDescent="0.25">
      <c r="A46" s="11">
        <v>42095</v>
      </c>
      <c r="B46" s="7">
        <v>0.29375000000000001</v>
      </c>
      <c r="C46" s="7">
        <v>0.3354166666666667</v>
      </c>
      <c r="D46" s="7">
        <f>(0.335416666666667-0.29375)</f>
        <v>4.1666666666666963E-2</v>
      </c>
      <c r="E46" s="7">
        <f>ABS(0.041666666666667-0.020138888888889)</f>
        <v>2.1527777777777996E-2</v>
      </c>
      <c r="F46" s="1" t="s">
        <v>9</v>
      </c>
    </row>
    <row r="47" spans="1:6" x14ac:dyDescent="0.25">
      <c r="A47" s="11">
        <v>42095</v>
      </c>
      <c r="B47" s="7">
        <v>0.43194444444444446</v>
      </c>
      <c r="C47" s="7">
        <v>0.45208333333333334</v>
      </c>
      <c r="D47" s="7">
        <f>(0.452083333333333-0.431944444444444)</f>
        <v>2.0138888888888984E-2</v>
      </c>
      <c r="E47" s="7">
        <f>ABS(0.020138888888889-0.018055555555556)</f>
        <v>2.0833333333329998E-3</v>
      </c>
      <c r="F47" s="1" t="s">
        <v>9</v>
      </c>
    </row>
    <row r="48" spans="1:6" x14ac:dyDescent="0.25">
      <c r="A48" s="11">
        <v>42095</v>
      </c>
      <c r="B48" s="7">
        <v>0.6645833333333333</v>
      </c>
      <c r="C48" s="7">
        <v>0.68263888888888891</v>
      </c>
      <c r="D48" s="7">
        <f>(0.682638888888889-0.664583333333333)</f>
        <v>1.8055555555556047E-2</v>
      </c>
      <c r="E48" s="7">
        <f>ABS(0.018055555555556-0.013194444444445)</f>
        <v>4.8611111111110019E-3</v>
      </c>
      <c r="F48" s="1" t="s">
        <v>9</v>
      </c>
    </row>
    <row r="49" spans="1:6" x14ac:dyDescent="0.25">
      <c r="A49" s="11">
        <v>42095</v>
      </c>
      <c r="B49" s="7">
        <v>0.90486111111111101</v>
      </c>
      <c r="C49" s="7">
        <v>0.91805555555555562</v>
      </c>
      <c r="D49" s="7">
        <f>(0.918055555555556-0.904861111111111)</f>
        <v>1.3194444444444953E-2</v>
      </c>
      <c r="E49" s="7">
        <f>ABS(0.013194444444445-0.0138888888888891)</f>
        <v>6.9444444444410024E-4</v>
      </c>
      <c r="F49" s="1" t="s">
        <v>9</v>
      </c>
    </row>
    <row r="50" spans="1:6" x14ac:dyDescent="0.25">
      <c r="A50" s="11">
        <v>42095</v>
      </c>
      <c r="B50" s="7">
        <v>0.8833333333333333</v>
      </c>
      <c r="C50" s="7">
        <v>0.89722222222222225</v>
      </c>
      <c r="D50" s="7">
        <f>(0.897222222222222-0.883333333333333)</f>
        <v>1.3888888888889062E-2</v>
      </c>
      <c r="E50" s="7">
        <f>ABS(0.0138888888888891-0.0194444444444459)</f>
        <v>5.5555555555567987E-3</v>
      </c>
      <c r="F50" s="1" t="s">
        <v>9</v>
      </c>
    </row>
    <row r="51" spans="1:6" x14ac:dyDescent="0.25">
      <c r="A51" s="11">
        <v>42095</v>
      </c>
      <c r="B51" s="7">
        <v>0.99444444444444446</v>
      </c>
      <c r="C51" s="7">
        <v>1.0138888888888888</v>
      </c>
      <c r="D51" s="7">
        <f>(1.01388888888889-0.994444444444444)</f>
        <v>1.944444444444593E-2</v>
      </c>
      <c r="E51" s="7">
        <f>ABS(0.0194444444444459-0.0145833333333338)</f>
        <v>4.8611111111120982E-3</v>
      </c>
      <c r="F51" s="1" t="s">
        <v>9</v>
      </c>
    </row>
    <row r="52" spans="1:6" x14ac:dyDescent="0.25">
      <c r="A52" s="11">
        <v>42095</v>
      </c>
      <c r="B52" s="7">
        <v>9.0972222222222218E-2</v>
      </c>
      <c r="C52" s="7">
        <v>0.10555555555555556</v>
      </c>
      <c r="D52" s="7">
        <f>(0.105555555555556-0.0909722222222222)</f>
        <v>1.4583333333333795E-2</v>
      </c>
      <c r="E52" s="7">
        <f>ABS(0.0145833333333338-0.019444444444445)</f>
        <v>4.8611111111111997E-3</v>
      </c>
      <c r="F52" s="1" t="s">
        <v>9</v>
      </c>
    </row>
    <row r="53" spans="1:6" x14ac:dyDescent="0.25">
      <c r="A53" s="11">
        <v>42095</v>
      </c>
      <c r="B53" s="7">
        <v>0.30833333333333335</v>
      </c>
      <c r="C53" s="7">
        <v>0.32777777777777778</v>
      </c>
      <c r="D53" s="7">
        <f>(0.327777777777778-0.308333333333333)</f>
        <v>1.9444444444444986E-2</v>
      </c>
      <c r="E53" s="7">
        <f>ABS(0.019444444444445-0.014583333333334)</f>
        <v>4.8611111111110002E-3</v>
      </c>
      <c r="F53" s="1" t="s">
        <v>9</v>
      </c>
    </row>
    <row r="54" spans="1:6" x14ac:dyDescent="0.25">
      <c r="A54" s="11">
        <v>42095</v>
      </c>
      <c r="B54" s="7">
        <v>0.31944444444444448</v>
      </c>
      <c r="C54" s="7">
        <v>0.33402777777777781</v>
      </c>
      <c r="D54" s="7">
        <f>(0.334027777777778-0.319444444444444)</f>
        <v>1.4583333333334003E-2</v>
      </c>
      <c r="E54" s="7">
        <f>ABS(0.014583333333334-0.014583333333334)</f>
        <v>0</v>
      </c>
      <c r="F54" s="1" t="s">
        <v>9</v>
      </c>
    </row>
    <row r="55" spans="1:6" x14ac:dyDescent="0.25">
      <c r="A55" s="11">
        <v>42095</v>
      </c>
      <c r="B55" s="7">
        <v>0.39583333333333331</v>
      </c>
      <c r="C55" s="7">
        <v>0.41041666666666665</v>
      </c>
      <c r="D55" s="7">
        <f>(0.410416666666667-0.395833333333333)</f>
        <v>1.4583333333334003E-2</v>
      </c>
      <c r="E55" s="7">
        <f>ABS(0.014583333333334-0.0180555555555549)</f>
        <v>3.4722222222209019E-3</v>
      </c>
      <c r="F55" s="1" t="s">
        <v>9</v>
      </c>
    </row>
    <row r="56" spans="1:6" x14ac:dyDescent="0.25">
      <c r="A56" s="11">
        <v>42095</v>
      </c>
      <c r="B56" s="7">
        <v>0.68402777777777779</v>
      </c>
      <c r="C56" s="7">
        <v>0.70208333333333339</v>
      </c>
      <c r="D56" s="7">
        <f>(0.702083333333333-0.684027777777778)</f>
        <v>1.8055555555554936E-2</v>
      </c>
      <c r="E56" s="7">
        <f>ABS(0.0180555555555549-0.01875)</f>
        <v>6.944444444450977E-4</v>
      </c>
      <c r="F56" s="1" t="s">
        <v>9</v>
      </c>
    </row>
    <row r="57" spans="1:6" x14ac:dyDescent="0.25">
      <c r="A57" s="11">
        <v>42095</v>
      </c>
      <c r="B57" s="7">
        <v>0.36527777777777781</v>
      </c>
      <c r="C57" s="7">
        <v>0.3840277777777778</v>
      </c>
      <c r="D57" s="7">
        <f>(0.384027777777778-0.365277777777778)</f>
        <v>1.8750000000000044E-2</v>
      </c>
      <c r="E57" s="7">
        <f>ABS(0.01875-0.0152777777777781)</f>
        <v>3.4722222222218994E-3</v>
      </c>
      <c r="F57" s="1" t="s">
        <v>9</v>
      </c>
    </row>
    <row r="58" spans="1:6" x14ac:dyDescent="0.25">
      <c r="A58" s="11">
        <v>42095</v>
      </c>
      <c r="B58" s="7">
        <v>0.87986111111111109</v>
      </c>
      <c r="C58" s="7">
        <v>0.89513888888888893</v>
      </c>
      <c r="D58" s="7">
        <f>(0.895138888888889-0.879861111111111)</f>
        <v>1.5277777777778057E-2</v>
      </c>
      <c r="E58" s="7">
        <f>ABS(0.0152777777777781-0.022222222222222)</f>
        <v>6.9444444444439011E-3</v>
      </c>
      <c r="F58" s="1" t="s">
        <v>9</v>
      </c>
    </row>
    <row r="59" spans="1:6" x14ac:dyDescent="0.25">
      <c r="A59" s="11">
        <v>42095</v>
      </c>
      <c r="B59" s="7">
        <v>0.47291666666666665</v>
      </c>
      <c r="C59" s="7">
        <v>0.49513888888888885</v>
      </c>
      <c r="D59" s="7">
        <f>(0.495138888888889-0.472916666666667)</f>
        <v>2.2222222222222032E-2</v>
      </c>
      <c r="E59" s="7">
        <f>ABS(0.022222222222222-0.0131944444444441)</f>
        <v>9.0277777777779018E-3</v>
      </c>
      <c r="F59" s="1" t="s">
        <v>9</v>
      </c>
    </row>
    <row r="60" spans="1:6" x14ac:dyDescent="0.25">
      <c r="A60" s="11">
        <v>42095</v>
      </c>
      <c r="B60" s="7">
        <v>0.54166666666666663</v>
      </c>
      <c r="C60" s="7">
        <v>0.55486111111111114</v>
      </c>
      <c r="D60" s="7">
        <f>(0.554861111111111-0.541666666666667)</f>
        <v>1.3194444444444065E-2</v>
      </c>
      <c r="E60" s="7"/>
      <c r="F60" s="1" t="s">
        <v>9</v>
      </c>
    </row>
    <row r="61" spans="1:6" x14ac:dyDescent="0.25">
      <c r="A61" s="11">
        <v>42095</v>
      </c>
      <c r="B61" s="7">
        <v>7.0833333333333331E-2</v>
      </c>
      <c r="C61" s="7">
        <v>9.375E-2</v>
      </c>
      <c r="D61" s="7">
        <f>(0.09375-0.0708333333333333)</f>
        <v>2.2916666666666696E-2</v>
      </c>
      <c r="E61" s="7">
        <f>ABS(0.0229166666666667-0.021527777777777)</f>
        <v>1.3888888888896993E-3</v>
      </c>
      <c r="F61" s="1" t="s">
        <v>3</v>
      </c>
    </row>
    <row r="62" spans="1:6" x14ac:dyDescent="0.25">
      <c r="A62" s="11">
        <v>42095</v>
      </c>
      <c r="B62" s="7">
        <v>0.28055555555555556</v>
      </c>
      <c r="C62" s="7">
        <v>0.30208333333333331</v>
      </c>
      <c r="D62" s="7">
        <f>(0.302083333333333-0.280555555555556)</f>
        <v>2.152777777777698E-2</v>
      </c>
      <c r="E62" s="7">
        <f>ABS(0.021527777777777-0.027777777777778)</f>
        <v>6.2500000000009978E-3</v>
      </c>
      <c r="F62" s="1" t="s">
        <v>3</v>
      </c>
    </row>
    <row r="63" spans="1:6" x14ac:dyDescent="0.25">
      <c r="A63" s="11">
        <v>42095</v>
      </c>
      <c r="B63" s="7">
        <v>0.32847222222222222</v>
      </c>
      <c r="C63" s="7">
        <v>0.35625000000000001</v>
      </c>
      <c r="D63" s="7">
        <f>(0.35625-0.328472222222222)</f>
        <v>2.7777777777778012E-2</v>
      </c>
      <c r="E63" s="7">
        <f>ABS(0.027777777777778-0.00694444444444497)</f>
        <v>2.083333333333303E-2</v>
      </c>
      <c r="F63" s="1" t="s">
        <v>3</v>
      </c>
    </row>
    <row r="64" spans="1:6" x14ac:dyDescent="0.25">
      <c r="A64" s="11">
        <v>42095</v>
      </c>
      <c r="B64" s="7">
        <v>0.37222222222222223</v>
      </c>
      <c r="C64" s="7">
        <v>0.37916666666666665</v>
      </c>
      <c r="D64" s="7">
        <f>(0.379166666666667-0.372222222222222)</f>
        <v>6.9444444444449749E-3</v>
      </c>
      <c r="E64" s="7">
        <f>ABS(0.00694444444444497-0.00347222222222199)</f>
        <v>3.4722222222229797E-3</v>
      </c>
      <c r="F64" s="1" t="s">
        <v>3</v>
      </c>
    </row>
    <row r="65" spans="1:6" x14ac:dyDescent="0.25">
      <c r="A65" s="11">
        <v>42095</v>
      </c>
      <c r="B65" s="7">
        <v>0.5</v>
      </c>
      <c r="C65" s="7">
        <v>0.50347222222222221</v>
      </c>
      <c r="D65" s="7">
        <f>(0.503472222222222-0.5)</f>
        <v>3.4722222222219878E-3</v>
      </c>
      <c r="E65" s="7">
        <f>ABS(0.00347222222222199-0.00763888888888897)</f>
        <v>4.1666666666669797E-3</v>
      </c>
      <c r="F65" s="1" t="s">
        <v>3</v>
      </c>
    </row>
    <row r="66" spans="1:6" x14ac:dyDescent="0.25">
      <c r="A66" s="11">
        <v>42095</v>
      </c>
      <c r="B66" s="7">
        <v>0.62361111111111112</v>
      </c>
      <c r="C66" s="7">
        <v>0.63124999999999998</v>
      </c>
      <c r="D66" s="7">
        <f>(0.63125-0.623611111111111)</f>
        <v>7.6388888888889728E-3</v>
      </c>
      <c r="E66" s="7">
        <f>ABS(0.00763888888888897-0.00555555555555498)</f>
        <v>2.0833333333339903E-3</v>
      </c>
      <c r="F66" s="1" t="s">
        <v>3</v>
      </c>
    </row>
    <row r="67" spans="1:6" x14ac:dyDescent="0.25">
      <c r="A67" s="11">
        <v>42095</v>
      </c>
      <c r="B67" s="7">
        <v>0.75277777777777777</v>
      </c>
      <c r="C67" s="7">
        <v>0.7583333333333333</v>
      </c>
      <c r="D67" s="7">
        <f>(0.758333333333333-0.752777777777778)</f>
        <v>5.5555555555549807E-3</v>
      </c>
      <c r="E67" s="7">
        <f>ABS(0.00555555555555498-0.044444444444444)</f>
        <v>3.8888888888889021E-2</v>
      </c>
      <c r="F67" s="1" t="s">
        <v>3</v>
      </c>
    </row>
    <row r="68" spans="1:6" x14ac:dyDescent="0.25">
      <c r="A68" s="11">
        <v>42095</v>
      </c>
      <c r="B68" s="7">
        <v>0.71805555555555556</v>
      </c>
      <c r="C68" s="7">
        <v>0.76250000000000007</v>
      </c>
      <c r="D68" s="7">
        <f>(0.7625-0.718055555555556)</f>
        <v>4.4444444444443953E-2</v>
      </c>
      <c r="E68" s="7">
        <f>ABS(0.044444444444444-0.00902777777777808)</f>
        <v>3.5416666666665923E-2</v>
      </c>
      <c r="F68" s="1" t="s">
        <v>3</v>
      </c>
    </row>
    <row r="69" spans="1:6" x14ac:dyDescent="0.25">
      <c r="A69" s="11">
        <v>42095</v>
      </c>
      <c r="B69" s="7">
        <v>0.8847222222222223</v>
      </c>
      <c r="C69" s="7">
        <v>0.89374999999999993</v>
      </c>
      <c r="D69" s="7">
        <f>(0.89375-0.884722222222222)</f>
        <v>9.0277777777780788E-3</v>
      </c>
      <c r="E69" s="7">
        <f>ABS(0.00902777777777808-0.00694444444444497)</f>
        <v>2.0833333333331108E-3</v>
      </c>
      <c r="F69" s="1" t="s">
        <v>3</v>
      </c>
    </row>
    <row r="70" spans="1:6" x14ac:dyDescent="0.25">
      <c r="A70" s="11">
        <v>42095</v>
      </c>
      <c r="B70" s="7">
        <v>0.89444444444444438</v>
      </c>
      <c r="C70" s="7">
        <v>0.90138888888888891</v>
      </c>
      <c r="D70" s="7">
        <f>(0.901388888888889-0.894444444444444)</f>
        <v>6.9444444444449749E-3</v>
      </c>
      <c r="E70" s="7">
        <f>ABS(0.00694444444444497-0.010416666666667)</f>
        <v>3.4722222222220295E-3</v>
      </c>
      <c r="F70" s="1" t="s">
        <v>3</v>
      </c>
    </row>
    <row r="71" spans="1:6" x14ac:dyDescent="0.25">
      <c r="A71" s="11">
        <v>42095</v>
      </c>
      <c r="B71" s="7">
        <v>0.90277777777777779</v>
      </c>
      <c r="C71" s="7">
        <v>0.91319444444444453</v>
      </c>
      <c r="D71" s="7">
        <f>(0.913194444444445-0.902777777777778)</f>
        <v>1.0416666666666963E-2</v>
      </c>
      <c r="E71" s="7">
        <f>ABS(0.010416666666667-0.00833333333333297)</f>
        <v>2.0833333333340285E-3</v>
      </c>
      <c r="F71" s="1" t="s">
        <v>3</v>
      </c>
    </row>
    <row r="72" spans="1:6" x14ac:dyDescent="0.25">
      <c r="A72" s="11">
        <v>42095</v>
      </c>
      <c r="B72" s="7">
        <v>0.90902777777777777</v>
      </c>
      <c r="C72" s="7">
        <v>0.91736111111111107</v>
      </c>
      <c r="D72" s="7">
        <f>(0.917361111111111-0.909027777777778)</f>
        <v>8.3333333333329707E-3</v>
      </c>
      <c r="E72" s="7">
        <f>ABS(0.00833333333333297-0.00347222222222199)</f>
        <v>4.8611111111109811E-3</v>
      </c>
      <c r="F72" s="1" t="s">
        <v>3</v>
      </c>
    </row>
    <row r="73" spans="1:6" x14ac:dyDescent="0.25">
      <c r="A73" s="11">
        <v>42095</v>
      </c>
      <c r="B73" s="7">
        <v>0.93125000000000002</v>
      </c>
      <c r="C73" s="7">
        <v>0.93472222222222223</v>
      </c>
      <c r="D73" s="7">
        <f>(0.934722222222222-0.93125)</f>
        <v>3.4722222222219878E-3</v>
      </c>
      <c r="E73" s="7">
        <f>ABS(0.00347222222222199-0.0180555555555521)</f>
        <v>1.4583333333330109E-2</v>
      </c>
      <c r="F73" s="1" t="s">
        <v>3</v>
      </c>
    </row>
    <row r="74" spans="1:6" x14ac:dyDescent="0.25">
      <c r="A74" s="11">
        <v>42095</v>
      </c>
      <c r="B74" s="7">
        <v>0.99652777777777779</v>
      </c>
      <c r="C74" s="7">
        <v>1.0145833333333334</v>
      </c>
      <c r="D74" s="7">
        <f>(1.01458333333333-0.996527777777778)</f>
        <v>1.805555555555205E-2</v>
      </c>
      <c r="E74" s="7">
        <f>ABS(0.0180555555555521-0.013194444444444)</f>
        <v>4.861111111108098E-3</v>
      </c>
      <c r="F74" s="1" t="s">
        <v>3</v>
      </c>
    </row>
    <row r="75" spans="1:6" x14ac:dyDescent="0.25">
      <c r="A75" s="11">
        <v>42095</v>
      </c>
      <c r="B75" s="7">
        <v>0.39027777777777778</v>
      </c>
      <c r="C75" s="7">
        <v>0.40347222222222223</v>
      </c>
      <c r="D75" s="7">
        <f>(0.403472222222222-0.390277777777778)</f>
        <v>1.3194444444444009E-2</v>
      </c>
      <c r="E75" s="7">
        <f>ABS(0.013194444444444-0.030555555555556)</f>
        <v>1.7361111111112E-2</v>
      </c>
      <c r="F75" s="1" t="s">
        <v>3</v>
      </c>
    </row>
    <row r="76" spans="1:6" x14ac:dyDescent="0.25">
      <c r="A76" s="11">
        <v>42095</v>
      </c>
      <c r="B76" s="7">
        <v>0.42222222222222222</v>
      </c>
      <c r="C76" s="7">
        <v>0.45277777777777778</v>
      </c>
      <c r="D76" s="7">
        <f>(0.452777777777778-0.422222222222222)</f>
        <v>3.0555555555556002E-2</v>
      </c>
      <c r="E76" s="7">
        <f>ABS(0.030555555555556-0.00277777777777699)</f>
        <v>2.7777777777779008E-2</v>
      </c>
      <c r="F76" s="1" t="s">
        <v>3</v>
      </c>
    </row>
    <row r="77" spans="1:6" x14ac:dyDescent="0.25">
      <c r="A77" s="11">
        <v>42095</v>
      </c>
      <c r="B77" s="7">
        <v>0.4680555555555555</v>
      </c>
      <c r="C77" s="7">
        <v>0.47083333333333338</v>
      </c>
      <c r="D77" s="7">
        <f>(0.470833333333333-0.468055555555556)</f>
        <v>2.7777777777769908E-3</v>
      </c>
      <c r="E77" s="7">
        <f>ABS(0.00277777777777699-0.00486111111111098)</f>
        <v>2.0833333333339903E-3</v>
      </c>
      <c r="F77" s="1" t="s">
        <v>3</v>
      </c>
    </row>
    <row r="78" spans="1:6" x14ac:dyDescent="0.25">
      <c r="A78" s="11">
        <v>42095</v>
      </c>
      <c r="B78" s="7">
        <v>0.87291666666666667</v>
      </c>
      <c r="C78" s="7">
        <v>0.87777777777777777</v>
      </c>
      <c r="D78" s="7">
        <f>(0.877777777777778-0.872916666666667)</f>
        <v>4.8611111111109828E-3</v>
      </c>
      <c r="E78" s="7">
        <f>ABS(0.00486111111111098-0.0041666666666702)</f>
        <v>6.9444444444077998E-4</v>
      </c>
      <c r="F78" s="1" t="s">
        <v>3</v>
      </c>
    </row>
    <row r="79" spans="1:6" x14ac:dyDescent="0.25">
      <c r="A79" s="11">
        <v>42095</v>
      </c>
      <c r="B79" s="7">
        <v>1.0319444444444443</v>
      </c>
      <c r="C79" s="7">
        <v>1.0361111111111112</v>
      </c>
      <c r="D79" s="7">
        <f>(1.03611111111111-1.03194444444444)</f>
        <v>4.1666666666702046E-3</v>
      </c>
      <c r="E79" s="7">
        <f>ABS(0.0041666666666702-0.00416666666666701)</f>
        <v>3.1901564723213482E-15</v>
      </c>
      <c r="F79" s="1" t="s">
        <v>3</v>
      </c>
    </row>
    <row r="80" spans="1:6" x14ac:dyDescent="0.25">
      <c r="A80" s="11">
        <v>42095</v>
      </c>
      <c r="B80" s="7">
        <v>0.15138888888888888</v>
      </c>
      <c r="C80" s="7">
        <v>0.15555555555555556</v>
      </c>
      <c r="D80" s="7">
        <f>(0.155555555555556-0.151388888888889)</f>
        <v>4.1666666666670127E-3</v>
      </c>
      <c r="E80" s="7">
        <f>ABS(0.00416666666666701-0.00416666666666698)</f>
        <v>3.0357660829594124E-17</v>
      </c>
      <c r="F80" s="1" t="s">
        <v>3</v>
      </c>
    </row>
    <row r="81" spans="1:6" x14ac:dyDescent="0.25">
      <c r="A81" s="11">
        <v>42095</v>
      </c>
      <c r="B81" s="7">
        <v>0.3</v>
      </c>
      <c r="C81" s="7">
        <v>0.30416666666666664</v>
      </c>
      <c r="D81" s="7">
        <f>(0.304166666666667-0.3)</f>
        <v>4.1666666666669849E-3</v>
      </c>
      <c r="E81" s="7">
        <f>ABS(0.00416666666666698-0.00833333333333297)</f>
        <v>4.1666666666659909E-3</v>
      </c>
      <c r="F81" s="1" t="s">
        <v>3</v>
      </c>
    </row>
    <row r="82" spans="1:6" x14ac:dyDescent="0.25">
      <c r="A82" s="11">
        <v>42095</v>
      </c>
      <c r="B82" s="7">
        <v>0.37291666666666662</v>
      </c>
      <c r="C82" s="7">
        <v>0.38125000000000003</v>
      </c>
      <c r="D82" s="7">
        <f>(0.38125-0.372916666666667)</f>
        <v>8.3333333333329707E-3</v>
      </c>
      <c r="E82" s="7">
        <f>ABS(0.00833333333333297-0.00763888888888897)</f>
        <v>6.9444444444400049E-4</v>
      </c>
      <c r="F82" s="1" t="s">
        <v>3</v>
      </c>
    </row>
    <row r="83" spans="1:6" x14ac:dyDescent="0.25">
      <c r="A83" s="11">
        <v>42095</v>
      </c>
      <c r="B83" s="7">
        <v>0.37361111111111112</v>
      </c>
      <c r="C83" s="7">
        <v>0.38125000000000003</v>
      </c>
      <c r="D83" s="7">
        <f>(0.38125-0.373611111111111)</f>
        <v>7.6388888888889728E-3</v>
      </c>
      <c r="E83" s="7">
        <f>ABS(0.00763888888888897-0.00555555555555598)</f>
        <v>2.0833333333329903E-3</v>
      </c>
      <c r="F83" s="1" t="s">
        <v>3</v>
      </c>
    </row>
    <row r="84" spans="1:6" x14ac:dyDescent="0.25">
      <c r="A84" s="11">
        <v>42095</v>
      </c>
      <c r="B84" s="7">
        <v>0.4861111111111111</v>
      </c>
      <c r="C84" s="7">
        <v>0.4916666666666667</v>
      </c>
      <c r="D84" s="7">
        <f>(0.491666666666667-0.486111111111111)</f>
        <v>5.5555555555559799E-3</v>
      </c>
      <c r="E84" s="7">
        <f>ABS(0.00555555555555598-0.00833333333333297)</f>
        <v>2.7777777777769908E-3</v>
      </c>
      <c r="F84" s="1" t="s">
        <v>3</v>
      </c>
    </row>
    <row r="85" spans="1:6" x14ac:dyDescent="0.25">
      <c r="A85" s="11">
        <v>42095</v>
      </c>
      <c r="B85" s="7">
        <v>0.53541666666666665</v>
      </c>
      <c r="C85" s="7">
        <v>0.54375000000000007</v>
      </c>
      <c r="D85" s="7">
        <f>(0.54375-0.535416666666667)</f>
        <v>8.3333333333329707E-3</v>
      </c>
      <c r="E85" s="7">
        <f>ABS(0.00833333333333297-0.00347222222222199)</f>
        <v>4.8611111111109811E-3</v>
      </c>
      <c r="F85" s="1" t="s">
        <v>3</v>
      </c>
    </row>
    <row r="86" spans="1:6" x14ac:dyDescent="0.25">
      <c r="A86" s="11">
        <v>42095</v>
      </c>
      <c r="B86" s="7">
        <v>0.58263888888888882</v>
      </c>
      <c r="C86" s="7">
        <v>0.58611111111111114</v>
      </c>
      <c r="D86" s="7">
        <f>(0.586111111111111-0.582638888888889)</f>
        <v>3.4722222222219878E-3</v>
      </c>
      <c r="E86" s="7">
        <f>ABS(0.00347222222222199-0.00694444444444398)</f>
        <v>3.47222222222199E-3</v>
      </c>
      <c r="F86" s="1" t="s">
        <v>3</v>
      </c>
    </row>
    <row r="87" spans="1:6" x14ac:dyDescent="0.25">
      <c r="A87" s="11">
        <v>42095</v>
      </c>
      <c r="B87" s="7">
        <v>0.8041666666666667</v>
      </c>
      <c r="C87" s="7">
        <v>0.81111111111111101</v>
      </c>
      <c r="D87" s="7">
        <f>(0.811111111111111-0.804166666666667)</f>
        <v>6.9444444444439757E-3</v>
      </c>
      <c r="E87" s="7">
        <f>ABS(0.00694444444444398-0.00416666666666698)</f>
        <v>2.7777777777770003E-3</v>
      </c>
      <c r="F87" s="1" t="s">
        <v>3</v>
      </c>
    </row>
    <row r="88" spans="1:6" x14ac:dyDescent="0.25">
      <c r="A88" s="11">
        <v>42095</v>
      </c>
      <c r="B88" s="7">
        <v>0.9159722222222223</v>
      </c>
      <c r="C88" s="7">
        <v>0.92013888888888884</v>
      </c>
      <c r="D88" s="7">
        <f>(0.920138888888889-0.915972222222222)</f>
        <v>4.1666666666669849E-3</v>
      </c>
      <c r="E88" s="7">
        <f>ABS(0.00416666666666698-0.025)</f>
        <v>2.0833333333333023E-2</v>
      </c>
      <c r="F88" s="1" t="s">
        <v>3</v>
      </c>
    </row>
    <row r="89" spans="1:6" x14ac:dyDescent="0.25">
      <c r="A89" s="11">
        <v>42095</v>
      </c>
      <c r="B89" s="7">
        <v>0.26250000000000001</v>
      </c>
      <c r="C89" s="7">
        <v>0.28750000000000003</v>
      </c>
      <c r="D89" s="7">
        <f>(0.2875-0.2625)</f>
        <v>2.4999999999999967E-2</v>
      </c>
      <c r="E89" s="7">
        <f>ABS(0.025-0.00625000000000003)</f>
        <v>1.8749999999999972E-2</v>
      </c>
      <c r="F89" s="1" t="s">
        <v>3</v>
      </c>
    </row>
    <row r="90" spans="1:6" x14ac:dyDescent="0.25">
      <c r="A90" s="11">
        <v>42095</v>
      </c>
      <c r="B90" s="7">
        <v>0.44444444444444442</v>
      </c>
      <c r="C90" s="7">
        <v>0.45069444444444445</v>
      </c>
      <c r="D90" s="7">
        <f>(0.450694444444444-0.444444444444444)</f>
        <v>6.2500000000000333E-3</v>
      </c>
      <c r="E90" s="7">
        <f>ABS(0.00625000000000003-0.013194444444445)</f>
        <v>6.9444444444449697E-3</v>
      </c>
      <c r="F90" s="1" t="s">
        <v>3</v>
      </c>
    </row>
    <row r="91" spans="1:6" x14ac:dyDescent="0.25">
      <c r="A91" s="11">
        <v>42095</v>
      </c>
      <c r="B91" s="7">
        <v>0.60972222222222217</v>
      </c>
      <c r="C91" s="7">
        <v>0.62291666666666667</v>
      </c>
      <c r="D91" s="7">
        <f>(0.622916666666667-0.609722222222222)</f>
        <v>1.3194444444444953E-2</v>
      </c>
      <c r="E91" s="7">
        <f>ABS(0.013194444444445-0.00416666666666698)</f>
        <v>9.0277777777780198E-3</v>
      </c>
      <c r="F91" s="1" t="s">
        <v>3</v>
      </c>
    </row>
    <row r="92" spans="1:6" x14ac:dyDescent="0.25">
      <c r="A92" s="11">
        <v>42095</v>
      </c>
      <c r="B92" s="7">
        <v>0.625</v>
      </c>
      <c r="C92" s="7">
        <v>0.62916666666666665</v>
      </c>
      <c r="D92" s="7">
        <f>(0.629166666666667-0.625)</f>
        <v>4.1666666666669849E-3</v>
      </c>
      <c r="E92" s="7">
        <f>ABS(0.00416666666666698-0.009027777777777)</f>
        <v>4.86111111111002E-3</v>
      </c>
      <c r="F92" s="1" t="s">
        <v>3</v>
      </c>
    </row>
    <row r="93" spans="1:6" x14ac:dyDescent="0.25">
      <c r="A93" s="11">
        <v>42095</v>
      </c>
      <c r="B93" s="7">
        <v>0.23055555555555554</v>
      </c>
      <c r="C93" s="7">
        <v>0.23958333333333334</v>
      </c>
      <c r="D93" s="7">
        <f>(0.239583333333333-0.230555555555556)</f>
        <v>9.0277777777769963E-3</v>
      </c>
      <c r="E93" s="7">
        <f>ABS(0.009027777777777-0.022222222222222)</f>
        <v>1.3194444444445001E-2</v>
      </c>
      <c r="F93" s="1" t="s">
        <v>3</v>
      </c>
    </row>
    <row r="94" spans="1:6" x14ac:dyDescent="0.25">
      <c r="A94" s="11">
        <v>42095</v>
      </c>
      <c r="B94" s="7">
        <v>0.81388888888888899</v>
      </c>
      <c r="C94" s="7">
        <v>0.83611111111111114</v>
      </c>
      <c r="D94" s="7">
        <f>(0.836111111111111-0.813888888888889)</f>
        <v>2.2222222222222032E-2</v>
      </c>
      <c r="E94" s="7">
        <f>ABS(0.022222222222222-0.00416666666666698)</f>
        <v>1.805555555555502E-2</v>
      </c>
      <c r="F94" s="1" t="s">
        <v>3</v>
      </c>
    </row>
    <row r="95" spans="1:6" x14ac:dyDescent="0.25">
      <c r="A95" s="11">
        <v>42095</v>
      </c>
      <c r="B95" s="7">
        <v>0.8520833333333333</v>
      </c>
      <c r="C95" s="7">
        <v>0.85625000000000007</v>
      </c>
      <c r="D95" s="7">
        <f>(0.85625-0.852083333333333)</f>
        <v>4.1666666666669849E-3</v>
      </c>
      <c r="E95" s="7">
        <f>ABS(0.00416666666666698-0.010416666666666)</f>
        <v>6.2499999999990202E-3</v>
      </c>
      <c r="F95" s="1" t="s">
        <v>3</v>
      </c>
    </row>
    <row r="96" spans="1:6" x14ac:dyDescent="0.25">
      <c r="A96" s="11">
        <v>42095</v>
      </c>
      <c r="B96" s="7">
        <v>0.97291666666666676</v>
      </c>
      <c r="C96" s="7">
        <v>0.98333333333333339</v>
      </c>
      <c r="D96" s="7">
        <f>(0.983333333333333-0.972916666666667)</f>
        <v>1.0416666666665964E-2</v>
      </c>
      <c r="E96" s="7">
        <f>ABS(0.010416666666666-0.00555555555555598)</f>
        <v>4.86111111111002E-3</v>
      </c>
      <c r="F96" s="1" t="s">
        <v>3</v>
      </c>
    </row>
    <row r="97" spans="1:6" x14ac:dyDescent="0.25">
      <c r="A97" s="11">
        <v>42095</v>
      </c>
      <c r="B97" s="7">
        <v>0.41597222222222219</v>
      </c>
      <c r="C97" s="7">
        <v>0.42152777777777778</v>
      </c>
      <c r="D97" s="7">
        <f>(0.421527777777778-0.415972222222222)</f>
        <v>5.5555555555559799E-3</v>
      </c>
      <c r="E97" s="7">
        <f>ABS(0.00555555555555598-0.00416666666666599)</f>
        <v>1.3888888888899898E-3</v>
      </c>
      <c r="F97" s="1" t="s">
        <v>3</v>
      </c>
    </row>
    <row r="98" spans="1:6" x14ac:dyDescent="0.25">
      <c r="A98" s="11">
        <v>42095</v>
      </c>
      <c r="B98" s="7">
        <v>0.47152777777777777</v>
      </c>
      <c r="C98" s="7">
        <v>0.47569444444444442</v>
      </c>
      <c r="D98" s="7">
        <f>(0.475694444444444-0.471527777777778)</f>
        <v>4.1666666666659857E-3</v>
      </c>
      <c r="E98" s="7">
        <f>ABS(0.00416666666666599-0.00624999999999998)</f>
        <v>2.0833333333339903E-3</v>
      </c>
      <c r="F98" s="1" t="s">
        <v>3</v>
      </c>
    </row>
    <row r="99" spans="1:6" x14ac:dyDescent="0.25">
      <c r="A99" s="11">
        <v>42095</v>
      </c>
      <c r="B99" s="7">
        <v>0.54999999999999993</v>
      </c>
      <c r="C99" s="7">
        <v>0.55625000000000002</v>
      </c>
      <c r="D99" s="7">
        <f>(0.55625-0.55)</f>
        <v>6.2499999999999778E-3</v>
      </c>
      <c r="E99" s="7">
        <f>ABS(0.00624999999999998-0)</f>
        <v>6.2499999999999804E-3</v>
      </c>
      <c r="F99" s="1" t="s">
        <v>3</v>
      </c>
    </row>
    <row r="100" spans="1:6" x14ac:dyDescent="0.25">
      <c r="A100" s="11">
        <v>42095</v>
      </c>
      <c r="B100" s="7">
        <v>0.69791666666666663</v>
      </c>
      <c r="C100" s="7">
        <v>0.69791666666666663</v>
      </c>
      <c r="D100" s="7">
        <f>(0.697916666666667-0.697916666666667)</f>
        <v>0</v>
      </c>
      <c r="E100" s="7">
        <f>ABS(0-0.00416666666666599)</f>
        <v>4.1666666666659901E-3</v>
      </c>
      <c r="F100" s="1" t="s">
        <v>3</v>
      </c>
    </row>
    <row r="101" spans="1:6" x14ac:dyDescent="0.25">
      <c r="A101" s="11">
        <v>42095</v>
      </c>
      <c r="B101" s="7">
        <v>0.7104166666666667</v>
      </c>
      <c r="C101" s="7">
        <v>0.71458333333333324</v>
      </c>
      <c r="D101" s="7">
        <f>(0.714583333333333-0.710416666666667)</f>
        <v>4.1666666666659857E-3</v>
      </c>
      <c r="E101" s="7">
        <f>ABS(0.00416666666666599-0.0124999999999991)</f>
        <v>8.3333333333331094E-3</v>
      </c>
      <c r="F101" s="1" t="s">
        <v>3</v>
      </c>
    </row>
    <row r="102" spans="1:6" x14ac:dyDescent="0.25">
      <c r="A102" s="11">
        <v>42095</v>
      </c>
      <c r="B102" s="7">
        <v>0.85555555555555562</v>
      </c>
      <c r="C102" s="7">
        <v>0.86805555555555547</v>
      </c>
      <c r="D102" s="7">
        <f>(0.868055555555555-0.855555555555556)</f>
        <v>1.2499999999999067E-2</v>
      </c>
      <c r="E102" s="7">
        <f>ABS(0.0124999999999991-0.00277777777777799)</f>
        <v>9.7222222222211104E-3</v>
      </c>
      <c r="F102" s="1" t="s">
        <v>3</v>
      </c>
    </row>
    <row r="103" spans="1:6" x14ac:dyDescent="0.25">
      <c r="A103" s="11">
        <v>42095</v>
      </c>
      <c r="B103" s="7">
        <v>0.86944444444444446</v>
      </c>
      <c r="C103" s="7">
        <v>0.87222222222222223</v>
      </c>
      <c r="D103" s="7">
        <f>(0.872222222222222-0.869444444444444)</f>
        <v>2.77777777777799E-3</v>
      </c>
      <c r="E103" s="7">
        <f>ABS(0.00277777777777799-0.00625000000000009)</f>
        <v>3.4722222222220997E-3</v>
      </c>
      <c r="F103" s="1" t="s">
        <v>3</v>
      </c>
    </row>
    <row r="104" spans="1:6" x14ac:dyDescent="0.25">
      <c r="A104" s="11">
        <v>42095</v>
      </c>
      <c r="B104" s="7">
        <v>1.0250000000000001</v>
      </c>
      <c r="C104" s="7">
        <v>1.03125</v>
      </c>
      <c r="D104" s="7">
        <f>(1.03125-1.025)</f>
        <v>6.2500000000000888E-3</v>
      </c>
      <c r="E104" s="7">
        <f>ABS(0.00625000000000009-0.00486111111111098)</f>
        <v>1.3888888888891095E-3</v>
      </c>
      <c r="F104" s="1" t="s">
        <v>3</v>
      </c>
    </row>
    <row r="105" spans="1:6" x14ac:dyDescent="0.25">
      <c r="A105" s="11">
        <v>42095</v>
      </c>
      <c r="B105" s="7">
        <v>0.39027777777777778</v>
      </c>
      <c r="C105" s="7">
        <v>0.39513888888888887</v>
      </c>
      <c r="D105" s="7">
        <f>(0.395138888888889-0.390277777777778)</f>
        <v>4.8611111111109828E-3</v>
      </c>
      <c r="E105" s="7">
        <f>ABS(0.00486111111111098-0.00902777777777808)</f>
        <v>4.1666666666671003E-3</v>
      </c>
      <c r="F105" s="1" t="s">
        <v>3</v>
      </c>
    </row>
    <row r="106" spans="1:6" x14ac:dyDescent="0.25">
      <c r="A106" s="11">
        <v>42095</v>
      </c>
      <c r="B106" s="7">
        <v>0.5395833333333333</v>
      </c>
      <c r="C106" s="7">
        <v>0.54861111111111105</v>
      </c>
      <c r="D106" s="7">
        <f>(0.548611111111111-0.539583333333333)</f>
        <v>9.0277777777780788E-3</v>
      </c>
      <c r="E106" s="7">
        <f>ABS(0.00902777777777808-0.0118055555555561)</f>
        <v>2.7777777777780194E-3</v>
      </c>
      <c r="F106" s="1" t="s">
        <v>3</v>
      </c>
    </row>
    <row r="107" spans="1:6" x14ac:dyDescent="0.25">
      <c r="A107" s="11">
        <v>42095</v>
      </c>
      <c r="B107" s="7">
        <v>0.6</v>
      </c>
      <c r="C107" s="7">
        <v>0.6118055555555556</v>
      </c>
      <c r="D107" s="7">
        <f>(0.611805555555556-0.6)</f>
        <v>1.1805555555556069E-2</v>
      </c>
      <c r="E107" s="7">
        <f>ABS(0.0118055555555561-0.00486111111111098)</f>
        <v>6.9444444444451197E-3</v>
      </c>
      <c r="F107" s="1" t="s">
        <v>3</v>
      </c>
    </row>
    <row r="108" spans="1:6" x14ac:dyDescent="0.25">
      <c r="A108" s="11">
        <v>42095</v>
      </c>
      <c r="B108" s="7">
        <v>0.95624999999999993</v>
      </c>
      <c r="C108" s="7">
        <v>0.96111111111111114</v>
      </c>
      <c r="D108" s="7">
        <f>(0.961111111111111-0.95625)</f>
        <v>4.8611111111109828E-3</v>
      </c>
      <c r="E108" s="7">
        <f>ABS(0.00486111111111098-0.00486111111111098)</f>
        <v>0</v>
      </c>
      <c r="F108" s="1" t="s">
        <v>3</v>
      </c>
    </row>
    <row r="109" spans="1:6" x14ac:dyDescent="0.25">
      <c r="A109" s="11">
        <v>42095</v>
      </c>
      <c r="B109" s="7">
        <v>0.45</v>
      </c>
      <c r="C109" s="7">
        <v>0.4548611111111111</v>
      </c>
      <c r="D109" s="7">
        <f>(0.454861111111111-0.45)</f>
        <v>4.8611111111109828E-3</v>
      </c>
      <c r="E109" s="7">
        <f>ABS(0.00486111111111098-0.0125)</f>
        <v>7.6388888888890205E-3</v>
      </c>
      <c r="F109" s="1" t="s">
        <v>3</v>
      </c>
    </row>
    <row r="110" spans="1:6" x14ac:dyDescent="0.25">
      <c r="A110" s="11">
        <v>42095</v>
      </c>
      <c r="B110" s="7">
        <v>0.4548611111111111</v>
      </c>
      <c r="C110" s="7">
        <v>0.46736111111111112</v>
      </c>
      <c r="D110" s="7">
        <f>(0.467361111111111-0.454861111111111)</f>
        <v>1.2500000000000011E-2</v>
      </c>
      <c r="E110" s="7">
        <f>ABS(0.0125-0.00486111111111109)</f>
        <v>7.6388888888889103E-3</v>
      </c>
      <c r="F110" s="1" t="s">
        <v>3</v>
      </c>
    </row>
    <row r="111" spans="1:6" x14ac:dyDescent="0.25">
      <c r="A111" s="11">
        <v>42095</v>
      </c>
      <c r="B111" s="7">
        <v>0.63680555555555551</v>
      </c>
      <c r="C111" s="7">
        <v>0.64166666666666672</v>
      </c>
      <c r="D111" s="7">
        <f>(0.641666666666667-0.636805555555556)</f>
        <v>4.8611111111110938E-3</v>
      </c>
      <c r="E111" s="7">
        <f>ABS(0.00486111111111109-0.0201388888888889)</f>
        <v>1.527777777777781E-2</v>
      </c>
      <c r="F111" s="1" t="s">
        <v>3</v>
      </c>
    </row>
    <row r="112" spans="1:6" x14ac:dyDescent="0.25">
      <c r="A112" s="11">
        <v>42095</v>
      </c>
      <c r="B112" s="7">
        <v>0.67222222222222217</v>
      </c>
      <c r="C112" s="7">
        <v>0.69236111111111109</v>
      </c>
      <c r="D112" s="7">
        <f>(0.692361111111111-0.672222222222222)</f>
        <v>2.0138888888888928E-2</v>
      </c>
      <c r="E112" s="7">
        <f>ABS(0.0201388888888889-0.00555555555555598)</f>
        <v>1.4583333333332921E-2</v>
      </c>
      <c r="F112" s="1" t="s">
        <v>3</v>
      </c>
    </row>
    <row r="113" spans="1:7" x14ac:dyDescent="0.25">
      <c r="A113" s="11">
        <v>42095</v>
      </c>
      <c r="B113" s="7">
        <v>0.6875</v>
      </c>
      <c r="C113" s="7">
        <v>0.69305555555555554</v>
      </c>
      <c r="D113" s="7">
        <f>(0.693055555555556-0.6875)</f>
        <v>5.5555555555559799E-3</v>
      </c>
      <c r="E113" s="7">
        <f>ABS(0.00555555555555598-0.00486111111111098)</f>
        <v>6.9444444444499969E-4</v>
      </c>
      <c r="F113" s="1" t="s">
        <v>3</v>
      </c>
    </row>
    <row r="114" spans="1:7" x14ac:dyDescent="0.25">
      <c r="A114" s="11">
        <v>42095</v>
      </c>
      <c r="B114" s="7">
        <v>0.71527777777777779</v>
      </c>
      <c r="C114" s="7">
        <v>0.72013888888888899</v>
      </c>
      <c r="D114" s="7">
        <f>(0.720138888888889-0.715277777777778)</f>
        <v>4.8611111111109828E-3</v>
      </c>
      <c r="E114" s="7">
        <f>ABS(0.00486111111111098-0.018055555555556)</f>
        <v>1.3194444444445022E-2</v>
      </c>
      <c r="F114" s="1" t="s">
        <v>3</v>
      </c>
    </row>
    <row r="115" spans="1:7" x14ac:dyDescent="0.25">
      <c r="A115" s="11">
        <v>42095</v>
      </c>
      <c r="B115" s="7">
        <v>0.7944444444444444</v>
      </c>
      <c r="C115" s="7">
        <v>0.8125</v>
      </c>
      <c r="D115" s="7">
        <f>(0.8125-0.794444444444444)</f>
        <v>1.8055555555556047E-2</v>
      </c>
      <c r="E115" s="7">
        <f>ABS(0.018055555555556-0.00486111111111109)</f>
        <v>1.3194444444444911E-2</v>
      </c>
      <c r="F115" s="1" t="s">
        <v>3</v>
      </c>
    </row>
    <row r="116" spans="1:7" x14ac:dyDescent="0.25">
      <c r="A116" s="11">
        <v>42095</v>
      </c>
      <c r="B116" s="7">
        <v>0.79305555555555562</v>
      </c>
      <c r="C116" s="7">
        <v>0.79791666666666661</v>
      </c>
      <c r="D116" s="7">
        <f>(0.797916666666667-0.793055555555556)</f>
        <v>4.8611111111110938E-3</v>
      </c>
      <c r="E116" s="7">
        <f>ABS(0.00486111111111109-0.00833333333333397)</f>
        <v>3.4722222222228795E-3</v>
      </c>
      <c r="F116" s="1" t="s">
        <v>3</v>
      </c>
      <c r="G116" s="4"/>
    </row>
    <row r="117" spans="1:7" x14ac:dyDescent="0.25">
      <c r="A117" s="11">
        <v>42095</v>
      </c>
      <c r="B117" s="7">
        <v>0.95833333333333337</v>
      </c>
      <c r="C117" s="7">
        <v>0.96666666666666667</v>
      </c>
      <c r="D117" s="7">
        <f>(0.966666666666667-0.958333333333333)</f>
        <v>8.3333333333339699E-3</v>
      </c>
      <c r="E117" s="7">
        <f>ABS(0.00833333333333397-0.00416666666666698)</f>
        <v>4.1666666666669901E-3</v>
      </c>
      <c r="F117" s="1" t="s">
        <v>3</v>
      </c>
    </row>
    <row r="118" spans="1:7" x14ac:dyDescent="0.25">
      <c r="A118" s="11">
        <v>42095</v>
      </c>
      <c r="B118" s="7">
        <v>0.96736111111111101</v>
      </c>
      <c r="C118" s="7">
        <v>0.97152777777777777</v>
      </c>
      <c r="D118" s="7">
        <f>(0.971527777777778-0.967361111111111)</f>
        <v>4.1666666666669849E-3</v>
      </c>
      <c r="E118" s="7">
        <f>ABS(0.00416666666666698-0.022916666666667)</f>
        <v>1.8750000000000024E-2</v>
      </c>
      <c r="F118" s="1" t="s">
        <v>3</v>
      </c>
    </row>
    <row r="119" spans="1:7" x14ac:dyDescent="0.25">
      <c r="A119" s="11">
        <v>42095</v>
      </c>
      <c r="B119" s="7">
        <v>0.40138888888888885</v>
      </c>
      <c r="C119" s="7">
        <v>0.42430555555555555</v>
      </c>
      <c r="D119" s="7">
        <f>(0.424305555555556-0.401388888888889)</f>
        <v>2.2916666666666974E-2</v>
      </c>
      <c r="E119" s="7">
        <f>ABS(0.022916666666667-0.017361111111111)</f>
        <v>5.5555555555560007E-3</v>
      </c>
      <c r="F119" s="1" t="s">
        <v>3</v>
      </c>
    </row>
    <row r="120" spans="1:7" x14ac:dyDescent="0.25">
      <c r="A120" s="11">
        <v>42095</v>
      </c>
      <c r="B120" s="7">
        <v>0.48958333333333331</v>
      </c>
      <c r="C120" s="7">
        <v>0.50694444444444442</v>
      </c>
      <c r="D120" s="7">
        <f>(0.506944444444444-0.489583333333333)</f>
        <v>1.7361111111110994E-2</v>
      </c>
      <c r="E120" s="7">
        <f>ABS(0.017361111111111-0.00694444444444398)</f>
        <v>1.0416666666667022E-2</v>
      </c>
      <c r="F120" s="1" t="s">
        <v>3</v>
      </c>
    </row>
    <row r="121" spans="1:7" x14ac:dyDescent="0.25">
      <c r="A121" s="11">
        <v>42095</v>
      </c>
      <c r="B121" s="7">
        <v>0.56874999999999998</v>
      </c>
      <c r="C121" s="7">
        <v>0.5756944444444444</v>
      </c>
      <c r="D121" s="7">
        <f>(0.575694444444444-0.56875)</f>
        <v>6.9444444444439757E-3</v>
      </c>
      <c r="E121" s="7">
        <f>ABS(0.00694444444444398-0.00416666666666698)</f>
        <v>2.7777777777770003E-3</v>
      </c>
      <c r="F121" s="1" t="s">
        <v>3</v>
      </c>
    </row>
    <row r="122" spans="1:7" x14ac:dyDescent="0.25">
      <c r="A122" s="11">
        <v>42095</v>
      </c>
      <c r="B122" s="7">
        <v>0.59861111111111109</v>
      </c>
      <c r="C122" s="7">
        <v>0.60277777777777775</v>
      </c>
      <c r="D122" s="7">
        <f>(0.602777777777778-0.598611111111111)</f>
        <v>4.1666666666669849E-3</v>
      </c>
      <c r="E122" s="7">
        <f>ABS(0.00416666666666698-0.00555555555555509)</f>
        <v>1.3888888888881103E-3</v>
      </c>
      <c r="F122" s="1" t="s">
        <v>3</v>
      </c>
    </row>
    <row r="123" spans="1:7" x14ac:dyDescent="0.25">
      <c r="A123" s="11">
        <v>42095</v>
      </c>
      <c r="B123" s="7">
        <v>0.63680555555555551</v>
      </c>
      <c r="C123" s="7">
        <v>0.64236111111111105</v>
      </c>
      <c r="D123" s="7">
        <f>(0.642361111111111-0.636805555555556)</f>
        <v>5.5555555555550917E-3</v>
      </c>
      <c r="E123" s="7">
        <f>ABS(0.00555555555555509-0.0125)</f>
        <v>6.9444444444449107E-3</v>
      </c>
      <c r="F123" s="1" t="s">
        <v>3</v>
      </c>
    </row>
    <row r="124" spans="1:7" x14ac:dyDescent="0.25">
      <c r="A124" s="11">
        <v>42095</v>
      </c>
      <c r="B124" s="7">
        <v>0.74513888888888891</v>
      </c>
      <c r="C124" s="7">
        <v>0.75763888888888886</v>
      </c>
      <c r="D124" s="7">
        <f>(0.757638888888889-0.745138888888889)</f>
        <v>1.2499999999999956E-2</v>
      </c>
      <c r="E124" s="7">
        <f>ABS(0.0125-0.013888888888889)</f>
        <v>1.3888888888889984E-3</v>
      </c>
      <c r="F124" s="1" t="s">
        <v>3</v>
      </c>
    </row>
    <row r="125" spans="1:7" x14ac:dyDescent="0.25">
      <c r="A125" s="11">
        <v>42095</v>
      </c>
      <c r="B125" s="7">
        <v>0.77083333333333337</v>
      </c>
      <c r="C125" s="7">
        <v>0.78472222222222221</v>
      </c>
      <c r="D125" s="7">
        <f>(0.784722222222222-0.770833333333333)</f>
        <v>1.3888888888888951E-2</v>
      </c>
      <c r="E125" s="7">
        <f>ABS(0.013888888888889-0.00902777777777797)</f>
        <v>4.8611111111110297E-3</v>
      </c>
      <c r="F125" s="1" t="s">
        <v>3</v>
      </c>
    </row>
    <row r="126" spans="1:7" x14ac:dyDescent="0.25">
      <c r="A126" s="11">
        <v>42095</v>
      </c>
      <c r="B126" s="7">
        <v>0.84375</v>
      </c>
      <c r="C126" s="7">
        <v>0.85277777777777775</v>
      </c>
      <c r="D126" s="7">
        <f>(0.852777777777778-0.84375)</f>
        <v>9.0277777777779677E-3</v>
      </c>
      <c r="E126" s="7">
        <f>ABS(0.00902777777777797-0.00555555555555498)</f>
        <v>3.4722222222229896E-3</v>
      </c>
      <c r="F126" s="1" t="s">
        <v>3</v>
      </c>
    </row>
    <row r="127" spans="1:7" x14ac:dyDescent="0.25">
      <c r="A127" s="11">
        <v>42095</v>
      </c>
      <c r="B127" s="7">
        <v>0.95416666666666661</v>
      </c>
      <c r="C127" s="7">
        <v>0.95972222222222225</v>
      </c>
      <c r="D127" s="7">
        <f>(0.959722222222222-0.954166666666667)</f>
        <v>5.5555555555549807E-3</v>
      </c>
      <c r="E127" s="7">
        <f>ABS(0.00555555555555498-0.00555555555555498)</f>
        <v>0</v>
      </c>
      <c r="F127" s="1" t="s">
        <v>3</v>
      </c>
    </row>
    <row r="128" spans="1:7" x14ac:dyDescent="0.25">
      <c r="A128" s="11">
        <v>42095</v>
      </c>
      <c r="B128" s="7">
        <v>0.96388888888888891</v>
      </c>
      <c r="C128" s="7">
        <v>0.96944444444444444</v>
      </c>
      <c r="D128" s="7">
        <f>(0.969444444444444-0.963888888888889)</f>
        <v>5.5555555555549807E-3</v>
      </c>
      <c r="E128" s="7">
        <f>ABS(0.00555555555555498-0.0166666666666669)</f>
        <v>1.1111111111111918E-2</v>
      </c>
      <c r="F128" s="1" t="s">
        <v>3</v>
      </c>
    </row>
    <row r="129" spans="1:6" x14ac:dyDescent="0.25">
      <c r="A129" s="11">
        <v>42095</v>
      </c>
      <c r="B129" s="7">
        <v>0.52708333333333335</v>
      </c>
      <c r="C129" s="7">
        <v>0.54375000000000007</v>
      </c>
      <c r="D129" s="7">
        <f>(0.54375-0.527083333333333)</f>
        <v>1.6666666666666941E-2</v>
      </c>
      <c r="E129" s="7">
        <f>ABS(0.0166666666666669-0.0118055555555561)</f>
        <v>4.8611111111107989E-3</v>
      </c>
      <c r="F129" s="1" t="s">
        <v>3</v>
      </c>
    </row>
    <row r="130" spans="1:6" x14ac:dyDescent="0.25">
      <c r="A130" s="11">
        <v>42095</v>
      </c>
      <c r="B130" s="7">
        <v>0.57500000000000007</v>
      </c>
      <c r="C130" s="7">
        <v>0.58680555555555558</v>
      </c>
      <c r="D130" s="7">
        <f>(0.586805555555556-0.575)</f>
        <v>1.1805555555556069E-2</v>
      </c>
      <c r="E130" s="7">
        <f>ABS(0.0118055555555561-0.010416666666667)</f>
        <v>1.3888888888891008E-3</v>
      </c>
      <c r="F130" s="1" t="s">
        <v>3</v>
      </c>
    </row>
    <row r="131" spans="1:6" x14ac:dyDescent="0.25">
      <c r="A131" s="11">
        <v>42095</v>
      </c>
      <c r="B131" s="7">
        <v>0.58263888888888882</v>
      </c>
      <c r="C131" s="7">
        <v>0.59305555555555556</v>
      </c>
      <c r="D131" s="7">
        <f>(0.593055555555556-0.582638888888889)</f>
        <v>1.0416666666666963E-2</v>
      </c>
      <c r="E131" s="7">
        <f>ABS(0.010416666666667-0.010416666666666)</f>
        <v>9.9920072216264089E-16</v>
      </c>
      <c r="F131" s="1" t="s">
        <v>3</v>
      </c>
    </row>
    <row r="132" spans="1:6" x14ac:dyDescent="0.25">
      <c r="A132" s="11">
        <v>42095</v>
      </c>
      <c r="B132" s="7">
        <v>0.59791666666666665</v>
      </c>
      <c r="C132" s="7">
        <v>0.60833333333333328</v>
      </c>
      <c r="D132" s="7">
        <f>(0.608333333333333-0.597916666666667)</f>
        <v>1.0416666666665964E-2</v>
      </c>
      <c r="E132" s="7">
        <f>ABS(0.010416666666666-0.035416666666666)</f>
        <v>2.5000000000000001E-2</v>
      </c>
      <c r="F132" s="1" t="s">
        <v>3</v>
      </c>
    </row>
    <row r="133" spans="1:6" x14ac:dyDescent="0.25">
      <c r="A133" s="11">
        <v>42095</v>
      </c>
      <c r="B133" s="7">
        <v>0.72569444444444453</v>
      </c>
      <c r="C133" s="7">
        <v>0.76111111111111107</v>
      </c>
      <c r="D133" s="7">
        <f>(0.761111111111111-0.725694444444445)</f>
        <v>3.5416666666665986E-2</v>
      </c>
      <c r="E133" s="7">
        <f>ABS(0.035416666666666-0.00416666666666698)</f>
        <v>3.1249999999999022E-2</v>
      </c>
      <c r="F133" s="1" t="s">
        <v>3</v>
      </c>
    </row>
    <row r="134" spans="1:6" x14ac:dyDescent="0.25">
      <c r="A134" s="11">
        <v>42095</v>
      </c>
      <c r="B134" s="7">
        <v>0.74236111111111114</v>
      </c>
      <c r="C134" s="7">
        <v>0.74652777777777779</v>
      </c>
      <c r="D134" s="7">
        <f>(0.746527777777778-0.742361111111111)</f>
        <v>4.1666666666669849E-3</v>
      </c>
      <c r="E134" s="7">
        <f>ABS(0.00416666666666698-0.00625000000000009)</f>
        <v>2.08333333333311E-3</v>
      </c>
      <c r="F134" s="1" t="s">
        <v>3</v>
      </c>
    </row>
    <row r="135" spans="1:6" x14ac:dyDescent="0.25">
      <c r="A135" s="11">
        <v>42095</v>
      </c>
      <c r="B135" s="7">
        <v>0.82777777777777783</v>
      </c>
      <c r="C135" s="7">
        <v>0.8340277777777777</v>
      </c>
      <c r="D135" s="7">
        <f>(0.834027777777778-0.827777777777778)</f>
        <v>6.2500000000000888E-3</v>
      </c>
      <c r="E135" s="7">
        <f>ABS(0.00625000000000009-0.00833333333333308)</f>
        <v>2.0833333333329903E-3</v>
      </c>
      <c r="F135" s="1" t="s">
        <v>3</v>
      </c>
    </row>
    <row r="136" spans="1:6" x14ac:dyDescent="0.25">
      <c r="A136" s="11">
        <v>42095</v>
      </c>
      <c r="B136" s="7">
        <v>0.85625000000000007</v>
      </c>
      <c r="C136" s="7">
        <v>0.86458333333333337</v>
      </c>
      <c r="D136" s="7">
        <f>(0.864583333333333-0.85625)</f>
        <v>8.3333333333330817E-3</v>
      </c>
      <c r="E136" s="7">
        <f>ABS(0.00833333333333308-0.007638888888889)</f>
        <v>6.9444444444408029E-4</v>
      </c>
      <c r="F136" s="1" t="s">
        <v>3</v>
      </c>
    </row>
    <row r="137" spans="1:6" x14ac:dyDescent="0.25">
      <c r="A137" s="11">
        <v>42095</v>
      </c>
      <c r="B137" s="7">
        <v>0.19097222222222221</v>
      </c>
      <c r="C137" s="7">
        <v>0.1986111111111111</v>
      </c>
      <c r="D137" s="7">
        <f>(0.198611111111111-0.190972222222222)</f>
        <v>7.6388888888890005E-3</v>
      </c>
      <c r="E137" s="7">
        <f>ABS(0.007638888888889-0.00416666666666698)</f>
        <v>3.4722222222220199E-3</v>
      </c>
      <c r="F137" s="1" t="s">
        <v>3</v>
      </c>
    </row>
    <row r="138" spans="1:6" x14ac:dyDescent="0.25">
      <c r="A138" s="11">
        <v>42095</v>
      </c>
      <c r="B138" s="7">
        <v>0.38819444444444445</v>
      </c>
      <c r="C138" s="7">
        <v>0.3923611111111111</v>
      </c>
      <c r="D138" s="7">
        <f>(0.392361111111111-0.388194444444444)</f>
        <v>4.1666666666669849E-3</v>
      </c>
      <c r="E138" s="7">
        <f>ABS(0.00416666666666698-0.0125)</f>
        <v>8.333333333333021E-3</v>
      </c>
      <c r="F138" s="1" t="s">
        <v>3</v>
      </c>
    </row>
    <row r="139" spans="1:6" x14ac:dyDescent="0.25">
      <c r="A139" s="11">
        <v>42095</v>
      </c>
      <c r="B139" s="7">
        <v>0.47361111111111115</v>
      </c>
      <c r="C139" s="7">
        <v>0.4861111111111111</v>
      </c>
      <c r="D139" s="7">
        <f>(0.486111111111111-0.473611111111111)</f>
        <v>1.2500000000000011E-2</v>
      </c>
      <c r="E139" s="7">
        <f>ABS(0.0125-0.0159722222222219)</f>
        <v>3.4722222222218976E-3</v>
      </c>
      <c r="F139" s="1" t="s">
        <v>3</v>
      </c>
    </row>
    <row r="140" spans="1:6" x14ac:dyDescent="0.25">
      <c r="A140" s="11">
        <v>42095</v>
      </c>
      <c r="B140" s="7">
        <v>0.55138888888888882</v>
      </c>
      <c r="C140" s="7">
        <v>0.56736111111111109</v>
      </c>
      <c r="D140" s="7">
        <f>(0.567361111111111-0.551388888888889)</f>
        <v>1.5972222222221943E-2</v>
      </c>
      <c r="E140" s="7">
        <f>ABS(0.0159722222222219-0.100694444444445)</f>
        <v>8.4722222222223101E-2</v>
      </c>
      <c r="F140" s="1" t="s">
        <v>3</v>
      </c>
    </row>
    <row r="141" spans="1:6" x14ac:dyDescent="0.25">
      <c r="A141" s="11">
        <v>42095</v>
      </c>
      <c r="B141" s="7">
        <v>0.54722222222222217</v>
      </c>
      <c r="C141" s="7">
        <v>0.6479166666666667</v>
      </c>
      <c r="D141" s="7">
        <f>(0.647916666666667-0.547222222222222)</f>
        <v>0.10069444444444497</v>
      </c>
      <c r="E141" s="7">
        <f>ABS(0.100694444444445-0.00416666666666599)</f>
        <v>9.6527777777779017E-2</v>
      </c>
      <c r="F141" s="1" t="s">
        <v>3</v>
      </c>
    </row>
    <row r="142" spans="1:6" x14ac:dyDescent="0.25">
      <c r="A142" s="11">
        <v>42095</v>
      </c>
      <c r="B142" s="7">
        <v>0.7680555555555556</v>
      </c>
      <c r="C142" s="7">
        <v>0.77222222222222225</v>
      </c>
      <c r="D142" s="7">
        <f>(0.772222222222222-0.768055555555556)</f>
        <v>4.1666666666659857E-3</v>
      </c>
      <c r="E142" s="7">
        <f>ABS(0.00416666666666599-0.00416666666665999)</f>
        <v>6.0004085034037757E-15</v>
      </c>
      <c r="F142" s="1" t="s">
        <v>3</v>
      </c>
    </row>
    <row r="143" spans="1:6" x14ac:dyDescent="0.25">
      <c r="A143" s="11">
        <v>42095</v>
      </c>
      <c r="B143" s="7">
        <v>1.0277777777777779</v>
      </c>
      <c r="C143" s="7">
        <v>1.0319444444444443</v>
      </c>
      <c r="D143" s="7">
        <f>(1.03194444444444-1.02777777777778)</f>
        <v>4.1666666666599905E-3</v>
      </c>
      <c r="E143" s="7">
        <f>ABS(0.00416666666665999-0.023611111111111)</f>
        <v>1.9444444444451009E-2</v>
      </c>
      <c r="F143" s="1" t="s">
        <v>3</v>
      </c>
    </row>
    <row r="144" spans="1:6" x14ac:dyDescent="0.25">
      <c r="A144" s="11">
        <v>42095</v>
      </c>
      <c r="B144" s="7">
        <v>0.46597222222222223</v>
      </c>
      <c r="C144" s="7">
        <v>0.48958333333333331</v>
      </c>
      <c r="D144" s="7">
        <f>(0.489583333333333-0.465972222222222)</f>
        <v>2.3611111111110972E-2</v>
      </c>
      <c r="E144" s="7">
        <f>ABS(0.023611111111111-0.00763888888888897)</f>
        <v>1.597222222222203E-2</v>
      </c>
      <c r="F144" s="1" t="s">
        <v>3</v>
      </c>
    </row>
    <row r="145" spans="1:6" x14ac:dyDescent="0.25">
      <c r="A145" s="11">
        <v>42095</v>
      </c>
      <c r="B145" s="7">
        <v>0.58124999999999993</v>
      </c>
      <c r="C145" s="7">
        <v>0.58888888888888891</v>
      </c>
      <c r="D145" s="7">
        <f>(0.588888888888889-0.58125)</f>
        <v>7.6388888888889728E-3</v>
      </c>
      <c r="E145" s="7">
        <f>ABS(0.00763888888888897-0.013194444444445)</f>
        <v>5.5555555555560293E-3</v>
      </c>
      <c r="F145" s="1" t="s">
        <v>3</v>
      </c>
    </row>
    <row r="146" spans="1:6" x14ac:dyDescent="0.25">
      <c r="A146" s="11">
        <v>42095</v>
      </c>
      <c r="B146" s="7">
        <v>0.60972222222222217</v>
      </c>
      <c r="C146" s="7">
        <v>0.62291666666666667</v>
      </c>
      <c r="D146" s="7">
        <f>(0.622916666666667-0.609722222222222)</f>
        <v>1.3194444444444953E-2</v>
      </c>
      <c r="E146" s="7">
        <f>ABS(0.013194444444445-0.013194444444444)</f>
        <v>9.9920072216264089E-16</v>
      </c>
      <c r="F146" s="1" t="s">
        <v>3</v>
      </c>
    </row>
    <row r="147" spans="1:6" x14ac:dyDescent="0.25">
      <c r="A147" s="11">
        <v>42095</v>
      </c>
      <c r="B147" s="7">
        <v>0.65555555555555556</v>
      </c>
      <c r="C147" s="7">
        <v>0.66875000000000007</v>
      </c>
      <c r="D147" s="7">
        <f>(0.66875-0.655555555555556)</f>
        <v>1.3194444444443953E-2</v>
      </c>
      <c r="E147" s="7">
        <f>ABS(0.013194444444444-0.00694444444444497)</f>
        <v>6.2499999999990306E-3</v>
      </c>
      <c r="F147" s="1" t="s">
        <v>3</v>
      </c>
    </row>
    <row r="148" spans="1:6" x14ac:dyDescent="0.25">
      <c r="A148" s="11">
        <v>42095</v>
      </c>
      <c r="B148" s="7">
        <v>0.71458333333333324</v>
      </c>
      <c r="C148" s="7">
        <v>0.72152777777777777</v>
      </c>
      <c r="D148" s="7">
        <f>(0.721527777777778-0.714583333333333)</f>
        <v>6.9444444444449749E-3</v>
      </c>
      <c r="E148" s="7">
        <f>ABS(0.00694444444444497-0.00486111111111098)</f>
        <v>2.0833333333339895E-3</v>
      </c>
      <c r="F148" s="1" t="s">
        <v>3</v>
      </c>
    </row>
    <row r="149" spans="1:6" x14ac:dyDescent="0.25">
      <c r="A149" s="11">
        <v>42095</v>
      </c>
      <c r="B149" s="7">
        <v>0.78749999999999998</v>
      </c>
      <c r="C149" s="7">
        <v>0.79236111111111107</v>
      </c>
      <c r="D149" s="7">
        <f>(0.792361111111111-0.7875)</f>
        <v>4.8611111111109828E-3</v>
      </c>
      <c r="E149" s="7">
        <f>ABS(0.00486111111111098-0.0145833333333339)</f>
        <v>9.7222222222229197E-3</v>
      </c>
      <c r="F149" s="1" t="s">
        <v>3</v>
      </c>
    </row>
    <row r="150" spans="1:6" x14ac:dyDescent="0.25">
      <c r="A150" s="11">
        <v>42095</v>
      </c>
      <c r="B150" s="7">
        <v>0.80486111111111114</v>
      </c>
      <c r="C150" s="7">
        <v>0.81944444444444453</v>
      </c>
      <c r="D150" s="7">
        <f>(0.819444444444445-0.804861111111111)</f>
        <v>1.4583333333333948E-2</v>
      </c>
      <c r="E150" s="7">
        <f>ABS(0.0145833333333339-0.011111111111111)</f>
        <v>3.4722222222229003E-3</v>
      </c>
      <c r="F150" s="1" t="s">
        <v>3</v>
      </c>
    </row>
    <row r="151" spans="1:6" x14ac:dyDescent="0.25">
      <c r="A151" s="11">
        <v>42095</v>
      </c>
      <c r="B151" s="7">
        <v>0.97291666666666676</v>
      </c>
      <c r="C151" s="7">
        <v>0.98402777777777783</v>
      </c>
      <c r="D151" s="7">
        <f>(0.984027777777778-0.972916666666667)</f>
        <v>1.1111111111110961E-2</v>
      </c>
      <c r="E151" s="7">
        <f>ABS(0.011111111111111-0.00347222222222299)</f>
        <v>7.63888888888801E-3</v>
      </c>
      <c r="F151" s="1" t="s">
        <v>3</v>
      </c>
    </row>
    <row r="152" spans="1:6" x14ac:dyDescent="0.25">
      <c r="A152" s="11">
        <v>42095</v>
      </c>
      <c r="B152" s="7">
        <v>0.23958333333333334</v>
      </c>
      <c r="C152" s="7">
        <v>0.24305555555555555</v>
      </c>
      <c r="D152" s="7">
        <f>(0.243055555555556-0.239583333333333)</f>
        <v>3.472222222222987E-3</v>
      </c>
      <c r="E152" s="7">
        <f>ABS(0.00347222222222299-0.029861111111111)</f>
        <v>2.6388888888888011E-2</v>
      </c>
      <c r="F152" s="1" t="s">
        <v>3</v>
      </c>
    </row>
    <row r="153" spans="1:6" x14ac:dyDescent="0.25">
      <c r="A153" s="11">
        <v>42095</v>
      </c>
      <c r="B153" s="7">
        <v>0.50138888888888888</v>
      </c>
      <c r="C153" s="7">
        <v>0.53125</v>
      </c>
      <c r="D153" s="7">
        <f>(0.53125-0.501388888888889)</f>
        <v>2.9861111111111005E-2</v>
      </c>
      <c r="E153" s="7">
        <f>ABS(0.029861111111111-0.0041666666666661)</f>
        <v>2.5694444444444901E-2</v>
      </c>
      <c r="F153" s="1" t="s">
        <v>3</v>
      </c>
    </row>
    <row r="154" spans="1:6" x14ac:dyDescent="0.25">
      <c r="A154" s="11">
        <v>42095</v>
      </c>
      <c r="B154" s="7">
        <v>0.57430555555555551</v>
      </c>
      <c r="C154" s="7">
        <v>0.57847222222222217</v>
      </c>
      <c r="D154" s="7">
        <f>(0.578472222222222-0.574305555555556)</f>
        <v>4.1666666666660968E-3</v>
      </c>
      <c r="E154" s="7">
        <f>ABS(0.0041666666666661-0.00833333333333308)</f>
        <v>4.1666666666669797E-3</v>
      </c>
      <c r="F154" s="1" t="s">
        <v>3</v>
      </c>
    </row>
    <row r="155" spans="1:6" x14ac:dyDescent="0.25">
      <c r="A155" s="11">
        <v>42095</v>
      </c>
      <c r="B155" s="7">
        <v>0.66875000000000007</v>
      </c>
      <c r="C155" s="7">
        <v>0.67708333333333337</v>
      </c>
      <c r="D155" s="7">
        <f>(0.677083333333333-0.66875)</f>
        <v>8.3333333333330817E-3</v>
      </c>
      <c r="E155" s="7">
        <f>ABS(0.00833333333333308-0.019444444444445)</f>
        <v>1.111111111111192E-2</v>
      </c>
      <c r="F155" s="1" t="s">
        <v>3</v>
      </c>
    </row>
    <row r="156" spans="1:6" x14ac:dyDescent="0.25">
      <c r="A156" s="11">
        <v>42095</v>
      </c>
      <c r="B156" s="7">
        <v>0.6972222222222223</v>
      </c>
      <c r="C156" s="7">
        <v>0.71666666666666667</v>
      </c>
      <c r="D156" s="7">
        <f>(0.716666666666667-0.697222222222222)</f>
        <v>1.9444444444445041E-2</v>
      </c>
      <c r="E156" s="7">
        <f>ABS(0.019444444444445-0.0131944444444441)</f>
        <v>6.2500000000009007E-3</v>
      </c>
      <c r="F156" s="1" t="s">
        <v>3</v>
      </c>
    </row>
    <row r="157" spans="1:6" x14ac:dyDescent="0.25">
      <c r="A157" s="11">
        <v>42095</v>
      </c>
      <c r="B157" s="7">
        <v>0.81666666666666676</v>
      </c>
      <c r="C157" s="7">
        <v>0.82986111111111116</v>
      </c>
      <c r="D157" s="7">
        <f>(0.829861111111111-0.816666666666667)</f>
        <v>1.3194444444444065E-2</v>
      </c>
      <c r="E157" s="7">
        <f>ABS(0.0131944444444441-0.0104166666666661)</f>
        <v>2.7777777777779986E-3</v>
      </c>
      <c r="F157" s="1" t="s">
        <v>3</v>
      </c>
    </row>
    <row r="158" spans="1:6" x14ac:dyDescent="0.25">
      <c r="A158" s="11">
        <v>42095</v>
      </c>
      <c r="B158" s="7">
        <v>0.91666666666666663</v>
      </c>
      <c r="C158" s="7">
        <v>0.92708333333333337</v>
      </c>
      <c r="D158" s="7">
        <f>(0.927083333333333-0.916666666666667)</f>
        <v>1.0416666666666075E-2</v>
      </c>
      <c r="E158" s="7">
        <f>ABS(0.0104166666666661-0.012500000000003)</f>
        <v>2.0833333333368995E-3</v>
      </c>
      <c r="F158" s="1" t="s">
        <v>3</v>
      </c>
    </row>
    <row r="159" spans="1:6" x14ac:dyDescent="0.25">
      <c r="A159" s="11">
        <v>42095</v>
      </c>
      <c r="B159" s="7">
        <v>0.9916666666666667</v>
      </c>
      <c r="C159" s="7">
        <v>1.0041666666666667</v>
      </c>
      <c r="D159" s="7">
        <f>(1.00416666666667-0.991666666666667)</f>
        <v>1.2500000000002953E-2</v>
      </c>
      <c r="E159" s="7">
        <f>ABS(0.012500000000003-0.020833333333333)</f>
        <v>8.3333333333299991E-3</v>
      </c>
      <c r="F159" s="1" t="s">
        <v>3</v>
      </c>
    </row>
    <row r="160" spans="1:6" x14ac:dyDescent="0.25">
      <c r="A160" s="11">
        <v>42095</v>
      </c>
      <c r="B160" s="7">
        <v>0.45416666666666666</v>
      </c>
      <c r="C160" s="7">
        <v>0.47500000000000003</v>
      </c>
      <c r="D160" s="7">
        <f>(0.475-0.454166666666667)</f>
        <v>2.0833333333332982E-2</v>
      </c>
      <c r="E160" s="7">
        <f>ABS(0.020833333333333-0.013194444444444)</f>
        <v>7.6388888888889988E-3</v>
      </c>
      <c r="F160" s="1" t="s">
        <v>3</v>
      </c>
    </row>
    <row r="161" spans="1:6" x14ac:dyDescent="0.25">
      <c r="A161" s="11">
        <v>42095</v>
      </c>
      <c r="B161" s="7">
        <v>0.46388888888888885</v>
      </c>
      <c r="C161" s="7">
        <v>0.4770833333333333</v>
      </c>
      <c r="D161" s="7">
        <f>(0.477083333333333-0.463888888888889)</f>
        <v>1.3194444444444009E-2</v>
      </c>
      <c r="E161" s="7">
        <f>ABS(0.013194444444444-0.00972222222222296)</f>
        <v>3.4722222222210407E-3</v>
      </c>
      <c r="F161" s="1" t="s">
        <v>3</v>
      </c>
    </row>
    <row r="162" spans="1:6" x14ac:dyDescent="0.25">
      <c r="A162" s="11">
        <v>42095</v>
      </c>
      <c r="B162" s="7">
        <v>0.4770833333333333</v>
      </c>
      <c r="C162" s="7">
        <v>0.48680555555555555</v>
      </c>
      <c r="D162" s="7">
        <f>(0.486805555555556-0.477083333333333)</f>
        <v>9.7222222222229648E-3</v>
      </c>
      <c r="E162" s="7">
        <f>ABS(0.00972222222222296-0.00624999999999998)</f>
        <v>3.4722222222229792E-3</v>
      </c>
      <c r="F162" s="1" t="s">
        <v>3</v>
      </c>
    </row>
    <row r="163" spans="1:6" x14ac:dyDescent="0.25">
      <c r="A163" s="11">
        <v>42095</v>
      </c>
      <c r="B163" s="7">
        <v>0.52013888888888882</v>
      </c>
      <c r="C163" s="7">
        <v>0.52638888888888891</v>
      </c>
      <c r="D163" s="7">
        <f>(0.526388888888889-0.520138888888889)</f>
        <v>6.2499999999999778E-3</v>
      </c>
      <c r="E163" s="7">
        <f>ABS(0.00624999999999998-0.0125)</f>
        <v>6.2500000000000203E-3</v>
      </c>
      <c r="F163" s="1" t="s">
        <v>3</v>
      </c>
    </row>
    <row r="164" spans="1:6" x14ac:dyDescent="0.25">
      <c r="A164" s="11">
        <v>42095</v>
      </c>
      <c r="B164" s="7">
        <v>0.5625</v>
      </c>
      <c r="C164" s="7">
        <v>0.57500000000000007</v>
      </c>
      <c r="D164" s="7">
        <f>(0.575-0.5625)</f>
        <v>1.2499999999999956E-2</v>
      </c>
      <c r="E164" s="7">
        <f>ABS(0.0125-0.0118055555555551)</f>
        <v>6.9444444444489994E-4</v>
      </c>
      <c r="F164" s="1" t="s">
        <v>3</v>
      </c>
    </row>
    <row r="165" spans="1:6" x14ac:dyDescent="0.25">
      <c r="A165" s="11">
        <v>42095</v>
      </c>
      <c r="B165" s="7">
        <v>0.63888888888888895</v>
      </c>
      <c r="C165" s="7">
        <v>0.65069444444444446</v>
      </c>
      <c r="D165" s="7">
        <f>(0.650694444444444-0.638888888888889)</f>
        <v>1.180555555555507E-2</v>
      </c>
      <c r="E165" s="7">
        <f>ABS(0.0118055555555551-0.00694444444444409)</f>
        <v>4.8611111111110106E-3</v>
      </c>
      <c r="F165" s="1" t="s">
        <v>3</v>
      </c>
    </row>
    <row r="166" spans="1:6" x14ac:dyDescent="0.25">
      <c r="A166" s="11">
        <v>42095</v>
      </c>
      <c r="B166" s="7">
        <v>0.91666666666666663</v>
      </c>
      <c r="C166" s="7">
        <v>0.92361111111111116</v>
      </c>
      <c r="D166" s="7">
        <f>(0.923611111111111-0.916666666666667)</f>
        <v>6.9444444444440867E-3</v>
      </c>
      <c r="E166" s="7">
        <f>ABS(0.00694444444444409-0.00486111111111098)</f>
        <v>2.08333333333311E-3</v>
      </c>
      <c r="F166" s="1" t="s">
        <v>3</v>
      </c>
    </row>
    <row r="167" spans="1:6" x14ac:dyDescent="0.25">
      <c r="A167" s="11">
        <v>42095</v>
      </c>
      <c r="B167" s="7">
        <v>0.95624999999999993</v>
      </c>
      <c r="C167" s="7">
        <v>0.96111111111111114</v>
      </c>
      <c r="D167" s="7">
        <f>(0.961111111111111-0.95625)</f>
        <v>4.8611111111109828E-3</v>
      </c>
      <c r="E167" s="7">
        <f>ABS(0.00486111111111098-0.0125)</f>
        <v>7.6388888888890205E-3</v>
      </c>
      <c r="F167" s="1" t="s">
        <v>3</v>
      </c>
    </row>
    <row r="168" spans="1:6" x14ac:dyDescent="0.25">
      <c r="A168" s="11">
        <v>42095</v>
      </c>
      <c r="B168" s="7">
        <v>0.42499999999999999</v>
      </c>
      <c r="C168" s="7">
        <v>0.4375</v>
      </c>
      <c r="D168" s="7">
        <f>(0.4375-0.425)</f>
        <v>1.2500000000000011E-2</v>
      </c>
      <c r="E168" s="7">
        <f>ABS(0.0125-0.00486111111111098)</f>
        <v>7.6388888888890205E-3</v>
      </c>
      <c r="F168" s="1" t="s">
        <v>3</v>
      </c>
    </row>
    <row r="169" spans="1:6" x14ac:dyDescent="0.25">
      <c r="A169" s="11">
        <v>42095</v>
      </c>
      <c r="B169" s="7">
        <v>0.60416666666666663</v>
      </c>
      <c r="C169" s="7">
        <v>0.60902777777777783</v>
      </c>
      <c r="D169" s="7">
        <f>(0.609027777777778-0.604166666666667)</f>
        <v>4.8611111111109828E-3</v>
      </c>
      <c r="E169" s="7">
        <f>ABS(0.00486111111111098-0.00902777777777797)</f>
        <v>4.1666666666669893E-3</v>
      </c>
      <c r="F169" s="1" t="s">
        <v>3</v>
      </c>
    </row>
    <row r="170" spans="1:6" x14ac:dyDescent="0.25">
      <c r="A170" s="11">
        <v>42095</v>
      </c>
      <c r="B170" s="7">
        <v>0.62638888888888888</v>
      </c>
      <c r="C170" s="7">
        <v>0.63541666666666663</v>
      </c>
      <c r="D170" s="7">
        <f>(0.635416666666667-0.626388888888889)</f>
        <v>9.0277777777779677E-3</v>
      </c>
      <c r="E170" s="7">
        <f>ABS(0.00902777777777797-0.022222222222222)</f>
        <v>1.3194444444444032E-2</v>
      </c>
      <c r="F170" s="1" t="s">
        <v>3</v>
      </c>
    </row>
    <row r="171" spans="1:6" x14ac:dyDescent="0.25">
      <c r="A171" s="11">
        <v>42095</v>
      </c>
      <c r="B171" s="7">
        <v>0.66666666666666663</v>
      </c>
      <c r="C171" s="7">
        <v>0.68888888888888899</v>
      </c>
      <c r="D171" s="7">
        <f>(0.688888888888889-0.666666666666667)</f>
        <v>2.2222222222222032E-2</v>
      </c>
      <c r="E171" s="7">
        <f>ABS(0.022222222222222-0.00555555555555598)</f>
        <v>1.6666666666666021E-2</v>
      </c>
      <c r="F171" s="1" t="s">
        <v>3</v>
      </c>
    </row>
    <row r="172" spans="1:6" x14ac:dyDescent="0.25">
      <c r="A172" s="11">
        <v>42095</v>
      </c>
      <c r="B172" s="7">
        <v>0.68611111111111101</v>
      </c>
      <c r="C172" s="7">
        <v>0.69166666666666676</v>
      </c>
      <c r="D172" s="7">
        <f>(0.691666666666667-0.686111111111111)</f>
        <v>5.5555555555559799E-3</v>
      </c>
      <c r="E172" s="7">
        <f>ABS(0.00555555555555598-0.00555555555555498)</f>
        <v>1.0000680839006293E-15</v>
      </c>
      <c r="F172" s="1" t="s">
        <v>3</v>
      </c>
    </row>
    <row r="173" spans="1:6" x14ac:dyDescent="0.25">
      <c r="A173" s="11">
        <v>42095</v>
      </c>
      <c r="B173" s="7">
        <v>0.68263888888888891</v>
      </c>
      <c r="C173" s="7">
        <v>0.68819444444444444</v>
      </c>
      <c r="D173" s="7">
        <f>(0.688194444444444-0.682638888888889)</f>
        <v>5.5555555555549807E-3</v>
      </c>
      <c r="E173" s="7">
        <f>ABS(0.00555555555555498-0.0027777777777781)</f>
        <v>2.7777777777768797E-3</v>
      </c>
      <c r="F173" s="1" t="s">
        <v>3</v>
      </c>
    </row>
    <row r="174" spans="1:6" x14ac:dyDescent="0.25">
      <c r="A174" s="11">
        <v>42095</v>
      </c>
      <c r="B174" s="7">
        <v>0.88888888888888884</v>
      </c>
      <c r="C174" s="7">
        <v>0.89166666666666661</v>
      </c>
      <c r="D174" s="7">
        <f>(0.891666666666667-0.888888888888889)</f>
        <v>2.777777777778101E-3</v>
      </c>
      <c r="E174" s="7">
        <f>ABS(0.0027777777777781-0.0104166666666701)</f>
        <v>7.6388888888920007E-3</v>
      </c>
      <c r="F174" s="1" t="s">
        <v>3</v>
      </c>
    </row>
    <row r="175" spans="1:6" x14ac:dyDescent="0.25">
      <c r="A175" s="11">
        <v>42095</v>
      </c>
      <c r="B175" s="7">
        <v>1.0006944444444443</v>
      </c>
      <c r="C175" s="7">
        <v>1.0111111111111111</v>
      </c>
      <c r="D175" s="7">
        <f>(1.01111111111111-1.00069444444444)</f>
        <v>1.0416666666670071E-2</v>
      </c>
      <c r="E175" s="7">
        <f>ABS(0.0104166666666701-0.00277777777777999)</f>
        <v>7.6388888888901108E-3</v>
      </c>
      <c r="F175" s="1" t="s">
        <v>3</v>
      </c>
    </row>
    <row r="176" spans="1:6" x14ac:dyDescent="0.25">
      <c r="A176" s="11">
        <v>42095</v>
      </c>
      <c r="B176" s="7">
        <v>1.0125</v>
      </c>
      <c r="C176" s="7">
        <v>1.0152777777777777</v>
      </c>
      <c r="D176" s="7">
        <f>(1.01527777777778-1.0125)</f>
        <v>2.7777777777799884E-3</v>
      </c>
      <c r="E176" s="7">
        <f>ABS(0.00277777777777999-0.00625000000000003)</f>
        <v>3.4722222222200397E-3</v>
      </c>
      <c r="F176" s="1" t="s">
        <v>3</v>
      </c>
    </row>
    <row r="177" spans="1:6" x14ac:dyDescent="0.25">
      <c r="A177" s="11">
        <v>42095</v>
      </c>
      <c r="B177" s="7">
        <v>0.30138888888888887</v>
      </c>
      <c r="C177" s="7">
        <v>0.30763888888888891</v>
      </c>
      <c r="D177" s="7">
        <f>(0.307638888888889-0.301388888888889)</f>
        <v>6.2500000000000333E-3</v>
      </c>
      <c r="E177" s="7">
        <f>ABS(0.00625000000000003-0.019444444444444)</f>
        <v>1.3194444444443971E-2</v>
      </c>
      <c r="F177" s="1" t="s">
        <v>3</v>
      </c>
    </row>
    <row r="178" spans="1:6" x14ac:dyDescent="0.25">
      <c r="A178" s="11">
        <v>42095</v>
      </c>
      <c r="B178" s="7">
        <v>0.41250000000000003</v>
      </c>
      <c r="C178" s="7">
        <v>0.43194444444444446</v>
      </c>
      <c r="D178" s="7">
        <f>(0.431944444444444-0.4125)</f>
        <v>1.9444444444444042E-2</v>
      </c>
      <c r="E178" s="7">
        <f>ABS(0.019444444444444-0.00486111111111098)</f>
        <v>1.4583333333333021E-2</v>
      </c>
      <c r="F178" s="1" t="s">
        <v>3</v>
      </c>
    </row>
    <row r="179" spans="1:6" x14ac:dyDescent="0.25">
      <c r="A179" s="11">
        <v>42095</v>
      </c>
      <c r="B179" s="7">
        <v>0.42083333333333334</v>
      </c>
      <c r="C179" s="7">
        <v>0.42569444444444443</v>
      </c>
      <c r="D179" s="7">
        <f>(0.425694444444444-0.420833333333333)</f>
        <v>4.8611111111109828E-3</v>
      </c>
      <c r="E179" s="7">
        <f>ABS(0.00486111111111098-0.00763888888888897)</f>
        <v>2.77777777777799E-3</v>
      </c>
      <c r="F179" s="1" t="s">
        <v>3</v>
      </c>
    </row>
    <row r="180" spans="1:6" x14ac:dyDescent="0.25">
      <c r="A180" s="11">
        <v>42095</v>
      </c>
      <c r="B180" s="7">
        <v>0.5229166666666667</v>
      </c>
      <c r="C180" s="7">
        <v>0.53055555555555556</v>
      </c>
      <c r="D180" s="7">
        <f>(0.530555555555556-0.522916666666667)</f>
        <v>7.6388888888889728E-3</v>
      </c>
      <c r="E180" s="7">
        <f>ABS(0.00763888888888897-0.00486111111111098)</f>
        <v>2.77777777777799E-3</v>
      </c>
      <c r="F180" s="1" t="s">
        <v>3</v>
      </c>
    </row>
    <row r="181" spans="1:6" x14ac:dyDescent="0.25">
      <c r="A181" s="11">
        <v>42095</v>
      </c>
      <c r="B181" s="7">
        <v>0.54861111111111105</v>
      </c>
      <c r="C181" s="7">
        <v>0.55347222222222225</v>
      </c>
      <c r="D181" s="7">
        <f>(0.553472222222222-0.548611111111111)</f>
        <v>4.8611111111109828E-3</v>
      </c>
      <c r="E181" s="7">
        <f>ABS(0.00486111111111098-0.01875)</f>
        <v>1.388888888888902E-2</v>
      </c>
      <c r="F181" s="1" t="s">
        <v>3</v>
      </c>
    </row>
    <row r="182" spans="1:6" x14ac:dyDescent="0.25">
      <c r="A182" s="11">
        <v>42095</v>
      </c>
      <c r="B182" s="7">
        <v>0.63888888888888895</v>
      </c>
      <c r="C182" s="7">
        <v>0.65763888888888888</v>
      </c>
      <c r="D182" s="7">
        <f>(0.657638888888889-0.638888888888889)</f>
        <v>1.8750000000000044E-2</v>
      </c>
      <c r="E182" s="7">
        <f>ABS(0.01875-0.0111111111111111)</f>
        <v>7.6388888888888999E-3</v>
      </c>
      <c r="F182" s="1" t="s">
        <v>3</v>
      </c>
    </row>
    <row r="183" spans="1:6" x14ac:dyDescent="0.25">
      <c r="A183" s="11">
        <v>42095</v>
      </c>
      <c r="B183" s="7">
        <v>0.66597222222222219</v>
      </c>
      <c r="C183" s="7">
        <v>0.67708333333333337</v>
      </c>
      <c r="D183" s="7">
        <f>(0.677083333333333-0.665972222222222)</f>
        <v>1.1111111111111072E-2</v>
      </c>
      <c r="E183" s="7">
        <f>ABS(0.0111111111111111-0.00277777777777799)</f>
        <v>8.3333333333331094E-3</v>
      </c>
      <c r="F183" s="1" t="s">
        <v>3</v>
      </c>
    </row>
    <row r="184" spans="1:6" x14ac:dyDescent="0.25">
      <c r="A184" s="11">
        <v>42095</v>
      </c>
      <c r="B184" s="7">
        <v>0.67569444444444438</v>
      </c>
      <c r="C184" s="7">
        <v>0.67847222222222225</v>
      </c>
      <c r="D184" s="7">
        <f>(0.678472222222222-0.675694444444444)</f>
        <v>2.77777777777799E-3</v>
      </c>
      <c r="E184" s="7">
        <f>ABS(0.00277777777777799-0.0159722222222221)</f>
        <v>1.319444444444411E-2</v>
      </c>
      <c r="F184" s="1" t="s">
        <v>3</v>
      </c>
    </row>
    <row r="185" spans="1:6" x14ac:dyDescent="0.25">
      <c r="A185" s="11">
        <v>42095</v>
      </c>
      <c r="B185" s="7">
        <v>0.76250000000000007</v>
      </c>
      <c r="C185" s="7">
        <v>0.77847222222222223</v>
      </c>
      <c r="D185" s="7">
        <f>(0.778472222222222-0.7625)</f>
        <v>1.5972222222222054E-2</v>
      </c>
      <c r="E185" s="7">
        <f>ABS(0.0159722222222221-0.00624999999999998)</f>
        <v>9.7222222222221183E-3</v>
      </c>
      <c r="F185" s="1" t="s">
        <v>3</v>
      </c>
    </row>
    <row r="186" spans="1:6" x14ac:dyDescent="0.25">
      <c r="A186" s="11">
        <v>42095</v>
      </c>
      <c r="B186" s="7">
        <v>0.7715277777777777</v>
      </c>
      <c r="C186" s="7">
        <v>0.77777777777777779</v>
      </c>
      <c r="D186" s="7">
        <f>(0.777777777777778-0.771527777777778)</f>
        <v>6.2499999999999778E-3</v>
      </c>
      <c r="E186" s="7">
        <f>ABS(0.00624999999999998-0.028472222222222)</f>
        <v>2.2222222222222018E-2</v>
      </c>
      <c r="F186" s="1" t="s">
        <v>3</v>
      </c>
    </row>
    <row r="187" spans="1:6" x14ac:dyDescent="0.25">
      <c r="A187" s="11">
        <v>42095</v>
      </c>
      <c r="B187" s="7">
        <v>0.82291666666666663</v>
      </c>
      <c r="C187" s="7">
        <v>0.85138888888888886</v>
      </c>
      <c r="D187" s="7">
        <f>(0.851388888888889-0.822916666666667)</f>
        <v>2.847222222222201E-2</v>
      </c>
      <c r="E187" s="7">
        <f>ABS(0.028472222222222-0.00416666666666698)</f>
        <v>2.4305555555555018E-2</v>
      </c>
      <c r="F187" s="1" t="s">
        <v>3</v>
      </c>
    </row>
    <row r="188" spans="1:6" x14ac:dyDescent="0.25">
      <c r="A188" s="11">
        <v>42095</v>
      </c>
      <c r="B188" s="7">
        <v>0.89097222222222217</v>
      </c>
      <c r="C188" s="7">
        <v>0.89513888888888893</v>
      </c>
      <c r="D188" s="7">
        <f>(0.895138888888889-0.890972222222222)</f>
        <v>4.1666666666669849E-3</v>
      </c>
      <c r="E188" s="7">
        <f>ABS(0.00416666666666698-0.00416666666666698)</f>
        <v>0</v>
      </c>
      <c r="F188" s="1" t="s">
        <v>3</v>
      </c>
    </row>
    <row r="189" spans="1:6" x14ac:dyDescent="0.25">
      <c r="A189" s="11">
        <v>42095</v>
      </c>
      <c r="B189" s="7">
        <v>0.89097222222222217</v>
      </c>
      <c r="C189" s="7">
        <v>0.89513888888888893</v>
      </c>
      <c r="D189" s="7">
        <f>(0.895138888888889-0.890972222222222)</f>
        <v>4.1666666666669849E-3</v>
      </c>
      <c r="E189" s="7">
        <f>ABS(0.00416666666666698-0.00555555555555549)</f>
        <v>1.3888888888885101E-3</v>
      </c>
      <c r="F189" s="1" t="s">
        <v>3</v>
      </c>
    </row>
    <row r="190" spans="1:6" x14ac:dyDescent="0.25">
      <c r="A190" s="11">
        <v>42095</v>
      </c>
      <c r="B190" s="7">
        <v>4.9305555555555554E-2</v>
      </c>
      <c r="C190" s="7">
        <v>5.486111111111111E-2</v>
      </c>
      <c r="D190" s="7">
        <f>(0.0548611111111111-0.0493055555555556)</f>
        <v>5.5555555555554942E-3</v>
      </c>
      <c r="E190" s="7">
        <f>ABS(0.00555555555555549-0.00416666666665999)</f>
        <v>1.3888888888955002E-3</v>
      </c>
      <c r="F190" s="1" t="s">
        <v>3</v>
      </c>
    </row>
    <row r="191" spans="1:6" x14ac:dyDescent="0.25">
      <c r="A191" s="11">
        <v>42095</v>
      </c>
      <c r="B191" s="7">
        <v>1.0368055555555555</v>
      </c>
      <c r="C191" s="7">
        <v>1.0409722222222222</v>
      </c>
      <c r="D191" s="7">
        <f>(1.04097222222222-1.03680555555556)</f>
        <v>4.1666666666599905E-3</v>
      </c>
      <c r="E191" s="7">
        <f>ABS(0.00416666666665999-0.00416666666666698)</f>
        <v>6.9900682464485442E-15</v>
      </c>
      <c r="F191" s="1" t="s">
        <v>3</v>
      </c>
    </row>
    <row r="192" spans="1:6" x14ac:dyDescent="0.25">
      <c r="A192" s="11">
        <v>42095</v>
      </c>
      <c r="B192" s="7">
        <v>0.39097222222222222</v>
      </c>
      <c r="C192" s="7">
        <v>0.39513888888888887</v>
      </c>
      <c r="D192" s="7">
        <f>(0.395138888888889-0.390972222222222)</f>
        <v>4.1666666666669849E-3</v>
      </c>
      <c r="E192" s="7">
        <f>ABS(0.00416666666666698-0.00694444444444398)</f>
        <v>2.7777777777770003E-3</v>
      </c>
      <c r="F192" s="1" t="s">
        <v>3</v>
      </c>
    </row>
    <row r="193" spans="1:6" x14ac:dyDescent="0.25">
      <c r="A193" s="11">
        <v>42095</v>
      </c>
      <c r="B193" s="7">
        <v>0.38541666666666669</v>
      </c>
      <c r="C193" s="7">
        <v>0.3923611111111111</v>
      </c>
      <c r="D193" s="7">
        <f>(0.392361111111111-0.385416666666667)</f>
        <v>6.9444444444439757E-3</v>
      </c>
      <c r="E193" s="7">
        <f>ABS(0.00694444444444398-0.00624999999999998)</f>
        <v>6.9444444444399962E-4</v>
      </c>
      <c r="F193" s="1" t="s">
        <v>3</v>
      </c>
    </row>
    <row r="194" spans="1:6" x14ac:dyDescent="0.25">
      <c r="A194" s="11">
        <v>42095</v>
      </c>
      <c r="B194" s="7">
        <v>0.53263888888888888</v>
      </c>
      <c r="C194" s="7">
        <v>0.53888888888888886</v>
      </c>
      <c r="D194" s="7">
        <f>(0.538888888888889-0.532638888888889)</f>
        <v>6.2499999999999778E-3</v>
      </c>
      <c r="E194" s="7">
        <f>ABS(0.00624999999999998-0.115972222222223)</f>
        <v>0.10972222222222303</v>
      </c>
      <c r="F194" s="1" t="s">
        <v>3</v>
      </c>
    </row>
    <row r="195" spans="1:6" x14ac:dyDescent="0.25">
      <c r="A195" s="11">
        <v>42095</v>
      </c>
      <c r="B195" s="7">
        <v>0.45833333333333331</v>
      </c>
      <c r="C195" s="7">
        <v>0.57430555555555551</v>
      </c>
      <c r="D195" s="7">
        <f>(0.574305555555556-0.458333333333333)</f>
        <v>0.11597222222222298</v>
      </c>
      <c r="E195" s="7">
        <f>ABS(0.115972222222223-0.0152777777777779)</f>
        <v>0.1006944444444451</v>
      </c>
      <c r="F195" s="1" t="s">
        <v>3</v>
      </c>
    </row>
    <row r="196" spans="1:6" x14ac:dyDescent="0.25">
      <c r="A196" s="11">
        <v>42095</v>
      </c>
      <c r="B196" s="7">
        <v>0.57847222222222217</v>
      </c>
      <c r="C196" s="7">
        <v>0.59375</v>
      </c>
      <c r="D196" s="7">
        <f>(0.59375-0.578472222222222)</f>
        <v>1.5277777777777946E-2</v>
      </c>
      <c r="E196" s="7">
        <f>ABS(0.0152777777777779-0.010416666666667)</f>
        <v>4.8611111111109013E-3</v>
      </c>
      <c r="F196" s="1" t="s">
        <v>3</v>
      </c>
    </row>
    <row r="197" spans="1:6" x14ac:dyDescent="0.25">
      <c r="A197" s="11">
        <v>42095</v>
      </c>
      <c r="B197" s="7">
        <v>0.74722222222222223</v>
      </c>
      <c r="C197" s="7">
        <v>0.75763888888888886</v>
      </c>
      <c r="D197" s="7">
        <f>(0.757638888888889-0.747222222222222)</f>
        <v>1.0416666666666963E-2</v>
      </c>
      <c r="E197" s="7">
        <f>ABS(0.010416666666667-0.021527777777778)</f>
        <v>1.1111111111111001E-2</v>
      </c>
      <c r="F197" s="1" t="s">
        <v>3</v>
      </c>
    </row>
    <row r="198" spans="1:6" x14ac:dyDescent="0.25">
      <c r="A198" s="11">
        <v>42095</v>
      </c>
      <c r="B198" s="7">
        <v>0.75138888888888899</v>
      </c>
      <c r="C198" s="7">
        <v>0.7729166666666667</v>
      </c>
      <c r="D198" s="7">
        <f>(0.772916666666667-0.751388888888889)</f>
        <v>2.1527777777778034E-2</v>
      </c>
      <c r="E198" s="7">
        <f>ABS(0.021527777777778-0.018055555555555)</f>
        <v>3.4722222222230009E-3</v>
      </c>
      <c r="F198" s="1" t="s">
        <v>3</v>
      </c>
    </row>
    <row r="199" spans="1:6" x14ac:dyDescent="0.25">
      <c r="A199" s="11">
        <v>42095</v>
      </c>
      <c r="B199" s="7">
        <v>0.75902777777777775</v>
      </c>
      <c r="C199" s="7">
        <v>0.77708333333333324</v>
      </c>
      <c r="D199" s="7">
        <f>(0.777083333333333-0.759027777777778)</f>
        <v>1.8055555555555047E-2</v>
      </c>
      <c r="E199" s="7">
        <f>ABS(0.018055555555555-0.00486111111111098)</f>
        <v>1.3194444444444019E-2</v>
      </c>
      <c r="F199" s="1" t="s">
        <v>3</v>
      </c>
    </row>
    <row r="200" spans="1:6" x14ac:dyDescent="0.25">
      <c r="A200" s="11">
        <v>42095</v>
      </c>
      <c r="B200" s="7">
        <v>0.8222222222222223</v>
      </c>
      <c r="C200" s="7">
        <v>0.82708333333333339</v>
      </c>
      <c r="D200" s="7">
        <f>(0.827083333333333-0.822222222222222)</f>
        <v>4.8611111111109828E-3</v>
      </c>
      <c r="E200" s="7">
        <f>ABS(0.00486111111111098-0.0131944444444441)</f>
        <v>8.3333333333331198E-3</v>
      </c>
      <c r="F200" s="1" t="s">
        <v>3</v>
      </c>
    </row>
    <row r="201" spans="1:6" x14ac:dyDescent="0.25">
      <c r="A201" s="11">
        <v>42095</v>
      </c>
      <c r="B201" s="7">
        <v>0.85763888888888884</v>
      </c>
      <c r="C201" s="7">
        <v>0.87083333333333324</v>
      </c>
      <c r="D201" s="7">
        <f>(0.870833333333333-0.857638888888889)</f>
        <v>1.3194444444444065E-2</v>
      </c>
      <c r="E201" s="7">
        <f>ABS(0.0131944444444441-0.011805555555555)</f>
        <v>1.3888888888890991E-3</v>
      </c>
      <c r="F201" s="1" t="s">
        <v>3</v>
      </c>
    </row>
    <row r="202" spans="1:6" x14ac:dyDescent="0.25">
      <c r="A202" s="11">
        <v>42095</v>
      </c>
      <c r="B202" s="7">
        <v>0.8652777777777777</v>
      </c>
      <c r="C202" s="7">
        <v>0.87708333333333333</v>
      </c>
      <c r="D202" s="7">
        <f>(0.877083333333333-0.865277777777778)</f>
        <v>1.1805555555554959E-2</v>
      </c>
      <c r="E202" s="7">
        <f>ABS(0.011805555555555-0.023611111111111)</f>
        <v>1.1805555555555999E-2</v>
      </c>
      <c r="F202" s="1" t="s">
        <v>3</v>
      </c>
    </row>
    <row r="203" spans="1:6" x14ac:dyDescent="0.25">
      <c r="A203" s="11">
        <v>42095</v>
      </c>
      <c r="B203" s="7">
        <v>0.93680555555555556</v>
      </c>
      <c r="C203" s="7">
        <v>0.9604166666666667</v>
      </c>
      <c r="D203" s="7">
        <f>(0.960416666666667-0.936805555555556)</f>
        <v>2.3611111111111027E-2</v>
      </c>
      <c r="E203" s="7">
        <f>ABS(0.023611111111111-0.008333333333333)</f>
        <v>1.5277777777777999E-2</v>
      </c>
      <c r="F203" s="1" t="s">
        <v>3</v>
      </c>
    </row>
    <row r="204" spans="1:6" x14ac:dyDescent="0.25">
      <c r="A204" s="11">
        <v>42095</v>
      </c>
      <c r="B204" s="7">
        <v>0.13541666666666666</v>
      </c>
      <c r="C204" s="7">
        <v>0.14375000000000002</v>
      </c>
      <c r="D204" s="7">
        <f>(0.14375-0.135416666666667)</f>
        <v>8.3333333333329984E-3</v>
      </c>
      <c r="E204" s="7">
        <f>ABS(0.008333333333333-0.00625000000000001)</f>
        <v>2.0833333333329903E-3</v>
      </c>
      <c r="F204" s="1" t="s">
        <v>3</v>
      </c>
    </row>
    <row r="205" spans="1:6" x14ac:dyDescent="0.25">
      <c r="A205" s="11">
        <v>42095</v>
      </c>
      <c r="B205" s="7">
        <v>0.20486111111111113</v>
      </c>
      <c r="C205" s="7">
        <v>0.21111111111111111</v>
      </c>
      <c r="D205" s="7">
        <f>(0.211111111111111-0.204861111111111)</f>
        <v>6.2500000000000056E-3</v>
      </c>
      <c r="E205" s="7">
        <f>ABS(0.00625000000000001-0.0125)</f>
        <v>6.2499999999999908E-3</v>
      </c>
      <c r="F205" s="1" t="s">
        <v>3</v>
      </c>
    </row>
    <row r="206" spans="1:6" x14ac:dyDescent="0.25">
      <c r="A206" s="11">
        <v>42095</v>
      </c>
      <c r="B206" s="7">
        <v>0.35416666666666669</v>
      </c>
      <c r="C206" s="7">
        <v>0.3666666666666667</v>
      </c>
      <c r="D206" s="7">
        <f>(0.366666666666667-0.354166666666667)</f>
        <v>1.2499999999999956E-2</v>
      </c>
      <c r="E206" s="7">
        <f>ABS(0.0125-0.015277777777778)</f>
        <v>2.7777777777779986E-3</v>
      </c>
      <c r="F206" s="1" t="s">
        <v>3</v>
      </c>
    </row>
    <row r="207" spans="1:6" x14ac:dyDescent="0.25">
      <c r="A207" s="11">
        <v>42095</v>
      </c>
      <c r="B207" s="7">
        <v>0.4597222222222222</v>
      </c>
      <c r="C207" s="7">
        <v>0.47500000000000003</v>
      </c>
      <c r="D207" s="7">
        <f>(0.475-0.459722222222222)</f>
        <v>1.5277777777778001E-2</v>
      </c>
      <c r="E207" s="7">
        <f>ABS(0.015277777777778-0.00486111111111098)</f>
        <v>1.0416666666667018E-2</v>
      </c>
      <c r="F207" s="1" t="s">
        <v>3</v>
      </c>
    </row>
    <row r="208" spans="1:6" x14ac:dyDescent="0.25">
      <c r="A208" s="11">
        <v>42095</v>
      </c>
      <c r="B208" s="7">
        <v>0.5229166666666667</v>
      </c>
      <c r="C208" s="7">
        <v>0.52777777777777779</v>
      </c>
      <c r="D208" s="7">
        <f>(0.527777777777778-0.522916666666667)</f>
        <v>4.8611111111109828E-3</v>
      </c>
      <c r="E208" s="7">
        <f>ABS(0.00486111111111098-0.00347222222222199)</f>
        <v>1.3888888888889902E-3</v>
      </c>
      <c r="F208" s="1" t="s">
        <v>3</v>
      </c>
    </row>
    <row r="209" spans="1:6" x14ac:dyDescent="0.25">
      <c r="A209" s="11">
        <v>42095</v>
      </c>
      <c r="B209" s="7">
        <v>0.75277777777777777</v>
      </c>
      <c r="C209" s="7">
        <v>0.75624999999999998</v>
      </c>
      <c r="D209" s="7">
        <f>(0.75625-0.752777777777778)</f>
        <v>3.4722222222219878E-3</v>
      </c>
      <c r="E209" s="7">
        <f>ABS(0.00347222222222199-0.0458333333333329)</f>
        <v>4.2361111111110912E-2</v>
      </c>
      <c r="F209" s="1" t="s">
        <v>3</v>
      </c>
    </row>
    <row r="210" spans="1:6" x14ac:dyDescent="0.25">
      <c r="A210" s="11">
        <v>42095</v>
      </c>
      <c r="B210" s="7">
        <v>0.9</v>
      </c>
      <c r="C210" s="7">
        <v>0.9458333333333333</v>
      </c>
      <c r="D210" s="7">
        <f>(0.945833333333333-0.9)</f>
        <v>4.5833333333332948E-2</v>
      </c>
      <c r="E210" s="7">
        <f>ABS(0.0458333333333329-0.00624999999999998)</f>
        <v>3.9583333333332922E-2</v>
      </c>
      <c r="F210" s="1" t="s">
        <v>3</v>
      </c>
    </row>
    <row r="211" spans="1:6" x14ac:dyDescent="0.25">
      <c r="A211" s="11">
        <v>42095</v>
      </c>
      <c r="B211" s="7">
        <v>0.90069444444444446</v>
      </c>
      <c r="C211" s="7">
        <v>0.90694444444444444</v>
      </c>
      <c r="D211" s="7">
        <f>(0.906944444444444-0.900694444444444)</f>
        <v>6.2499999999999778E-3</v>
      </c>
      <c r="E211" s="7">
        <f>ABS(0.00624999999999998-0.015972222222222)</f>
        <v>9.7222222222220177E-3</v>
      </c>
      <c r="F211" s="1" t="s">
        <v>3</v>
      </c>
    </row>
    <row r="212" spans="1:6" x14ac:dyDescent="0.25">
      <c r="A212" s="11">
        <v>42095</v>
      </c>
      <c r="B212" s="7">
        <v>0.43541666666666662</v>
      </c>
      <c r="C212" s="7">
        <v>0.4513888888888889</v>
      </c>
      <c r="D212" s="7">
        <f>(0.451388888888889-0.435416666666667)</f>
        <v>1.5972222222221999E-2</v>
      </c>
      <c r="E212" s="7">
        <f>ABS(0.015972222222222-0.000694444444444997)</f>
        <v>1.5277777777777002E-2</v>
      </c>
      <c r="F212" s="1" t="s">
        <v>3</v>
      </c>
    </row>
    <row r="213" spans="1:6" x14ac:dyDescent="0.25">
      <c r="A213" s="11">
        <v>42095</v>
      </c>
      <c r="B213" s="7">
        <v>0.39444444444444443</v>
      </c>
      <c r="C213" s="7">
        <v>0.39513888888888887</v>
      </c>
      <c r="D213" s="7">
        <f>(0.395138888888889-0.394444444444444)</f>
        <v>6.9444444444499709E-4</v>
      </c>
      <c r="E213" s="7">
        <f>ABS(0.000694444444444997-0.00416666666666698)</f>
        <v>3.4722222222219826E-3</v>
      </c>
      <c r="F213" s="1" t="s">
        <v>3</v>
      </c>
    </row>
    <row r="214" spans="1:6" x14ac:dyDescent="0.25">
      <c r="A214" s="11">
        <v>42095</v>
      </c>
      <c r="B214" s="7">
        <v>0.63124999999999998</v>
      </c>
      <c r="C214" s="7">
        <v>0.63541666666666663</v>
      </c>
      <c r="D214" s="7">
        <f>(0.635416666666667-0.63125)</f>
        <v>4.1666666666669849E-3</v>
      </c>
      <c r="E214" s="7">
        <f>ABS(0.00416666666666698-0.0111111111111111)</f>
        <v>6.9444444444441197E-3</v>
      </c>
      <c r="F214" s="1" t="s">
        <v>3</v>
      </c>
    </row>
    <row r="215" spans="1:6" x14ac:dyDescent="0.25">
      <c r="A215" s="11">
        <v>42095</v>
      </c>
      <c r="B215" s="7">
        <v>0.7270833333333333</v>
      </c>
      <c r="C215" s="7">
        <v>0.73819444444444438</v>
      </c>
      <c r="D215" s="7">
        <f>(0.738194444444444-0.727083333333333)</f>
        <v>1.1111111111111072E-2</v>
      </c>
      <c r="E215" s="7">
        <f>ABS(0.0111111111111111-0.00902777777777797)</f>
        <v>2.0833333333331299E-3</v>
      </c>
      <c r="F215" s="1" t="s">
        <v>3</v>
      </c>
    </row>
    <row r="216" spans="1:6" x14ac:dyDescent="0.25">
      <c r="A216" s="11">
        <v>42095</v>
      </c>
      <c r="B216" s="7">
        <v>0.77638888888888891</v>
      </c>
      <c r="C216" s="7">
        <v>0.78541666666666676</v>
      </c>
      <c r="D216" s="7">
        <f>(0.785416666666667-0.776388888888889)</f>
        <v>9.0277777777779677E-3</v>
      </c>
      <c r="E216" s="7">
        <f>ABS(0.00902777777777797-0.00833333333333297)</f>
        <v>6.9444444444499882E-4</v>
      </c>
      <c r="F216" s="1" t="s">
        <v>3</v>
      </c>
    </row>
    <row r="217" spans="1:6" x14ac:dyDescent="0.25">
      <c r="A217" s="11">
        <v>42095</v>
      </c>
      <c r="B217" s="7">
        <v>0.79999999999999993</v>
      </c>
      <c r="C217" s="7">
        <v>0.80833333333333324</v>
      </c>
      <c r="D217" s="7">
        <f>(0.808333333333333-0.8)</f>
        <v>8.3333333333329707E-3</v>
      </c>
      <c r="E217" s="7">
        <f>ABS(0.00833333333333297-0.006944444444444)</f>
        <v>1.3888888888889707E-3</v>
      </c>
      <c r="F217" s="1" t="s">
        <v>3</v>
      </c>
    </row>
    <row r="218" spans="1:6" x14ac:dyDescent="0.25">
      <c r="A218" s="11">
        <v>42095</v>
      </c>
      <c r="B218" s="7">
        <v>0.18541666666666667</v>
      </c>
      <c r="C218" s="7">
        <v>0.19236111111111112</v>
      </c>
      <c r="D218" s="7">
        <f>(0.192361111111111-0.185416666666667)</f>
        <v>6.9444444444440034E-3</v>
      </c>
      <c r="E218" s="7">
        <f>ABS(0.006944444444444-0.011111111111111)</f>
        <v>4.1666666666670005E-3</v>
      </c>
      <c r="F218" s="1" t="s">
        <v>3</v>
      </c>
    </row>
    <row r="219" spans="1:6" x14ac:dyDescent="0.25">
      <c r="A219" s="11">
        <v>42095</v>
      </c>
      <c r="B219" s="7">
        <v>0.31736111111111115</v>
      </c>
      <c r="C219" s="7">
        <v>0.32847222222222222</v>
      </c>
      <c r="D219" s="7">
        <f>(0.328472222222222-0.317361111111111)</f>
        <v>1.1111111111111016E-2</v>
      </c>
      <c r="E219" s="7">
        <f>ABS(0.011111111111111-0.010416666666666)</f>
        <v>6.9444444444500056E-4</v>
      </c>
      <c r="F219" s="1" t="s">
        <v>3</v>
      </c>
    </row>
    <row r="220" spans="1:6" x14ac:dyDescent="0.25">
      <c r="A220" s="11">
        <v>42095</v>
      </c>
      <c r="B220" s="7">
        <v>0.54791666666666672</v>
      </c>
      <c r="C220" s="7">
        <v>0.55833333333333335</v>
      </c>
      <c r="D220" s="7">
        <f>(0.558333333333333-0.547916666666667)</f>
        <v>1.0416666666665964E-2</v>
      </c>
      <c r="E220" s="7">
        <f>ABS(0.010416666666666-0.011111111111111)</f>
        <v>6.9444444444500056E-4</v>
      </c>
      <c r="F220" s="1" t="s">
        <v>3</v>
      </c>
    </row>
    <row r="221" spans="1:6" x14ac:dyDescent="0.25">
      <c r="A221" s="11">
        <v>42095</v>
      </c>
      <c r="B221" s="7">
        <v>0.7715277777777777</v>
      </c>
      <c r="C221" s="7">
        <v>0.78263888888888899</v>
      </c>
      <c r="D221" s="7">
        <f>(0.782638888888889-0.771527777777778)</f>
        <v>1.1111111111110961E-2</v>
      </c>
      <c r="E221" s="7">
        <f>ABS(0.011111111111111-0.00833333333333397)</f>
        <v>2.7777777777770307E-3</v>
      </c>
      <c r="F221" s="1" t="s">
        <v>3</v>
      </c>
    </row>
    <row r="222" spans="1:6" x14ac:dyDescent="0.25">
      <c r="A222" s="11">
        <v>42095</v>
      </c>
      <c r="B222" s="7">
        <v>0.83333333333333337</v>
      </c>
      <c r="C222" s="7">
        <v>0.84166666666666667</v>
      </c>
      <c r="D222" s="7">
        <f>(0.841666666666667-0.833333333333333)</f>
        <v>8.3333333333339699E-3</v>
      </c>
      <c r="E222" s="7">
        <f>ABS(0.00833333333333397-0.0152777777777781)</f>
        <v>6.9444444444441301E-3</v>
      </c>
      <c r="F222" s="1" t="s">
        <v>3</v>
      </c>
    </row>
    <row r="223" spans="1:6" x14ac:dyDescent="0.25">
      <c r="A223" s="11">
        <v>42095</v>
      </c>
      <c r="B223" s="7">
        <v>0.88750000000000007</v>
      </c>
      <c r="C223" s="7">
        <v>0.90277777777777779</v>
      </c>
      <c r="D223" s="7">
        <f>(0.902777777777778-0.8875)</f>
        <v>1.5277777777778057E-2</v>
      </c>
      <c r="E223" s="7">
        <f>ABS(0.0152777777777781-0.019444444444444)</f>
        <v>4.1666666666659007E-3</v>
      </c>
      <c r="F223" s="1" t="s">
        <v>3</v>
      </c>
    </row>
    <row r="224" spans="1:6" x14ac:dyDescent="0.25">
      <c r="A224" s="11">
        <v>42095</v>
      </c>
      <c r="B224" s="7">
        <v>0.88888888888888884</v>
      </c>
      <c r="C224" s="7">
        <v>0.90833333333333333</v>
      </c>
      <c r="D224" s="7">
        <f>(0.908333333333333-0.888888888888889)</f>
        <v>1.9444444444444042E-2</v>
      </c>
      <c r="E224" s="7">
        <f>ABS(0.019444444444444-0.00347222222222199)</f>
        <v>1.5972222222222009E-2</v>
      </c>
      <c r="F224" s="1" t="s">
        <v>3</v>
      </c>
    </row>
    <row r="225" spans="1:6" x14ac:dyDescent="0.25">
      <c r="A225" s="11">
        <v>42095</v>
      </c>
      <c r="B225" s="7">
        <v>0.9291666666666667</v>
      </c>
      <c r="C225" s="7">
        <v>0.93263888888888891</v>
      </c>
      <c r="D225" s="7">
        <f>(0.932638888888889-0.929166666666667)</f>
        <v>3.4722222222219878E-3</v>
      </c>
      <c r="E225" s="7">
        <f>ABS(0.00347222222222199-0.00902777777777797)</f>
        <v>5.5555555555559799E-3</v>
      </c>
      <c r="F225" s="1" t="s">
        <v>3</v>
      </c>
    </row>
    <row r="226" spans="1:6" x14ac:dyDescent="0.25">
      <c r="A226" s="11">
        <v>42095</v>
      </c>
      <c r="B226" s="7">
        <v>0.52361111111111114</v>
      </c>
      <c r="C226" s="7">
        <v>0.53263888888888888</v>
      </c>
      <c r="D226" s="7">
        <f>(0.532638888888889-0.523611111111111)</f>
        <v>9.0277777777779677E-3</v>
      </c>
      <c r="E226" s="7">
        <f>ABS(0.00902777777777797-0.00624999999999991)</f>
        <v>2.7777777777780593E-3</v>
      </c>
      <c r="F226" s="1" t="s">
        <v>3</v>
      </c>
    </row>
    <row r="227" spans="1:6" x14ac:dyDescent="0.25">
      <c r="A227" s="11">
        <v>42095</v>
      </c>
      <c r="B227" s="7">
        <v>9.8611111111111108E-2</v>
      </c>
      <c r="C227" s="7">
        <v>0.10486111111111111</v>
      </c>
      <c r="D227" s="7">
        <f>(0.104861111111111-0.0986111111111111)</f>
        <v>6.2499999999999084E-3</v>
      </c>
      <c r="E227" s="7">
        <f>ABS(0.00624999999999991-0.025694444444444)</f>
        <v>1.9444444444444091E-2</v>
      </c>
      <c r="F227" s="1" t="s">
        <v>3</v>
      </c>
    </row>
    <row r="228" spans="1:6" x14ac:dyDescent="0.25">
      <c r="A228" s="11">
        <v>42095</v>
      </c>
      <c r="B228" s="7">
        <v>0.39305555555555555</v>
      </c>
      <c r="C228" s="7">
        <v>0.41875000000000001</v>
      </c>
      <c r="D228" s="7">
        <f>(0.41875-0.393055555555556)</f>
        <v>2.569444444444402E-2</v>
      </c>
      <c r="E228" s="7">
        <f>ABS(0.025694444444444-0.00763888888888797)</f>
        <v>1.8055555555556029E-2</v>
      </c>
      <c r="F228" s="1" t="s">
        <v>3</v>
      </c>
    </row>
    <row r="229" spans="1:6" x14ac:dyDescent="0.25">
      <c r="A229" s="11">
        <v>42095</v>
      </c>
      <c r="B229" s="7">
        <v>0.49305555555555558</v>
      </c>
      <c r="C229" s="7">
        <v>0.50069444444444444</v>
      </c>
      <c r="D229" s="7">
        <f>(0.500694444444444-0.493055555555556)</f>
        <v>7.6388888888879736E-3</v>
      </c>
      <c r="E229" s="7">
        <f>ABS(0.00763888888888797-0.184027777777778)</f>
        <v>0.17638888888889004</v>
      </c>
      <c r="F229" s="1" t="s">
        <v>3</v>
      </c>
    </row>
    <row r="230" spans="1:6" x14ac:dyDescent="0.25">
      <c r="A230" s="11">
        <v>42095</v>
      </c>
      <c r="B230" s="7">
        <v>0.40625</v>
      </c>
      <c r="C230" s="7">
        <v>0.59027777777777779</v>
      </c>
      <c r="D230" s="7">
        <f>(0.590277777777778-0.40625)</f>
        <v>0.18402777777777801</v>
      </c>
      <c r="E230" s="7">
        <f>ABS(0.184027777777778-0.010416666666667)</f>
        <v>0.17361111111111102</v>
      </c>
      <c r="F230" s="1" t="s">
        <v>3</v>
      </c>
    </row>
    <row r="231" spans="1:6" x14ac:dyDescent="0.25">
      <c r="A231" s="11">
        <v>42095</v>
      </c>
      <c r="B231" s="7">
        <v>0.62986111111111109</v>
      </c>
      <c r="C231" s="7">
        <v>0.64027777777777783</v>
      </c>
      <c r="D231" s="7">
        <f>(0.640277777777778-0.629861111111111)</f>
        <v>1.0416666666666963E-2</v>
      </c>
      <c r="E231" s="7">
        <f>ABS(0.010416666666667-0.00694444444444497)</f>
        <v>3.4722222222220295E-3</v>
      </c>
      <c r="F231" s="1" t="s">
        <v>3</v>
      </c>
    </row>
    <row r="232" spans="1:6" x14ac:dyDescent="0.25">
      <c r="A232" s="11">
        <v>42095</v>
      </c>
      <c r="B232" s="7">
        <v>0.68958333333333333</v>
      </c>
      <c r="C232" s="7">
        <v>0.69652777777777775</v>
      </c>
      <c r="D232" s="7">
        <f>(0.696527777777778-0.689583333333333)</f>
        <v>6.9444444444449749E-3</v>
      </c>
      <c r="E232" s="7">
        <f>ABS(0.00694444444444497-0.00347222222222199)</f>
        <v>3.4722222222229797E-3</v>
      </c>
      <c r="F232" s="1" t="s">
        <v>3</v>
      </c>
    </row>
    <row r="233" spans="1:6" x14ac:dyDescent="0.25">
      <c r="A233" s="11">
        <v>42095</v>
      </c>
      <c r="B233" s="7">
        <v>0.69166666666666676</v>
      </c>
      <c r="C233" s="7">
        <v>0.69513888888888886</v>
      </c>
      <c r="D233" s="7">
        <f>(0.695138888888889-0.691666666666667)</f>
        <v>3.4722222222219878E-3</v>
      </c>
      <c r="E233" s="7">
        <f>ABS(0.00347222222222199-0.00277777777777799)</f>
        <v>6.9444444444400006E-4</v>
      </c>
      <c r="F233" s="1" t="s">
        <v>3</v>
      </c>
    </row>
    <row r="234" spans="1:6" x14ac:dyDescent="0.25">
      <c r="A234" s="11">
        <v>42095</v>
      </c>
      <c r="B234" s="7">
        <v>0.9</v>
      </c>
      <c r="C234" s="7">
        <v>0.90277777777777779</v>
      </c>
      <c r="D234" s="7">
        <f>(0.902777777777778-0.9)</f>
        <v>2.77777777777799E-3</v>
      </c>
      <c r="E234" s="7">
        <f>ABS(0.00277777777777799-0.00625000000000098)</f>
        <v>3.4722222222229896E-3</v>
      </c>
      <c r="F234" s="1" t="s">
        <v>3</v>
      </c>
    </row>
    <row r="235" spans="1:6" x14ac:dyDescent="0.25">
      <c r="A235" s="11">
        <v>42095</v>
      </c>
      <c r="B235" s="7">
        <v>0.93055555555555547</v>
      </c>
      <c r="C235" s="7">
        <v>0.93680555555555556</v>
      </c>
      <c r="D235" s="7">
        <f>(0.936805555555556-0.930555555555555)</f>
        <v>6.250000000000977E-3</v>
      </c>
      <c r="E235" s="7">
        <f>ABS(0.00625000000000098-0.0034722222222231)</f>
        <v>2.7777777777778798E-3</v>
      </c>
      <c r="F235" s="1" t="s">
        <v>3</v>
      </c>
    </row>
    <row r="236" spans="1:6" x14ac:dyDescent="0.25">
      <c r="A236" s="11">
        <v>42095</v>
      </c>
      <c r="B236" s="7">
        <v>0.9506944444444444</v>
      </c>
      <c r="C236" s="7">
        <v>0.95416666666666661</v>
      </c>
      <c r="D236" s="7">
        <f>(0.954166666666667-0.950694444444444)</f>
        <v>3.4722222222230981E-3</v>
      </c>
      <c r="E236" s="7">
        <f>ABS(0.0034722222222231-0.00763888888888897)</f>
        <v>4.1666666666658704E-3</v>
      </c>
      <c r="F236" s="1" t="s">
        <v>3</v>
      </c>
    </row>
    <row r="237" spans="1:6" x14ac:dyDescent="0.25">
      <c r="A237" s="11">
        <v>42095</v>
      </c>
      <c r="B237" s="7">
        <v>0.93611111111111101</v>
      </c>
      <c r="C237" s="7">
        <v>0.94374999999999998</v>
      </c>
      <c r="D237" s="7">
        <f>(0.94375-0.936111111111111)</f>
        <v>7.6388888888889728E-3</v>
      </c>
      <c r="E237" s="7">
        <f>ABS(0.00763888888888897-0.00972222222222202)</f>
        <v>2.0833333333330492E-3</v>
      </c>
      <c r="F237" s="1" t="s">
        <v>3</v>
      </c>
    </row>
    <row r="238" spans="1:6" x14ac:dyDescent="0.25">
      <c r="A238" s="11">
        <v>42095</v>
      </c>
      <c r="B238" s="7">
        <v>0.4381944444444445</v>
      </c>
      <c r="C238" s="7">
        <v>0.44791666666666669</v>
      </c>
      <c r="D238" s="7">
        <f>(0.447916666666667-0.438194444444445)</f>
        <v>9.7222222222220211E-3</v>
      </c>
      <c r="E238" s="7">
        <f>ABS(0.00972222222222202-0.00694444444444497)</f>
        <v>2.7777777777770497E-3</v>
      </c>
      <c r="F238" s="1" t="s">
        <v>3</v>
      </c>
    </row>
    <row r="239" spans="1:6" x14ac:dyDescent="0.25">
      <c r="A239" s="11">
        <v>42095</v>
      </c>
      <c r="B239" s="7">
        <v>0.50069444444444444</v>
      </c>
      <c r="C239" s="7">
        <v>0.50763888888888886</v>
      </c>
      <c r="D239" s="7">
        <f>(0.507638888888889-0.500694444444444)</f>
        <v>6.9444444444449749E-3</v>
      </c>
      <c r="E239" s="7">
        <f>ABS(0.00694444444444497-0.000694444444444997)</f>
        <v>6.2499999999999726E-3</v>
      </c>
      <c r="F239" s="1" t="s">
        <v>3</v>
      </c>
    </row>
    <row r="240" spans="1:6" x14ac:dyDescent="0.25">
      <c r="A240" s="11">
        <v>42095</v>
      </c>
      <c r="B240" s="7">
        <v>0.56736111111111109</v>
      </c>
      <c r="C240" s="7">
        <v>0.56805555555555554</v>
      </c>
      <c r="D240" s="7">
        <f>(0.568055555555556-0.567361111111111)</f>
        <v>6.9444444444499709E-4</v>
      </c>
      <c r="E240" s="7">
        <f>ABS(0.000694444444444997-0.0111111111111111)</f>
        <v>1.0416666666666102E-2</v>
      </c>
      <c r="F240" s="1" t="s">
        <v>3</v>
      </c>
    </row>
    <row r="241" spans="1:6" x14ac:dyDescent="0.25">
      <c r="A241" s="11">
        <v>42095</v>
      </c>
      <c r="B241" s="7">
        <v>0.72361111111111109</v>
      </c>
      <c r="C241" s="7">
        <v>0.73472222222222217</v>
      </c>
      <c r="D241" s="7">
        <f>(0.734722222222222-0.723611111111111)</f>
        <v>1.1111111111111072E-2</v>
      </c>
      <c r="E241" s="7">
        <f>ABS(0.0111111111111111-0.00625000000000009)</f>
        <v>4.8611111111110097E-3</v>
      </c>
      <c r="F241" s="1" t="s">
        <v>3</v>
      </c>
    </row>
    <row r="242" spans="1:6" x14ac:dyDescent="0.25">
      <c r="A242" s="11">
        <v>42095</v>
      </c>
      <c r="B242" s="7">
        <v>0.88611111111111107</v>
      </c>
      <c r="C242" s="7">
        <v>0.89236111111111116</v>
      </c>
      <c r="D242" s="7">
        <f>(0.892361111111111-0.886111111111111)</f>
        <v>6.2500000000000888E-3</v>
      </c>
      <c r="E242" s="7">
        <f>ABS(0.00625000000000009-0.00347222222222199)</f>
        <v>2.7777777777780997E-3</v>
      </c>
      <c r="F242" s="1" t="s">
        <v>3</v>
      </c>
    </row>
    <row r="243" spans="1:6" x14ac:dyDescent="0.25">
      <c r="A243" s="11">
        <v>42095</v>
      </c>
      <c r="B243" s="7">
        <v>0.50763888888888886</v>
      </c>
      <c r="C243" s="7">
        <v>0.51111111111111118</v>
      </c>
      <c r="D243" s="7">
        <f>(0.511111111111111-0.507638888888889)</f>
        <v>3.4722222222219878E-3</v>
      </c>
      <c r="E243" s="7">
        <f>ABS(0.00347222222222199-0.00972222222222197)</f>
        <v>6.2499999999999813E-3</v>
      </c>
      <c r="F243" s="1" t="s">
        <v>3</v>
      </c>
    </row>
    <row r="244" spans="1:6" x14ac:dyDescent="0.25">
      <c r="A244" s="11">
        <v>42095</v>
      </c>
      <c r="B244" s="7">
        <v>0.61111111111111105</v>
      </c>
      <c r="C244" s="7">
        <v>0.62083333333333335</v>
      </c>
      <c r="D244" s="7">
        <f>(0.620833333333333-0.611111111111111)</f>
        <v>9.7222222222219656E-3</v>
      </c>
      <c r="E244" s="7">
        <f>ABS(0.00972222222222197-0.009027777777777)</f>
        <v>6.9444444444497107E-4</v>
      </c>
      <c r="F244" s="1" t="s">
        <v>3</v>
      </c>
    </row>
    <row r="245" spans="1:6" x14ac:dyDescent="0.25">
      <c r="A245" s="11">
        <v>42095</v>
      </c>
      <c r="B245" s="7">
        <v>0.11180555555555556</v>
      </c>
      <c r="C245" s="7">
        <v>0.12083333333333333</v>
      </c>
      <c r="D245" s="7">
        <f>(0.120833333333333-0.111805555555556)</f>
        <v>9.0277777777769963E-3</v>
      </c>
      <c r="E245" s="7">
        <f>ABS(0.009027777777777-0.010416666666666)</f>
        <v>1.3888888888890002E-3</v>
      </c>
      <c r="F245" s="1" t="s">
        <v>3</v>
      </c>
    </row>
    <row r="246" spans="1:6" x14ac:dyDescent="0.25">
      <c r="A246" s="11">
        <v>42095</v>
      </c>
      <c r="B246" s="7">
        <v>0.6430555555555556</v>
      </c>
      <c r="C246" s="7">
        <v>0.65347222222222223</v>
      </c>
      <c r="D246" s="7">
        <f>(0.653472222222222-0.643055555555556)</f>
        <v>1.0416666666665964E-2</v>
      </c>
      <c r="E246" s="7">
        <f>ABS(0.010416666666666-0.00763888888888797)</f>
        <v>2.7777777777780299E-3</v>
      </c>
      <c r="F246" s="1" t="s">
        <v>3</v>
      </c>
    </row>
    <row r="247" spans="1:6" x14ac:dyDescent="0.25">
      <c r="A247" s="11">
        <v>42095</v>
      </c>
      <c r="B247" s="7">
        <v>0.79791666666666661</v>
      </c>
      <c r="C247" s="7">
        <v>0.80555555555555547</v>
      </c>
      <c r="D247" s="7">
        <f>(0.805555555555555-0.797916666666667)</f>
        <v>7.6388888888879736E-3</v>
      </c>
      <c r="E247" s="7">
        <f>ABS(0.00763888888888797-0.00694444444444398)</f>
        <v>6.9444444444399008E-4</v>
      </c>
      <c r="F247" s="1" t="s">
        <v>3</v>
      </c>
    </row>
    <row r="248" spans="1:6" x14ac:dyDescent="0.25">
      <c r="A248" s="11">
        <v>42095</v>
      </c>
      <c r="B248" s="7">
        <v>0.84791666666666676</v>
      </c>
      <c r="C248" s="7">
        <v>0.85486111111111107</v>
      </c>
      <c r="D248" s="7">
        <f>(0.854861111111111-0.847916666666667)</f>
        <v>6.9444444444439757E-3</v>
      </c>
      <c r="E248" s="7">
        <f>ABS(0.00694444444444398-0.00486111111111098)</f>
        <v>2.0833333333329998E-3</v>
      </c>
      <c r="F248" s="1" t="s">
        <v>3</v>
      </c>
    </row>
    <row r="249" spans="1:6" x14ac:dyDescent="0.25">
      <c r="A249" s="11">
        <v>42095</v>
      </c>
      <c r="B249" s="7">
        <v>0.95972222222222225</v>
      </c>
      <c r="C249" s="7">
        <v>0.96458333333333324</v>
      </c>
      <c r="D249" s="7">
        <f>(0.964583333333333-0.959722222222222)</f>
        <v>4.8611111111109828E-3</v>
      </c>
      <c r="E249" s="7">
        <f>ABS(0.00486111111111098-0.00625000000000009)</f>
        <v>1.3888888888891095E-3</v>
      </c>
      <c r="F249" s="1" t="s">
        <v>3</v>
      </c>
    </row>
    <row r="250" spans="1:6" x14ac:dyDescent="0.25">
      <c r="A250" s="11">
        <v>42095</v>
      </c>
      <c r="B250" s="7">
        <v>0.98402777777777783</v>
      </c>
      <c r="C250" s="7">
        <v>0.9902777777777777</v>
      </c>
      <c r="D250" s="7">
        <f>(0.990277777777778-0.984027777777778)</f>
        <v>6.2500000000000888E-3</v>
      </c>
      <c r="E250" s="7">
        <f>ABS(0.00625000000000009-0.00416666666666698)</f>
        <v>2.08333333333311E-3</v>
      </c>
      <c r="F250" s="1" t="s">
        <v>3</v>
      </c>
    </row>
    <row r="251" spans="1:6" x14ac:dyDescent="0.25">
      <c r="A251" s="11">
        <v>42095</v>
      </c>
      <c r="B251" s="7">
        <v>0.97499999999999998</v>
      </c>
      <c r="C251" s="7">
        <v>0.97916666666666663</v>
      </c>
      <c r="D251" s="7">
        <f>(0.979166666666667-0.975)</f>
        <v>4.1666666666669849E-3</v>
      </c>
      <c r="E251" s="7">
        <f>ABS(0.00416666666666698-0.00763888888888897)</f>
        <v>3.4722222222219904E-3</v>
      </c>
      <c r="F251" s="1" t="s">
        <v>3</v>
      </c>
    </row>
    <row r="252" spans="1:6" x14ac:dyDescent="0.25">
      <c r="A252" s="11">
        <v>42095</v>
      </c>
      <c r="B252" s="7">
        <v>0.3215277777777778</v>
      </c>
      <c r="C252" s="7">
        <v>0.32916666666666666</v>
      </c>
      <c r="D252" s="7">
        <f>(0.329166666666667-0.321527777777778)</f>
        <v>7.6388888888889728E-3</v>
      </c>
      <c r="E252" s="7">
        <f>ABS(0.00763888888888897-0.011111111111112)</f>
        <v>3.4722222222230295E-3</v>
      </c>
      <c r="F252" s="1" t="s">
        <v>3</v>
      </c>
    </row>
    <row r="253" spans="1:6" x14ac:dyDescent="0.25">
      <c r="A253" s="11">
        <v>42095</v>
      </c>
      <c r="B253" s="7">
        <v>0.42708333333333331</v>
      </c>
      <c r="C253" s="7">
        <v>0.4381944444444445</v>
      </c>
      <c r="D253" s="7">
        <f>(0.438194444444445-0.427083333333333)</f>
        <v>1.1111111111112015E-2</v>
      </c>
      <c r="E253" s="7">
        <f>ABS(0.011111111111112-0.00625000000000098)</f>
        <v>4.8611111111110201E-3</v>
      </c>
      <c r="F253" s="1" t="s">
        <v>3</v>
      </c>
    </row>
    <row r="254" spans="1:6" x14ac:dyDescent="0.25">
      <c r="A254" s="11">
        <v>42095</v>
      </c>
      <c r="B254" s="7">
        <v>0.43194444444444446</v>
      </c>
      <c r="C254" s="7">
        <v>0.4381944444444445</v>
      </c>
      <c r="D254" s="7">
        <f>(0.438194444444445-0.431944444444444)</f>
        <v>6.250000000000977E-3</v>
      </c>
      <c r="E254" s="7">
        <f>ABS(0.00625000000000098-0.013194444444445)</f>
        <v>6.9444444444440199E-3</v>
      </c>
      <c r="F254" s="1" t="s">
        <v>3</v>
      </c>
    </row>
    <row r="255" spans="1:6" x14ac:dyDescent="0.25">
      <c r="A255" s="11">
        <v>42095</v>
      </c>
      <c r="B255" s="7">
        <v>0.44444444444444442</v>
      </c>
      <c r="C255" s="7">
        <v>0.45763888888888887</v>
      </c>
      <c r="D255" s="7">
        <f>(0.457638888888889-0.444444444444444)</f>
        <v>1.3194444444445008E-2</v>
      </c>
      <c r="E255" s="7">
        <f>ABS(0.013194444444445-0.00486111111111098)</f>
        <v>8.3333333333340184E-3</v>
      </c>
      <c r="F255" s="1" t="s">
        <v>3</v>
      </c>
    </row>
    <row r="256" spans="1:6" x14ac:dyDescent="0.25">
      <c r="A256" s="11">
        <v>42095</v>
      </c>
      <c r="B256" s="7">
        <v>0.47152777777777777</v>
      </c>
      <c r="C256" s="7">
        <v>0.47638888888888892</v>
      </c>
      <c r="D256" s="7">
        <f>(0.476388888888889-0.471527777777778)</f>
        <v>4.8611111111109828E-3</v>
      </c>
      <c r="E256" s="7">
        <f>ABS(0.00486111111111098-0.00416666666666698)</f>
        <v>6.9444444444400049E-4</v>
      </c>
      <c r="F256" s="1" t="s">
        <v>3</v>
      </c>
    </row>
    <row r="257" spans="1:6" x14ac:dyDescent="0.25">
      <c r="A257" s="11">
        <v>42095</v>
      </c>
      <c r="B257" s="7">
        <v>0.52083333333333337</v>
      </c>
      <c r="C257" s="7">
        <v>0.52500000000000002</v>
      </c>
      <c r="D257" s="7">
        <f>(0.525-0.520833333333333)</f>
        <v>4.1666666666669849E-3</v>
      </c>
      <c r="E257" s="7">
        <f>ABS(0.00416666666666698-0.00416666666666698)</f>
        <v>0</v>
      </c>
      <c r="F257" s="1" t="s">
        <v>3</v>
      </c>
    </row>
    <row r="258" spans="1:6" x14ac:dyDescent="0.25">
      <c r="A258" s="11">
        <v>42095</v>
      </c>
      <c r="B258" s="7">
        <v>0.5625</v>
      </c>
      <c r="C258" s="7">
        <v>0.56666666666666665</v>
      </c>
      <c r="D258" s="7">
        <f>(0.566666666666667-0.5625)</f>
        <v>4.1666666666669849E-3</v>
      </c>
      <c r="E258" s="7">
        <f>ABS(0.00416666666666698-0.0145833333333331)</f>
        <v>1.041666666666612E-2</v>
      </c>
      <c r="F258" s="1" t="s">
        <v>3</v>
      </c>
    </row>
    <row r="259" spans="1:6" x14ac:dyDescent="0.25">
      <c r="A259" s="11">
        <v>42095</v>
      </c>
      <c r="B259" s="7">
        <v>0.65763888888888888</v>
      </c>
      <c r="C259" s="7">
        <v>0.67222222222222217</v>
      </c>
      <c r="D259" s="7">
        <f>(0.672222222222222-0.657638888888889)</f>
        <v>1.4583333333333059E-2</v>
      </c>
      <c r="E259" s="7">
        <f>ABS(0.0145833333333331-0.052777777777778)</f>
        <v>3.8194444444444899E-2</v>
      </c>
      <c r="F259" s="1" t="s">
        <v>3</v>
      </c>
    </row>
    <row r="260" spans="1:6" x14ac:dyDescent="0.25">
      <c r="A260" s="11">
        <v>42095</v>
      </c>
      <c r="B260" s="7">
        <v>0.74583333333333324</v>
      </c>
      <c r="C260" s="7">
        <v>0.79861111111111116</v>
      </c>
      <c r="D260" s="7">
        <f>(0.798611111111111-0.745833333333333)</f>
        <v>5.2777777777778034E-2</v>
      </c>
      <c r="E260" s="7">
        <f>ABS(0.052777777777778-0.00902777777777808)</f>
        <v>4.3749999999999921E-2</v>
      </c>
      <c r="F260" s="1" t="s">
        <v>3</v>
      </c>
    </row>
    <row r="261" spans="1:6" x14ac:dyDescent="0.25">
      <c r="A261" s="11">
        <v>42095</v>
      </c>
      <c r="B261" s="7">
        <v>0.76458333333333339</v>
      </c>
      <c r="C261" s="7">
        <v>0.77361111111111114</v>
      </c>
      <c r="D261" s="7">
        <f>(0.773611111111111-0.764583333333333)</f>
        <v>9.0277777777780788E-3</v>
      </c>
      <c r="E261" s="7">
        <f>ABS(0.00902777777777808-0.011111111111111)</f>
        <v>2.08333333333292E-3</v>
      </c>
      <c r="F261" s="1" t="s">
        <v>3</v>
      </c>
    </row>
    <row r="262" spans="1:6" x14ac:dyDescent="0.25">
      <c r="A262" s="11">
        <v>42095</v>
      </c>
      <c r="B262" s="7">
        <v>0.84513888888888899</v>
      </c>
      <c r="C262" s="7">
        <v>0.85625000000000007</v>
      </c>
      <c r="D262" s="7">
        <f>(0.85625-0.845138888888889)</f>
        <v>1.1111111111110961E-2</v>
      </c>
      <c r="E262" s="7">
        <f>ABS(0.011111111111111-0.00555555555555609)</f>
        <v>5.5555555555549105E-3</v>
      </c>
      <c r="F262" s="1" t="s">
        <v>3</v>
      </c>
    </row>
    <row r="263" spans="1:6" x14ac:dyDescent="0.25">
      <c r="A263" s="11">
        <v>42095</v>
      </c>
      <c r="B263" s="7">
        <v>0.82708333333333339</v>
      </c>
      <c r="C263" s="7">
        <v>0.83263888888888893</v>
      </c>
      <c r="D263" s="7">
        <f>(0.832638888888889-0.827083333333333)</f>
        <v>5.5555555555560909E-3</v>
      </c>
      <c r="E263" s="7">
        <f>ABS(0.00555555555555609-0.00486111111111109)</f>
        <v>6.9444444444499969E-4</v>
      </c>
      <c r="F263" s="1" t="s">
        <v>3</v>
      </c>
    </row>
    <row r="264" spans="1:6" x14ac:dyDescent="0.25">
      <c r="A264" s="11">
        <v>42095</v>
      </c>
      <c r="B264" s="7">
        <v>0.85763888888888884</v>
      </c>
      <c r="C264" s="7">
        <v>0.86249999999999993</v>
      </c>
      <c r="D264" s="7">
        <f>(0.8625-0.857638888888889)</f>
        <v>4.8611111111110938E-3</v>
      </c>
      <c r="E264" s="7">
        <f>ABS(0.00486111111111109-0.00902777777777797)</f>
        <v>4.1666666666668791E-3</v>
      </c>
      <c r="F264" s="1" t="s">
        <v>3</v>
      </c>
    </row>
    <row r="265" spans="1:6" x14ac:dyDescent="0.25">
      <c r="A265" s="11">
        <v>42095</v>
      </c>
      <c r="B265" s="7">
        <v>0.90486111111111101</v>
      </c>
      <c r="C265" s="7">
        <v>0.91388888888888886</v>
      </c>
      <c r="D265" s="7">
        <f>(0.913888888888889-0.904861111111111)</f>
        <v>9.0277777777779677E-3</v>
      </c>
      <c r="E265" s="7">
        <f>ABS(0.00902777777777797-0.013194444444445)</f>
        <v>4.16666666666703E-3</v>
      </c>
      <c r="F265" s="1" t="s">
        <v>3</v>
      </c>
    </row>
    <row r="266" spans="1:6" x14ac:dyDescent="0.25">
      <c r="A266" s="11">
        <v>42095</v>
      </c>
      <c r="B266" s="7">
        <v>0.92361111111111116</v>
      </c>
      <c r="C266" s="7">
        <v>0.93680555555555556</v>
      </c>
      <c r="D266" s="7">
        <f>(0.936805555555556-0.923611111111111)</f>
        <v>1.3194444444444953E-2</v>
      </c>
      <c r="E266" s="7">
        <f>ABS(0.013194444444445-0.00416666666666998)</f>
        <v>9.0277777777750187E-3</v>
      </c>
      <c r="F266" s="1" t="s">
        <v>3</v>
      </c>
    </row>
    <row r="267" spans="1:6" x14ac:dyDescent="0.25">
      <c r="A267" s="11">
        <v>42095</v>
      </c>
      <c r="B267" s="7">
        <v>1.0020833333333334</v>
      </c>
      <c r="C267" s="7">
        <v>1.0062499999999999</v>
      </c>
      <c r="D267" s="7">
        <f>(1.00625-1.00208333333333)</f>
        <v>4.1666666666699825E-3</v>
      </c>
      <c r="E267" s="7">
        <f>ABS(0.00416666666666998-0.00972222222222197)</f>
        <v>5.5555555555519909E-3</v>
      </c>
      <c r="F267" s="1" t="s">
        <v>3</v>
      </c>
    </row>
    <row r="268" spans="1:6" x14ac:dyDescent="0.25">
      <c r="A268" s="11">
        <v>42095</v>
      </c>
      <c r="B268" s="7">
        <v>0.5</v>
      </c>
      <c r="C268" s="7">
        <v>0.50972222222222219</v>
      </c>
      <c r="D268" s="7">
        <f>(0.509722222222222-0.5)</f>
        <v>9.7222222222219656E-3</v>
      </c>
      <c r="E268" s="7">
        <f>ABS(0.00972222222222197-0.00416666666666599)</f>
        <v>5.5555555555559808E-3</v>
      </c>
      <c r="F268" s="1" t="s">
        <v>3</v>
      </c>
    </row>
    <row r="269" spans="1:6" x14ac:dyDescent="0.25">
      <c r="A269" s="11">
        <v>42095</v>
      </c>
      <c r="B269" s="7">
        <v>0.53402777777777777</v>
      </c>
      <c r="C269" s="7">
        <v>0.53819444444444442</v>
      </c>
      <c r="D269" s="7">
        <f>(0.538194444444444-0.534027777777778)</f>
        <v>4.1666666666659857E-3</v>
      </c>
      <c r="E269" s="7">
        <f>ABS(0.00416666666666599-0.00486111111111098)</f>
        <v>6.9444444444499015E-4</v>
      </c>
      <c r="F269" s="1" t="s">
        <v>3</v>
      </c>
    </row>
    <row r="270" spans="1:6" x14ac:dyDescent="0.25">
      <c r="A270" s="11">
        <v>42095</v>
      </c>
      <c r="B270" s="7">
        <v>0.7055555555555556</v>
      </c>
      <c r="C270" s="7">
        <v>0.7104166666666667</v>
      </c>
      <c r="D270" s="7">
        <f>(0.710416666666667-0.705555555555556)</f>
        <v>4.8611111111109828E-3</v>
      </c>
      <c r="E270" s="7">
        <f>ABS(0.00486111111111098-0.00347222222222199)</f>
        <v>1.3888888888889902E-3</v>
      </c>
      <c r="F270" s="1" t="s">
        <v>3</v>
      </c>
    </row>
    <row r="271" spans="1:6" x14ac:dyDescent="0.25">
      <c r="A271" s="11">
        <v>42095</v>
      </c>
      <c r="B271" s="7">
        <v>0.78125</v>
      </c>
      <c r="C271" s="7">
        <v>0.78472222222222221</v>
      </c>
      <c r="D271" s="7">
        <f>(0.784722222222222-0.78125)</f>
        <v>3.4722222222219878E-3</v>
      </c>
      <c r="E271" s="7">
        <f>ABS(0.00347222222222199-0.00972222222222296)</f>
        <v>6.2500000000009701E-3</v>
      </c>
      <c r="F271" s="1" t="s">
        <v>3</v>
      </c>
    </row>
    <row r="272" spans="1:6" x14ac:dyDescent="0.25">
      <c r="A272" s="11">
        <v>42095</v>
      </c>
      <c r="B272" s="7">
        <v>0.81319444444444444</v>
      </c>
      <c r="C272" s="7">
        <v>0.82291666666666663</v>
      </c>
      <c r="D272" s="7">
        <f>(0.822916666666667-0.813194444444444)</f>
        <v>9.7222222222229648E-3</v>
      </c>
      <c r="E272" s="7">
        <f>ABS(0.00972222222222296-0.0111111111111111)</f>
        <v>1.3888888888881398E-3</v>
      </c>
      <c r="F272" s="1" t="s">
        <v>3</v>
      </c>
    </row>
    <row r="273" spans="1:6" x14ac:dyDescent="0.25">
      <c r="A273" s="11">
        <v>42095</v>
      </c>
      <c r="B273" s="7">
        <v>0.8833333333333333</v>
      </c>
      <c r="C273" s="7">
        <v>0.89444444444444438</v>
      </c>
      <c r="D273" s="7">
        <f>(0.894444444444444-0.883333333333333)</f>
        <v>1.1111111111111072E-2</v>
      </c>
      <c r="E273" s="7">
        <f>ABS(0.0111111111111111-0.00972222222222496)</f>
        <v>1.3888888888861396E-3</v>
      </c>
      <c r="F273" s="1" t="s">
        <v>3</v>
      </c>
    </row>
    <row r="274" spans="1:6" x14ac:dyDescent="0.25">
      <c r="A274" s="11">
        <v>42095</v>
      </c>
      <c r="B274" s="7">
        <v>0.99305555555555547</v>
      </c>
      <c r="C274" s="7">
        <v>1.0027777777777778</v>
      </c>
      <c r="D274" s="7">
        <f>(1.00277777777778-0.993055555555555)</f>
        <v>9.7222222222249632E-3</v>
      </c>
      <c r="E274" s="7">
        <f>ABS(0.00972222222222496-0.00833333333333597)</f>
        <v>1.3888888888889898E-3</v>
      </c>
      <c r="F274" s="1" t="s">
        <v>3</v>
      </c>
    </row>
    <row r="275" spans="1:6" x14ac:dyDescent="0.25">
      <c r="A275" s="11">
        <v>42095</v>
      </c>
      <c r="B275" s="7">
        <v>0.99444444444444446</v>
      </c>
      <c r="C275" s="7">
        <v>1.0027777777777778</v>
      </c>
      <c r="D275" s="7">
        <f>(1.00277777777778-0.994444444444444)</f>
        <v>8.3333333333359683E-3</v>
      </c>
      <c r="E275" s="7">
        <f>ABS(0.00833333333333597-0.00624999999999999)</f>
        <v>2.0833333333359801E-3</v>
      </c>
      <c r="F275" s="1" t="s">
        <v>3</v>
      </c>
    </row>
    <row r="276" spans="1:6" x14ac:dyDescent="0.25">
      <c r="A276" s="11">
        <v>42095</v>
      </c>
      <c r="B276" s="7">
        <v>9.0972222222222218E-2</v>
      </c>
      <c r="C276" s="7">
        <v>9.7222222222222224E-2</v>
      </c>
      <c r="D276" s="7">
        <f>(0.0972222222222222-0.0909722222222222)</f>
        <v>6.2499999999999917E-3</v>
      </c>
      <c r="E276" s="7">
        <f>ABS(0.00624999999999999-0.0118055555555551)</f>
        <v>5.5555555555551108E-3</v>
      </c>
      <c r="F276" s="1" t="s">
        <v>3</v>
      </c>
    </row>
    <row r="277" spans="1:6" x14ac:dyDescent="0.25">
      <c r="A277" s="11">
        <v>42095</v>
      </c>
      <c r="B277" s="7">
        <v>0.69791666666666663</v>
      </c>
      <c r="C277" s="7">
        <v>0.70972222222222225</v>
      </c>
      <c r="D277" s="7">
        <f>(0.709722222222222-0.697916666666667)</f>
        <v>1.180555555555507E-2</v>
      </c>
      <c r="E277" s="7">
        <f>ABS(0.0118055555555551-0.00694444444444409)</f>
        <v>4.8611111111110106E-3</v>
      </c>
      <c r="F277" s="1" t="s">
        <v>3</v>
      </c>
    </row>
    <row r="278" spans="1:6" x14ac:dyDescent="0.25">
      <c r="A278" s="11">
        <v>42095</v>
      </c>
      <c r="B278" s="7">
        <v>0.69652777777777775</v>
      </c>
      <c r="C278" s="7">
        <v>0.70347222222222217</v>
      </c>
      <c r="D278" s="7">
        <f>(0.703472222222222-0.696527777777778)</f>
        <v>6.9444444444440867E-3</v>
      </c>
      <c r="E278" s="7">
        <f>ABS(0.00694444444444409-0.00694444444444497)</f>
        <v>8.795048023202412E-16</v>
      </c>
      <c r="F278" s="1" t="s">
        <v>3</v>
      </c>
    </row>
    <row r="279" spans="1:6" x14ac:dyDescent="0.25">
      <c r="A279" s="11">
        <v>42095</v>
      </c>
      <c r="B279" s="7">
        <v>0.71458333333333324</v>
      </c>
      <c r="C279" s="7">
        <v>0.72152777777777777</v>
      </c>
      <c r="D279" s="7">
        <f>(0.721527777777778-0.714583333333333)</f>
        <v>6.9444444444449749E-3</v>
      </c>
      <c r="E279" s="7">
        <f>ABS(0.00694444444444497-0.0159722222222219)</f>
        <v>9.0277777777769286E-3</v>
      </c>
      <c r="F279" s="1" t="s">
        <v>3</v>
      </c>
    </row>
    <row r="280" spans="1:6" x14ac:dyDescent="0.25">
      <c r="A280" s="11">
        <v>42095</v>
      </c>
      <c r="B280" s="7">
        <v>0.80763888888888891</v>
      </c>
      <c r="C280" s="7">
        <v>0.82361111111111107</v>
      </c>
      <c r="D280" s="7">
        <f>(0.823611111111111-0.807638888888889)</f>
        <v>1.5972222222221943E-2</v>
      </c>
      <c r="E280" s="7">
        <f>ABS(0.0159722222222219-0.00972222222222197)</f>
        <v>6.2499999999999275E-3</v>
      </c>
      <c r="F280" s="1" t="s">
        <v>3</v>
      </c>
    </row>
    <row r="281" spans="1:6" x14ac:dyDescent="0.25">
      <c r="A281" s="11">
        <v>42095</v>
      </c>
      <c r="B281" s="7">
        <v>0.87013888888888891</v>
      </c>
      <c r="C281" s="7">
        <v>0.87986111111111109</v>
      </c>
      <c r="D281" s="7">
        <f>(0.879861111111111-0.870138888888889)</f>
        <v>9.7222222222219656E-3</v>
      </c>
      <c r="E281" s="7">
        <f>ABS(0.00972222222222197-0.00624999999999998)</f>
        <v>3.4722222222219904E-3</v>
      </c>
      <c r="F281" s="1" t="s">
        <v>3</v>
      </c>
    </row>
    <row r="282" spans="1:6" x14ac:dyDescent="0.25">
      <c r="A282" s="11">
        <v>42095</v>
      </c>
      <c r="B282" s="7">
        <v>0.92708333333333337</v>
      </c>
      <c r="C282" s="7">
        <v>0.93333333333333324</v>
      </c>
      <c r="D282" s="7">
        <f>(0.933333333333333-0.927083333333333)</f>
        <v>6.2499999999999778E-3</v>
      </c>
      <c r="E282" s="7">
        <f>ABS(0.00624999999999998-0.0145833333333333)</f>
        <v>8.3333333333333211E-3</v>
      </c>
      <c r="F282" s="1" t="s">
        <v>3</v>
      </c>
    </row>
    <row r="283" spans="1:6" x14ac:dyDescent="0.25">
      <c r="A283" s="11">
        <v>42095</v>
      </c>
      <c r="B283" s="7">
        <v>8.4027777777777771E-2</v>
      </c>
      <c r="C283" s="7">
        <v>9.8611111111111108E-2</v>
      </c>
      <c r="D283" s="7">
        <f>(0.0986111111111111-0.0840277777777778)</f>
        <v>1.4583333333333295E-2</v>
      </c>
      <c r="E283" s="7">
        <f>ABS(0.0145833333333333-0.00833333333333403)</f>
        <v>6.24999999999927E-3</v>
      </c>
      <c r="F283" s="1" t="s">
        <v>3</v>
      </c>
    </row>
    <row r="284" spans="1:6" x14ac:dyDescent="0.25">
      <c r="A284" s="11">
        <v>42095</v>
      </c>
      <c r="B284" s="7">
        <v>0.44097222222222227</v>
      </c>
      <c r="C284" s="7">
        <v>0.44930555555555557</v>
      </c>
      <c r="D284" s="7">
        <f>(0.449305555555556-0.440972222222222)</f>
        <v>8.3333333333340254E-3</v>
      </c>
      <c r="E284" s="7">
        <f>ABS(0.00833333333333403-0.00694444444444509)</f>
        <v>1.3888888888889403E-3</v>
      </c>
      <c r="F284" s="1" t="s">
        <v>3</v>
      </c>
    </row>
    <row r="285" spans="1:6" x14ac:dyDescent="0.25">
      <c r="A285" s="11">
        <v>42095</v>
      </c>
      <c r="B285" s="7">
        <v>0.51111111111111118</v>
      </c>
      <c r="C285" s="7">
        <v>0.5180555555555556</v>
      </c>
      <c r="D285" s="7">
        <f>(0.518055555555556-0.511111111111111)</f>
        <v>6.9444444444450859E-3</v>
      </c>
      <c r="E285" s="7">
        <f>ABS(0.00694444444444509-0.00416666666666599)</f>
        <v>2.7777777777791002E-3</v>
      </c>
      <c r="F285" s="1" t="s">
        <v>3</v>
      </c>
    </row>
    <row r="286" spans="1:6" x14ac:dyDescent="0.25">
      <c r="A286" s="11">
        <v>42095</v>
      </c>
      <c r="B286" s="7">
        <v>0.51041666666666663</v>
      </c>
      <c r="C286" s="7">
        <v>0.51458333333333328</v>
      </c>
      <c r="D286" s="7">
        <f>(0.514583333333333-0.510416666666667)</f>
        <v>4.1666666666659857E-3</v>
      </c>
      <c r="E286" s="7">
        <f>ABS(0.00416666666666599-0.00694444444444398)</f>
        <v>2.77777777777799E-3</v>
      </c>
      <c r="F286" s="1" t="s">
        <v>3</v>
      </c>
    </row>
    <row r="287" spans="1:6" x14ac:dyDescent="0.25">
      <c r="A287" s="11">
        <v>42095</v>
      </c>
      <c r="B287" s="7">
        <v>0.69513888888888886</v>
      </c>
      <c r="C287" s="7">
        <v>0.70208333333333339</v>
      </c>
      <c r="D287" s="7">
        <f>(0.702083333333333-0.695138888888889)</f>
        <v>6.9444444444439757E-3</v>
      </c>
      <c r="E287" s="7">
        <f>ABS(0.00694444444444398-0.011111111111111)</f>
        <v>4.1666666666670205E-3</v>
      </c>
      <c r="F287" s="1" t="s">
        <v>3</v>
      </c>
    </row>
    <row r="288" spans="1:6" x14ac:dyDescent="0.25">
      <c r="A288" s="11">
        <v>42095</v>
      </c>
      <c r="B288" s="7">
        <v>0.75</v>
      </c>
      <c r="C288" s="7">
        <v>0.76111111111111107</v>
      </c>
      <c r="D288" s="7">
        <f>(0.761111111111111-0.75)</f>
        <v>1.1111111111110961E-2</v>
      </c>
      <c r="E288" s="7">
        <f>ABS(0.011111111111111-0.00902777777777797)</f>
        <v>2.083333333333031E-3</v>
      </c>
      <c r="F288" s="1" t="s">
        <v>3</v>
      </c>
    </row>
    <row r="289" spans="1:6" x14ac:dyDescent="0.25">
      <c r="A289" s="11">
        <v>42095</v>
      </c>
      <c r="B289" s="7">
        <v>0.81527777777777777</v>
      </c>
      <c r="C289" s="7">
        <v>0.82430555555555562</v>
      </c>
      <c r="D289" s="7">
        <f>(0.824305555555556-0.815277777777778)</f>
        <v>9.0277777777779677E-3</v>
      </c>
      <c r="E289" s="7">
        <f>ABS(0.00902777777777797-0.00694444444444497)</f>
        <v>2.0833333333329998E-3</v>
      </c>
      <c r="F289" s="1" t="s">
        <v>3</v>
      </c>
    </row>
    <row r="290" spans="1:6" x14ac:dyDescent="0.25">
      <c r="A290" s="11">
        <v>42095</v>
      </c>
      <c r="B290" s="7">
        <v>0.89444444444444438</v>
      </c>
      <c r="C290" s="7">
        <v>0.90138888888888891</v>
      </c>
      <c r="D290" s="7">
        <f>(0.901388888888889-0.894444444444444)</f>
        <v>6.9444444444449749E-3</v>
      </c>
      <c r="E290" s="7">
        <f>ABS(0.00694444444444497-0.00486111111111101)</f>
        <v>2.08333333333396E-3</v>
      </c>
      <c r="F290" s="1" t="s">
        <v>3</v>
      </c>
    </row>
    <row r="291" spans="1:6" x14ac:dyDescent="0.25">
      <c r="A291" s="11">
        <v>42095</v>
      </c>
      <c r="B291" s="7">
        <v>0.17291666666666669</v>
      </c>
      <c r="C291" s="7">
        <v>0.17777777777777778</v>
      </c>
      <c r="D291" s="7">
        <f>(0.177777777777778-0.172916666666667)</f>
        <v>4.8611111111110106E-3</v>
      </c>
      <c r="E291" s="7">
        <f>ABS(0.00486111111111101-0.01875)</f>
        <v>1.3888888888888989E-2</v>
      </c>
      <c r="F291" s="1" t="s">
        <v>3</v>
      </c>
    </row>
    <row r="292" spans="1:6" x14ac:dyDescent="0.25">
      <c r="A292" s="11">
        <v>42095</v>
      </c>
      <c r="B292" s="7">
        <v>0.30833333333333335</v>
      </c>
      <c r="C292" s="7">
        <v>0.32708333333333334</v>
      </c>
      <c r="D292" s="7">
        <f>(0.327083333333333-0.308333333333333)</f>
        <v>1.8749999999999989E-2</v>
      </c>
      <c r="E292" s="7">
        <f>ABS(0.01875-0.00763888888888903)</f>
        <v>1.1111111111110969E-2</v>
      </c>
      <c r="F292" s="1" t="s">
        <v>3</v>
      </c>
    </row>
    <row r="293" spans="1:6" x14ac:dyDescent="0.25">
      <c r="A293" s="11">
        <v>42095</v>
      </c>
      <c r="B293" s="7">
        <v>0.31944444444444448</v>
      </c>
      <c r="C293" s="7">
        <v>0.32708333333333334</v>
      </c>
      <c r="D293" s="7">
        <f>(0.327083333333333-0.319444444444444)</f>
        <v>7.6388888888890283E-3</v>
      </c>
      <c r="E293" s="7">
        <f>ABS(0.00763888888888903-0.018055555555556)</f>
        <v>1.0416666666666971E-2</v>
      </c>
      <c r="F293" s="1" t="s">
        <v>3</v>
      </c>
    </row>
    <row r="294" spans="1:6" x14ac:dyDescent="0.25">
      <c r="A294" s="11">
        <v>42095</v>
      </c>
      <c r="B294" s="7">
        <v>0.38611111111111113</v>
      </c>
      <c r="C294" s="7">
        <v>0.40416666666666662</v>
      </c>
      <c r="D294" s="7">
        <f>(0.404166666666667-0.386111111111111)</f>
        <v>1.8055555555555991E-2</v>
      </c>
      <c r="E294" s="7">
        <f>ABS(0.018055555555556-0.00972222222222197)</f>
        <v>8.3333333333340306E-3</v>
      </c>
      <c r="F294" s="1" t="s">
        <v>3</v>
      </c>
    </row>
    <row r="295" spans="1:6" x14ac:dyDescent="0.25">
      <c r="A295" s="11">
        <v>42095</v>
      </c>
      <c r="B295" s="7">
        <v>0.38750000000000001</v>
      </c>
      <c r="C295" s="7">
        <v>0.3972222222222222</v>
      </c>
      <c r="D295" s="7">
        <f>(0.397222222222222-0.3875)</f>
        <v>9.7222222222219656E-3</v>
      </c>
      <c r="E295" s="7">
        <f>ABS(0.00972222222222197-0.00486111111111098)</f>
        <v>4.8611111111109906E-3</v>
      </c>
      <c r="F295" s="1" t="s">
        <v>3</v>
      </c>
    </row>
    <row r="296" spans="1:6" x14ac:dyDescent="0.25">
      <c r="A296" s="11">
        <v>42095</v>
      </c>
      <c r="B296" s="7">
        <v>0.4861111111111111</v>
      </c>
      <c r="C296" s="7">
        <v>0.4909722222222222</v>
      </c>
      <c r="D296" s="7">
        <f>(0.490972222222222-0.486111111111111)</f>
        <v>4.8611111111109828E-3</v>
      </c>
      <c r="E296" s="7">
        <f>ABS(0.00486111111111098-0.00486111111111098)</f>
        <v>0</v>
      </c>
      <c r="F296" s="1" t="s">
        <v>3</v>
      </c>
    </row>
    <row r="297" spans="1:6" x14ac:dyDescent="0.25">
      <c r="A297" s="11">
        <v>42095</v>
      </c>
      <c r="B297" s="7">
        <v>0.49236111111111108</v>
      </c>
      <c r="C297" s="7">
        <v>0.49722222222222223</v>
      </c>
      <c r="D297" s="7">
        <f>(0.497222222222222-0.492361111111111)</f>
        <v>4.8611111111109828E-3</v>
      </c>
      <c r="E297" s="7">
        <f>ABS(0.00486111111111098-0.00555555555555498)</f>
        <v>6.9444444444399962E-4</v>
      </c>
      <c r="F297" s="1" t="s">
        <v>3</v>
      </c>
    </row>
    <row r="298" spans="1:6" x14ac:dyDescent="0.25">
      <c r="A298" s="11">
        <v>42095</v>
      </c>
      <c r="B298" s="7">
        <v>0.66527777777777775</v>
      </c>
      <c r="C298" s="7">
        <v>0.67083333333333339</v>
      </c>
      <c r="D298" s="7">
        <f>(0.670833333333333-0.665277777777778)</f>
        <v>5.5555555555549807E-3</v>
      </c>
      <c r="E298" s="7">
        <f>ABS(0.00555555555555498-0.00555555555555498)</f>
        <v>0</v>
      </c>
      <c r="F298" s="1" t="s">
        <v>3</v>
      </c>
    </row>
    <row r="299" spans="1:6" x14ac:dyDescent="0.25">
      <c r="A299" s="11">
        <v>42095</v>
      </c>
      <c r="B299" s="7">
        <v>0.6743055555555556</v>
      </c>
      <c r="C299" s="7">
        <v>0.67986111111111114</v>
      </c>
      <c r="D299" s="7">
        <f>(0.679861111111111-0.674305555555556)</f>
        <v>5.5555555555549807E-3</v>
      </c>
      <c r="E299" s="7">
        <f>ABS(0.00555555555555498-0.00694444444444398)</f>
        <v>1.3888888888890002E-3</v>
      </c>
      <c r="F299" s="1" t="s">
        <v>3</v>
      </c>
    </row>
    <row r="300" spans="1:6" x14ac:dyDescent="0.25">
      <c r="A300" s="11">
        <v>42095</v>
      </c>
      <c r="B300" s="7">
        <v>0.69305555555555554</v>
      </c>
      <c r="C300" s="7">
        <v>0.70000000000000007</v>
      </c>
      <c r="D300" s="7">
        <f>(0.7-0.693055555555556)</f>
        <v>6.9444444444439757E-3</v>
      </c>
      <c r="E300" s="7">
        <f>ABS(0.00694444444444398-0.013194444444445)</f>
        <v>6.2500000000010195E-3</v>
      </c>
      <c r="F300" s="1" t="s">
        <v>3</v>
      </c>
    </row>
    <row r="301" spans="1:6" x14ac:dyDescent="0.25">
      <c r="A301" s="11">
        <v>42095</v>
      </c>
      <c r="B301" s="7">
        <v>0.73958333333333337</v>
      </c>
      <c r="C301" s="7">
        <v>0.75277777777777777</v>
      </c>
      <c r="D301" s="7">
        <f>(0.752777777777778-0.739583333333333)</f>
        <v>1.3194444444444953E-2</v>
      </c>
      <c r="E301" s="7">
        <f>ABS(0.013194444444445-0.00347222222222202)</f>
        <v>9.7222222222229787E-3</v>
      </c>
      <c r="F301" s="1" t="s">
        <v>3</v>
      </c>
    </row>
    <row r="302" spans="1:6" x14ac:dyDescent="0.25">
      <c r="A302" s="11">
        <v>42095</v>
      </c>
      <c r="B302" s="7">
        <v>0.14375000000000002</v>
      </c>
      <c r="C302" s="7">
        <v>0.14722222222222223</v>
      </c>
      <c r="D302" s="7">
        <f>(0.147222222222222-0.14375)</f>
        <v>3.4722222222220156E-3</v>
      </c>
      <c r="E302" s="7">
        <f>ABS(0.00347222222222202-0.00833333333333403)</f>
        <v>4.8611111111120106E-3</v>
      </c>
      <c r="F302" s="1" t="s">
        <v>3</v>
      </c>
    </row>
    <row r="303" spans="1:6" x14ac:dyDescent="0.25">
      <c r="A303" s="11">
        <v>42095</v>
      </c>
      <c r="B303" s="7">
        <v>0.39583333333333331</v>
      </c>
      <c r="C303" s="7">
        <v>0.40416666666666662</v>
      </c>
      <c r="D303" s="7">
        <f>(0.404166666666667-0.395833333333333)</f>
        <v>8.3333333333340254E-3</v>
      </c>
      <c r="E303" s="7">
        <f>ABS(0.00833333333333403-0.00555555555555498)</f>
        <v>2.7777777777790507E-3</v>
      </c>
      <c r="F303" s="1" t="s">
        <v>3</v>
      </c>
    </row>
    <row r="304" spans="1:6" x14ac:dyDescent="0.25">
      <c r="A304" s="11">
        <v>42095</v>
      </c>
      <c r="B304" s="7">
        <v>0.42152777777777778</v>
      </c>
      <c r="C304" s="7">
        <v>0.42708333333333331</v>
      </c>
      <c r="D304" s="7">
        <f>(0.427083333333333-0.421527777777778)</f>
        <v>5.5555555555549807E-3</v>
      </c>
      <c r="E304" s="7">
        <f>ABS(0.00555555555555498-0.00763888888888797)</f>
        <v>2.0833333333329903E-3</v>
      </c>
      <c r="F304" s="1" t="s">
        <v>3</v>
      </c>
    </row>
    <row r="305" spans="1:6" x14ac:dyDescent="0.25">
      <c r="A305" s="11">
        <v>42095</v>
      </c>
      <c r="B305" s="7">
        <v>0.48055555555555557</v>
      </c>
      <c r="C305" s="7">
        <v>0.48819444444444443</v>
      </c>
      <c r="D305" s="7">
        <f>(0.488194444444444-0.480555555555556)</f>
        <v>7.6388888888879736E-3</v>
      </c>
      <c r="E305" s="7">
        <f>ABS(0.00763888888888797-0.00972222222222296)</f>
        <v>2.0833333333349895E-3</v>
      </c>
      <c r="F305" s="1" t="s">
        <v>3</v>
      </c>
    </row>
    <row r="306" spans="1:6" x14ac:dyDescent="0.25">
      <c r="A306" s="11">
        <v>42095</v>
      </c>
      <c r="B306" s="7">
        <v>0.52708333333333335</v>
      </c>
      <c r="C306" s="7">
        <v>0.53680555555555554</v>
      </c>
      <c r="D306" s="7">
        <f>(0.536805555555556-0.527083333333333)</f>
        <v>9.7222222222229648E-3</v>
      </c>
      <c r="E306" s="7">
        <f>ABS(0.00972222222222296-0.010416666666666)</f>
        <v>6.9444444444304032E-4</v>
      </c>
      <c r="F306" s="1" t="s">
        <v>3</v>
      </c>
    </row>
    <row r="307" spans="1:6" x14ac:dyDescent="0.25">
      <c r="A307" s="11">
        <v>42095</v>
      </c>
      <c r="B307" s="7">
        <v>0.59791666666666665</v>
      </c>
      <c r="C307" s="7">
        <v>0.60833333333333328</v>
      </c>
      <c r="D307" s="7">
        <f>(0.608333333333333-0.597916666666667)</f>
        <v>1.0416666666665964E-2</v>
      </c>
      <c r="E307" s="7">
        <f>ABS(0.010416666666666-0.00347222222222199)</f>
        <v>6.9444444444440104E-3</v>
      </c>
      <c r="F307" s="1" t="s">
        <v>3</v>
      </c>
    </row>
    <row r="308" spans="1:6" x14ac:dyDescent="0.25">
      <c r="A308" s="11">
        <v>42095</v>
      </c>
      <c r="B308" s="7">
        <v>0.65416666666666667</v>
      </c>
      <c r="C308" s="7">
        <v>0.65763888888888888</v>
      </c>
      <c r="D308" s="7">
        <f>(0.657638888888889-0.654166666666667)</f>
        <v>3.4722222222219878E-3</v>
      </c>
      <c r="E308" s="7">
        <f>ABS(0.00347222222222199-0.00555555555555598)</f>
        <v>2.0833333333339899E-3</v>
      </c>
      <c r="F308" s="1" t="s">
        <v>3</v>
      </c>
    </row>
    <row r="309" spans="1:6" x14ac:dyDescent="0.25">
      <c r="A309" s="11">
        <v>42095</v>
      </c>
      <c r="B309" s="7">
        <v>0.29722222222222222</v>
      </c>
      <c r="C309" s="7">
        <v>0.30277777777777776</v>
      </c>
      <c r="D309" s="7">
        <f>(0.302777777777778-0.297222222222222)</f>
        <v>5.5555555555559799E-3</v>
      </c>
      <c r="E309" s="7">
        <f>ABS(0.00555555555555598-0.0125000000000001)</f>
        <v>6.9444444444441197E-3</v>
      </c>
      <c r="F309" s="1" t="s">
        <v>3</v>
      </c>
    </row>
    <row r="310" spans="1:6" x14ac:dyDescent="0.25">
      <c r="A310" s="11">
        <v>42095</v>
      </c>
      <c r="B310" s="7">
        <v>0.67013888888888884</v>
      </c>
      <c r="C310" s="7">
        <v>0.68263888888888891</v>
      </c>
      <c r="D310" s="7">
        <f>(0.682638888888889-0.670138888888889)</f>
        <v>1.2500000000000067E-2</v>
      </c>
      <c r="E310" s="7">
        <f>ABS(0.0125000000000001-0.00902777777777797)</f>
        <v>3.4722222222221301E-3</v>
      </c>
      <c r="F310" s="1" t="s">
        <v>3</v>
      </c>
    </row>
    <row r="311" spans="1:6" x14ac:dyDescent="0.25">
      <c r="A311" s="11">
        <v>42095</v>
      </c>
      <c r="B311" s="7">
        <v>0.71736111111111101</v>
      </c>
      <c r="C311" s="7">
        <v>0.72638888888888886</v>
      </c>
      <c r="D311" s="7">
        <f>(0.726388888888889-0.717361111111111)</f>
        <v>9.0277777777779677E-3</v>
      </c>
      <c r="E311" s="7">
        <f>ABS(0.00902777777777797-0.0118055555555561)</f>
        <v>2.7777777777781305E-3</v>
      </c>
      <c r="F311" s="1" t="s">
        <v>3</v>
      </c>
    </row>
    <row r="312" spans="1:6" x14ac:dyDescent="0.25">
      <c r="A312" s="11">
        <v>42095</v>
      </c>
      <c r="B312" s="7">
        <v>0.7597222222222223</v>
      </c>
      <c r="C312" s="7">
        <v>0.7715277777777777</v>
      </c>
      <c r="D312" s="7">
        <f>(0.771527777777778-0.759722222222222)</f>
        <v>1.1805555555556069E-2</v>
      </c>
      <c r="E312" s="7">
        <f>ABS(0.0118055555555561-0.024305555555555)</f>
        <v>1.2499999999998901E-2</v>
      </c>
      <c r="F312" s="1" t="s">
        <v>3</v>
      </c>
    </row>
    <row r="313" spans="1:6" x14ac:dyDescent="0.25">
      <c r="A313" s="11">
        <v>42095</v>
      </c>
      <c r="B313" s="7">
        <v>0.48402777777777778</v>
      </c>
      <c r="C313" s="7">
        <v>0.5083333333333333</v>
      </c>
      <c r="D313" s="7">
        <f>(0.508333333333333-0.484027777777778)</f>
        <v>2.430555555555497E-2</v>
      </c>
      <c r="E313" s="7">
        <f>ABS(0.024305555555555-0.00694444444444497)</f>
        <v>1.7361111111110029E-2</v>
      </c>
      <c r="F313" s="1" t="s">
        <v>3</v>
      </c>
    </row>
    <row r="314" spans="1:6" x14ac:dyDescent="0.25">
      <c r="A314" s="11">
        <v>42095</v>
      </c>
      <c r="B314" s="7">
        <v>0.6333333333333333</v>
      </c>
      <c r="C314" s="7">
        <v>0.64027777777777783</v>
      </c>
      <c r="D314" s="7">
        <f>(0.640277777777778-0.633333333333333)</f>
        <v>6.9444444444449749E-3</v>
      </c>
      <c r="E314" s="7">
        <f>ABS(0.00694444444444497-0.0131944444444441)</f>
        <v>6.2499999999991295E-3</v>
      </c>
      <c r="F314" s="1" t="s">
        <v>3</v>
      </c>
    </row>
    <row r="315" spans="1:6" x14ac:dyDescent="0.25">
      <c r="A315" s="11">
        <v>42095</v>
      </c>
      <c r="B315" s="7">
        <v>0.76250000000000007</v>
      </c>
      <c r="C315" s="7">
        <v>0.77569444444444446</v>
      </c>
      <c r="D315" s="7">
        <f>(0.775694444444444-0.7625)</f>
        <v>1.3194444444444065E-2</v>
      </c>
      <c r="E315" s="7">
        <f>ABS(0.0131944444444441-0.010416666666666)</f>
        <v>2.7777777777780992E-3</v>
      </c>
      <c r="F315" s="1" t="s">
        <v>3</v>
      </c>
    </row>
    <row r="316" spans="1:6" x14ac:dyDescent="0.25">
      <c r="A316" s="11">
        <v>42095</v>
      </c>
      <c r="B316" s="7">
        <v>0.7680555555555556</v>
      </c>
      <c r="C316" s="7">
        <v>0.77847222222222223</v>
      </c>
      <c r="D316" s="7">
        <f>(0.778472222222222-0.768055555555556)</f>
        <v>1.0416666666665964E-2</v>
      </c>
      <c r="E316" s="7">
        <f>ABS(0.010416666666666-0.0159722222222221)</f>
        <v>5.5555555555560996E-3</v>
      </c>
      <c r="F316" s="1" t="s">
        <v>3</v>
      </c>
    </row>
    <row r="317" spans="1:6" x14ac:dyDescent="0.25">
      <c r="A317" s="11">
        <v>42095</v>
      </c>
      <c r="B317" s="7">
        <v>0.91249999999999998</v>
      </c>
      <c r="C317" s="7">
        <v>0.92847222222222225</v>
      </c>
      <c r="D317" s="7">
        <f>(0.928472222222222-0.9125)</f>
        <v>1.5972222222222054E-2</v>
      </c>
      <c r="E317" s="7">
        <f>ABS(0.0159722222222221-0.0173611111111111)</f>
        <v>1.3888888888890019E-3</v>
      </c>
      <c r="F317" s="1" t="s">
        <v>3</v>
      </c>
    </row>
    <row r="318" spans="1:6" x14ac:dyDescent="0.25">
      <c r="A318" s="11">
        <v>42095</v>
      </c>
      <c r="B318" s="7">
        <v>4.8611111111111112E-2</v>
      </c>
      <c r="C318" s="7">
        <v>6.5972222222222224E-2</v>
      </c>
      <c r="D318" s="7">
        <f>(0.0659722222222222-0.0486111111111111)</f>
        <v>1.7361111111111098E-2</v>
      </c>
      <c r="E318" s="7">
        <f>ABS(0.0173611111111111-0.00625)</f>
        <v>1.1111111111111101E-2</v>
      </c>
      <c r="F318" s="1" t="s">
        <v>3</v>
      </c>
    </row>
    <row r="319" spans="1:6" x14ac:dyDescent="0.25">
      <c r="A319" s="11">
        <v>42095</v>
      </c>
      <c r="B319" s="7">
        <v>5.9722222222222225E-2</v>
      </c>
      <c r="C319" s="7">
        <v>6.5972222222222224E-2</v>
      </c>
      <c r="D319" s="7">
        <f>(0.0659722222222222-0.0597222222222222)</f>
        <v>6.2499999999999986E-3</v>
      </c>
      <c r="E319" s="7">
        <f>ABS(0.00625-0.021527777777778)</f>
        <v>1.5277777777777999E-2</v>
      </c>
      <c r="F319" s="1" t="s">
        <v>3</v>
      </c>
    </row>
    <row r="320" spans="1:6" x14ac:dyDescent="0.25">
      <c r="A320" s="11">
        <v>42095</v>
      </c>
      <c r="B320" s="7">
        <v>0.39583333333333331</v>
      </c>
      <c r="C320" s="7">
        <v>0.41736111111111113</v>
      </c>
      <c r="D320" s="7">
        <f>(0.417361111111111-0.395833333333333)</f>
        <v>2.1527777777778034E-2</v>
      </c>
      <c r="E320" s="7">
        <f>ABS(0.021527777777778-0.0111111111111111)</f>
        <v>1.04166666666669E-2</v>
      </c>
      <c r="F320" s="1" t="s">
        <v>3</v>
      </c>
    </row>
    <row r="321" spans="1:6" x14ac:dyDescent="0.25">
      <c r="A321" s="11">
        <v>42095</v>
      </c>
      <c r="B321" s="7">
        <v>0.54166666666666663</v>
      </c>
      <c r="C321" s="7">
        <v>0.55277777777777781</v>
      </c>
      <c r="D321" s="7">
        <f>(0.552777777777778-0.541666666666667)</f>
        <v>1.1111111111111072E-2</v>
      </c>
      <c r="E321" s="7">
        <f>ABS(0.0111111111111111-0.019444444444445)</f>
        <v>8.3333333333339005E-3</v>
      </c>
      <c r="F321" s="1" t="s">
        <v>3</v>
      </c>
    </row>
    <row r="322" spans="1:6" x14ac:dyDescent="0.25">
      <c r="A322" s="11">
        <v>42095</v>
      </c>
      <c r="B322" s="7">
        <v>0.7319444444444444</v>
      </c>
      <c r="C322" s="7">
        <v>0.75138888888888899</v>
      </c>
      <c r="D322" s="7">
        <f>(0.751388888888889-0.731944444444444)</f>
        <v>1.9444444444445041E-2</v>
      </c>
      <c r="E322" s="7">
        <f>ABS(0.019444444444445-0.013888888888889)</f>
        <v>5.5555555555560007E-3</v>
      </c>
      <c r="F322" s="1" t="s">
        <v>3</v>
      </c>
    </row>
    <row r="323" spans="1:6" x14ac:dyDescent="0.25">
      <c r="A323" s="11">
        <v>42095</v>
      </c>
      <c r="B323" s="7">
        <v>0.89444444444444438</v>
      </c>
      <c r="C323" s="7">
        <v>0.90833333333333333</v>
      </c>
      <c r="D323" s="7">
        <f>(0.908333333333333-0.894444444444444)</f>
        <v>1.3888888888888951E-2</v>
      </c>
      <c r="E323" s="7">
        <f>ABS(0.013888888888889-0.00763888888888908)</f>
        <v>6.2499999999999188E-3</v>
      </c>
      <c r="F323" s="1" t="s">
        <v>3</v>
      </c>
    </row>
    <row r="324" spans="1:6" x14ac:dyDescent="0.25">
      <c r="A324" s="11">
        <v>42095</v>
      </c>
      <c r="B324" s="7">
        <v>0.92083333333333339</v>
      </c>
      <c r="C324" s="7">
        <v>0.92847222222222225</v>
      </c>
      <c r="D324" s="7">
        <f>(0.928472222222222-0.920833333333333)</f>
        <v>7.6388888888890838E-3</v>
      </c>
      <c r="E324" s="7"/>
      <c r="F324" s="1" t="s">
        <v>3</v>
      </c>
    </row>
    <row r="325" spans="1:6" x14ac:dyDescent="0.25">
      <c r="A325" s="11">
        <v>42095</v>
      </c>
      <c r="B325" s="7">
        <v>0.6333333333333333</v>
      </c>
      <c r="C325" s="7">
        <v>0.65833333333333333</v>
      </c>
      <c r="D325" s="7">
        <f>(0.658333333333333-0.633333333333333)</f>
        <v>2.5000000000000022E-2</v>
      </c>
      <c r="E325" s="7">
        <f>ABS(0.025-0.00902777777777797)</f>
        <v>1.5972222222222034E-2</v>
      </c>
      <c r="F325" s="1" t="s">
        <v>10</v>
      </c>
    </row>
    <row r="326" spans="1:6" x14ac:dyDescent="0.25">
      <c r="A326" s="11">
        <v>42095</v>
      </c>
      <c r="B326" s="7">
        <v>0.5</v>
      </c>
      <c r="C326" s="7">
        <v>0.50902777777777775</v>
      </c>
      <c r="D326" s="7">
        <f>(0.509027777777778-0.5)</f>
        <v>9.0277777777779677E-3</v>
      </c>
      <c r="E326" s="7">
        <f>ABS(0.00902777777777797-0.0166666666666669)</f>
        <v>7.6388888888889294E-3</v>
      </c>
      <c r="F326" s="1" t="s">
        <v>10</v>
      </c>
    </row>
    <row r="327" spans="1:6" x14ac:dyDescent="0.25">
      <c r="A327" s="11">
        <v>42095</v>
      </c>
      <c r="B327" s="7">
        <v>0.62361111111111112</v>
      </c>
      <c r="C327" s="7">
        <v>0.64027777777777783</v>
      </c>
      <c r="D327" s="7">
        <f>(0.640277777777778-0.623611111111111)</f>
        <v>1.6666666666666941E-2</v>
      </c>
      <c r="E327" s="7">
        <f>ABS(0.0166666666666669-0.0472222222222221)</f>
        <v>3.0555555555555204E-2</v>
      </c>
      <c r="F327" s="1" t="s">
        <v>10</v>
      </c>
    </row>
    <row r="328" spans="1:6" x14ac:dyDescent="0.25">
      <c r="A328" s="11">
        <v>42095</v>
      </c>
      <c r="B328" s="7">
        <v>0.625</v>
      </c>
      <c r="C328" s="7">
        <v>0.67222222222222217</v>
      </c>
      <c r="D328" s="7">
        <f>(0.672222222222222-0.625)</f>
        <v>4.7222222222222054E-2</v>
      </c>
      <c r="E328" s="7">
        <f>ABS(0.0472222222222221-0.019444444444444)</f>
        <v>2.7777777777778102E-2</v>
      </c>
      <c r="F328" s="1" t="s">
        <v>10</v>
      </c>
    </row>
    <row r="329" spans="1:6" x14ac:dyDescent="0.25">
      <c r="A329" s="11">
        <v>42095</v>
      </c>
      <c r="B329" s="7">
        <v>0.75277777777777777</v>
      </c>
      <c r="C329" s="7">
        <v>0.77222222222222225</v>
      </c>
      <c r="D329" s="7">
        <f>(0.772222222222222-0.752777777777778)</f>
        <v>1.9444444444444042E-2</v>
      </c>
      <c r="E329" s="7">
        <f>ABS(0.019444444444444-0.01875)</f>
        <v>6.9444444444400136E-4</v>
      </c>
      <c r="F329" s="1" t="s">
        <v>10</v>
      </c>
    </row>
    <row r="330" spans="1:6" x14ac:dyDescent="0.25">
      <c r="A330" s="11">
        <v>42095</v>
      </c>
      <c r="B330" s="7">
        <v>0.8847222222222223</v>
      </c>
      <c r="C330" s="7">
        <v>0.90347222222222223</v>
      </c>
      <c r="D330" s="7">
        <f>(0.903472222222222-0.884722222222222)</f>
        <v>1.8750000000000044E-2</v>
      </c>
      <c r="E330" s="7">
        <f>ABS(0.01875-0.0159722222222229)</f>
        <v>2.7777777777770983E-3</v>
      </c>
      <c r="F330" s="1" t="s">
        <v>10</v>
      </c>
    </row>
    <row r="331" spans="1:6" x14ac:dyDescent="0.25">
      <c r="A331" s="11">
        <v>42095</v>
      </c>
      <c r="B331" s="7">
        <v>0.89444444444444438</v>
      </c>
      <c r="C331" s="7">
        <v>0.91041666666666676</v>
      </c>
      <c r="D331" s="7">
        <f>(0.910416666666667-0.894444444444444)</f>
        <v>1.5972222222222943E-2</v>
      </c>
      <c r="E331" s="7">
        <f>ABS(0.0159722222222229-0.0145833333333329)</f>
        <v>1.3888888888900011E-3</v>
      </c>
      <c r="F331" s="1" t="s">
        <v>10</v>
      </c>
    </row>
    <row r="332" spans="1:6" x14ac:dyDescent="0.25">
      <c r="A332" s="11">
        <v>42095</v>
      </c>
      <c r="B332" s="7">
        <v>0.90277777777777779</v>
      </c>
      <c r="C332" s="7">
        <v>0.91736111111111107</v>
      </c>
      <c r="D332" s="7">
        <f>(0.917361111111111-0.902777777777778)</f>
        <v>1.4583333333332948E-2</v>
      </c>
      <c r="E332" s="7">
        <f>ABS(0.0145833333333329-0.020138888888889)</f>
        <v>5.5555555555561013E-3</v>
      </c>
      <c r="F332" s="1" t="s">
        <v>10</v>
      </c>
    </row>
    <row r="333" spans="1:6" x14ac:dyDescent="0.25">
      <c r="A333" s="11">
        <v>42095</v>
      </c>
      <c r="B333" s="7">
        <v>0.90902777777777777</v>
      </c>
      <c r="C333" s="7">
        <v>0.9291666666666667</v>
      </c>
      <c r="D333" s="7">
        <f>(0.929166666666667-0.909027777777778)</f>
        <v>2.0138888888889039E-2</v>
      </c>
      <c r="E333" s="7">
        <f>ABS(0.020138888888889-0.0166666666666669)</f>
        <v>3.4722222222221023E-3</v>
      </c>
      <c r="F333" s="1" t="s">
        <v>10</v>
      </c>
    </row>
    <row r="334" spans="1:6" x14ac:dyDescent="0.25">
      <c r="A334" s="11">
        <v>42095</v>
      </c>
      <c r="B334" s="7">
        <v>0.93125000000000002</v>
      </c>
      <c r="C334" s="7">
        <v>0.94791666666666663</v>
      </c>
      <c r="D334" s="7">
        <f>(0.947916666666667-0.93125)</f>
        <v>1.6666666666666941E-2</v>
      </c>
      <c r="E334" s="7">
        <f>ABS(0.0166666666666669-0.025000000000002)</f>
        <v>8.3333333333351009E-3</v>
      </c>
      <c r="F334" s="1" t="s">
        <v>10</v>
      </c>
    </row>
    <row r="335" spans="1:6" x14ac:dyDescent="0.25">
      <c r="A335" s="11">
        <v>42095</v>
      </c>
      <c r="B335" s="7">
        <v>0.99652777777777779</v>
      </c>
      <c r="C335" s="7">
        <v>1.0215277777777778</v>
      </c>
      <c r="D335" s="7">
        <f>(1.02152777777778-0.996527777777778)</f>
        <v>2.5000000000002021E-2</v>
      </c>
      <c r="E335" s="7">
        <f>ABS(0.025000000000002-0.00902777777777797)</f>
        <v>1.5972222222224032E-2</v>
      </c>
      <c r="F335" s="1" t="s">
        <v>10</v>
      </c>
    </row>
    <row r="336" spans="1:6" x14ac:dyDescent="0.25">
      <c r="A336" s="11">
        <v>42095</v>
      </c>
      <c r="B336" s="7">
        <v>0.87291666666666667</v>
      </c>
      <c r="C336" s="7">
        <v>0.88194444444444453</v>
      </c>
      <c r="D336" s="7">
        <f>(0.881944444444445-0.872916666666667)</f>
        <v>9.0277777777779677E-3</v>
      </c>
      <c r="E336" s="7">
        <f>ABS(0.00902777777777797-0.0194444444444445)</f>
        <v>1.0416666666666531E-2</v>
      </c>
      <c r="F336" s="1" t="s">
        <v>10</v>
      </c>
    </row>
    <row r="337" spans="1:6" x14ac:dyDescent="0.25">
      <c r="A337" s="11">
        <v>42095</v>
      </c>
      <c r="B337" s="7">
        <v>3.1944444444444449E-2</v>
      </c>
      <c r="C337" s="7">
        <v>5.1388888888888894E-2</v>
      </c>
      <c r="D337" s="7">
        <f>(0.0513888888888889-0.0319444444444444)</f>
        <v>1.94444444444445E-2</v>
      </c>
      <c r="E337" s="7">
        <f>ABS(0.0194444444444445-0.015277777777778)</f>
        <v>4.1666666666665009E-3</v>
      </c>
      <c r="F337" s="1" t="s">
        <v>10</v>
      </c>
    </row>
    <row r="338" spans="1:6" x14ac:dyDescent="0.25">
      <c r="A338" s="11">
        <v>42095</v>
      </c>
      <c r="B338" s="7">
        <v>0.15138888888888888</v>
      </c>
      <c r="C338" s="7">
        <v>0.16666666666666666</v>
      </c>
      <c r="D338" s="7">
        <f>(0.166666666666667-0.151388888888889)</f>
        <v>1.5277777777778001E-2</v>
      </c>
      <c r="E338" s="7">
        <f>ABS(0.015277777777778-0.015277777777778)</f>
        <v>0</v>
      </c>
      <c r="F338" s="1" t="s">
        <v>10</v>
      </c>
    </row>
    <row r="339" spans="1:6" x14ac:dyDescent="0.25">
      <c r="A339" s="11">
        <v>42095</v>
      </c>
      <c r="B339" s="7">
        <v>0.3</v>
      </c>
      <c r="C339" s="7">
        <v>0.31527777777777777</v>
      </c>
      <c r="D339" s="7">
        <f>(0.315277777777778-0.3)</f>
        <v>1.5277777777778001E-2</v>
      </c>
      <c r="E339" s="7">
        <f>ABS(0.015277777777778-0.022916666666666)</f>
        <v>7.6388888888879996E-3</v>
      </c>
      <c r="F339" s="1" t="s">
        <v>10</v>
      </c>
    </row>
    <row r="340" spans="1:6" x14ac:dyDescent="0.25">
      <c r="A340" s="11">
        <v>42095</v>
      </c>
      <c r="B340" s="7">
        <v>0.37291666666666662</v>
      </c>
      <c r="C340" s="7">
        <v>0.39583333333333331</v>
      </c>
      <c r="D340" s="7">
        <f>(0.395833333333333-0.372916666666667)</f>
        <v>2.2916666666665975E-2</v>
      </c>
      <c r="E340" s="7">
        <f>ABS(0.022916666666666-0.022222222222222)</f>
        <v>6.9444444444399789E-4</v>
      </c>
      <c r="F340" s="1" t="s">
        <v>10</v>
      </c>
    </row>
    <row r="341" spans="1:6" x14ac:dyDescent="0.25">
      <c r="A341" s="11">
        <v>42095</v>
      </c>
      <c r="B341" s="7">
        <v>0.37361111111111112</v>
      </c>
      <c r="C341" s="7">
        <v>0.39583333333333331</v>
      </c>
      <c r="D341" s="7">
        <f>(0.395833333333333-0.373611111111111)</f>
        <v>2.2222222222221977E-2</v>
      </c>
      <c r="E341" s="7">
        <f>ABS(0.022222222222222-0.015972222222222)</f>
        <v>6.2500000000000021E-3</v>
      </c>
      <c r="F341" s="1" t="s">
        <v>10</v>
      </c>
    </row>
    <row r="342" spans="1:6" x14ac:dyDescent="0.25">
      <c r="A342" s="11">
        <v>42095</v>
      </c>
      <c r="B342" s="7">
        <v>0.4861111111111111</v>
      </c>
      <c r="C342" s="7">
        <v>0.50208333333333333</v>
      </c>
      <c r="D342" s="7">
        <f>(0.502083333333333-0.486111111111111)</f>
        <v>1.5972222222221999E-2</v>
      </c>
      <c r="E342" s="7">
        <f>ABS(0.015972222222222-0.0166666666666661)</f>
        <v>6.9444444444410197E-4</v>
      </c>
      <c r="F342" s="5" t="s">
        <v>10</v>
      </c>
    </row>
    <row r="343" spans="1:6" x14ac:dyDescent="0.25">
      <c r="A343" s="11">
        <v>42095</v>
      </c>
      <c r="B343" s="7">
        <v>0.53541666666666665</v>
      </c>
      <c r="C343" s="7">
        <v>0.55208333333333337</v>
      </c>
      <c r="D343" s="7">
        <f>(0.552083333333333-0.535416666666667)</f>
        <v>1.6666666666666052E-2</v>
      </c>
      <c r="E343" s="7">
        <f>ABS(0.0166666666666661-0.0222222222222219)</f>
        <v>5.5555555555557995E-3</v>
      </c>
      <c r="F343" s="1" t="s">
        <v>10</v>
      </c>
    </row>
    <row r="344" spans="1:6" x14ac:dyDescent="0.25">
      <c r="A344" s="11">
        <v>42095</v>
      </c>
      <c r="B344" s="7">
        <v>0.58263888888888882</v>
      </c>
      <c r="C344" s="7">
        <v>0.60486111111111118</v>
      </c>
      <c r="D344" s="7">
        <f>(0.604861111111111-0.582638888888889)</f>
        <v>2.2222222222221921E-2</v>
      </c>
      <c r="E344" s="7">
        <f>ABS(0.0222222222222219-0.0145833333333329)</f>
        <v>7.6388888888890005E-3</v>
      </c>
      <c r="F344" s="1" t="s">
        <v>10</v>
      </c>
    </row>
    <row r="345" spans="1:6" x14ac:dyDescent="0.25">
      <c r="A345" s="11">
        <v>42095</v>
      </c>
      <c r="B345" s="7">
        <v>0.8041666666666667</v>
      </c>
      <c r="C345" s="7">
        <v>0.81874999999999998</v>
      </c>
      <c r="D345" s="7">
        <f>(0.81875-0.804166666666667)</f>
        <v>1.4583333333332948E-2</v>
      </c>
      <c r="E345" s="7">
        <f>ABS(0.0145833333333329-0.00763888888888897)</f>
        <v>6.9444444444439297E-3</v>
      </c>
      <c r="F345" s="1" t="s">
        <v>10</v>
      </c>
    </row>
    <row r="346" spans="1:6" x14ac:dyDescent="0.25">
      <c r="A346" s="11">
        <v>42095</v>
      </c>
      <c r="B346" s="7">
        <v>0.84444444444444444</v>
      </c>
      <c r="C346" s="7">
        <v>0.8520833333333333</v>
      </c>
      <c r="D346" s="7">
        <f>(0.852083333333333-0.844444444444444)</f>
        <v>7.6388888888889728E-3</v>
      </c>
      <c r="E346" s="7">
        <f>ABS(0.00763888888888897-0.0152777777777781)</f>
        <v>7.6388888888891298E-3</v>
      </c>
      <c r="F346" s="1" t="s">
        <v>10</v>
      </c>
    </row>
    <row r="347" spans="1:6" x14ac:dyDescent="0.25">
      <c r="A347" s="11">
        <v>42095</v>
      </c>
      <c r="B347" s="7">
        <v>0.9159722222222223</v>
      </c>
      <c r="C347" s="7">
        <v>0.93125000000000002</v>
      </c>
      <c r="D347" s="7">
        <f>(0.93125-0.915972222222222)</f>
        <v>1.5277777777778057E-2</v>
      </c>
      <c r="E347" s="7">
        <f>ABS(0.0152777777777781-0.017361111111111)</f>
        <v>2.0833333333329009E-3</v>
      </c>
      <c r="F347" s="1" t="s">
        <v>10</v>
      </c>
    </row>
    <row r="348" spans="1:6" x14ac:dyDescent="0.25">
      <c r="A348" s="11">
        <v>42095</v>
      </c>
      <c r="B348" s="7">
        <v>0.26250000000000001</v>
      </c>
      <c r="C348" s="7">
        <v>0.27986111111111112</v>
      </c>
      <c r="D348" s="7">
        <f>(0.279861111111111-0.2625)</f>
        <v>1.7361111111110994E-2</v>
      </c>
      <c r="E348" s="7">
        <f>ABS(0.017361111111111-0.018055555555556)</f>
        <v>6.9444444444500056E-4</v>
      </c>
      <c r="F348" s="1" t="s">
        <v>10</v>
      </c>
    </row>
    <row r="349" spans="1:6" x14ac:dyDescent="0.25">
      <c r="A349" s="11">
        <v>42095</v>
      </c>
      <c r="B349" s="7">
        <v>0.44444444444444442</v>
      </c>
      <c r="C349" s="7">
        <v>0.46249999999999997</v>
      </c>
      <c r="D349" s="7">
        <f>(0.4625-0.444444444444444)</f>
        <v>1.8055555555556047E-2</v>
      </c>
      <c r="E349" s="7">
        <f>ABS(0.018055555555556-0.0194444444444449)</f>
        <v>1.3888888888888978E-3</v>
      </c>
      <c r="F349" s="1" t="s">
        <v>10</v>
      </c>
    </row>
    <row r="350" spans="1:6" x14ac:dyDescent="0.25">
      <c r="A350" s="11">
        <v>42095</v>
      </c>
      <c r="B350" s="7">
        <v>0.60972222222222217</v>
      </c>
      <c r="C350" s="7">
        <v>0.62916666666666665</v>
      </c>
      <c r="D350" s="7">
        <f>(0.629166666666667-0.609722222222222)</f>
        <v>1.944444444444493E-2</v>
      </c>
      <c r="E350" s="7">
        <f>ABS(0.0194444444444449-0.0145833333333329)</f>
        <v>4.8611111111119994E-3</v>
      </c>
      <c r="F350" s="1" t="s">
        <v>10</v>
      </c>
    </row>
    <row r="351" spans="1:6" x14ac:dyDescent="0.25">
      <c r="A351" s="11">
        <v>42095</v>
      </c>
      <c r="B351" s="7">
        <v>0.625</v>
      </c>
      <c r="C351" s="7">
        <v>0.63958333333333328</v>
      </c>
      <c r="D351" s="7">
        <f>(0.639583333333333-0.625)</f>
        <v>1.4583333333332948E-2</v>
      </c>
      <c r="E351" s="7">
        <f>ABS(0.0145833333333329-0.015972222222222)</f>
        <v>1.3888888888890991E-3</v>
      </c>
      <c r="F351" s="1" t="s">
        <v>10</v>
      </c>
    </row>
    <row r="352" spans="1:6" x14ac:dyDescent="0.25">
      <c r="A352" s="11">
        <v>42095</v>
      </c>
      <c r="B352" s="7">
        <v>0.23055555555555554</v>
      </c>
      <c r="C352" s="7">
        <v>0.24652777777777779</v>
      </c>
      <c r="D352" s="7">
        <f>(0.246527777777778-0.230555555555556)</f>
        <v>1.5972222222221999E-2</v>
      </c>
      <c r="E352" s="7">
        <f>ABS(0.015972222222222-0.025)</f>
        <v>9.0277777777780024E-3</v>
      </c>
      <c r="F352" s="1" t="s">
        <v>10</v>
      </c>
    </row>
    <row r="353" spans="1:6" x14ac:dyDescent="0.25">
      <c r="A353" s="11">
        <v>42095</v>
      </c>
      <c r="B353" s="7">
        <v>0.81388888888888899</v>
      </c>
      <c r="C353" s="7">
        <v>0.83888888888888891</v>
      </c>
      <c r="D353" s="7">
        <f>(0.838888888888889-0.813888888888889)</f>
        <v>2.5000000000000022E-2</v>
      </c>
      <c r="E353" s="7">
        <f>ABS(0.025-0.0104166666666671)</f>
        <v>1.4583333333332902E-2</v>
      </c>
      <c r="F353" s="1" t="s">
        <v>10</v>
      </c>
    </row>
    <row r="354" spans="1:6" x14ac:dyDescent="0.25">
      <c r="A354" s="11">
        <v>42095</v>
      </c>
      <c r="B354" s="7">
        <v>0.8520833333333333</v>
      </c>
      <c r="C354" s="7">
        <v>0.86249999999999993</v>
      </c>
      <c r="D354" s="7">
        <f>(0.8625-0.852083333333333)</f>
        <v>1.0416666666667074E-2</v>
      </c>
      <c r="E354" s="7">
        <f>ABS(0.0104166666666671-0.0145833333333331)</f>
        <v>4.1666666666659996E-3</v>
      </c>
      <c r="F354" s="1" t="s">
        <v>10</v>
      </c>
    </row>
    <row r="355" spans="1:6" x14ac:dyDescent="0.25">
      <c r="A355" s="11">
        <v>42095</v>
      </c>
      <c r="B355" s="7">
        <v>0.97291666666666676</v>
      </c>
      <c r="C355" s="7">
        <v>0.98749999999999993</v>
      </c>
      <c r="D355" s="7">
        <f>(0.9875-0.972916666666667)</f>
        <v>1.4583333333333059E-2</v>
      </c>
      <c r="E355" s="7">
        <f>ABS(0.0145833333333331-0.020138888888889)</f>
        <v>5.5555555555559018E-3</v>
      </c>
      <c r="F355" s="1" t="s">
        <v>10</v>
      </c>
    </row>
    <row r="356" spans="1:6" x14ac:dyDescent="0.25">
      <c r="A356" s="11">
        <v>42095</v>
      </c>
      <c r="B356" s="7">
        <v>0.41597222222222219</v>
      </c>
      <c r="C356" s="7">
        <v>0.43611111111111112</v>
      </c>
      <c r="D356" s="7">
        <f>(0.436111111111111-0.415972222222222)</f>
        <v>2.0138888888888984E-2</v>
      </c>
      <c r="E356" s="7">
        <f>ABS(0.020138888888889-0.00625000000000003)</f>
        <v>1.3888888888888971E-2</v>
      </c>
      <c r="F356" s="1" t="s">
        <v>10</v>
      </c>
    </row>
    <row r="357" spans="1:6" x14ac:dyDescent="0.25">
      <c r="A357" s="11">
        <v>42095</v>
      </c>
      <c r="B357" s="7">
        <v>0.47569444444444442</v>
      </c>
      <c r="C357" s="7">
        <v>0.48194444444444445</v>
      </c>
      <c r="D357" s="7">
        <f>(0.481944444444444-0.475694444444444)</f>
        <v>6.2500000000000333E-3</v>
      </c>
      <c r="E357" s="7">
        <f>ABS(0.00625000000000003-0.0159722222222219)</f>
        <v>9.7222222222218685E-3</v>
      </c>
      <c r="F357" s="1" t="s">
        <v>10</v>
      </c>
    </row>
    <row r="358" spans="1:6" x14ac:dyDescent="0.25">
      <c r="A358" s="11">
        <v>42095</v>
      </c>
      <c r="B358" s="7">
        <v>0.54999999999999993</v>
      </c>
      <c r="C358" s="7">
        <v>0.56597222222222221</v>
      </c>
      <c r="D358" s="7">
        <f>(0.565972222222222-0.55)</f>
        <v>1.5972222222221943E-2</v>
      </c>
      <c r="E358" s="7">
        <f>ABS(0.0159722222222219-0.00902777777777708)</f>
        <v>6.9444444444448188E-3</v>
      </c>
      <c r="F358" s="1" t="s">
        <v>10</v>
      </c>
    </row>
    <row r="359" spans="1:6" x14ac:dyDescent="0.25">
      <c r="A359" s="11">
        <v>42095</v>
      </c>
      <c r="B359" s="7">
        <v>0.69791666666666663</v>
      </c>
      <c r="C359" s="7">
        <v>0.70694444444444438</v>
      </c>
      <c r="D359" s="7">
        <f>(0.706944444444444-0.697916666666667)</f>
        <v>9.0277777777770796E-3</v>
      </c>
      <c r="E359" s="7">
        <f>ABS(0.00902777777777708-0.0152777777777779)</f>
        <v>6.2500000000008209E-3</v>
      </c>
      <c r="F359" s="1" t="s">
        <v>10</v>
      </c>
    </row>
    <row r="360" spans="1:6" x14ac:dyDescent="0.25">
      <c r="A360" s="11">
        <v>42095</v>
      </c>
      <c r="B360" s="7">
        <v>0.7104166666666667</v>
      </c>
      <c r="C360" s="7">
        <v>0.72569444444444453</v>
      </c>
      <c r="D360" s="7">
        <f>(0.725694444444445-0.710416666666667)</f>
        <v>1.5277777777777946E-2</v>
      </c>
      <c r="E360" s="7">
        <f>ABS(0.0152777777777779-0.019444444444444)</f>
        <v>4.1666666666661002E-3</v>
      </c>
      <c r="F360" s="1" t="s">
        <v>10</v>
      </c>
    </row>
    <row r="361" spans="1:6" x14ac:dyDescent="0.25">
      <c r="A361" s="11">
        <v>42095</v>
      </c>
      <c r="B361" s="7">
        <v>0.85555555555555562</v>
      </c>
      <c r="C361" s="7">
        <v>0.875</v>
      </c>
      <c r="D361" s="7">
        <f>(0.875-0.855555555555556)</f>
        <v>1.9444444444444042E-2</v>
      </c>
      <c r="E361" s="7">
        <f>ABS(0.019444444444444-0.011111111111112)</f>
        <v>8.333333333332001E-3</v>
      </c>
      <c r="F361" s="1" t="s">
        <v>10</v>
      </c>
    </row>
    <row r="362" spans="1:6" x14ac:dyDescent="0.25">
      <c r="A362" s="11">
        <v>42095</v>
      </c>
      <c r="B362" s="7">
        <v>0.86944444444444446</v>
      </c>
      <c r="C362" s="7">
        <v>0.88055555555555554</v>
      </c>
      <c r="D362" s="7">
        <f>(0.880555555555556-0.869444444444444)</f>
        <v>1.111111111111196E-2</v>
      </c>
      <c r="E362" s="7">
        <f>ABS(0.011111111111112-0.0152777777777802)</f>
        <v>4.166666666668201E-3</v>
      </c>
      <c r="F362" s="1" t="s">
        <v>10</v>
      </c>
    </row>
    <row r="363" spans="1:6" x14ac:dyDescent="0.25">
      <c r="A363" s="11">
        <v>42095</v>
      </c>
      <c r="B363" s="7">
        <v>1.0250000000000001</v>
      </c>
      <c r="C363" s="7">
        <v>1.0402777777777776</v>
      </c>
      <c r="D363" s="7">
        <f>(1.04027777777778-1.025)</f>
        <v>1.5277777777780166E-2</v>
      </c>
      <c r="E363" s="7">
        <f>ABS(0.0152777777777802-0.020833333333333)</f>
        <v>5.5555555555527984E-3</v>
      </c>
      <c r="F363" s="1" t="s">
        <v>10</v>
      </c>
    </row>
    <row r="364" spans="1:6" x14ac:dyDescent="0.25">
      <c r="A364" s="11">
        <v>42095</v>
      </c>
      <c r="B364" s="7">
        <v>0.39027777777777778</v>
      </c>
      <c r="C364" s="7">
        <v>0.41111111111111115</v>
      </c>
      <c r="D364" s="7">
        <f>(0.411111111111111-0.390277777777778)</f>
        <v>2.0833333333332982E-2</v>
      </c>
      <c r="E364" s="7">
        <f>ABS(0.020833333333333-0.033333333333334)</f>
        <v>1.2500000000001E-2</v>
      </c>
      <c r="F364" s="1" t="s">
        <v>10</v>
      </c>
    </row>
    <row r="365" spans="1:6" x14ac:dyDescent="0.25">
      <c r="A365" s="11">
        <v>42095</v>
      </c>
      <c r="B365" s="7">
        <v>0.5395833333333333</v>
      </c>
      <c r="C365" s="7">
        <v>0.57291666666666663</v>
      </c>
      <c r="D365" s="7">
        <f>(0.572916666666667-0.539583333333333)</f>
        <v>3.3333333333333992E-2</v>
      </c>
      <c r="E365" s="7">
        <f>ABS(0.033333333333334-0.018055555555556)</f>
        <v>1.5277777777777998E-2</v>
      </c>
      <c r="F365" s="1" t="s">
        <v>10</v>
      </c>
    </row>
    <row r="366" spans="1:6" x14ac:dyDescent="0.25">
      <c r="A366" s="11">
        <v>42095</v>
      </c>
      <c r="B366" s="7">
        <v>0.6</v>
      </c>
      <c r="C366" s="7">
        <v>0.61805555555555558</v>
      </c>
      <c r="D366" s="7">
        <f>(0.618055555555556-0.6)</f>
        <v>1.8055555555556047E-2</v>
      </c>
      <c r="E366" s="7">
        <f>ABS(0.018055555555556-0.0166666666666669)</f>
        <v>1.3888888888891025E-3</v>
      </c>
      <c r="F366" s="1" t="s">
        <v>10</v>
      </c>
    </row>
    <row r="367" spans="1:6" x14ac:dyDescent="0.25">
      <c r="A367" s="11">
        <v>42095</v>
      </c>
      <c r="B367" s="7">
        <v>0.95624999999999993</v>
      </c>
      <c r="C367" s="7">
        <v>0.97291666666666676</v>
      </c>
      <c r="D367" s="7">
        <f>(0.972916666666667-0.95625)</f>
        <v>1.6666666666666941E-2</v>
      </c>
      <c r="E367" s="7">
        <f>ABS(0.0166666666666669-0.00208333333333399)</f>
        <v>1.4583333333332909E-2</v>
      </c>
      <c r="F367" s="1" t="s">
        <v>10</v>
      </c>
    </row>
    <row r="368" spans="1:6" x14ac:dyDescent="0.25">
      <c r="A368" s="11">
        <v>42095</v>
      </c>
      <c r="B368" s="7">
        <v>0.41597222222222219</v>
      </c>
      <c r="C368" s="7">
        <v>0.41805555555555557</v>
      </c>
      <c r="D368" s="7">
        <f>(0.418055555555556-0.415972222222222)</f>
        <v>2.0833333333339921E-3</v>
      </c>
      <c r="E368" s="7">
        <f>ABS(0.00208333333333399-0.013888888888889)</f>
        <v>1.1805555555555009E-2</v>
      </c>
      <c r="F368" s="1" t="s">
        <v>10</v>
      </c>
    </row>
    <row r="369" spans="1:6" x14ac:dyDescent="0.25">
      <c r="A369" s="11">
        <v>42095</v>
      </c>
      <c r="B369" s="7">
        <v>0.45</v>
      </c>
      <c r="C369" s="7">
        <v>0.46388888888888885</v>
      </c>
      <c r="D369" s="7">
        <f>(0.463888888888889-0.45)</f>
        <v>1.3888888888889006E-2</v>
      </c>
      <c r="E369" s="7">
        <f>ABS(0.013888888888889-0.01875)</f>
        <v>4.8611111111110002E-3</v>
      </c>
      <c r="F369" s="1" t="s">
        <v>10</v>
      </c>
    </row>
    <row r="370" spans="1:6" x14ac:dyDescent="0.25">
      <c r="A370" s="11">
        <v>42095</v>
      </c>
      <c r="B370" s="7">
        <v>0.4548611111111111</v>
      </c>
      <c r="C370" s="7">
        <v>0.47361111111111115</v>
      </c>
      <c r="D370" s="7">
        <f>(0.473611111111111-0.454861111111111)</f>
        <v>1.8749999999999989E-2</v>
      </c>
      <c r="E370" s="7">
        <f>ABS(0.01875-0.018055555555555)</f>
        <v>6.9444444444500056E-4</v>
      </c>
      <c r="F370" s="1" t="s">
        <v>10</v>
      </c>
    </row>
    <row r="371" spans="1:6" x14ac:dyDescent="0.25">
      <c r="A371" s="11">
        <v>42095</v>
      </c>
      <c r="B371" s="7">
        <v>0.63680555555555551</v>
      </c>
      <c r="C371" s="7">
        <v>0.65486111111111112</v>
      </c>
      <c r="D371" s="7">
        <f>(0.654861111111111-0.636805555555556)</f>
        <v>1.8055555555555047E-2</v>
      </c>
      <c r="E371" s="7">
        <f>ABS(0.018055555555555-0.0180555555555559)</f>
        <v>9.0205620750793969E-16</v>
      </c>
      <c r="F371" s="1" t="s">
        <v>10</v>
      </c>
    </row>
    <row r="372" spans="1:6" x14ac:dyDescent="0.25">
      <c r="A372" s="11">
        <v>42095</v>
      </c>
      <c r="B372" s="7">
        <v>0.67222222222222217</v>
      </c>
      <c r="C372" s="7">
        <v>0.69027777777777777</v>
      </c>
      <c r="D372" s="7">
        <f>(0.690277777777778-0.672222222222222)</f>
        <v>1.8055555555555935E-2</v>
      </c>
      <c r="E372" s="7">
        <f>ABS(0.0180555555555559-0.020138888888889)</f>
        <v>2.0833333333331004E-3</v>
      </c>
      <c r="F372" s="1" t="s">
        <v>10</v>
      </c>
    </row>
    <row r="373" spans="1:6" x14ac:dyDescent="0.25">
      <c r="A373" s="11">
        <v>42095</v>
      </c>
      <c r="B373" s="7">
        <v>0.6875</v>
      </c>
      <c r="C373" s="7">
        <v>0.70763888888888893</v>
      </c>
      <c r="D373" s="7">
        <f>(0.707638888888889-0.6875)</f>
        <v>2.0138888888889039E-2</v>
      </c>
      <c r="E373" s="7">
        <f>ABS(0.020138888888889-0.020138888888889)</f>
        <v>0</v>
      </c>
      <c r="F373" s="1" t="s">
        <v>10</v>
      </c>
    </row>
    <row r="374" spans="1:6" x14ac:dyDescent="0.25">
      <c r="A374" s="11">
        <v>42095</v>
      </c>
      <c r="B374" s="7">
        <v>0.71527777777777779</v>
      </c>
      <c r="C374" s="7">
        <v>0.73541666666666661</v>
      </c>
      <c r="D374" s="7">
        <f>(0.735416666666667-0.715277777777778)</f>
        <v>2.0138888888889039E-2</v>
      </c>
      <c r="E374" s="7">
        <f>ABS(0.020138888888889-0.020138888888889)</f>
        <v>0</v>
      </c>
      <c r="F374" s="1" t="s">
        <v>10</v>
      </c>
    </row>
    <row r="375" spans="1:6" x14ac:dyDescent="0.25">
      <c r="A375" s="11">
        <v>42095</v>
      </c>
      <c r="B375" s="7">
        <v>0.7944444444444444</v>
      </c>
      <c r="C375" s="7">
        <v>0.81458333333333333</v>
      </c>
      <c r="D375" s="7">
        <f>(0.814583333333333-0.794444444444444)</f>
        <v>2.0138888888889039E-2</v>
      </c>
      <c r="E375" s="7">
        <f>ABS(0.020138888888889-0.0166666666666661)</f>
        <v>3.4722222222229003E-3</v>
      </c>
      <c r="F375" s="1" t="s">
        <v>10</v>
      </c>
    </row>
    <row r="376" spans="1:6" x14ac:dyDescent="0.25">
      <c r="A376" s="11">
        <v>42095</v>
      </c>
      <c r="B376" s="7">
        <v>0.79305555555555562</v>
      </c>
      <c r="C376" s="7">
        <v>0.80972222222222223</v>
      </c>
      <c r="D376" s="7">
        <f>(0.809722222222222-0.793055555555556)</f>
        <v>1.6666666666666052E-2</v>
      </c>
      <c r="E376" s="7">
        <f>ABS(0.0166666666666661-0.0256944444444449)</f>
        <v>9.0277777777788004E-3</v>
      </c>
      <c r="F376" s="1" t="s">
        <v>10</v>
      </c>
    </row>
    <row r="377" spans="1:6" x14ac:dyDescent="0.25">
      <c r="A377" s="11">
        <v>42095</v>
      </c>
      <c r="B377" s="7">
        <v>0.95833333333333337</v>
      </c>
      <c r="C377" s="7">
        <v>0.98402777777777783</v>
      </c>
      <c r="D377" s="7">
        <f>(0.984027777777778-0.958333333333333)</f>
        <v>2.5694444444444908E-2</v>
      </c>
      <c r="E377" s="7">
        <f>ABS(0.0256944444444449-0.0166666666666669)</f>
        <v>9.0277777777780024E-3</v>
      </c>
      <c r="F377" s="1" t="s">
        <v>10</v>
      </c>
    </row>
    <row r="378" spans="1:6" x14ac:dyDescent="0.25">
      <c r="A378" s="11">
        <v>42095</v>
      </c>
      <c r="B378" s="7">
        <v>0.96736111111111101</v>
      </c>
      <c r="C378" s="7">
        <v>0.98402777777777783</v>
      </c>
      <c r="D378" s="7">
        <f>(0.984027777777778-0.967361111111111)</f>
        <v>1.6666666666666941E-2</v>
      </c>
      <c r="E378" s="7">
        <f>ABS(0.0166666666666669-0.020833333333333)</f>
        <v>4.1666666666661002E-3</v>
      </c>
      <c r="F378" s="1" t="s">
        <v>10</v>
      </c>
    </row>
    <row r="379" spans="1:6" x14ac:dyDescent="0.25">
      <c r="A379" s="11">
        <v>42095</v>
      </c>
      <c r="B379" s="7">
        <v>0.40138888888888885</v>
      </c>
      <c r="C379" s="7">
        <v>0.42222222222222222</v>
      </c>
      <c r="D379" s="7">
        <f>(0.422222222222222-0.401388888888889)</f>
        <v>2.0833333333332982E-2</v>
      </c>
      <c r="E379" s="7">
        <f>ABS(0.020833333333333-0.033333333333334)</f>
        <v>1.2500000000001E-2</v>
      </c>
      <c r="F379" s="1" t="s">
        <v>10</v>
      </c>
    </row>
    <row r="380" spans="1:6" x14ac:dyDescent="0.25">
      <c r="A380" s="11">
        <v>42095</v>
      </c>
      <c r="B380" s="7">
        <v>0.48958333333333331</v>
      </c>
      <c r="C380" s="7">
        <v>0.5229166666666667</v>
      </c>
      <c r="D380" s="7">
        <f>(0.522916666666667-0.489583333333333)</f>
        <v>3.3333333333334048E-2</v>
      </c>
      <c r="E380" s="7">
        <f>ABS(0.033333333333334-0.017361111111111)</f>
        <v>1.5972222222222998E-2</v>
      </c>
      <c r="F380" s="1" t="s">
        <v>10</v>
      </c>
    </row>
    <row r="381" spans="1:6" x14ac:dyDescent="0.25">
      <c r="A381" s="11">
        <v>42095</v>
      </c>
      <c r="B381" s="7">
        <v>0.56874999999999998</v>
      </c>
      <c r="C381" s="7">
        <v>0.58611111111111114</v>
      </c>
      <c r="D381" s="7">
        <f>(0.586111111111111-0.56875)</f>
        <v>1.7361111111111049E-2</v>
      </c>
      <c r="E381" s="7">
        <f>ABS(0.017361111111111-0.021527777777778)</f>
        <v>4.1666666666669988E-3</v>
      </c>
      <c r="F381" s="1" t="s">
        <v>10</v>
      </c>
    </row>
    <row r="382" spans="1:6" x14ac:dyDescent="0.25">
      <c r="A382" s="11">
        <v>42095</v>
      </c>
      <c r="B382" s="7">
        <v>0.59861111111111109</v>
      </c>
      <c r="C382" s="7">
        <v>0.62013888888888891</v>
      </c>
      <c r="D382" s="7">
        <f>(0.620138888888889-0.598611111111111)</f>
        <v>2.1527777777778034E-2</v>
      </c>
      <c r="E382" s="7">
        <f>ABS(0.021527777777778-0.017361111111111)</f>
        <v>4.1666666666669988E-3</v>
      </c>
      <c r="F382" s="1" t="s">
        <v>10</v>
      </c>
    </row>
    <row r="383" spans="1:6" x14ac:dyDescent="0.25">
      <c r="A383" s="11">
        <v>42095</v>
      </c>
      <c r="B383" s="7">
        <v>0.63680555555555551</v>
      </c>
      <c r="C383" s="7">
        <v>0.65416666666666667</v>
      </c>
      <c r="D383" s="7">
        <f>(0.654166666666667-0.636805555555556)</f>
        <v>1.7361111111111049E-2</v>
      </c>
      <c r="E383" s="7">
        <f>ABS(0.017361111111111-0.034027777777778)</f>
        <v>1.6666666666666996E-2</v>
      </c>
      <c r="F383" s="1" t="s">
        <v>10</v>
      </c>
    </row>
    <row r="384" spans="1:6" x14ac:dyDescent="0.25">
      <c r="A384" s="11">
        <v>42095</v>
      </c>
      <c r="B384" s="7">
        <v>0.74513888888888891</v>
      </c>
      <c r="C384" s="7">
        <v>0.77916666666666667</v>
      </c>
      <c r="D384" s="7">
        <f>(0.779166666666667-0.745138888888889)</f>
        <v>3.402777777777799E-2</v>
      </c>
      <c r="E384" s="7">
        <f>ABS(0.034027777777778-0.0236111111111109)</f>
        <v>1.0416666666667098E-2</v>
      </c>
      <c r="F384" s="1" t="s">
        <v>10</v>
      </c>
    </row>
    <row r="385" spans="1:6" x14ac:dyDescent="0.25">
      <c r="A385" s="11">
        <v>42095</v>
      </c>
      <c r="B385" s="7">
        <v>0.77083333333333337</v>
      </c>
      <c r="C385" s="7">
        <v>0.7944444444444444</v>
      </c>
      <c r="D385" s="7">
        <f>(0.794444444444444-0.770833333333333)</f>
        <v>2.3611111111110916E-2</v>
      </c>
      <c r="E385" s="7">
        <f>ABS(0.0236111111111109-0.023611111111111)</f>
        <v>1.0061396160665481E-16</v>
      </c>
      <c r="F385" s="1" t="s">
        <v>10</v>
      </c>
    </row>
    <row r="386" spans="1:6" x14ac:dyDescent="0.25">
      <c r="A386" s="11">
        <v>42095</v>
      </c>
      <c r="B386" s="7">
        <v>0.84375</v>
      </c>
      <c r="C386" s="7">
        <v>0.86736111111111114</v>
      </c>
      <c r="D386" s="7">
        <f>(0.867361111111111-0.84375)</f>
        <v>2.3611111111111027E-2</v>
      </c>
      <c r="E386" s="7">
        <f>ABS(0.023611111111111-0.013888888888889)</f>
        <v>9.7222222222220003E-3</v>
      </c>
      <c r="F386" s="1" t="s">
        <v>10</v>
      </c>
    </row>
    <row r="387" spans="1:6" x14ac:dyDescent="0.25">
      <c r="A387" s="11">
        <v>42095</v>
      </c>
      <c r="B387" s="7">
        <v>0.95416666666666661</v>
      </c>
      <c r="C387" s="7">
        <v>0.96805555555555556</v>
      </c>
      <c r="D387" s="7">
        <f>(0.968055555555556-0.954166666666667)</f>
        <v>1.3888888888888951E-2</v>
      </c>
      <c r="E387" s="7">
        <f>ABS(0.013888888888889-0.0166666666666669)</f>
        <v>2.7777777777778997E-3</v>
      </c>
      <c r="F387" s="1" t="s">
        <v>10</v>
      </c>
    </row>
    <row r="388" spans="1:6" x14ac:dyDescent="0.25">
      <c r="A388" s="11">
        <v>42095</v>
      </c>
      <c r="B388" s="7">
        <v>0.96388888888888891</v>
      </c>
      <c r="C388" s="7">
        <v>0.98055555555555562</v>
      </c>
      <c r="D388" s="7">
        <f>(0.980555555555556-0.963888888888889)</f>
        <v>1.6666666666666941E-2</v>
      </c>
      <c r="E388" s="7">
        <f>ABS(0.0166666666666669-0.021527777777777)</f>
        <v>4.8611111111101016E-3</v>
      </c>
      <c r="F388" s="1" t="s">
        <v>10</v>
      </c>
    </row>
    <row r="389" spans="1:6" x14ac:dyDescent="0.25">
      <c r="A389" s="11">
        <v>42095</v>
      </c>
      <c r="B389" s="7">
        <v>0.59791666666666665</v>
      </c>
      <c r="C389" s="7">
        <v>0.61944444444444446</v>
      </c>
      <c r="D389" s="7">
        <f>(0.619444444444444-0.597916666666667)</f>
        <v>2.1527777777777035E-2</v>
      </c>
      <c r="E389" s="7">
        <f>ABS(0.021527777777777-0.00763888888888908)</f>
        <v>1.388888888888792E-2</v>
      </c>
      <c r="F389" s="1" t="s">
        <v>10</v>
      </c>
    </row>
    <row r="390" spans="1:6" x14ac:dyDescent="0.25">
      <c r="A390" s="11">
        <v>42095</v>
      </c>
      <c r="B390" s="7">
        <v>0.82777777777777783</v>
      </c>
      <c r="C390" s="7">
        <v>0.8354166666666667</v>
      </c>
      <c r="D390" s="7">
        <f>(0.835416666666667-0.827777777777778)</f>
        <v>7.6388888888890838E-3</v>
      </c>
      <c r="E390" s="7">
        <f>ABS(0.00763888888888908-0.013194444444445)</f>
        <v>5.5555555555559192E-3</v>
      </c>
      <c r="F390" s="1" t="s">
        <v>10</v>
      </c>
    </row>
    <row r="391" spans="1:6" x14ac:dyDescent="0.25">
      <c r="A391" s="11">
        <v>42095</v>
      </c>
      <c r="B391" s="7">
        <v>0.82847222222222217</v>
      </c>
      <c r="C391" s="7">
        <v>0.84166666666666667</v>
      </c>
      <c r="D391" s="7">
        <f>(0.841666666666667-0.828472222222222)</f>
        <v>1.3194444444444953E-2</v>
      </c>
      <c r="E391" s="7">
        <f>ABS(0.013194444444445-0.0159722222222221)</f>
        <v>2.7777777777771E-3</v>
      </c>
      <c r="F391" s="1" t="s">
        <v>10</v>
      </c>
    </row>
    <row r="392" spans="1:6" x14ac:dyDescent="0.25">
      <c r="A392" s="11">
        <v>42095</v>
      </c>
      <c r="B392" s="7">
        <v>0.85625000000000007</v>
      </c>
      <c r="C392" s="7">
        <v>0.87222222222222223</v>
      </c>
      <c r="D392" s="7">
        <f>(0.872222222222222-0.85625)</f>
        <v>1.5972222222222054E-2</v>
      </c>
      <c r="E392" s="7">
        <f>ABS(0.0159722222222221-0.015277777777778)</f>
        <v>6.9444444444410024E-4</v>
      </c>
      <c r="F392" s="1" t="s">
        <v>10</v>
      </c>
    </row>
    <row r="393" spans="1:6" x14ac:dyDescent="0.25">
      <c r="A393" s="11">
        <v>42095</v>
      </c>
      <c r="B393" s="7">
        <v>0.19097222222222221</v>
      </c>
      <c r="C393" s="7">
        <v>0.20625000000000002</v>
      </c>
      <c r="D393" s="7">
        <f>(0.20625-0.190972222222222)</f>
        <v>1.5277777777778001E-2</v>
      </c>
      <c r="E393" s="7">
        <f>ABS(0.015277777777778-0.010416666666667)</f>
        <v>4.8611111111110002E-3</v>
      </c>
      <c r="F393" s="1" t="s">
        <v>10</v>
      </c>
    </row>
    <row r="394" spans="1:6" x14ac:dyDescent="0.25">
      <c r="A394" s="11">
        <v>42095</v>
      </c>
      <c r="B394" s="7">
        <v>0.38819444444444445</v>
      </c>
      <c r="C394" s="7">
        <v>0.39861111111111108</v>
      </c>
      <c r="D394" s="7">
        <f>(0.398611111111111-0.388194444444444)</f>
        <v>1.0416666666667018E-2</v>
      </c>
      <c r="E394" s="7">
        <f>ABS(0.010416666666667-0.028472222222222)</f>
        <v>1.8055555555554999E-2</v>
      </c>
      <c r="F394" s="1" t="s">
        <v>10</v>
      </c>
    </row>
    <row r="395" spans="1:6" x14ac:dyDescent="0.25">
      <c r="A395" s="11">
        <v>42095</v>
      </c>
      <c r="B395" s="7">
        <v>0.47361111111111115</v>
      </c>
      <c r="C395" s="7">
        <v>0.50208333333333333</v>
      </c>
      <c r="D395" s="7">
        <f>(0.502083333333333-0.473611111111111)</f>
        <v>2.847222222222201E-2</v>
      </c>
      <c r="E395" s="7">
        <f>ABS(0.028472222222222-0.0194444444444439)</f>
        <v>9.0277777777780996E-3</v>
      </c>
      <c r="F395" s="1" t="s">
        <v>10</v>
      </c>
    </row>
    <row r="396" spans="1:6" x14ac:dyDescent="0.25">
      <c r="A396" s="11">
        <v>42095</v>
      </c>
      <c r="B396" s="7">
        <v>0.55138888888888882</v>
      </c>
      <c r="C396" s="7">
        <v>0.5708333333333333</v>
      </c>
      <c r="D396" s="7">
        <f>(0.570833333333333-0.551388888888889)</f>
        <v>1.9444444444443931E-2</v>
      </c>
      <c r="E396" s="7">
        <f>ABS(0.0194444444444439-0.114583333333334)</f>
        <v>9.5138888888890091E-2</v>
      </c>
      <c r="F396" s="1" t="s">
        <v>10</v>
      </c>
    </row>
    <row r="397" spans="1:6" x14ac:dyDescent="0.25">
      <c r="A397" s="11">
        <v>42095</v>
      </c>
      <c r="B397" s="7">
        <v>0.54722222222222217</v>
      </c>
      <c r="C397" s="7">
        <v>0.66180555555555554</v>
      </c>
      <c r="D397" s="7">
        <f>(0.661805555555556-0.547222222222222)</f>
        <v>0.11458333333333393</v>
      </c>
      <c r="E397" s="7">
        <f>ABS(0.114583333333334-0.0159722222222219)</f>
        <v>9.8611111111112093E-2</v>
      </c>
      <c r="F397" s="1" t="s">
        <v>10</v>
      </c>
    </row>
    <row r="398" spans="1:6" x14ac:dyDescent="0.25">
      <c r="A398" s="11">
        <v>42095</v>
      </c>
      <c r="B398" s="7">
        <v>0.7680555555555556</v>
      </c>
      <c r="C398" s="7">
        <v>0.78402777777777777</v>
      </c>
      <c r="D398" s="7">
        <f>(0.784027777777778-0.768055555555556)</f>
        <v>1.5972222222221943E-2</v>
      </c>
      <c r="E398" s="7">
        <f>ABS(0.0159722222222219-0.0145833333333333)</f>
        <v>1.3888888888885977E-3</v>
      </c>
      <c r="F398" s="1" t="s">
        <v>10</v>
      </c>
    </row>
    <row r="399" spans="1:6" x14ac:dyDescent="0.25">
      <c r="A399" s="11">
        <v>42095</v>
      </c>
      <c r="B399" s="7">
        <v>2.7777777777777776E-2</v>
      </c>
      <c r="C399" s="7">
        <v>4.2361111111111106E-2</v>
      </c>
      <c r="D399" s="7">
        <f>(0.0423611111111111-0.0277777777777778)</f>
        <v>1.4583333333333299E-2</v>
      </c>
      <c r="E399" s="7">
        <f>ABS(0.0145833333333333-0.025)</f>
        <v>1.0416666666666701E-2</v>
      </c>
      <c r="F399" s="1" t="s">
        <v>10</v>
      </c>
    </row>
    <row r="400" spans="1:6" x14ac:dyDescent="0.25">
      <c r="A400" s="11">
        <v>42095</v>
      </c>
      <c r="B400" s="7">
        <v>0.46597222222222223</v>
      </c>
      <c r="C400" s="7">
        <v>0.4909722222222222</v>
      </c>
      <c r="D400" s="7">
        <f>(0.490972222222222-0.465972222222222)</f>
        <v>2.4999999999999967E-2</v>
      </c>
      <c r="E400" s="7">
        <f>ABS(0.025-0.0145833333333329)</f>
        <v>1.0416666666667102E-2</v>
      </c>
      <c r="F400" s="1" t="s">
        <v>10</v>
      </c>
    </row>
    <row r="401" spans="1:6" x14ac:dyDescent="0.25">
      <c r="A401" s="11">
        <v>42095</v>
      </c>
      <c r="B401" s="7">
        <v>0.58124999999999993</v>
      </c>
      <c r="C401" s="7">
        <v>0.59583333333333333</v>
      </c>
      <c r="D401" s="7">
        <f>(0.595833333333333-0.58125)</f>
        <v>1.4583333333332948E-2</v>
      </c>
      <c r="E401" s="7">
        <f>ABS(0.0145833333333329-0.0249999999999999)</f>
        <v>1.0416666666667001E-2</v>
      </c>
      <c r="F401" s="1" t="s">
        <v>10</v>
      </c>
    </row>
    <row r="402" spans="1:6" x14ac:dyDescent="0.25">
      <c r="A402" s="11">
        <v>42095</v>
      </c>
      <c r="B402" s="7">
        <v>0.60972222222222217</v>
      </c>
      <c r="C402" s="7">
        <v>0.63472222222222219</v>
      </c>
      <c r="D402" s="7">
        <f>(0.634722222222222-0.609722222222222)</f>
        <v>2.4999999999999911E-2</v>
      </c>
      <c r="E402" s="7">
        <f>ABS(0.0249999999999999-0.0159722222222219)</f>
        <v>9.0277777777780024E-3</v>
      </c>
      <c r="F402" s="1" t="s">
        <v>10</v>
      </c>
    </row>
    <row r="403" spans="1:6" x14ac:dyDescent="0.25">
      <c r="A403" s="11">
        <v>42095</v>
      </c>
      <c r="B403" s="7">
        <v>0.65555555555555556</v>
      </c>
      <c r="C403" s="7">
        <v>0.67152777777777783</v>
      </c>
      <c r="D403" s="7">
        <f>(0.671527777777778-0.655555555555556)</f>
        <v>1.5972222222221943E-2</v>
      </c>
      <c r="E403" s="7">
        <f>ABS(0.0159722222222219-0.0159722222222229)</f>
        <v>1.0026701691145945E-15</v>
      </c>
      <c r="F403" s="1" t="s">
        <v>10</v>
      </c>
    </row>
    <row r="404" spans="1:6" x14ac:dyDescent="0.25">
      <c r="A404" s="11">
        <v>42095</v>
      </c>
      <c r="B404" s="7">
        <v>0.71458333333333324</v>
      </c>
      <c r="C404" s="7">
        <v>0.73055555555555562</v>
      </c>
      <c r="D404" s="7">
        <f>(0.730555555555556-0.714583333333333)</f>
        <v>1.5972222222222943E-2</v>
      </c>
      <c r="E404" s="7">
        <f>ABS(0.0159722222222229-0.017361111111111)</f>
        <v>1.3888888888880999E-3</v>
      </c>
      <c r="F404" s="1" t="s">
        <v>10</v>
      </c>
    </row>
    <row r="405" spans="1:6" x14ac:dyDescent="0.25">
      <c r="A405" s="11">
        <v>42095</v>
      </c>
      <c r="B405" s="7">
        <v>0.78749999999999998</v>
      </c>
      <c r="C405" s="7">
        <v>0.80486111111111114</v>
      </c>
      <c r="D405" s="7">
        <f>(0.804861111111111-0.7875)</f>
        <v>1.7361111111111049E-2</v>
      </c>
      <c r="E405" s="7">
        <f>ABS(0.017361111111111-0.0145833333333339)</f>
        <v>2.7777777777771E-3</v>
      </c>
      <c r="F405" s="1" t="s">
        <v>10</v>
      </c>
    </row>
    <row r="406" spans="1:6" x14ac:dyDescent="0.25">
      <c r="A406" s="11">
        <v>42095</v>
      </c>
      <c r="B406" s="7">
        <v>0.80486111111111114</v>
      </c>
      <c r="C406" s="7">
        <v>0.81944444444444453</v>
      </c>
      <c r="D406" s="7">
        <f>(0.819444444444445-0.804861111111111)</f>
        <v>1.4583333333333948E-2</v>
      </c>
      <c r="E406" s="7">
        <f>ABS(0.0145833333333339-0.0131944444444441)</f>
        <v>1.3888888888898016E-3</v>
      </c>
      <c r="F406" s="1" t="s">
        <v>10</v>
      </c>
    </row>
    <row r="407" spans="1:6" x14ac:dyDescent="0.25">
      <c r="A407" s="11">
        <v>42095</v>
      </c>
      <c r="B407" s="7">
        <v>0.97291666666666676</v>
      </c>
      <c r="C407" s="7">
        <v>0.98611111111111116</v>
      </c>
      <c r="D407" s="7">
        <f>(0.986111111111111-0.972916666666667)</f>
        <v>1.3194444444444065E-2</v>
      </c>
      <c r="E407" s="7">
        <f>ABS(0.0131944444444441-0.010416666666667)</f>
        <v>2.7777777777771E-3</v>
      </c>
      <c r="F407" s="1" t="s">
        <v>10</v>
      </c>
    </row>
    <row r="408" spans="1:6" x14ac:dyDescent="0.25">
      <c r="A408" s="11">
        <v>42095</v>
      </c>
      <c r="B408" s="7">
        <v>0.23958333333333334</v>
      </c>
      <c r="C408" s="7">
        <v>0.25</v>
      </c>
      <c r="D408" s="7">
        <f>(0.25-0.239583333333333)</f>
        <v>1.041666666666699E-2</v>
      </c>
      <c r="E408" s="7">
        <f>ABS(0.010416666666667-0.033333333333333)</f>
        <v>2.2916666666666002E-2</v>
      </c>
      <c r="F408" s="1" t="s">
        <v>10</v>
      </c>
    </row>
    <row r="409" spans="1:6" x14ac:dyDescent="0.25">
      <c r="A409" s="11">
        <v>42095</v>
      </c>
      <c r="B409" s="7">
        <v>0.50138888888888888</v>
      </c>
      <c r="C409" s="7">
        <v>0.53472222222222221</v>
      </c>
      <c r="D409" s="7">
        <f>(0.534722222222222-0.501388888888889)</f>
        <v>3.3333333333332993E-2</v>
      </c>
      <c r="E409" s="7">
        <f>ABS(0.033333333333333-0.01875)</f>
        <v>1.4583333333333E-2</v>
      </c>
      <c r="F409" s="1" t="s">
        <v>10</v>
      </c>
    </row>
    <row r="410" spans="1:6" x14ac:dyDescent="0.25">
      <c r="A410" s="11">
        <v>42095</v>
      </c>
      <c r="B410" s="7">
        <v>0.57430555555555551</v>
      </c>
      <c r="C410" s="7">
        <v>0.59305555555555556</v>
      </c>
      <c r="D410" s="7">
        <f>(0.593055555555556-0.574305555555556)</f>
        <v>1.8750000000000044E-2</v>
      </c>
      <c r="E410" s="7">
        <f>ABS(0.01875-0.0145833333333331)</f>
        <v>4.1666666666668999E-3</v>
      </c>
      <c r="F410" s="1" t="s">
        <v>10</v>
      </c>
    </row>
    <row r="411" spans="1:6" x14ac:dyDescent="0.25">
      <c r="A411" s="11">
        <v>42095</v>
      </c>
      <c r="B411" s="7">
        <v>0.66875000000000007</v>
      </c>
      <c r="C411" s="7">
        <v>0.68333333333333324</v>
      </c>
      <c r="D411" s="7">
        <f>(0.683333333333333-0.66875)</f>
        <v>1.4583333333333059E-2</v>
      </c>
      <c r="E411" s="7">
        <f>ABS(0.0145833333333331-0.0416666666666671)</f>
        <v>2.7083333333334E-2</v>
      </c>
      <c r="F411" s="1" t="s">
        <v>10</v>
      </c>
    </row>
    <row r="412" spans="1:6" x14ac:dyDescent="0.25">
      <c r="A412" s="11">
        <v>42095</v>
      </c>
      <c r="B412" s="7">
        <v>0.6972222222222223</v>
      </c>
      <c r="C412" s="7">
        <v>0.73888888888888893</v>
      </c>
      <c r="D412" s="7">
        <f>(0.738888888888889-0.697222222222222)</f>
        <v>4.1666666666667074E-2</v>
      </c>
      <c r="E412" s="7">
        <f>ABS(0.0416666666666671-0.0131944444444441)</f>
        <v>2.8472222222223002E-2</v>
      </c>
      <c r="F412" s="1" t="s">
        <v>10</v>
      </c>
    </row>
    <row r="413" spans="1:6" x14ac:dyDescent="0.25">
      <c r="A413" s="11">
        <v>42095</v>
      </c>
      <c r="B413" s="7">
        <v>0.81666666666666676</v>
      </c>
      <c r="C413" s="7">
        <v>0.82986111111111116</v>
      </c>
      <c r="D413" s="7">
        <f>(0.829861111111111-0.816666666666667)</f>
        <v>1.3194444444444065E-2</v>
      </c>
      <c r="E413" s="7">
        <f>ABS(0.0131944444444441-0.0138888888888881)</f>
        <v>6.9444444444400136E-4</v>
      </c>
      <c r="F413" s="1" t="s">
        <v>10</v>
      </c>
    </row>
    <row r="414" spans="1:6" x14ac:dyDescent="0.25">
      <c r="A414" s="11">
        <v>42095</v>
      </c>
      <c r="B414" s="7">
        <v>0.91666666666666663</v>
      </c>
      <c r="C414" s="7">
        <v>0.93055555555555547</v>
      </c>
      <c r="D414" s="7">
        <f>(0.930555555555555-0.916666666666667)</f>
        <v>1.3888888888888062E-2</v>
      </c>
      <c r="E414" s="7">
        <f>ABS(0.0138888888888881-0.0104166666666661)</f>
        <v>3.472222222222E-3</v>
      </c>
      <c r="F414" s="1" t="s">
        <v>10</v>
      </c>
    </row>
    <row r="415" spans="1:6" x14ac:dyDescent="0.25">
      <c r="A415" s="11">
        <v>42095</v>
      </c>
      <c r="B415" s="7">
        <v>0.91666666666666663</v>
      </c>
      <c r="C415" s="7">
        <v>0.92708333333333337</v>
      </c>
      <c r="D415" s="7">
        <f>(0.927083333333333-0.916666666666667)</f>
        <v>1.0416666666666075E-2</v>
      </c>
      <c r="E415" s="7">
        <f>ABS(0.0104166666666661-0.0145833333333331)</f>
        <v>4.1666666666669988E-3</v>
      </c>
      <c r="F415" s="1" t="s">
        <v>10</v>
      </c>
    </row>
    <row r="416" spans="1:6" x14ac:dyDescent="0.25">
      <c r="A416" s="11">
        <v>42095</v>
      </c>
      <c r="B416" s="7">
        <v>0.9916666666666667</v>
      </c>
      <c r="C416" s="7">
        <v>1.0062499999999999</v>
      </c>
      <c r="D416" s="7">
        <f>(1.00625-0.991666666666667)</f>
        <v>1.4583333333333059E-2</v>
      </c>
      <c r="E416" s="7">
        <f>ABS(0.0145833333333331-0.027083333333333)</f>
        <v>1.2499999999999902E-2</v>
      </c>
      <c r="F416" s="1" t="s">
        <v>10</v>
      </c>
    </row>
    <row r="417" spans="1:7" x14ac:dyDescent="0.25">
      <c r="A417" s="11">
        <v>42095</v>
      </c>
      <c r="B417" s="7">
        <v>0.45416666666666666</v>
      </c>
      <c r="C417" s="7">
        <v>0.48125000000000001</v>
      </c>
      <c r="D417" s="7">
        <f>(0.48125-0.454166666666667)</f>
        <v>2.7083333333333015E-2</v>
      </c>
      <c r="E417" s="7">
        <f>ABS(0.027083333333333-0.018055555555555)</f>
        <v>9.0277777777780024E-3</v>
      </c>
      <c r="F417" s="1" t="s">
        <v>10</v>
      </c>
    </row>
    <row r="418" spans="1:7" x14ac:dyDescent="0.25">
      <c r="A418" s="11">
        <v>42095</v>
      </c>
      <c r="B418" s="7">
        <v>0.46388888888888885</v>
      </c>
      <c r="C418" s="7">
        <v>0.48194444444444445</v>
      </c>
      <c r="D418" s="7">
        <f>(0.481944444444444-0.463888888888889)</f>
        <v>1.8055555555554992E-2</v>
      </c>
      <c r="E418" s="7">
        <f>ABS(0.018055555555555-0.0180555555555549)</f>
        <v>9.7144514654701197E-17</v>
      </c>
      <c r="F418" s="1" t="s">
        <v>10</v>
      </c>
    </row>
    <row r="419" spans="1:7" x14ac:dyDescent="0.25">
      <c r="A419" s="11">
        <v>42095</v>
      </c>
      <c r="B419" s="7">
        <v>0.52013888888888882</v>
      </c>
      <c r="C419" s="7">
        <v>0.53819444444444442</v>
      </c>
      <c r="D419" s="7">
        <f>(0.538194444444444-0.520138888888889)</f>
        <v>1.8055555555554936E-2</v>
      </c>
      <c r="E419" s="7">
        <f>ABS(0.0180555555555549-0.0145833333333329)</f>
        <v>3.4722222222220017E-3</v>
      </c>
      <c r="F419" s="1" t="s">
        <v>10</v>
      </c>
    </row>
    <row r="420" spans="1:7" x14ac:dyDescent="0.25">
      <c r="A420" s="11">
        <v>42095</v>
      </c>
      <c r="B420" s="7">
        <v>0.65</v>
      </c>
      <c r="C420" s="7">
        <v>0.6645833333333333</v>
      </c>
      <c r="D420" s="7">
        <f>(0.664583333333333-0.65)</f>
        <v>1.4583333333332948E-2</v>
      </c>
      <c r="E420" s="7">
        <f>ABS(0.0145833333333329-0.017361111111111)</f>
        <v>2.777777777778101E-3</v>
      </c>
      <c r="F420" s="1" t="s">
        <v>10</v>
      </c>
    </row>
    <row r="421" spans="1:7" x14ac:dyDescent="0.25">
      <c r="A421" s="11">
        <v>42095</v>
      </c>
      <c r="B421" s="7">
        <v>0.76527777777777783</v>
      </c>
      <c r="C421" s="7">
        <v>0.78263888888888899</v>
      </c>
      <c r="D421" s="7">
        <f>(0.782638888888889-0.765277777777778)</f>
        <v>1.7361111111111049E-2</v>
      </c>
      <c r="E421" s="7">
        <f>ABS(0.017361111111111-0.0159722222222219)</f>
        <v>1.3888888888891025E-3</v>
      </c>
      <c r="F421" s="1" t="s">
        <v>10</v>
      </c>
    </row>
    <row r="422" spans="1:7" x14ac:dyDescent="0.25">
      <c r="A422" s="11">
        <v>42095</v>
      </c>
      <c r="B422" s="7">
        <v>0.95624999999999993</v>
      </c>
      <c r="C422" s="7">
        <v>0.97222222222222221</v>
      </c>
      <c r="D422" s="7">
        <f>(0.972222222222222-0.95625)</f>
        <v>1.5972222222221943E-2</v>
      </c>
      <c r="E422" s="7">
        <f>ABS(0.0159722222222219-0.016666666666667)</f>
        <v>6.9444444444510117E-4</v>
      </c>
      <c r="F422" s="1" t="s">
        <v>10</v>
      </c>
    </row>
    <row r="423" spans="1:7" x14ac:dyDescent="0.25">
      <c r="A423" s="11">
        <v>42095</v>
      </c>
      <c r="B423" s="7">
        <v>0.41250000000000003</v>
      </c>
      <c r="C423" s="7">
        <v>0.4291666666666667</v>
      </c>
      <c r="D423" s="7">
        <f>(0.429166666666667-0.4125)</f>
        <v>1.6666666666666996E-2</v>
      </c>
      <c r="E423" s="7">
        <f>ABS(0.016666666666667-0.029166666666667)</f>
        <v>1.2500000000000001E-2</v>
      </c>
      <c r="F423" s="1" t="s">
        <v>10</v>
      </c>
    </row>
    <row r="424" spans="1:7" x14ac:dyDescent="0.25">
      <c r="A424" s="11">
        <v>42095</v>
      </c>
      <c r="B424" s="7">
        <v>0.52708333333333335</v>
      </c>
      <c r="C424" s="7">
        <v>0.55625000000000002</v>
      </c>
      <c r="D424" s="7">
        <f>(0.55625-0.527083333333333)</f>
        <v>2.9166666666667007E-2</v>
      </c>
      <c r="E424" s="7">
        <f>ABS(0.029166666666667-0.019444444444444)</f>
        <v>9.7222222222229995E-3</v>
      </c>
      <c r="F424" s="1" t="s">
        <v>10</v>
      </c>
    </row>
    <row r="425" spans="1:7" x14ac:dyDescent="0.25">
      <c r="A425" s="11">
        <v>42095</v>
      </c>
      <c r="B425" s="7">
        <v>0.60416666666666663</v>
      </c>
      <c r="C425" s="7">
        <v>0.62361111111111112</v>
      </c>
      <c r="D425" s="7">
        <f>(0.623611111111111-0.604166666666667)</f>
        <v>1.9444444444444042E-2</v>
      </c>
      <c r="E425" s="7">
        <f>ABS(0.019444444444444-0.019444444444444)</f>
        <v>0</v>
      </c>
      <c r="F425" s="1" t="s">
        <v>10</v>
      </c>
    </row>
    <row r="426" spans="1:7" x14ac:dyDescent="0.25">
      <c r="A426" s="11">
        <v>42095</v>
      </c>
      <c r="B426" s="7">
        <v>0.62638888888888888</v>
      </c>
      <c r="C426" s="7">
        <v>0.64583333333333337</v>
      </c>
      <c r="D426" s="7">
        <f>(0.645833333333333-0.626388888888889)</f>
        <v>1.9444444444444042E-2</v>
      </c>
      <c r="E426" s="7">
        <f>ABS(0.019444444444444-0.0187499999999999)</f>
        <v>6.9444444444410197E-4</v>
      </c>
      <c r="F426" s="1" t="s">
        <v>10</v>
      </c>
    </row>
    <row r="427" spans="1:7" x14ac:dyDescent="0.25">
      <c r="A427" s="11">
        <v>42095</v>
      </c>
      <c r="B427" s="7">
        <v>0.6777777777777777</v>
      </c>
      <c r="C427" s="7">
        <v>0.69652777777777775</v>
      </c>
      <c r="D427" s="7">
        <f>(0.696527777777778-0.677777777777778)</f>
        <v>1.8749999999999933E-2</v>
      </c>
      <c r="E427" s="7">
        <f>ABS(0.0187499999999999-0.018055555555556)</f>
        <v>6.9444444444389727E-4</v>
      </c>
      <c r="F427" s="1" t="s">
        <v>10</v>
      </c>
    </row>
    <row r="428" spans="1:7" x14ac:dyDescent="0.25">
      <c r="A428" s="11">
        <v>42095</v>
      </c>
      <c r="B428" s="7">
        <v>0.68611111111111101</v>
      </c>
      <c r="C428" s="7">
        <v>0.70416666666666661</v>
      </c>
      <c r="D428" s="7">
        <f>(0.704166666666667-0.686111111111111)</f>
        <v>1.8055555555556047E-2</v>
      </c>
      <c r="E428" s="7">
        <f>ABS(0.018055555555556-0.024305555555555)</f>
        <v>6.2499999999989994E-3</v>
      </c>
      <c r="F428" s="1" t="s">
        <v>10</v>
      </c>
    </row>
    <row r="429" spans="1:7" x14ac:dyDescent="0.25">
      <c r="A429" s="11">
        <v>42095</v>
      </c>
      <c r="B429" s="7">
        <v>0.75138888888888899</v>
      </c>
      <c r="C429" s="7">
        <v>0.77569444444444446</v>
      </c>
      <c r="D429" s="7">
        <f>(0.775694444444444-0.751388888888889)</f>
        <v>2.4305555555555025E-2</v>
      </c>
      <c r="E429" s="7">
        <f>ABS(0.024305555555555-0.02152777777778)</f>
        <v>2.7777777777749993E-3</v>
      </c>
      <c r="F429" s="1" t="s">
        <v>10</v>
      </c>
    </row>
    <row r="430" spans="1:7" x14ac:dyDescent="0.25">
      <c r="A430" s="11">
        <v>42095</v>
      </c>
      <c r="B430" s="7">
        <v>1.0006944444444443</v>
      </c>
      <c r="C430" s="7">
        <v>1.0222222222222224</v>
      </c>
      <c r="D430" s="7">
        <f>(1.02222222222222-1.00069444444444)</f>
        <v>2.1527777777780033E-2</v>
      </c>
      <c r="E430" s="7">
        <f>ABS(0.02152777777778-0.046527777777778)</f>
        <v>2.4999999999998E-2</v>
      </c>
      <c r="F430" s="1" t="s">
        <v>10</v>
      </c>
    </row>
    <row r="431" spans="1:7" x14ac:dyDescent="0.25">
      <c r="A431" s="11">
        <v>42095</v>
      </c>
      <c r="B431" s="7">
        <v>0.30138888888888887</v>
      </c>
      <c r="C431" s="7">
        <v>0.34791666666666665</v>
      </c>
      <c r="D431" s="7">
        <f>(0.347916666666667-0.301388888888889)</f>
        <v>4.6527777777778001E-2</v>
      </c>
      <c r="E431" s="7">
        <f>ABS(0.046527777777778-0.015972222222222)</f>
        <v>3.0555555555556002E-2</v>
      </c>
      <c r="F431" s="1" t="s">
        <v>10</v>
      </c>
      <c r="G431" s="4"/>
    </row>
    <row r="432" spans="1:7" x14ac:dyDescent="0.25">
      <c r="A432" s="11">
        <v>42095</v>
      </c>
      <c r="B432" s="7">
        <v>0.41111111111111115</v>
      </c>
      <c r="C432" s="7">
        <v>0.42708333333333331</v>
      </c>
      <c r="D432" s="7">
        <f>(0.427083333333333-0.411111111111111)</f>
        <v>1.5972222222221999E-2</v>
      </c>
      <c r="E432" s="7">
        <f>ABS(0.015972222222222-0.0201388888888889)</f>
        <v>4.1666666666669017E-3</v>
      </c>
      <c r="F432" s="1" t="s">
        <v>10</v>
      </c>
    </row>
    <row r="433" spans="1:6" x14ac:dyDescent="0.25">
      <c r="A433" s="11">
        <v>42095</v>
      </c>
      <c r="B433" s="7">
        <v>0.5229166666666667</v>
      </c>
      <c r="C433" s="7">
        <v>0.54305555555555551</v>
      </c>
      <c r="D433" s="7">
        <f>(0.543055555555556-0.522916666666667)</f>
        <v>2.0138888888888928E-2</v>
      </c>
      <c r="E433" s="7">
        <f>ABS(0.0201388888888889-0.0152777777777779)</f>
        <v>4.8611111111110002E-3</v>
      </c>
      <c r="F433" s="1" t="s">
        <v>10</v>
      </c>
    </row>
    <row r="434" spans="1:6" x14ac:dyDescent="0.25">
      <c r="A434" s="11">
        <v>42095</v>
      </c>
      <c r="B434" s="7">
        <v>0.54861111111111105</v>
      </c>
      <c r="C434" s="7">
        <v>0.56388888888888888</v>
      </c>
      <c r="D434" s="7">
        <f>(0.563888888888889-0.548611111111111)</f>
        <v>1.5277777777777946E-2</v>
      </c>
      <c r="E434" s="7">
        <f>ABS(0.0152777777777779-0.024305555555555)</f>
        <v>9.0277777777771004E-3</v>
      </c>
      <c r="F434" s="1" t="s">
        <v>10</v>
      </c>
    </row>
    <row r="435" spans="1:6" x14ac:dyDescent="0.25">
      <c r="A435" s="11">
        <v>42095</v>
      </c>
      <c r="B435" s="7">
        <v>0.63888888888888895</v>
      </c>
      <c r="C435" s="7">
        <v>0.66319444444444442</v>
      </c>
      <c r="D435" s="7">
        <f>(0.663194444444444-0.638888888888889)</f>
        <v>2.4305555555555025E-2</v>
      </c>
      <c r="E435" s="7">
        <f>ABS(0.024305555555555-0.019444444444445)</f>
        <v>4.861111111110001E-3</v>
      </c>
      <c r="F435" s="1" t="s">
        <v>10</v>
      </c>
    </row>
    <row r="436" spans="1:6" x14ac:dyDescent="0.25">
      <c r="A436" s="11">
        <v>42095</v>
      </c>
      <c r="B436" s="7">
        <v>0.66597222222222219</v>
      </c>
      <c r="C436" s="7">
        <v>0.68541666666666667</v>
      </c>
      <c r="D436" s="7">
        <f>(0.685416666666667-0.665972222222222)</f>
        <v>1.9444444444445041E-2</v>
      </c>
      <c r="E436" s="7">
        <f>ABS(0.019444444444445-0.029861111111112)</f>
        <v>1.0416666666667001E-2</v>
      </c>
      <c r="F436" s="1" t="s">
        <v>10</v>
      </c>
    </row>
    <row r="437" spans="1:6" x14ac:dyDescent="0.25">
      <c r="A437" s="11">
        <v>42095</v>
      </c>
      <c r="B437" s="7">
        <v>0.67569444444444438</v>
      </c>
      <c r="C437" s="7">
        <v>0.7055555555555556</v>
      </c>
      <c r="D437" s="7">
        <f>(0.705555555555556-0.675694444444444)</f>
        <v>2.9861111111112004E-2</v>
      </c>
      <c r="E437" s="7">
        <f>ABS(0.029861111111112-0.018055555555555)</f>
        <v>1.1805555555557002E-2</v>
      </c>
      <c r="F437" s="1" t="s">
        <v>10</v>
      </c>
    </row>
    <row r="438" spans="1:6" x14ac:dyDescent="0.25">
      <c r="A438" s="11">
        <v>42095</v>
      </c>
      <c r="B438" s="7">
        <v>0.71666666666666667</v>
      </c>
      <c r="C438" s="7">
        <v>0.73472222222222217</v>
      </c>
      <c r="D438" s="7">
        <f>(0.734722222222222-0.716666666666667)</f>
        <v>1.8055555555555047E-2</v>
      </c>
      <c r="E438" s="7">
        <f>ABS(0.018055555555555-0.026388888888889)</f>
        <v>8.3333333333340011E-3</v>
      </c>
      <c r="F438" s="1" t="s">
        <v>10</v>
      </c>
    </row>
    <row r="439" spans="1:6" x14ac:dyDescent="0.25">
      <c r="A439" s="11">
        <v>42095</v>
      </c>
      <c r="B439" s="7">
        <v>0.76250000000000007</v>
      </c>
      <c r="C439" s="7">
        <v>0.78888888888888886</v>
      </c>
      <c r="D439" s="7">
        <f>(0.788888888888889-0.7625)</f>
        <v>2.6388888888889017E-2</v>
      </c>
      <c r="E439" s="7">
        <f>ABS(0.026388888888889-0.0173611111111109)</f>
        <v>9.0277777777780996E-3</v>
      </c>
      <c r="F439" s="1" t="s">
        <v>10</v>
      </c>
    </row>
    <row r="440" spans="1:6" x14ac:dyDescent="0.25">
      <c r="A440" s="11">
        <v>42095</v>
      </c>
      <c r="B440" s="7">
        <v>0.7715277777777777</v>
      </c>
      <c r="C440" s="7">
        <v>0.78888888888888886</v>
      </c>
      <c r="D440" s="7">
        <f>(0.788888888888889-0.771527777777778)</f>
        <v>1.7361111111110938E-2</v>
      </c>
      <c r="E440" s="7">
        <f>ABS(0.0173611111111109-0.0138888888888881)</f>
        <v>3.4722222222227997E-3</v>
      </c>
      <c r="F440" s="1" t="s">
        <v>10</v>
      </c>
    </row>
    <row r="441" spans="1:6" x14ac:dyDescent="0.25">
      <c r="A441" s="11">
        <v>42095</v>
      </c>
      <c r="B441" s="7">
        <v>0.82291666666666663</v>
      </c>
      <c r="C441" s="7">
        <v>0.83680555555555547</v>
      </c>
      <c r="D441" s="7">
        <f>(0.836805555555555-0.822916666666667)</f>
        <v>1.3888888888888062E-2</v>
      </c>
      <c r="E441" s="7">
        <f>ABS(0.0138888888888881-0.017361111111111)</f>
        <v>3.4722222222229003E-3</v>
      </c>
      <c r="F441" s="1" t="s">
        <v>10</v>
      </c>
    </row>
    <row r="442" spans="1:6" x14ac:dyDescent="0.25">
      <c r="A442" s="11">
        <v>42095</v>
      </c>
      <c r="B442" s="7">
        <v>0.8847222222222223</v>
      </c>
      <c r="C442" s="7">
        <v>0.90208333333333324</v>
      </c>
      <c r="D442" s="7">
        <f>(0.902083333333333-0.884722222222222)</f>
        <v>1.7361111111111049E-2</v>
      </c>
      <c r="E442" s="7">
        <f>ABS(0.017361111111111-0.022916666666666)</f>
        <v>5.5555555555549981E-3</v>
      </c>
      <c r="F442" s="1" t="s">
        <v>10</v>
      </c>
    </row>
    <row r="443" spans="1:6" x14ac:dyDescent="0.25">
      <c r="A443" s="11">
        <v>42095</v>
      </c>
      <c r="B443" s="7">
        <v>0.87916666666666676</v>
      </c>
      <c r="C443" s="7">
        <v>0.90208333333333324</v>
      </c>
      <c r="D443" s="7">
        <f>(0.902083333333333-0.879166666666667)</f>
        <v>2.291666666666603E-2</v>
      </c>
      <c r="E443" s="7">
        <f>ABS(0.022916666666666-0.025694444444445)</f>
        <v>2.7777777777789996E-3</v>
      </c>
      <c r="F443" s="1" t="s">
        <v>10</v>
      </c>
    </row>
    <row r="444" spans="1:6" x14ac:dyDescent="0.25">
      <c r="A444" s="11">
        <v>42095</v>
      </c>
      <c r="B444" s="7">
        <v>0.39097222222222222</v>
      </c>
      <c r="C444" s="7">
        <v>0.41666666666666669</v>
      </c>
      <c r="D444" s="7">
        <f>(0.416666666666667-0.390972222222222)</f>
        <v>2.5694444444445019E-2</v>
      </c>
      <c r="E444" s="7">
        <f>ABS(0.025694444444445-0.036111111111111)</f>
        <v>1.0416666666665998E-2</v>
      </c>
      <c r="F444" s="1" t="s">
        <v>10</v>
      </c>
    </row>
    <row r="445" spans="1:6" x14ac:dyDescent="0.25">
      <c r="A445" s="11">
        <v>42095</v>
      </c>
      <c r="B445" s="7">
        <v>0.38541666666666669</v>
      </c>
      <c r="C445" s="7">
        <v>0.42152777777777778</v>
      </c>
      <c r="D445" s="7">
        <f>(0.421527777777778-0.385416666666667)</f>
        <v>3.6111111111110983E-2</v>
      </c>
      <c r="E445" s="7">
        <f>ABS(0.036111111111111-0.0159722222222219)</f>
        <v>2.0138888888889098E-2</v>
      </c>
      <c r="F445" s="1" t="s">
        <v>10</v>
      </c>
    </row>
    <row r="446" spans="1:6" x14ac:dyDescent="0.25">
      <c r="A446" s="11">
        <v>42095</v>
      </c>
      <c r="B446" s="7">
        <v>0.57847222222222217</v>
      </c>
      <c r="C446" s="7">
        <v>0.59444444444444444</v>
      </c>
      <c r="D446" s="7">
        <f>(0.594444444444444-0.578472222222222)</f>
        <v>1.5972222222221943E-2</v>
      </c>
      <c r="E446" s="7">
        <f>ABS(0.0159722222222219-0.022916666666667)</f>
        <v>6.9444444444451033E-3</v>
      </c>
      <c r="F446" s="1" t="s">
        <v>10</v>
      </c>
    </row>
    <row r="447" spans="1:6" x14ac:dyDescent="0.25">
      <c r="A447" s="11">
        <v>42095</v>
      </c>
      <c r="B447" s="7">
        <v>0.74722222222222223</v>
      </c>
      <c r="C447" s="7">
        <v>0.77013888888888893</v>
      </c>
      <c r="D447" s="7">
        <f>(0.770138888888889-0.747222222222222)</f>
        <v>2.2916666666667029E-2</v>
      </c>
      <c r="E447" s="7">
        <f>ABS(0.022916666666667-0.022916666666666)</f>
        <v>1.0026701691145945E-15</v>
      </c>
      <c r="F447" s="1" t="s">
        <v>10</v>
      </c>
    </row>
    <row r="448" spans="1:6" x14ac:dyDescent="0.25">
      <c r="A448" s="11">
        <v>42095</v>
      </c>
      <c r="B448" s="7">
        <v>0.75138888888888899</v>
      </c>
      <c r="C448" s="7">
        <v>0.77430555555555547</v>
      </c>
      <c r="D448" s="7">
        <f>(0.774305555555555-0.751388888888889)</f>
        <v>2.291666666666603E-2</v>
      </c>
      <c r="E448" s="7">
        <f>ABS(0.022916666666666-0.024305555555555)</f>
        <v>1.3888888888890019E-3</v>
      </c>
      <c r="F448" s="1" t="s">
        <v>10</v>
      </c>
    </row>
    <row r="449" spans="1:6" x14ac:dyDescent="0.25">
      <c r="A449" s="11">
        <v>42095</v>
      </c>
      <c r="B449" s="7">
        <v>0.75902777777777775</v>
      </c>
      <c r="C449" s="7">
        <v>0.78333333333333333</v>
      </c>
      <c r="D449" s="7">
        <f>(0.783333333333333-0.759027777777778)</f>
        <v>2.4305555555555025E-2</v>
      </c>
      <c r="E449" s="7">
        <f>ABS(0.024305555555555-0.020138888888889)</f>
        <v>4.1666666666659996E-3</v>
      </c>
      <c r="F449" s="1" t="s">
        <v>10</v>
      </c>
    </row>
    <row r="450" spans="1:6" x14ac:dyDescent="0.25">
      <c r="A450" s="11">
        <v>42095</v>
      </c>
      <c r="B450" s="7">
        <v>0.8222222222222223</v>
      </c>
      <c r="C450" s="7">
        <v>0.84236111111111101</v>
      </c>
      <c r="D450" s="7">
        <f>(0.842361111111111-0.822222222222222)</f>
        <v>2.0138888888889039E-2</v>
      </c>
      <c r="E450" s="7">
        <f>ABS(0.020138888888889-0.0159722222222219)</f>
        <v>4.1666666666671029E-3</v>
      </c>
      <c r="F450" s="1" t="s">
        <v>10</v>
      </c>
    </row>
    <row r="451" spans="1:6" x14ac:dyDescent="0.25">
      <c r="A451" s="11">
        <v>42095</v>
      </c>
      <c r="B451" s="7">
        <v>0.93680555555555556</v>
      </c>
      <c r="C451" s="7">
        <v>0.95277777777777783</v>
      </c>
      <c r="D451" s="7">
        <f>(0.952777777777778-0.936805555555556)</f>
        <v>1.5972222222221943E-2</v>
      </c>
      <c r="E451" s="7">
        <f>ABS(0.0159722222222219-0.013888888888889)</f>
        <v>2.0833333333328992E-3</v>
      </c>
      <c r="F451" s="1" t="s">
        <v>10</v>
      </c>
    </row>
    <row r="452" spans="1:6" x14ac:dyDescent="0.25">
      <c r="A452" s="11">
        <v>42095</v>
      </c>
      <c r="B452" s="7">
        <v>0.13541666666666666</v>
      </c>
      <c r="C452" s="7">
        <v>0.14930555555555555</v>
      </c>
      <c r="D452" s="7">
        <f>(0.149305555555556-0.135416666666667)</f>
        <v>1.3888888888889006E-2</v>
      </c>
      <c r="E452" s="7">
        <f>ABS(0.013888888888889-0.014583333333333)</f>
        <v>6.9444444444400136E-4</v>
      </c>
      <c r="F452" s="1" t="s">
        <v>10</v>
      </c>
    </row>
    <row r="453" spans="1:6" x14ac:dyDescent="0.25">
      <c r="A453" s="11">
        <v>42095</v>
      </c>
      <c r="B453" s="7">
        <v>0.20486111111111113</v>
      </c>
      <c r="C453" s="7">
        <v>0.21944444444444444</v>
      </c>
      <c r="D453" s="7">
        <f>(0.219444444444444-0.204861111111111)</f>
        <v>1.4583333333333004E-2</v>
      </c>
      <c r="E453" s="7">
        <f>ABS(0.014583333333333-0.016666666666666)</f>
        <v>2.0833333333329998E-3</v>
      </c>
      <c r="F453" s="1" t="s">
        <v>10</v>
      </c>
    </row>
    <row r="454" spans="1:6" x14ac:dyDescent="0.25">
      <c r="A454" s="11">
        <v>42095</v>
      </c>
      <c r="B454" s="7">
        <v>0.35416666666666669</v>
      </c>
      <c r="C454" s="7">
        <v>0.37083333333333335</v>
      </c>
      <c r="D454" s="7">
        <f>(0.370833333333333-0.354166666666667)</f>
        <v>1.6666666666665997E-2</v>
      </c>
      <c r="E454" s="7">
        <f>ABS(0.016666666666666-0.027777777777778)</f>
        <v>1.1111111111111998E-2</v>
      </c>
      <c r="F454" s="1" t="s">
        <v>10</v>
      </c>
    </row>
    <row r="455" spans="1:6" x14ac:dyDescent="0.25">
      <c r="A455" s="11">
        <v>42095</v>
      </c>
      <c r="B455" s="7">
        <v>0.4597222222222222</v>
      </c>
      <c r="C455" s="7">
        <v>0.48749999999999999</v>
      </c>
      <c r="D455" s="7">
        <f>(0.4875-0.459722222222222)</f>
        <v>2.7777777777778012E-2</v>
      </c>
      <c r="E455" s="7">
        <f>ABS(0.027777777777778-0.025694444444444)</f>
        <v>2.083333333333999E-3</v>
      </c>
      <c r="F455" s="1" t="s">
        <v>10</v>
      </c>
    </row>
    <row r="456" spans="1:6" x14ac:dyDescent="0.25">
      <c r="A456" s="11">
        <v>42095</v>
      </c>
      <c r="B456" s="7">
        <v>0.5229166666666667</v>
      </c>
      <c r="C456" s="7">
        <v>0.54861111111111105</v>
      </c>
      <c r="D456" s="7">
        <f>(0.548611111111111-0.522916666666667)</f>
        <v>2.569444444444402E-2</v>
      </c>
      <c r="E456" s="7">
        <f>ABS(0.025694444444444-0.0138888888888891)</f>
        <v>1.18055555555549E-2</v>
      </c>
      <c r="F456" s="1" t="s">
        <v>10</v>
      </c>
    </row>
    <row r="457" spans="1:6" x14ac:dyDescent="0.25">
      <c r="A457" s="11">
        <v>42095</v>
      </c>
      <c r="B457" s="7">
        <v>0.75277777777777777</v>
      </c>
      <c r="C457" s="7">
        <v>0.76666666666666661</v>
      </c>
      <c r="D457" s="7">
        <f>(0.766666666666667-0.752777777777778)</f>
        <v>1.3888888888889062E-2</v>
      </c>
      <c r="E457" s="7">
        <f>ABS(0.0138888888888891-0.013888888888889)</f>
        <v>1.0061396160665481E-16</v>
      </c>
      <c r="F457" s="1" t="s">
        <v>10</v>
      </c>
    </row>
    <row r="458" spans="1:6" x14ac:dyDescent="0.25">
      <c r="A458" s="11">
        <v>42095</v>
      </c>
      <c r="B458" s="7">
        <v>0.9</v>
      </c>
      <c r="C458" s="7">
        <v>0.91388888888888886</v>
      </c>
      <c r="D458" s="7">
        <f>(0.913888888888889-0.9)</f>
        <v>1.3888888888888951E-2</v>
      </c>
      <c r="E458" s="7">
        <f>ABS(0.013888888888889-0.012500000000001)</f>
        <v>1.3888888888879992E-3</v>
      </c>
      <c r="F458" s="1" t="s">
        <v>10</v>
      </c>
    </row>
    <row r="459" spans="1:6" x14ac:dyDescent="0.25">
      <c r="A459" s="11">
        <v>42095</v>
      </c>
      <c r="B459" s="7">
        <v>0.90069444444444446</v>
      </c>
      <c r="C459" s="7">
        <v>0.91319444444444453</v>
      </c>
      <c r="D459" s="7">
        <f>(0.913194444444445-0.900694444444444)</f>
        <v>1.2500000000000955E-2</v>
      </c>
      <c r="E459" s="7">
        <f>ABS(0.012500000000001-0.00902777777777802)</f>
        <v>3.4722222222229801E-3</v>
      </c>
      <c r="F459" s="1" t="s">
        <v>10</v>
      </c>
    </row>
    <row r="460" spans="1:6" x14ac:dyDescent="0.25">
      <c r="A460" s="11">
        <v>42095</v>
      </c>
      <c r="B460" s="7">
        <v>0.39513888888888887</v>
      </c>
      <c r="C460" s="7">
        <v>0.40416666666666662</v>
      </c>
      <c r="D460" s="7">
        <f>(0.404166666666667-0.395138888888889)</f>
        <v>9.0277777777780233E-3</v>
      </c>
      <c r="E460" s="7">
        <f>ABS(0.00902777777777802-0.00833333333333297)</f>
        <v>6.9444444444504913E-4</v>
      </c>
      <c r="F460" s="1" t="s">
        <v>10</v>
      </c>
    </row>
    <row r="461" spans="1:6" x14ac:dyDescent="0.25">
      <c r="A461" s="11">
        <v>42095</v>
      </c>
      <c r="B461" s="7">
        <v>0.63124999999999998</v>
      </c>
      <c r="C461" s="7">
        <v>0.63958333333333328</v>
      </c>
      <c r="D461" s="7">
        <f>(0.639583333333333-0.63125)</f>
        <v>8.3333333333329707E-3</v>
      </c>
      <c r="E461" s="7">
        <f>ABS(0.00833333333333297-0.0111111111111111)</f>
        <v>2.7777777777781287E-3</v>
      </c>
      <c r="F461" s="1" t="s">
        <v>10</v>
      </c>
    </row>
    <row r="462" spans="1:6" x14ac:dyDescent="0.25">
      <c r="A462" s="11">
        <v>42095</v>
      </c>
      <c r="B462" s="7">
        <v>0.7270833333333333</v>
      </c>
      <c r="C462" s="7">
        <v>0.73819444444444438</v>
      </c>
      <c r="D462" s="7">
        <f>(0.738194444444444-0.727083333333333)</f>
        <v>1.1111111111111072E-2</v>
      </c>
      <c r="E462" s="7">
        <f>ABS(0.0111111111111111-0.0152777777777779)</f>
        <v>4.166666666666801E-3</v>
      </c>
      <c r="F462" s="1" t="s">
        <v>10</v>
      </c>
    </row>
    <row r="463" spans="1:6" x14ac:dyDescent="0.25">
      <c r="A463" s="11">
        <v>42095</v>
      </c>
      <c r="B463" s="7">
        <v>0.79999999999999993</v>
      </c>
      <c r="C463" s="7">
        <v>0.81527777777777777</v>
      </c>
      <c r="D463" s="7">
        <f>(0.815277777777778-0.8)</f>
        <v>1.5277777777777946E-2</v>
      </c>
      <c r="E463" s="7">
        <f>ABS(0.0152777777777779-0.010416666666666)</f>
        <v>4.8611111111119005E-3</v>
      </c>
      <c r="F463" s="1" t="s">
        <v>10</v>
      </c>
    </row>
    <row r="464" spans="1:6" x14ac:dyDescent="0.25">
      <c r="A464" s="11">
        <v>42095</v>
      </c>
      <c r="B464" s="7">
        <v>0.18541666666666667</v>
      </c>
      <c r="C464" s="7">
        <v>0.19583333333333333</v>
      </c>
      <c r="D464" s="7">
        <f>(0.195833333333333-0.185416666666667)</f>
        <v>1.0416666666665991E-2</v>
      </c>
      <c r="E464" s="7">
        <f>ABS(0.010416666666666-0.017361111111111)</f>
        <v>6.9444444444450009E-3</v>
      </c>
      <c r="F464" s="1" t="s">
        <v>10</v>
      </c>
    </row>
    <row r="465" spans="1:6" x14ac:dyDescent="0.25">
      <c r="A465" s="11">
        <v>42095</v>
      </c>
      <c r="B465" s="7">
        <v>0.33680555555555558</v>
      </c>
      <c r="C465" s="7">
        <v>0.35416666666666669</v>
      </c>
      <c r="D465" s="7">
        <f>(0.354166666666667-0.336805555555556)</f>
        <v>1.7361111111110994E-2</v>
      </c>
      <c r="E465" s="7">
        <f>ABS(0.017361111111111-0.0166666666666659)</f>
        <v>6.9444444444510117E-4</v>
      </c>
      <c r="F465" s="1" t="s">
        <v>10</v>
      </c>
    </row>
    <row r="466" spans="1:6" x14ac:dyDescent="0.25">
      <c r="A466" s="11">
        <v>42095</v>
      </c>
      <c r="B466" s="7">
        <v>0.54791666666666672</v>
      </c>
      <c r="C466" s="7">
        <v>0.56458333333333333</v>
      </c>
      <c r="D466" s="7">
        <f>(0.564583333333333-0.547916666666667)</f>
        <v>1.6666666666665941E-2</v>
      </c>
      <c r="E466" s="7">
        <f>ABS(0.0166666666666659-0.0145833333333339)</f>
        <v>2.0833333333319989E-3</v>
      </c>
      <c r="F466" s="1" t="s">
        <v>10</v>
      </c>
    </row>
    <row r="467" spans="1:6" x14ac:dyDescent="0.25">
      <c r="A467" s="11">
        <v>42095</v>
      </c>
      <c r="B467" s="7">
        <v>0.73958333333333337</v>
      </c>
      <c r="C467" s="7">
        <v>0.75416666666666676</v>
      </c>
      <c r="D467" s="7">
        <f>(0.754166666666667-0.739583333333333)</f>
        <v>1.4583333333333948E-2</v>
      </c>
      <c r="E467" s="7">
        <f>ABS(0.0145833333333339-0.018055555555555)</f>
        <v>3.4722222222210979E-3</v>
      </c>
      <c r="F467" s="1" t="s">
        <v>10</v>
      </c>
    </row>
    <row r="468" spans="1:6" x14ac:dyDescent="0.25">
      <c r="A468" s="11">
        <v>42095</v>
      </c>
      <c r="B468" s="7">
        <v>0.88888888888888884</v>
      </c>
      <c r="C468" s="7">
        <v>0.90694444444444444</v>
      </c>
      <c r="D468" s="7">
        <f>(0.906944444444444-0.888888888888889)</f>
        <v>1.8055555555555047E-2</v>
      </c>
      <c r="E468" s="7">
        <f>ABS(0.018055555555555-0.00902777777777697)</f>
        <v>9.0277777777780285E-3</v>
      </c>
      <c r="F468" s="1" t="s">
        <v>10</v>
      </c>
    </row>
    <row r="469" spans="1:6" x14ac:dyDescent="0.25">
      <c r="A469" s="11">
        <v>42095</v>
      </c>
      <c r="B469" s="7">
        <v>0.9291666666666667</v>
      </c>
      <c r="C469" s="7">
        <v>0.93819444444444444</v>
      </c>
      <c r="D469" s="7">
        <f>(0.938194444444444-0.929166666666667)</f>
        <v>9.0277777777769685E-3</v>
      </c>
      <c r="E469" s="7">
        <f>ABS(0.00902777777777697-0.027777777777778)</f>
        <v>1.875000000000103E-2</v>
      </c>
      <c r="F469" s="1" t="s">
        <v>10</v>
      </c>
    </row>
    <row r="470" spans="1:6" x14ac:dyDescent="0.25">
      <c r="A470" s="11">
        <v>42095</v>
      </c>
      <c r="B470" s="7">
        <v>0.52361111111111114</v>
      </c>
      <c r="C470" s="7">
        <v>0.55138888888888882</v>
      </c>
      <c r="D470" s="7">
        <f>(0.551388888888889-0.523611111111111)</f>
        <v>2.7777777777778012E-2</v>
      </c>
      <c r="E470" s="7">
        <f>ABS(0.027777777777778-0.0159722222222219)</f>
        <v>1.18055555555561E-2</v>
      </c>
      <c r="F470" s="1" t="s">
        <v>10</v>
      </c>
    </row>
    <row r="471" spans="1:6" x14ac:dyDescent="0.25">
      <c r="A471" s="11">
        <v>42095</v>
      </c>
      <c r="B471" s="7">
        <v>9.8611111111111108E-2</v>
      </c>
      <c r="C471" s="7">
        <v>0.11458333333333333</v>
      </c>
      <c r="D471" s="7">
        <f>(0.114583333333333-0.0986111111111111)</f>
        <v>1.5972222222221902E-2</v>
      </c>
      <c r="E471" s="7">
        <f>ABS(0.0159722222222219-0.020138888888888)</f>
        <v>4.1666666666661002E-3</v>
      </c>
      <c r="F471" s="1" t="s">
        <v>10</v>
      </c>
    </row>
    <row r="472" spans="1:6" x14ac:dyDescent="0.25">
      <c r="A472" s="11">
        <v>42095</v>
      </c>
      <c r="B472" s="7">
        <v>0.39305555555555555</v>
      </c>
      <c r="C472" s="7">
        <v>0.41319444444444442</v>
      </c>
      <c r="D472" s="7">
        <f>(0.413194444444444-0.393055555555556)</f>
        <v>2.0138888888887985E-2</v>
      </c>
      <c r="E472" s="7">
        <f>ABS(0.020138888888888-0.022916666666666)</f>
        <v>2.7777777777780004E-3</v>
      </c>
      <c r="F472" s="1" t="s">
        <v>10</v>
      </c>
    </row>
    <row r="473" spans="1:6" x14ac:dyDescent="0.25">
      <c r="A473" s="11">
        <v>42095</v>
      </c>
      <c r="B473" s="7">
        <v>0.49305555555555558</v>
      </c>
      <c r="C473" s="7">
        <v>0.51597222222222217</v>
      </c>
      <c r="D473" s="7">
        <f>(0.515972222222222-0.493055555555556)</f>
        <v>2.291666666666603E-2</v>
      </c>
      <c r="E473" s="7">
        <f>ABS(0.022916666666666-0.138888888888889)</f>
        <v>0.115972222222223</v>
      </c>
      <c r="F473" s="1" t="s">
        <v>10</v>
      </c>
    </row>
    <row r="474" spans="1:6" x14ac:dyDescent="0.25">
      <c r="A474" s="11">
        <v>42095</v>
      </c>
      <c r="B474" s="7">
        <v>0.40625</v>
      </c>
      <c r="C474" s="7">
        <v>0.54513888888888895</v>
      </c>
      <c r="D474" s="7">
        <f>(0.545138888888889-0.40625)</f>
        <v>0.13888888888888895</v>
      </c>
      <c r="E474" s="7">
        <f>ABS(0.138888888888889-0.0166666666666671)</f>
        <v>0.1222222222222219</v>
      </c>
      <c r="F474" s="1" t="s">
        <v>10</v>
      </c>
    </row>
    <row r="475" spans="1:6" x14ac:dyDescent="0.25">
      <c r="A475" s="11">
        <v>42095</v>
      </c>
      <c r="B475" s="7">
        <v>0.62986111111111109</v>
      </c>
      <c r="C475" s="7">
        <v>0.64652777777777781</v>
      </c>
      <c r="D475" s="7">
        <f>(0.646527777777778-0.629861111111111)</f>
        <v>1.6666666666667052E-2</v>
      </c>
      <c r="E475" s="7">
        <f>ABS(0.0166666666666671-0.027083333333334)</f>
        <v>1.04166666666669E-2</v>
      </c>
      <c r="F475" s="1" t="s">
        <v>10</v>
      </c>
    </row>
    <row r="476" spans="1:6" x14ac:dyDescent="0.25">
      <c r="A476" s="11">
        <v>42095</v>
      </c>
      <c r="B476" s="7">
        <v>0.68958333333333333</v>
      </c>
      <c r="C476" s="7">
        <v>0.71666666666666667</v>
      </c>
      <c r="D476" s="7">
        <f>(0.716666666666667-0.689583333333333)</f>
        <v>2.7083333333334014E-2</v>
      </c>
      <c r="E476" s="7">
        <f>ABS(0.027083333333334-0.018055555555555)</f>
        <v>9.0277777777790016E-3</v>
      </c>
      <c r="F476" s="1" t="s">
        <v>10</v>
      </c>
    </row>
    <row r="477" spans="1:6" x14ac:dyDescent="0.25">
      <c r="A477" s="11">
        <v>42095</v>
      </c>
      <c r="B477" s="7">
        <v>0.69166666666666676</v>
      </c>
      <c r="C477" s="7">
        <v>0.70972222222222225</v>
      </c>
      <c r="D477" s="7">
        <f>(0.709722222222222-0.691666666666667)</f>
        <v>1.8055555555555047E-2</v>
      </c>
      <c r="E477" s="7">
        <f>ABS(0.018055555555555-0.00972222222222197)</f>
        <v>8.3333333333330279E-3</v>
      </c>
      <c r="F477" s="1" t="s">
        <v>10</v>
      </c>
    </row>
    <row r="478" spans="1:6" x14ac:dyDescent="0.25">
      <c r="A478" s="11">
        <v>42095</v>
      </c>
      <c r="B478" s="7">
        <v>0.9</v>
      </c>
      <c r="C478" s="7">
        <v>0.90972222222222221</v>
      </c>
      <c r="D478" s="7">
        <f>(0.909722222222222-0.9)</f>
        <v>9.7222222222219656E-3</v>
      </c>
      <c r="E478" s="7">
        <f>ABS(0.00972222222222197-0.0145833333333339)</f>
        <v>4.86111111111193E-3</v>
      </c>
      <c r="F478" s="1" t="s">
        <v>10</v>
      </c>
    </row>
    <row r="479" spans="1:6" x14ac:dyDescent="0.25">
      <c r="A479" s="11">
        <v>42095</v>
      </c>
      <c r="B479" s="7">
        <v>0.93055555555555547</v>
      </c>
      <c r="C479" s="7">
        <v>0.94513888888888886</v>
      </c>
      <c r="D479" s="7">
        <f>(0.945138888888889-0.930555555555555)</f>
        <v>1.4583333333333948E-2</v>
      </c>
      <c r="E479" s="7">
        <f>ABS(0.0145833333333339-0.0145833333333341)</f>
        <v>1.9949319973733282E-16</v>
      </c>
      <c r="F479" s="1" t="s">
        <v>10</v>
      </c>
    </row>
    <row r="480" spans="1:6" x14ac:dyDescent="0.25">
      <c r="A480" s="11">
        <v>42095</v>
      </c>
      <c r="B480" s="7">
        <v>0.9506944444444444</v>
      </c>
      <c r="C480" s="7">
        <v>0.96527777777777779</v>
      </c>
      <c r="D480" s="7">
        <f>(0.965277777777778-0.950694444444444)</f>
        <v>1.4583333333334059E-2</v>
      </c>
      <c r="E480" s="7">
        <f>ABS(0.0145833333333341-0.019444444444445)</f>
        <v>4.8611111111108996E-3</v>
      </c>
      <c r="F480" s="1" t="s">
        <v>10</v>
      </c>
    </row>
    <row r="481" spans="1:6" x14ac:dyDescent="0.25">
      <c r="A481" s="11">
        <v>42095</v>
      </c>
      <c r="B481" s="7">
        <v>0.93611111111111101</v>
      </c>
      <c r="C481" s="7">
        <v>0.9555555555555556</v>
      </c>
      <c r="D481" s="7">
        <f>(0.955555555555556-0.936111111111111)</f>
        <v>1.9444444444445041E-2</v>
      </c>
      <c r="E481" s="7">
        <f>ABS(0.019444444444445-0.018055555555555)</f>
        <v>1.3888888888900011E-3</v>
      </c>
      <c r="F481" s="1" t="s">
        <v>10</v>
      </c>
    </row>
    <row r="482" spans="1:6" x14ac:dyDescent="0.25">
      <c r="A482" s="11">
        <v>42095</v>
      </c>
      <c r="B482" s="7">
        <v>0.4381944444444445</v>
      </c>
      <c r="C482" s="7">
        <v>0.45624999999999999</v>
      </c>
      <c r="D482" s="7">
        <f>(0.45625-0.438194444444445)</f>
        <v>1.8055555555554992E-2</v>
      </c>
      <c r="E482" s="7">
        <f>ABS(0.018055555555555-0.020833333333334)</f>
        <v>2.7777777777789996E-3</v>
      </c>
      <c r="F482" s="1" t="s">
        <v>10</v>
      </c>
    </row>
    <row r="483" spans="1:6" x14ac:dyDescent="0.25">
      <c r="A483" s="11">
        <v>42095</v>
      </c>
      <c r="B483" s="7">
        <v>0.50069444444444444</v>
      </c>
      <c r="C483" s="7">
        <v>0.52152777777777781</v>
      </c>
      <c r="D483" s="7">
        <f>(0.521527777777778-0.500694444444444)</f>
        <v>2.0833333333334036E-2</v>
      </c>
      <c r="E483" s="7">
        <f>ABS(0.020833333333334-0.017361111111111)</f>
        <v>3.4722222222229975E-3</v>
      </c>
      <c r="F483" s="1" t="s">
        <v>10</v>
      </c>
    </row>
    <row r="484" spans="1:6" x14ac:dyDescent="0.25">
      <c r="A484" s="11">
        <v>42095</v>
      </c>
      <c r="B484" s="7">
        <v>0.72361111111111109</v>
      </c>
      <c r="C484" s="7">
        <v>0.74097222222222225</v>
      </c>
      <c r="D484" s="7">
        <f>(0.740972222222222-0.723611111111111)</f>
        <v>1.7361111111111049E-2</v>
      </c>
      <c r="E484" s="7">
        <f>ABS(0.017361111111111-0.0159722222222221)</f>
        <v>1.3888888888889013E-3</v>
      </c>
      <c r="F484" s="1" t="s">
        <v>10</v>
      </c>
    </row>
    <row r="485" spans="1:6" x14ac:dyDescent="0.25">
      <c r="A485" s="11">
        <v>42095</v>
      </c>
      <c r="B485" s="7">
        <v>0.88611111111111107</v>
      </c>
      <c r="C485" s="7">
        <v>0.90208333333333324</v>
      </c>
      <c r="D485" s="7">
        <f>(0.902083333333333-0.886111111111111)</f>
        <v>1.5972222222222054E-2</v>
      </c>
      <c r="E485" s="7">
        <f>ABS(0.0159722222222221-0.0152777777777781)</f>
        <v>6.9444444444399962E-4</v>
      </c>
      <c r="F485" s="1" t="s">
        <v>10</v>
      </c>
    </row>
    <row r="486" spans="1:6" x14ac:dyDescent="0.25">
      <c r="A486" s="11">
        <v>42095</v>
      </c>
      <c r="B486" s="7">
        <v>0.50763888888888886</v>
      </c>
      <c r="C486" s="7">
        <v>0.5229166666666667</v>
      </c>
      <c r="D486" s="7">
        <f>(0.522916666666667-0.507638888888889)</f>
        <v>1.5277777777778057E-2</v>
      </c>
      <c r="E486" s="7">
        <f>ABS(0.0152777777777781-0.0277777777777779)</f>
        <v>1.2499999999999801E-2</v>
      </c>
      <c r="F486" s="1" t="s">
        <v>10</v>
      </c>
    </row>
    <row r="487" spans="1:6" x14ac:dyDescent="0.25">
      <c r="A487" s="11">
        <v>42095</v>
      </c>
      <c r="B487" s="7">
        <v>0.61111111111111105</v>
      </c>
      <c r="C487" s="7">
        <v>0.63888888888888895</v>
      </c>
      <c r="D487" s="7">
        <f>(0.638888888888889-0.611111111111111)</f>
        <v>2.7777777777777901E-2</v>
      </c>
      <c r="E487" s="7">
        <f>ABS(0.0277777777777779-0.025694444444444)</f>
        <v>2.0833333333339019E-3</v>
      </c>
      <c r="F487" s="1" t="s">
        <v>10</v>
      </c>
    </row>
    <row r="488" spans="1:6" x14ac:dyDescent="0.25">
      <c r="A488" s="11">
        <v>42095</v>
      </c>
      <c r="B488" s="7">
        <v>0.11180555555555556</v>
      </c>
      <c r="C488" s="7">
        <v>0.13749999999999998</v>
      </c>
      <c r="D488" s="7">
        <f>(0.1375-0.111805555555556)</f>
        <v>2.5694444444444006E-2</v>
      </c>
      <c r="E488" s="7">
        <f>ABS(0.025694444444444-0.036805555555555)</f>
        <v>1.1111111111111002E-2</v>
      </c>
      <c r="F488" s="1" t="s">
        <v>10</v>
      </c>
    </row>
    <row r="489" spans="1:6" x14ac:dyDescent="0.25">
      <c r="A489" s="11">
        <v>42095</v>
      </c>
      <c r="B489" s="7">
        <v>0.6430555555555556</v>
      </c>
      <c r="C489" s="7">
        <v>0.67986111111111114</v>
      </c>
      <c r="D489" s="7">
        <f>(0.679861111111111-0.643055555555556)</f>
        <v>3.6805555555554981E-2</v>
      </c>
      <c r="E489" s="7">
        <f>ABS(0.036805555555555-0.0166666666666659)</f>
        <v>2.0138888888889102E-2</v>
      </c>
      <c r="F489" s="1" t="s">
        <v>10</v>
      </c>
    </row>
    <row r="490" spans="1:6" x14ac:dyDescent="0.25">
      <c r="A490" s="11">
        <v>42095</v>
      </c>
      <c r="B490" s="7">
        <v>0.79791666666666661</v>
      </c>
      <c r="C490" s="7">
        <v>0.81458333333333333</v>
      </c>
      <c r="D490" s="7">
        <f>(0.814583333333333-0.797916666666667)</f>
        <v>1.6666666666665941E-2</v>
      </c>
      <c r="E490" s="7">
        <f>ABS(0.0166666666666659-0.00833333333333297)</f>
        <v>8.333333333332929E-3</v>
      </c>
      <c r="F490" s="1" t="s">
        <v>10</v>
      </c>
    </row>
    <row r="491" spans="1:6" x14ac:dyDescent="0.25">
      <c r="A491" s="11">
        <v>42095</v>
      </c>
      <c r="B491" s="7">
        <v>0.84791666666666676</v>
      </c>
      <c r="C491" s="7">
        <v>0.85625000000000007</v>
      </c>
      <c r="D491" s="7">
        <f>(0.85625-0.847916666666667)</f>
        <v>8.3333333333329707E-3</v>
      </c>
      <c r="E491" s="7">
        <f>ABS(0.00833333333333297-0.0166666666666619)</f>
        <v>8.3333333333289288E-3</v>
      </c>
      <c r="F491" s="1" t="s">
        <v>10</v>
      </c>
    </row>
    <row r="492" spans="1:6" x14ac:dyDescent="0.25">
      <c r="A492" s="11">
        <v>42095</v>
      </c>
      <c r="B492" s="7">
        <v>0.98402777777777783</v>
      </c>
      <c r="C492" s="7">
        <v>1.0006944444444443</v>
      </c>
      <c r="D492" s="7">
        <f>(1.00069444444444-0.984027777777778)</f>
        <v>1.6666666666661945E-2</v>
      </c>
      <c r="E492" s="7">
        <f>ABS(0.0166666666666619-0.0166666666666671)</f>
        <v>5.2007009809784677E-15</v>
      </c>
      <c r="F492" s="1" t="s">
        <v>10</v>
      </c>
    </row>
    <row r="493" spans="1:6" x14ac:dyDescent="0.25">
      <c r="A493" s="11">
        <v>42095</v>
      </c>
      <c r="B493" s="7">
        <v>0.97499999999999998</v>
      </c>
      <c r="C493" s="7">
        <v>0.9916666666666667</v>
      </c>
      <c r="D493" s="7">
        <f>(0.991666666666667-0.975)</f>
        <v>1.6666666666667052E-2</v>
      </c>
      <c r="E493" s="7">
        <f>ABS(0.0166666666666671-0.020138888888889)</f>
        <v>3.4722222222219011E-3</v>
      </c>
      <c r="F493" s="1" t="s">
        <v>10</v>
      </c>
    </row>
    <row r="494" spans="1:6" x14ac:dyDescent="0.25">
      <c r="A494" s="11">
        <v>42095</v>
      </c>
      <c r="B494" s="7">
        <v>0.32083333333333336</v>
      </c>
      <c r="C494" s="7">
        <v>0.34097222222222223</v>
      </c>
      <c r="D494" s="7">
        <f>(0.340972222222222-0.320833333333333)</f>
        <v>2.0138888888888984E-2</v>
      </c>
      <c r="E494" s="7">
        <f>ABS(0.020138888888889-0.01875)</f>
        <v>1.3888888888890019E-3</v>
      </c>
      <c r="F494" s="1" t="s">
        <v>10</v>
      </c>
    </row>
    <row r="495" spans="1:6" x14ac:dyDescent="0.25">
      <c r="A495" s="11">
        <v>42095</v>
      </c>
      <c r="B495" s="7">
        <v>0.42708333333333331</v>
      </c>
      <c r="C495" s="7">
        <v>0.4458333333333333</v>
      </c>
      <c r="D495" s="7">
        <f>(0.445833333333333-0.427083333333333)</f>
        <v>1.8750000000000044E-2</v>
      </c>
      <c r="E495" s="7">
        <f>ABS(0.01875-0.020138888888889)</f>
        <v>1.3888888888890019E-3</v>
      </c>
      <c r="F495" s="1" t="s">
        <v>10</v>
      </c>
    </row>
    <row r="496" spans="1:6" x14ac:dyDescent="0.25">
      <c r="A496" s="11">
        <v>42095</v>
      </c>
      <c r="B496" s="7">
        <v>0.44444444444444442</v>
      </c>
      <c r="C496" s="7">
        <v>0.46458333333333335</v>
      </c>
      <c r="D496" s="7">
        <f>(0.464583333333333-0.444444444444444)</f>
        <v>2.0138888888889039E-2</v>
      </c>
      <c r="E496" s="7">
        <f>ABS(0.020138888888889-0.026388888888889)</f>
        <v>6.2499999999999986E-3</v>
      </c>
      <c r="F496" s="1" t="s">
        <v>10</v>
      </c>
    </row>
    <row r="497" spans="1:6" x14ac:dyDescent="0.25">
      <c r="A497" s="11">
        <v>42095</v>
      </c>
      <c r="B497" s="7">
        <v>0.47152777777777777</v>
      </c>
      <c r="C497" s="7">
        <v>0.49791666666666662</v>
      </c>
      <c r="D497" s="7">
        <f>(0.497916666666667-0.471527777777778)</f>
        <v>2.6388888888889017E-2</v>
      </c>
      <c r="E497" s="7">
        <f>ABS(0.026388888888889-0.0180555555555559)</f>
        <v>8.333333333333099E-3</v>
      </c>
      <c r="F497" s="1" t="s">
        <v>10</v>
      </c>
    </row>
    <row r="498" spans="1:6" x14ac:dyDescent="0.25">
      <c r="A498" s="11">
        <v>42095</v>
      </c>
      <c r="B498" s="7">
        <v>0.52083333333333337</v>
      </c>
      <c r="C498" s="7">
        <v>0.53888888888888886</v>
      </c>
      <c r="D498" s="7">
        <f>(0.538888888888889-0.520833333333333)</f>
        <v>1.8055555555555935E-2</v>
      </c>
      <c r="E498" s="7">
        <f>ABS(0.0180555555555559-0.028472222222222)</f>
        <v>1.0416666666666099E-2</v>
      </c>
      <c r="F498" s="1" t="s">
        <v>10</v>
      </c>
    </row>
    <row r="499" spans="1:6" x14ac:dyDescent="0.25">
      <c r="A499" s="11">
        <v>42095</v>
      </c>
      <c r="B499" s="7">
        <v>0.5625</v>
      </c>
      <c r="C499" s="7">
        <v>0.59097222222222223</v>
      </c>
      <c r="D499" s="7">
        <f>(0.590972222222222-0.5625)</f>
        <v>2.847222222222201E-2</v>
      </c>
      <c r="E499" s="7">
        <f>ABS(0.028472222222222-0.022916666666666)</f>
        <v>5.5555555555560007E-3</v>
      </c>
      <c r="F499" s="1" t="s">
        <v>10</v>
      </c>
    </row>
    <row r="500" spans="1:6" x14ac:dyDescent="0.25">
      <c r="A500" s="11">
        <v>42095</v>
      </c>
      <c r="B500" s="7">
        <v>0.65763888888888888</v>
      </c>
      <c r="C500" s="7">
        <v>0.68055555555555547</v>
      </c>
      <c r="D500" s="7">
        <f>(0.680555555555555-0.657638888888889)</f>
        <v>2.291666666666603E-2</v>
      </c>
      <c r="E500" s="7">
        <f>ABS(0.022916666666666-0.0194444444444449)</f>
        <v>3.4722222222210997E-3</v>
      </c>
      <c r="F500" s="1" t="s">
        <v>10</v>
      </c>
    </row>
    <row r="501" spans="1:6" x14ac:dyDescent="0.25">
      <c r="A501" s="11">
        <v>42095</v>
      </c>
      <c r="B501" s="7">
        <v>0.74583333333333324</v>
      </c>
      <c r="C501" s="7">
        <v>0.76527777777777783</v>
      </c>
      <c r="D501" s="7">
        <f>(0.765277777777778-0.745833333333333)</f>
        <v>1.944444444444493E-2</v>
      </c>
      <c r="E501" s="7">
        <f>ABS(0.0194444444444449-0.020833333333334)</f>
        <v>1.3888888888890991E-3</v>
      </c>
      <c r="F501" s="1" t="s">
        <v>10</v>
      </c>
    </row>
    <row r="502" spans="1:6" x14ac:dyDescent="0.25">
      <c r="A502" s="11">
        <v>42095</v>
      </c>
      <c r="B502" s="7">
        <v>0.76458333333333339</v>
      </c>
      <c r="C502" s="7">
        <v>0.78541666666666676</v>
      </c>
      <c r="D502" s="7">
        <f>(0.785416666666667-0.764583333333333)</f>
        <v>2.0833333333334036E-2</v>
      </c>
      <c r="E502" s="7">
        <f>ABS(0.020833333333334-0.017361111111111)</f>
        <v>3.4722222222229975E-3</v>
      </c>
      <c r="F502" s="1" t="s">
        <v>10</v>
      </c>
    </row>
    <row r="503" spans="1:6" x14ac:dyDescent="0.25">
      <c r="A503" s="11">
        <v>42095</v>
      </c>
      <c r="B503" s="7">
        <v>0.84513888888888899</v>
      </c>
      <c r="C503" s="7">
        <v>0.86249999999999993</v>
      </c>
      <c r="D503" s="7">
        <f>(0.8625-0.845138888888889)</f>
        <v>1.7361111111111049E-2</v>
      </c>
      <c r="E503" s="7">
        <f>ABS(0.017361111111111-0.019444444444445)</f>
        <v>2.083333333333999E-3</v>
      </c>
      <c r="F503" s="1" t="s">
        <v>10</v>
      </c>
    </row>
    <row r="504" spans="1:6" x14ac:dyDescent="0.25">
      <c r="A504" s="11">
        <v>42095</v>
      </c>
      <c r="B504" s="7">
        <v>0.82708333333333339</v>
      </c>
      <c r="C504" s="7">
        <v>0.84652777777777777</v>
      </c>
      <c r="D504" s="7">
        <f>(0.846527777777778-0.827083333333333)</f>
        <v>1.9444444444445041E-2</v>
      </c>
      <c r="E504" s="7">
        <f>ABS(0.019444444444445-0.020138888888889)</f>
        <v>6.9444444444400136E-4</v>
      </c>
      <c r="F504" s="1" t="s">
        <v>10</v>
      </c>
    </row>
    <row r="505" spans="1:6" x14ac:dyDescent="0.25">
      <c r="A505" s="11">
        <v>42095</v>
      </c>
      <c r="B505" s="7">
        <v>0.85763888888888884</v>
      </c>
      <c r="C505" s="7">
        <v>0.87777777777777777</v>
      </c>
      <c r="D505" s="7">
        <f>(0.877777777777778-0.857638888888889)</f>
        <v>2.0138888888889039E-2</v>
      </c>
      <c r="E505" s="7">
        <f>ABS(0.020138888888889-0.0215277777777779)</f>
        <v>1.3888888888888978E-3</v>
      </c>
      <c r="F505" s="1" t="s">
        <v>10</v>
      </c>
    </row>
    <row r="506" spans="1:6" x14ac:dyDescent="0.25">
      <c r="A506" s="11">
        <v>42095</v>
      </c>
      <c r="B506" s="7">
        <v>0.92361111111111116</v>
      </c>
      <c r="C506" s="7">
        <v>0.94513888888888886</v>
      </c>
      <c r="D506" s="7">
        <f>(0.945138888888889-0.923611111111111)</f>
        <v>2.1527777777777923E-2</v>
      </c>
      <c r="E506" s="7">
        <f>ABS(0.0215277777777779-0.0173611111111098)</f>
        <v>4.1666666666680986E-3</v>
      </c>
      <c r="F506" s="1" t="s">
        <v>10</v>
      </c>
    </row>
    <row r="507" spans="1:6" x14ac:dyDescent="0.25">
      <c r="A507" s="11">
        <v>42095</v>
      </c>
      <c r="B507" s="7">
        <v>1.0020833333333334</v>
      </c>
      <c r="C507" s="7">
        <v>1.0194444444444444</v>
      </c>
      <c r="D507" s="7">
        <f>(1.01944444444444-1.00208333333333)</f>
        <v>1.7361111111109828E-2</v>
      </c>
      <c r="E507" s="7">
        <f>ABS(0.0173611111111098-0.022222222222222)</f>
        <v>4.8611111111122006E-3</v>
      </c>
      <c r="F507" s="1" t="s">
        <v>10</v>
      </c>
    </row>
    <row r="508" spans="1:6" x14ac:dyDescent="0.25">
      <c r="A508" s="11">
        <v>42095</v>
      </c>
      <c r="B508" s="7">
        <v>0.5</v>
      </c>
      <c r="C508" s="7">
        <v>0.52222222222222225</v>
      </c>
      <c r="D508" s="7">
        <f>(0.522222222222222-0.5)</f>
        <v>2.2222222222222032E-2</v>
      </c>
      <c r="E508" s="7">
        <f>ABS(0.022222222222222-0.018055555555555)</f>
        <v>4.1666666666670023E-3</v>
      </c>
      <c r="F508" s="1" t="s">
        <v>10</v>
      </c>
    </row>
    <row r="509" spans="1:6" x14ac:dyDescent="0.25">
      <c r="A509" s="11">
        <v>42095</v>
      </c>
      <c r="B509" s="7">
        <v>0.53402777777777777</v>
      </c>
      <c r="C509" s="7">
        <v>0.55208333333333337</v>
      </c>
      <c r="D509" s="7">
        <f>(0.552083333333333-0.534027777777778)</f>
        <v>1.8055555555555047E-2</v>
      </c>
      <c r="E509" s="7">
        <f>ABS(0.018055555555555-0.0201388888888889)</f>
        <v>2.0833333333339019E-3</v>
      </c>
      <c r="F509" s="1" t="s">
        <v>10</v>
      </c>
    </row>
    <row r="510" spans="1:6" x14ac:dyDescent="0.25">
      <c r="A510" s="11">
        <v>42095</v>
      </c>
      <c r="B510" s="7">
        <v>0.7055555555555556</v>
      </c>
      <c r="C510" s="7">
        <v>0.72569444444444453</v>
      </c>
      <c r="D510" s="7">
        <f>(0.725694444444445-0.705555555555556)</f>
        <v>2.0138888888888928E-2</v>
      </c>
      <c r="E510" s="7">
        <f>ABS(0.0201388888888889-0.01875)</f>
        <v>1.3888888888889013E-3</v>
      </c>
      <c r="F510" s="1" t="s">
        <v>10</v>
      </c>
    </row>
    <row r="511" spans="1:6" x14ac:dyDescent="0.25">
      <c r="A511" s="11">
        <v>42095</v>
      </c>
      <c r="B511" s="7">
        <v>0.78125</v>
      </c>
      <c r="C511" s="7">
        <v>0.79999999999999993</v>
      </c>
      <c r="D511" s="7">
        <f>(0.8-0.78125)</f>
        <v>1.8750000000000044E-2</v>
      </c>
      <c r="E511" s="7">
        <f>ABS(0.01875-0.0166666666666671)</f>
        <v>2.0833333333328992E-3</v>
      </c>
      <c r="F511" s="1" t="s">
        <v>10</v>
      </c>
    </row>
    <row r="512" spans="1:6" x14ac:dyDescent="0.25">
      <c r="A512" s="11">
        <v>42095</v>
      </c>
      <c r="B512" s="7">
        <v>0.81319444444444444</v>
      </c>
      <c r="C512" s="7">
        <v>0.82986111111111116</v>
      </c>
      <c r="D512" s="7">
        <f>(0.829861111111111-0.813194444444444)</f>
        <v>1.6666666666667052E-2</v>
      </c>
      <c r="E512" s="7">
        <f>ABS(0.0166666666666671-0.0208333333333349)</f>
        <v>4.1666666666678003E-3</v>
      </c>
      <c r="F512" s="1" t="s">
        <v>10</v>
      </c>
    </row>
    <row r="513" spans="1:6" x14ac:dyDescent="0.25">
      <c r="A513" s="11">
        <v>42095</v>
      </c>
      <c r="B513" s="7">
        <v>0.99305555555555547</v>
      </c>
      <c r="C513" s="7">
        <v>1.0138888888888888</v>
      </c>
      <c r="D513" s="7">
        <f>(1.01388888888889-0.993055555555555)</f>
        <v>2.0833333333334925E-2</v>
      </c>
      <c r="E513" s="7">
        <f>ABS(0.0208333333333349-0.017361111111111)</f>
        <v>3.4722222222238995E-3</v>
      </c>
      <c r="F513" s="1" t="s">
        <v>10</v>
      </c>
    </row>
    <row r="514" spans="1:6" x14ac:dyDescent="0.25">
      <c r="A514" s="11">
        <v>42095</v>
      </c>
      <c r="B514" s="7">
        <v>0.69791666666666663</v>
      </c>
      <c r="C514" s="7">
        <v>0.71527777777777779</v>
      </c>
      <c r="D514" s="7">
        <f>(0.715277777777778-0.697916666666667)</f>
        <v>1.7361111111111049E-2</v>
      </c>
      <c r="E514" s="7">
        <f>ABS(0.017361111111111-0.01875)</f>
        <v>1.3888888888889984E-3</v>
      </c>
      <c r="F514" s="1" t="s">
        <v>10</v>
      </c>
    </row>
    <row r="515" spans="1:6" x14ac:dyDescent="0.25">
      <c r="A515" s="11">
        <v>42095</v>
      </c>
      <c r="B515" s="7">
        <v>0.69652777777777775</v>
      </c>
      <c r="C515" s="7">
        <v>0.71527777777777779</v>
      </c>
      <c r="D515" s="7">
        <f>(0.715277777777778-0.696527777777778)</f>
        <v>1.8750000000000044E-2</v>
      </c>
      <c r="E515" s="7">
        <f>ABS(0.01875-0.022222222222223)</f>
        <v>3.4722222222230009E-3</v>
      </c>
      <c r="F515" s="1" t="s">
        <v>10</v>
      </c>
    </row>
    <row r="516" spans="1:6" x14ac:dyDescent="0.25">
      <c r="A516" s="11">
        <v>42095</v>
      </c>
      <c r="B516" s="7">
        <v>0.71458333333333324</v>
      </c>
      <c r="C516" s="7">
        <v>0.7368055555555556</v>
      </c>
      <c r="D516" s="7">
        <f>(0.736805555555556-0.714583333333333)</f>
        <v>2.2222222222223031E-2</v>
      </c>
      <c r="E516" s="7">
        <f>ABS(0.022222222222223-0.0166666666666669)</f>
        <v>5.5555555555561013E-3</v>
      </c>
      <c r="F516" s="1" t="s">
        <v>10</v>
      </c>
    </row>
    <row r="517" spans="1:6" x14ac:dyDescent="0.25">
      <c r="A517" s="11">
        <v>42095</v>
      </c>
      <c r="B517" s="7">
        <v>0.80763888888888891</v>
      </c>
      <c r="C517" s="7">
        <v>0.82430555555555562</v>
      </c>
      <c r="D517" s="7">
        <f>(0.824305555555556-0.807638888888889)</f>
        <v>1.6666666666666941E-2</v>
      </c>
      <c r="E517" s="7">
        <f>ABS(0.0166666666666669-0.0145833333333329)</f>
        <v>2.083333333333999E-3</v>
      </c>
      <c r="F517" s="1" t="s">
        <v>10</v>
      </c>
    </row>
    <row r="518" spans="1:6" x14ac:dyDescent="0.25">
      <c r="A518" s="11">
        <v>42095</v>
      </c>
      <c r="B518" s="7">
        <v>0.87013888888888891</v>
      </c>
      <c r="C518" s="7">
        <v>0.8847222222222223</v>
      </c>
      <c r="D518" s="7">
        <f>(0.884722222222222-0.870138888888889)</f>
        <v>1.4583333333332948E-2</v>
      </c>
      <c r="E518" s="7">
        <f>ABS(0.0145833333333329-0.0145833333333339)</f>
        <v>1.0009354456386177E-15</v>
      </c>
      <c r="F518" s="1" t="s">
        <v>10</v>
      </c>
    </row>
    <row r="519" spans="1:6" x14ac:dyDescent="0.25">
      <c r="A519" s="11">
        <v>42095</v>
      </c>
      <c r="B519" s="7">
        <v>0.92708333333333337</v>
      </c>
      <c r="C519" s="7">
        <v>0.94166666666666676</v>
      </c>
      <c r="D519" s="7">
        <f>(0.941666666666667-0.927083333333333)</f>
        <v>1.4583333333333948E-2</v>
      </c>
      <c r="E519" s="7">
        <f>ABS(0.0145833333333339-0.0145833333333333)</f>
        <v>6.0021432268797525E-16</v>
      </c>
      <c r="F519" s="1" t="s">
        <v>10</v>
      </c>
    </row>
    <row r="520" spans="1:6" x14ac:dyDescent="0.25">
      <c r="A520" s="11">
        <v>42095</v>
      </c>
      <c r="B520" s="7">
        <v>8.4027777777777771E-2</v>
      </c>
      <c r="C520" s="7">
        <v>9.8611111111111108E-2</v>
      </c>
      <c r="D520" s="7">
        <f>(0.0986111111111111-0.0840277777777778)</f>
        <v>1.4583333333333295E-2</v>
      </c>
      <c r="E520" s="7">
        <f>ABS(0.0145833333333333-0.017361111111111)</f>
        <v>2.7777777777777003E-3</v>
      </c>
      <c r="F520" s="1" t="s">
        <v>10</v>
      </c>
    </row>
    <row r="521" spans="1:6" x14ac:dyDescent="0.25">
      <c r="A521" s="11">
        <v>42095</v>
      </c>
      <c r="B521" s="7">
        <v>0.44097222222222227</v>
      </c>
      <c r="C521" s="7">
        <v>0.45833333333333331</v>
      </c>
      <c r="D521" s="7">
        <f>(0.458333333333333-0.440972222222222)</f>
        <v>1.7361111111110994E-2</v>
      </c>
      <c r="E521" s="7">
        <f>ABS(0.017361111111111-0.018055555555556)</f>
        <v>6.9444444444500056E-4</v>
      </c>
      <c r="F521" s="1" t="s">
        <v>10</v>
      </c>
    </row>
    <row r="522" spans="1:6" x14ac:dyDescent="0.25">
      <c r="A522" s="11">
        <v>42095</v>
      </c>
      <c r="B522" s="7">
        <v>0.51111111111111118</v>
      </c>
      <c r="C522" s="7">
        <v>0.52916666666666667</v>
      </c>
      <c r="D522" s="7">
        <f>(0.529166666666667-0.511111111111111)</f>
        <v>1.8055555555556047E-2</v>
      </c>
      <c r="E522" s="7">
        <f>ABS(0.018055555555556-0.01875)</f>
        <v>6.9444444444399789E-4</v>
      </c>
      <c r="F522" s="1" t="s">
        <v>10</v>
      </c>
    </row>
    <row r="523" spans="1:6" x14ac:dyDescent="0.25">
      <c r="A523" s="11">
        <v>42095</v>
      </c>
      <c r="B523" s="7">
        <v>0.51041666666666663</v>
      </c>
      <c r="C523" s="7">
        <v>0.52916666666666667</v>
      </c>
      <c r="D523" s="7">
        <f>(0.529166666666667-0.510416666666667)</f>
        <v>1.8750000000000044E-2</v>
      </c>
      <c r="E523" s="7">
        <f>ABS(0.01875-0.0159722222222221)</f>
        <v>2.7777777777778997E-3</v>
      </c>
      <c r="F523" s="1" t="s">
        <v>10</v>
      </c>
    </row>
    <row r="524" spans="1:6" x14ac:dyDescent="0.25">
      <c r="A524" s="11">
        <v>42095</v>
      </c>
      <c r="B524" s="7">
        <v>0.69513888888888886</v>
      </c>
      <c r="C524" s="7">
        <v>0.71111111111111114</v>
      </c>
      <c r="D524" s="7">
        <f>(0.711111111111111-0.695138888888889)</f>
        <v>1.5972222222222054E-2</v>
      </c>
      <c r="E524" s="7">
        <f>ABS(0.0159722222222221-0.0166666666666671)</f>
        <v>6.9444444444500056E-4</v>
      </c>
      <c r="F524" s="1" t="s">
        <v>10</v>
      </c>
    </row>
    <row r="525" spans="1:6" x14ac:dyDescent="0.25">
      <c r="A525" s="11">
        <v>42095</v>
      </c>
      <c r="B525" s="7">
        <v>0.75</v>
      </c>
      <c r="C525" s="7">
        <v>0.76666666666666661</v>
      </c>
      <c r="D525" s="7">
        <f>(0.766666666666667-0.75)</f>
        <v>1.6666666666667052E-2</v>
      </c>
      <c r="E525" s="7">
        <f>ABS(0.0166666666666671-0.025694444444444)</f>
        <v>9.0277777777768992E-3</v>
      </c>
      <c r="F525" s="1" t="s">
        <v>10</v>
      </c>
    </row>
    <row r="526" spans="1:6" x14ac:dyDescent="0.25">
      <c r="A526" s="11">
        <v>42095</v>
      </c>
      <c r="B526" s="7">
        <v>0.81527777777777777</v>
      </c>
      <c r="C526" s="7">
        <v>0.84097222222222223</v>
      </c>
      <c r="D526" s="7">
        <f>(0.840972222222222-0.815277777777778)</f>
        <v>2.569444444444402E-2</v>
      </c>
      <c r="E526" s="7">
        <f>ABS(0.025694444444444-0.00833333333333297)</f>
        <v>1.7361111111111029E-2</v>
      </c>
      <c r="F526" s="1" t="s">
        <v>10</v>
      </c>
    </row>
    <row r="527" spans="1:6" x14ac:dyDescent="0.25">
      <c r="A527" s="11">
        <v>42095</v>
      </c>
      <c r="B527" s="7">
        <v>0.97013888888888899</v>
      </c>
      <c r="C527" s="7">
        <v>0.9784722222222223</v>
      </c>
      <c r="D527" s="7">
        <f>(0.978472222222222-0.970138888888889)</f>
        <v>8.3333333333329707E-3</v>
      </c>
      <c r="E527" s="7">
        <f>ABS(0.00833333333333297-0.017361111111111)</f>
        <v>9.0277777777780302E-3</v>
      </c>
      <c r="F527" s="1" t="s">
        <v>10</v>
      </c>
    </row>
    <row r="528" spans="1:6" x14ac:dyDescent="0.25">
      <c r="A528" s="11">
        <v>42095</v>
      </c>
      <c r="B528" s="7">
        <v>0.17291666666666669</v>
      </c>
      <c r="C528" s="7">
        <v>0.19027777777777777</v>
      </c>
      <c r="D528" s="7">
        <f>(0.190277777777778-0.172916666666667)</f>
        <v>1.7361111111110994E-2</v>
      </c>
      <c r="E528" s="7">
        <f>ABS(0.017361111111111-0.022916666666667)</f>
        <v>5.5555555555560007E-3</v>
      </c>
      <c r="F528" s="1" t="s">
        <v>10</v>
      </c>
    </row>
    <row r="529" spans="1:6" x14ac:dyDescent="0.25">
      <c r="A529" s="11">
        <v>42095</v>
      </c>
      <c r="B529" s="7">
        <v>0.38611111111111113</v>
      </c>
      <c r="C529" s="7">
        <v>0.40902777777777777</v>
      </c>
      <c r="D529" s="7">
        <f>(0.409027777777778-0.386111111111111)</f>
        <v>2.2916666666666974E-2</v>
      </c>
      <c r="E529" s="7">
        <f>ABS(0.022916666666667-0.022222222222222)</f>
        <v>6.9444444444500056E-4</v>
      </c>
      <c r="F529" s="1" t="s">
        <v>10</v>
      </c>
    </row>
    <row r="530" spans="1:6" x14ac:dyDescent="0.25">
      <c r="A530" s="11">
        <v>42095</v>
      </c>
      <c r="B530" s="7">
        <v>0.38750000000000001</v>
      </c>
      <c r="C530" s="7">
        <v>0.40972222222222227</v>
      </c>
      <c r="D530" s="7">
        <f>(0.409722222222222-0.3875)</f>
        <v>2.2222222222221977E-2</v>
      </c>
      <c r="E530" s="7">
        <f>ABS(0.022222222222222-0.018055555555556)</f>
        <v>4.1666666666659996E-3</v>
      </c>
      <c r="F530" s="1" t="s">
        <v>10</v>
      </c>
    </row>
    <row r="531" spans="1:6" x14ac:dyDescent="0.25">
      <c r="A531" s="11">
        <v>42095</v>
      </c>
      <c r="B531" s="7">
        <v>0.4861111111111111</v>
      </c>
      <c r="C531" s="7">
        <v>0.50416666666666665</v>
      </c>
      <c r="D531" s="7">
        <f>(0.504166666666667-0.486111111111111)</f>
        <v>1.8055555555555991E-2</v>
      </c>
      <c r="E531" s="7">
        <f>ABS(0.018055555555556-0.0180555555555559)</f>
        <v>1.0061396160665481E-16</v>
      </c>
      <c r="F531" s="1" t="s">
        <v>10</v>
      </c>
    </row>
    <row r="532" spans="1:6" x14ac:dyDescent="0.25">
      <c r="A532" s="11">
        <v>42095</v>
      </c>
      <c r="B532" s="7">
        <v>0.49236111111111108</v>
      </c>
      <c r="C532" s="7">
        <v>0.51041666666666663</v>
      </c>
      <c r="D532" s="7">
        <f>(0.510416666666667-0.492361111111111)</f>
        <v>1.8055555555555935E-2</v>
      </c>
      <c r="E532" s="7">
        <f>ABS(0.0180555555555559-0.022222222222222)</f>
        <v>4.1666666666661002E-3</v>
      </c>
      <c r="F532" s="1" t="s">
        <v>10</v>
      </c>
    </row>
    <row r="533" spans="1:6" x14ac:dyDescent="0.25">
      <c r="A533" s="11">
        <v>42095</v>
      </c>
      <c r="B533" s="7">
        <v>0.66527777777777775</v>
      </c>
      <c r="C533" s="7">
        <v>0.6875</v>
      </c>
      <c r="D533" s="7">
        <f>(0.6875-0.665277777777778)</f>
        <v>2.2222222222222032E-2</v>
      </c>
      <c r="E533" s="7">
        <f>ABS(0.022222222222222-0.0201388888888889)</f>
        <v>2.0833333333331004E-3</v>
      </c>
      <c r="F533" s="1" t="s">
        <v>10</v>
      </c>
    </row>
    <row r="534" spans="1:6" x14ac:dyDescent="0.25">
      <c r="A534" s="11">
        <v>42095</v>
      </c>
      <c r="B534" s="7">
        <v>0.6743055555555556</v>
      </c>
      <c r="C534" s="7">
        <v>0.69444444444444453</v>
      </c>
      <c r="D534" s="7">
        <f>(0.694444444444445-0.674305555555556)</f>
        <v>2.0138888888888928E-2</v>
      </c>
      <c r="E534" s="7">
        <f>ABS(0.0201388888888889-0.00902777777777808)</f>
        <v>1.111111111111082E-2</v>
      </c>
      <c r="F534" s="1" t="s">
        <v>10</v>
      </c>
    </row>
    <row r="535" spans="1:6" x14ac:dyDescent="0.25">
      <c r="A535" s="11">
        <v>42095</v>
      </c>
      <c r="B535" s="7">
        <v>0.67083333333333339</v>
      </c>
      <c r="C535" s="7">
        <v>0.67986111111111114</v>
      </c>
      <c r="D535" s="7">
        <f>(0.679861111111111-0.670833333333333)</f>
        <v>9.0277777777780788E-3</v>
      </c>
      <c r="E535" s="7">
        <f>ABS(0.00902777777777808-0.024305555555555)</f>
        <v>1.527777777777692E-2</v>
      </c>
      <c r="F535" s="1" t="s">
        <v>10</v>
      </c>
    </row>
    <row r="536" spans="1:6" x14ac:dyDescent="0.25">
      <c r="A536" s="11">
        <v>42095</v>
      </c>
      <c r="B536" s="7">
        <v>0.69305555555555554</v>
      </c>
      <c r="C536" s="7">
        <v>0.71736111111111101</v>
      </c>
      <c r="D536" s="7">
        <f>(0.717361111111111-0.693055555555556)</f>
        <v>2.4305555555555025E-2</v>
      </c>
      <c r="E536" s="7">
        <f>ABS(0.024305555555555-0.0173611111111119)</f>
        <v>6.9444444444431014E-3</v>
      </c>
      <c r="F536" s="1" t="s">
        <v>10</v>
      </c>
    </row>
    <row r="537" spans="1:6" x14ac:dyDescent="0.25">
      <c r="A537" s="11">
        <v>42095</v>
      </c>
      <c r="B537" s="7">
        <v>0.73958333333333337</v>
      </c>
      <c r="C537" s="7">
        <v>0.75694444444444453</v>
      </c>
      <c r="D537" s="7">
        <f>(0.756944444444445-0.739583333333333)</f>
        <v>1.7361111111111938E-2</v>
      </c>
      <c r="E537" s="7">
        <f>ABS(0.0173611111111119-0.010416666666667)</f>
        <v>6.9444444444449003E-3</v>
      </c>
      <c r="F537" s="1" t="s">
        <v>10</v>
      </c>
    </row>
    <row r="538" spans="1:6" x14ac:dyDescent="0.25">
      <c r="A538" s="11">
        <v>42095</v>
      </c>
      <c r="B538" s="7">
        <v>0.14375000000000002</v>
      </c>
      <c r="C538" s="7">
        <v>0.15416666666666667</v>
      </c>
      <c r="D538" s="7">
        <f>(0.154166666666667-0.14375)</f>
        <v>1.0416666666667018E-2</v>
      </c>
      <c r="E538" s="7">
        <f>ABS(0.010416666666667-0.020138888888889)</f>
        <v>9.7222222222220021E-3</v>
      </c>
      <c r="F538" s="1" t="s">
        <v>10</v>
      </c>
    </row>
    <row r="539" spans="1:6" x14ac:dyDescent="0.25">
      <c r="A539" s="11">
        <v>42095</v>
      </c>
      <c r="B539" s="7">
        <v>0.42152777777777778</v>
      </c>
      <c r="C539" s="7">
        <v>0.44166666666666665</v>
      </c>
      <c r="D539" s="7">
        <f>(0.441666666666667-0.421527777777778)</f>
        <v>2.0138888888888984E-2</v>
      </c>
      <c r="E539" s="7">
        <f>ABS(0.020138888888889-0.015972222222222)</f>
        <v>4.1666666666670023E-3</v>
      </c>
      <c r="F539" s="1" t="s">
        <v>10</v>
      </c>
    </row>
    <row r="540" spans="1:6" x14ac:dyDescent="0.25">
      <c r="A540" s="11">
        <v>42095</v>
      </c>
      <c r="B540" s="7">
        <v>0.48055555555555557</v>
      </c>
      <c r="C540" s="7">
        <v>0.49652777777777773</v>
      </c>
      <c r="D540" s="7">
        <f>(0.496527777777778-0.480555555555556)</f>
        <v>1.5972222222221999E-2</v>
      </c>
      <c r="E540" s="7">
        <f>ABS(0.015972222222222-0.0166666666666661)</f>
        <v>6.9444444444410197E-4</v>
      </c>
      <c r="F540" s="1" t="s">
        <v>10</v>
      </c>
    </row>
    <row r="541" spans="1:6" x14ac:dyDescent="0.25">
      <c r="A541" s="11">
        <v>42095</v>
      </c>
      <c r="B541" s="7">
        <v>0.59791666666666665</v>
      </c>
      <c r="C541" s="7">
        <v>0.61458333333333337</v>
      </c>
      <c r="D541" s="7">
        <f>(0.614583333333333-0.597916666666667)</f>
        <v>1.6666666666666052E-2</v>
      </c>
      <c r="E541" s="7">
        <f>ABS(0.0166666666666661-0.018055555555556)</f>
        <v>1.3888888888899005E-3</v>
      </c>
      <c r="F541" s="1" t="s">
        <v>10</v>
      </c>
    </row>
    <row r="542" spans="1:6" x14ac:dyDescent="0.25">
      <c r="A542" s="11">
        <v>42095</v>
      </c>
      <c r="B542" s="7">
        <v>0.29722222222222222</v>
      </c>
      <c r="C542" s="7">
        <v>0.31527777777777777</v>
      </c>
      <c r="D542" s="7">
        <f>(0.315277777777778-0.297222222222222)</f>
        <v>1.8055555555555991E-2</v>
      </c>
      <c r="E542" s="7">
        <f>ABS(0.018055555555556-0.01875)</f>
        <v>6.9444444444399789E-4</v>
      </c>
      <c r="F542" s="1" t="s">
        <v>10</v>
      </c>
    </row>
    <row r="543" spans="1:6" x14ac:dyDescent="0.25">
      <c r="A543" s="11">
        <v>42095</v>
      </c>
      <c r="B543" s="7">
        <v>0.67013888888888884</v>
      </c>
      <c r="C543" s="7">
        <v>0.68888888888888899</v>
      </c>
      <c r="D543" s="7">
        <f>(0.688888888888889-0.670138888888889)</f>
        <v>1.8750000000000044E-2</v>
      </c>
      <c r="E543" s="7">
        <f>ABS(0.01875-0.020138888888889)</f>
        <v>1.3888888888890019E-3</v>
      </c>
      <c r="F543" s="1" t="s">
        <v>10</v>
      </c>
    </row>
    <row r="544" spans="1:6" x14ac:dyDescent="0.25">
      <c r="A544" s="11">
        <v>42095</v>
      </c>
      <c r="B544" s="7">
        <v>0.71736111111111101</v>
      </c>
      <c r="C544" s="7">
        <v>0.73749999999999993</v>
      </c>
      <c r="D544" s="7">
        <f>(0.7375-0.717361111111111)</f>
        <v>2.0138888888889039E-2</v>
      </c>
      <c r="E544" s="7">
        <f>ABS(0.020138888888889-0.01875)</f>
        <v>1.3888888888890019E-3</v>
      </c>
      <c r="F544" s="1" t="s">
        <v>10</v>
      </c>
    </row>
    <row r="545" spans="1:6" x14ac:dyDescent="0.25">
      <c r="A545" s="11">
        <v>42095</v>
      </c>
      <c r="B545" s="7">
        <v>0.7597222222222223</v>
      </c>
      <c r="C545" s="7">
        <v>0.77847222222222223</v>
      </c>
      <c r="D545" s="7">
        <f>(0.778472222222222-0.759722222222222)</f>
        <v>1.8750000000000044E-2</v>
      </c>
      <c r="E545" s="7">
        <f>ABS(0.01875-0.041666666666666)</f>
        <v>2.2916666666665999E-2</v>
      </c>
      <c r="F545" s="1" t="s">
        <v>10</v>
      </c>
    </row>
    <row r="546" spans="1:6" x14ac:dyDescent="0.25">
      <c r="A546" s="11">
        <v>42095</v>
      </c>
      <c r="B546" s="7">
        <v>0.48402777777777778</v>
      </c>
      <c r="C546" s="7">
        <v>0.52569444444444446</v>
      </c>
      <c r="D546" s="7">
        <f>(0.525694444444444-0.484027777777778)</f>
        <v>4.1666666666666019E-2</v>
      </c>
      <c r="E546" s="7">
        <f>ABS(0.041666666666666-0.017361111111111)</f>
        <v>2.4305555555554997E-2</v>
      </c>
      <c r="F546" s="1" t="s">
        <v>10</v>
      </c>
    </row>
    <row r="547" spans="1:6" x14ac:dyDescent="0.25">
      <c r="A547" s="11">
        <v>42095</v>
      </c>
      <c r="B547" s="7">
        <v>0.76250000000000007</v>
      </c>
      <c r="C547" s="7">
        <v>0.77986111111111101</v>
      </c>
      <c r="D547" s="7">
        <f>(0.779861111111111-0.7625)</f>
        <v>1.7361111111111049E-2</v>
      </c>
      <c r="E547" s="7">
        <f>ABS(0.017361111111111-0.0187499999999999)</f>
        <v>1.3888888888888978E-3</v>
      </c>
      <c r="F547" s="1" t="s">
        <v>10</v>
      </c>
    </row>
    <row r="548" spans="1:6" x14ac:dyDescent="0.25">
      <c r="A548" s="11">
        <v>42095</v>
      </c>
      <c r="B548" s="7">
        <v>0.7680555555555556</v>
      </c>
      <c r="C548" s="7">
        <v>0.78680555555555554</v>
      </c>
      <c r="D548" s="7">
        <f>(0.786805555555556-0.768055555555556)</f>
        <v>1.8749999999999933E-2</v>
      </c>
      <c r="E548" s="7">
        <f>ABS(0.0187499999999999-0.0159722222222221)</f>
        <v>2.7777777777777991E-3</v>
      </c>
      <c r="F548" s="1" t="s">
        <v>10</v>
      </c>
    </row>
    <row r="549" spans="1:6" x14ac:dyDescent="0.25">
      <c r="A549" s="11">
        <v>42095</v>
      </c>
      <c r="B549" s="7">
        <v>0.91249999999999998</v>
      </c>
      <c r="C549" s="7">
        <v>0.92847222222222225</v>
      </c>
      <c r="D549" s="7">
        <f>(0.928472222222222-0.9125)</f>
        <v>1.5972222222222054E-2</v>
      </c>
      <c r="E549" s="7">
        <f>ABS(0.0159722222222221-0.0222222222222222)</f>
        <v>6.2500000000000992E-3</v>
      </c>
      <c r="F549" s="1" t="s">
        <v>10</v>
      </c>
    </row>
    <row r="550" spans="1:6" x14ac:dyDescent="0.25">
      <c r="A550" s="11">
        <v>42095</v>
      </c>
      <c r="B550" s="7">
        <v>4.8611111111111112E-2</v>
      </c>
      <c r="C550" s="7">
        <v>7.0833333333333331E-2</v>
      </c>
      <c r="D550" s="7">
        <f>(0.0708333333333333-0.0486111111111111)</f>
        <v>2.2222222222222206E-2</v>
      </c>
      <c r="E550" s="7">
        <f>ABS(0.0222222222222222-0.0104166666666667)</f>
        <v>1.1805555555555498E-2</v>
      </c>
      <c r="F550" s="1" t="s">
        <v>10</v>
      </c>
    </row>
    <row r="551" spans="1:6" x14ac:dyDescent="0.25">
      <c r="A551" s="11">
        <v>42095</v>
      </c>
      <c r="B551" s="7">
        <v>5.9722222222222225E-2</v>
      </c>
      <c r="C551" s="7">
        <v>7.013888888888889E-2</v>
      </c>
      <c r="D551" s="7">
        <f>(0.0701388888888889-0.0597222222222222)</f>
        <v>1.0416666666666706E-2</v>
      </c>
      <c r="E551" s="7">
        <f>ABS(0.0104166666666667-0.0180555555555559)</f>
        <v>7.6388888888892E-3</v>
      </c>
      <c r="F551" s="1" t="s">
        <v>10</v>
      </c>
    </row>
    <row r="552" spans="1:6" x14ac:dyDescent="0.25">
      <c r="A552" s="11">
        <v>42095</v>
      </c>
      <c r="B552" s="7">
        <v>0.89444444444444438</v>
      </c>
      <c r="C552" s="7">
        <v>0.91249999999999998</v>
      </c>
      <c r="D552" s="7">
        <f>(0.9125-0.894444444444444)</f>
        <v>1.8055555555555935E-2</v>
      </c>
      <c r="E552" s="7">
        <f>ABS(0.0180555555555559-0.0166666666666671)</f>
        <v>1.3888888888888007E-3</v>
      </c>
      <c r="F552" s="1" t="s">
        <v>10</v>
      </c>
    </row>
    <row r="553" spans="1:6" x14ac:dyDescent="0.25">
      <c r="A553" s="11">
        <v>42095</v>
      </c>
      <c r="B553" s="7">
        <v>0.92083333333333339</v>
      </c>
      <c r="C553" s="7">
        <v>0.9375</v>
      </c>
      <c r="D553" s="7">
        <f>(0.9375-0.920833333333333)</f>
        <v>1.6666666666667052E-2</v>
      </c>
      <c r="E553" s="7"/>
      <c r="F553" s="1" t="s">
        <v>10</v>
      </c>
    </row>
    <row r="554" spans="1:6" x14ac:dyDescent="0.25">
      <c r="A554" s="11">
        <v>42095</v>
      </c>
      <c r="B554" s="7">
        <v>0.28055555555555556</v>
      </c>
      <c r="C554" s="7">
        <v>0.3125</v>
      </c>
      <c r="D554" s="7">
        <f>(0.3125-0.280555555555556)</f>
        <v>3.1944444444443998E-2</v>
      </c>
      <c r="E554" s="7">
        <f>ABS(0.031944444444444-0.00972222222222208)</f>
        <v>2.2222222222221918E-2</v>
      </c>
      <c r="F554" s="1" t="s">
        <v>8</v>
      </c>
    </row>
    <row r="555" spans="1:6" x14ac:dyDescent="0.25">
      <c r="A555" s="11">
        <v>42095</v>
      </c>
      <c r="B555" s="7">
        <v>0.69930555555555562</v>
      </c>
      <c r="C555" s="7">
        <v>0.7090277777777777</v>
      </c>
      <c r="D555" s="7">
        <f>(0.709027777777778-0.699305555555556)</f>
        <v>9.7222222222220767E-3</v>
      </c>
      <c r="E555" s="7">
        <f>ABS(0.00972222222222208-0.0145833333333331)</f>
        <v>4.8611111111110192E-3</v>
      </c>
      <c r="F555" s="1" t="s">
        <v>8</v>
      </c>
    </row>
    <row r="556" spans="1:6" x14ac:dyDescent="0.25">
      <c r="A556" s="11">
        <v>42095</v>
      </c>
      <c r="B556" s="7">
        <v>0.84513888888888899</v>
      </c>
      <c r="C556" s="7">
        <v>0.85972222222222217</v>
      </c>
      <c r="D556" s="7">
        <f>(0.859722222222222-0.845138888888889)</f>
        <v>1.4583333333333059E-2</v>
      </c>
      <c r="E556" s="7">
        <f>ABS(0.0145833333333331-0.010416666666667)</f>
        <v>4.1666666666661002E-3</v>
      </c>
      <c r="F556" s="1" t="s">
        <v>8</v>
      </c>
    </row>
    <row r="557" spans="1:6" x14ac:dyDescent="0.25">
      <c r="A557" s="11">
        <v>42095</v>
      </c>
      <c r="B557" s="7">
        <v>0.17708333333333334</v>
      </c>
      <c r="C557" s="7">
        <v>0.1875</v>
      </c>
      <c r="D557" s="7">
        <f>(0.1875-0.177083333333333)</f>
        <v>1.041666666666699E-2</v>
      </c>
      <c r="E557" s="7">
        <f>ABS(0.010416666666667-0.013888888888889)</f>
        <v>3.472222222222E-3</v>
      </c>
      <c r="F557" s="1" t="s">
        <v>8</v>
      </c>
    </row>
    <row r="558" spans="1:6" x14ac:dyDescent="0.25">
      <c r="A558" s="11">
        <v>42095</v>
      </c>
      <c r="B558" s="7">
        <v>0.95624999999999993</v>
      </c>
      <c r="C558" s="7">
        <v>0.97013888888888899</v>
      </c>
      <c r="D558" s="7">
        <f>(0.970138888888889-0.95625)</f>
        <v>1.3888888888888951E-2</v>
      </c>
      <c r="E558" s="7">
        <f>ABS(0.013888888888889-0.025)</f>
        <v>1.1111111111111002E-2</v>
      </c>
      <c r="F558" s="1" t="s">
        <v>8</v>
      </c>
    </row>
    <row r="559" spans="1:6" x14ac:dyDescent="0.25">
      <c r="A559" s="11">
        <v>42095</v>
      </c>
      <c r="B559" s="7">
        <v>0.60416666666666663</v>
      </c>
      <c r="C559" s="7">
        <v>0.62916666666666665</v>
      </c>
      <c r="D559" s="7">
        <f>(0.629166666666667-0.604166666666667)</f>
        <v>2.5000000000000022E-2</v>
      </c>
      <c r="E559" s="7">
        <f>ABS(0.025-0.013888888888889)</f>
        <v>1.1111111111111002E-2</v>
      </c>
      <c r="F559" s="1" t="s">
        <v>8</v>
      </c>
    </row>
    <row r="560" spans="1:6" x14ac:dyDescent="0.25">
      <c r="A560" s="11">
        <v>42095</v>
      </c>
      <c r="B560" s="7">
        <v>0.41250000000000003</v>
      </c>
      <c r="C560" s="7">
        <v>0.42638888888888887</v>
      </c>
      <c r="D560" s="7">
        <f>(0.426388888888889-0.4125)</f>
        <v>1.3888888888889006E-2</v>
      </c>
      <c r="E560" s="7">
        <f>ABS(0.013888888888889-0.013888888888889)</f>
        <v>0</v>
      </c>
      <c r="F560" s="1" t="s">
        <v>8</v>
      </c>
    </row>
    <row r="561" spans="1:6" x14ac:dyDescent="0.25">
      <c r="A561" s="11">
        <v>42095</v>
      </c>
      <c r="B561" s="7">
        <v>0.55486111111111114</v>
      </c>
      <c r="C561" s="7">
        <v>0.56874999999999998</v>
      </c>
      <c r="D561" s="7">
        <f>(0.56875-0.554861111111111)</f>
        <v>1.3888888888888951E-2</v>
      </c>
      <c r="E561" s="7">
        <f>ABS(0.013888888888889-0.0159722222222221)</f>
        <v>2.0833333333331004E-3</v>
      </c>
      <c r="F561" s="1" t="s">
        <v>8</v>
      </c>
    </row>
    <row r="562" spans="1:6" x14ac:dyDescent="0.25">
      <c r="A562" s="11">
        <v>42095</v>
      </c>
      <c r="B562" s="7">
        <v>0.75138888888888899</v>
      </c>
      <c r="C562" s="7">
        <v>0.76736111111111116</v>
      </c>
      <c r="D562" s="7">
        <f>(0.767361111111111-0.751388888888889)</f>
        <v>1.5972222222222054E-2</v>
      </c>
      <c r="E562" s="7">
        <f>ABS(0.0159722222222221-0.00555555555555498)</f>
        <v>1.0416666666667119E-2</v>
      </c>
      <c r="F562" s="1" t="s">
        <v>8</v>
      </c>
    </row>
    <row r="563" spans="1:6" x14ac:dyDescent="0.25">
      <c r="A563" s="11">
        <v>42095</v>
      </c>
      <c r="B563" s="7">
        <v>0.79027777777777775</v>
      </c>
      <c r="C563" s="7">
        <v>0.79583333333333339</v>
      </c>
      <c r="D563" s="7">
        <f>(0.795833333333333-0.790277777777778)</f>
        <v>5.5555555555549807E-3</v>
      </c>
      <c r="E563" s="7">
        <f>ABS(0.00555555555555498-0.011111111111111)</f>
        <v>5.5555555555560207E-3</v>
      </c>
      <c r="F563" s="1" t="s">
        <v>8</v>
      </c>
    </row>
    <row r="564" spans="1:6" x14ac:dyDescent="0.25">
      <c r="A564" s="11">
        <v>42095</v>
      </c>
      <c r="B564" s="7">
        <v>0.87916666666666676</v>
      </c>
      <c r="C564" s="7">
        <v>0.89027777777777783</v>
      </c>
      <c r="D564" s="7">
        <f>(0.890277777777778-0.879166666666667)</f>
        <v>1.1111111111110961E-2</v>
      </c>
      <c r="E564" s="7">
        <f>ABS(0.011111111111111-0.017361111111111)</f>
        <v>6.2500000000000003E-3</v>
      </c>
      <c r="F564" s="1" t="s">
        <v>8</v>
      </c>
    </row>
    <row r="565" spans="1:6" x14ac:dyDescent="0.25">
      <c r="A565" s="11">
        <v>42095</v>
      </c>
      <c r="B565" s="7">
        <v>0.39097222222222222</v>
      </c>
      <c r="C565" s="7">
        <v>0.40833333333333338</v>
      </c>
      <c r="D565" s="7">
        <f>(0.408333333333333-0.390972222222222)</f>
        <v>1.7361111111110994E-2</v>
      </c>
      <c r="E565" s="7">
        <f>ABS(0.017361111111111-0.016666666666666)</f>
        <v>6.9444444444500056E-4</v>
      </c>
      <c r="F565" s="1" t="s">
        <v>8</v>
      </c>
    </row>
    <row r="566" spans="1:6" x14ac:dyDescent="0.25">
      <c r="A566" s="11">
        <v>42095</v>
      </c>
      <c r="B566" s="7">
        <v>0.27916666666666667</v>
      </c>
      <c r="C566" s="7">
        <v>0.29583333333333334</v>
      </c>
      <c r="D566" s="7">
        <f>(0.295833333333333-0.279166666666667)</f>
        <v>1.6666666666665997E-2</v>
      </c>
      <c r="E566" s="7">
        <f>ABS(0.016666666666666-0.0152777777777779)</f>
        <v>1.3888888888880999E-3</v>
      </c>
      <c r="F566" s="1" t="s">
        <v>8</v>
      </c>
    </row>
    <row r="567" spans="1:6" x14ac:dyDescent="0.25">
      <c r="A567" s="11">
        <v>42095</v>
      </c>
      <c r="B567" s="7">
        <v>0.57847222222222217</v>
      </c>
      <c r="C567" s="7">
        <v>0.59375</v>
      </c>
      <c r="D567" s="7">
        <f>(0.59375-0.578472222222222)</f>
        <v>1.5277777777777946E-2</v>
      </c>
      <c r="E567" s="7">
        <f>ABS(0.0152777777777779-0.013194444444444)</f>
        <v>2.0833333333339001E-3</v>
      </c>
      <c r="F567" s="1" t="s">
        <v>8</v>
      </c>
    </row>
    <row r="568" spans="1:6" x14ac:dyDescent="0.25">
      <c r="A568" s="11">
        <v>42095</v>
      </c>
      <c r="B568" s="7">
        <v>0.65277777777777779</v>
      </c>
      <c r="C568" s="7">
        <v>0.66597222222222219</v>
      </c>
      <c r="D568" s="7">
        <f>(0.665972222222222-0.652777777777778)</f>
        <v>1.3194444444443953E-2</v>
      </c>
      <c r="E568" s="7">
        <f>ABS(0.013194444444444-0.029861111111111)</f>
        <v>1.6666666666667003E-2</v>
      </c>
      <c r="F568" s="1" t="s">
        <v>8</v>
      </c>
    </row>
    <row r="569" spans="1:6" x14ac:dyDescent="0.25">
      <c r="A569" s="11">
        <v>42095</v>
      </c>
      <c r="B569" s="7">
        <v>0.74722222222222223</v>
      </c>
      <c r="C569" s="7">
        <v>0.77708333333333324</v>
      </c>
      <c r="D569" s="7">
        <f>(0.777083333333333-0.747222222222222)</f>
        <v>2.9861111111111005E-2</v>
      </c>
      <c r="E569" s="7">
        <f>ABS(0.029861111111111-0.0152777777777781)</f>
        <v>1.4583333333332902E-2</v>
      </c>
      <c r="F569" s="1" t="s">
        <v>8</v>
      </c>
    </row>
    <row r="570" spans="1:6" x14ac:dyDescent="0.25">
      <c r="A570" s="11">
        <v>42095</v>
      </c>
      <c r="B570" s="7">
        <v>0.8222222222222223</v>
      </c>
      <c r="C570" s="7">
        <v>0.83750000000000002</v>
      </c>
      <c r="D570" s="7">
        <f>(0.8375-0.822222222222222)</f>
        <v>1.5277777777778057E-2</v>
      </c>
      <c r="E570" s="7">
        <f>ABS(0.0152777777777781-0.011805555555555)</f>
        <v>3.4722222222230998E-3</v>
      </c>
      <c r="F570" s="1" t="s">
        <v>8</v>
      </c>
    </row>
    <row r="571" spans="1:6" x14ac:dyDescent="0.25">
      <c r="A571" s="11">
        <v>42095</v>
      </c>
      <c r="B571" s="7">
        <v>0.8652777777777777</v>
      </c>
      <c r="C571" s="7">
        <v>0.87708333333333333</v>
      </c>
      <c r="D571" s="7">
        <f>(0.877083333333333-0.865277777777778)</f>
        <v>1.1805555555554959E-2</v>
      </c>
      <c r="E571" s="7">
        <f>ABS(0.011805555555555-0.011111111111112)</f>
        <v>6.9444444444300042E-4</v>
      </c>
      <c r="F571" s="1" t="s">
        <v>8</v>
      </c>
    </row>
    <row r="572" spans="1:6" x14ac:dyDescent="0.25">
      <c r="A572" s="11">
        <v>42095</v>
      </c>
      <c r="B572" s="7">
        <v>0.70694444444444438</v>
      </c>
      <c r="C572" s="7">
        <v>0.71805555555555556</v>
      </c>
      <c r="D572" s="7">
        <f>(0.718055555555556-0.706944444444444)</f>
        <v>1.111111111111196E-2</v>
      </c>
      <c r="E572" s="7">
        <f>ABS(0.011111111111112-0.015972222222222)</f>
        <v>4.8611111111099992E-3</v>
      </c>
      <c r="F572" s="1" t="s">
        <v>8</v>
      </c>
    </row>
    <row r="573" spans="1:6" x14ac:dyDescent="0.25">
      <c r="A573" s="11">
        <v>42095</v>
      </c>
      <c r="B573" s="7">
        <v>0.43541666666666662</v>
      </c>
      <c r="C573" s="7">
        <v>0.4513888888888889</v>
      </c>
      <c r="D573" s="7">
        <f>(0.451388888888889-0.435416666666667)</f>
        <v>1.5972222222221999E-2</v>
      </c>
      <c r="E573" s="7">
        <f>ABS(0.015972222222222-0.015972222222222)</f>
        <v>0</v>
      </c>
      <c r="F573" s="1" t="s">
        <v>8</v>
      </c>
    </row>
    <row r="574" spans="1:6" x14ac:dyDescent="0.25">
      <c r="A574" s="11">
        <v>42095</v>
      </c>
      <c r="B574" s="7">
        <v>0.36874999999999997</v>
      </c>
      <c r="C574" s="7">
        <v>0.38472222222222219</v>
      </c>
      <c r="D574" s="7">
        <f>(0.384722222222222-0.36875)</f>
        <v>1.5972222222221999E-2</v>
      </c>
      <c r="E574" s="7">
        <f>ABS(0.015972222222222-0.00625000000000003)</f>
        <v>9.7222222222219691E-3</v>
      </c>
      <c r="F574" s="1" t="s">
        <v>8</v>
      </c>
    </row>
    <row r="575" spans="1:6" x14ac:dyDescent="0.25">
      <c r="A575" s="11">
        <v>42095</v>
      </c>
      <c r="B575" s="7">
        <v>0.36388888888888887</v>
      </c>
      <c r="C575" s="7">
        <v>0.37013888888888885</v>
      </c>
      <c r="D575" s="7">
        <f>(0.370138888888889-0.363888888888889)</f>
        <v>6.2500000000000333E-3</v>
      </c>
      <c r="E575" s="7">
        <f>ABS(0.00625000000000003-0.00763888888888897)</f>
        <v>1.3888888888889403E-3</v>
      </c>
      <c r="F575" s="1" t="s">
        <v>8</v>
      </c>
    </row>
    <row r="576" spans="1:6" x14ac:dyDescent="0.25">
      <c r="A576" s="11">
        <v>42095</v>
      </c>
      <c r="B576" s="7">
        <v>0.47847222222222219</v>
      </c>
      <c r="C576" s="7">
        <v>0.4861111111111111</v>
      </c>
      <c r="D576" s="7">
        <f>(0.486111111111111-0.478472222222222)</f>
        <v>7.6388888888889728E-3</v>
      </c>
      <c r="E576" s="7">
        <f>ABS(0.00763888888888897-0.00624999999999998)</f>
        <v>1.3888888888889898E-3</v>
      </c>
      <c r="F576" s="1" t="s">
        <v>8</v>
      </c>
    </row>
    <row r="577" spans="1:6" x14ac:dyDescent="0.25">
      <c r="A577" s="11">
        <v>42095</v>
      </c>
      <c r="B577" s="7">
        <v>0.23055555555555554</v>
      </c>
      <c r="C577" s="7">
        <v>0.23680555555555557</v>
      </c>
      <c r="D577" s="7">
        <f>(0.236805555555556-0.230555555555556)</f>
        <v>6.2499999999999778E-3</v>
      </c>
      <c r="E577" s="7">
        <f>ABS(0.00624999999999998-0.0152777777777781)</f>
        <v>9.0277777777781204E-3</v>
      </c>
      <c r="F577" s="1" t="s">
        <v>8</v>
      </c>
    </row>
    <row r="578" spans="1:6" x14ac:dyDescent="0.25">
      <c r="A578" s="11">
        <v>42095</v>
      </c>
      <c r="B578" s="7">
        <v>0.56736111111111109</v>
      </c>
      <c r="C578" s="7">
        <v>0.58263888888888882</v>
      </c>
      <c r="D578" s="7">
        <f>(0.582638888888889-0.567361111111111)</f>
        <v>1.5277777777778057E-2</v>
      </c>
      <c r="E578" s="7">
        <f>ABS(0.0152777777777781-0.00972222222222296)</f>
        <v>5.5555555555551403E-3</v>
      </c>
      <c r="F578" s="1" t="s">
        <v>8</v>
      </c>
    </row>
    <row r="579" spans="1:6" x14ac:dyDescent="0.25">
      <c r="A579" s="11">
        <v>42095</v>
      </c>
      <c r="B579" s="7">
        <v>0.80208333333333337</v>
      </c>
      <c r="C579" s="7">
        <v>0.81180555555555556</v>
      </c>
      <c r="D579" s="7">
        <f>(0.811805555555556-0.802083333333333)</f>
        <v>9.7222222222229648E-3</v>
      </c>
      <c r="E579" s="7">
        <f>ABS(0.00972222222222296-0.0256944444444399)</f>
        <v>1.597222222221694E-2</v>
      </c>
      <c r="F579" s="1" t="s">
        <v>8</v>
      </c>
    </row>
    <row r="580" spans="1:6" x14ac:dyDescent="0.25">
      <c r="A580" s="11">
        <v>42095</v>
      </c>
      <c r="B580" s="7">
        <v>0.97499999999999998</v>
      </c>
      <c r="C580" s="7">
        <v>1.0006944444444443</v>
      </c>
      <c r="D580" s="7">
        <f>(1.00069444444444-0.975)</f>
        <v>2.5694444444439912E-2</v>
      </c>
      <c r="E580" s="7">
        <f>ABS(0.0256944444444399-0.019444444444444)</f>
        <v>6.2499999999958977E-3</v>
      </c>
      <c r="F580" s="1" t="s">
        <v>8</v>
      </c>
    </row>
    <row r="581" spans="1:6" x14ac:dyDescent="0.25">
      <c r="A581" s="11">
        <v>42095</v>
      </c>
      <c r="B581" s="7">
        <v>0.3215277777777778</v>
      </c>
      <c r="C581" s="7">
        <v>0.34097222222222223</v>
      </c>
      <c r="D581" s="7">
        <f>(0.340972222222222-0.321527777777778)</f>
        <v>1.9444444444443987E-2</v>
      </c>
      <c r="E581" s="7">
        <f>ABS(0.019444444444444-0.01875)</f>
        <v>6.9444444444400136E-4</v>
      </c>
      <c r="F581" s="1" t="s">
        <v>8</v>
      </c>
    </row>
    <row r="582" spans="1:6" x14ac:dyDescent="0.25">
      <c r="A582" s="11">
        <v>42095</v>
      </c>
      <c r="B582" s="7">
        <v>0.85763888888888884</v>
      </c>
      <c r="C582" s="7">
        <v>0.87638888888888899</v>
      </c>
      <c r="D582" s="7">
        <f>(0.876388888888889-0.857638888888889)</f>
        <v>1.8750000000000044E-2</v>
      </c>
      <c r="E582" s="7">
        <f>ABS(0.01875-0.0118055555555598)</f>
        <v>6.9444444444401992E-3</v>
      </c>
      <c r="F582" s="1" t="s">
        <v>8</v>
      </c>
    </row>
    <row r="583" spans="1:6" x14ac:dyDescent="0.25">
      <c r="A583" s="11">
        <v>42095</v>
      </c>
      <c r="B583" s="7">
        <v>1.0020833333333334</v>
      </c>
      <c r="C583" s="7">
        <v>1.0138888888888888</v>
      </c>
      <c r="D583" s="7">
        <f>(1.01388888888889-1.00208333333333)</f>
        <v>1.1805555555559843E-2</v>
      </c>
      <c r="E583" s="7">
        <f>ABS(0.0118055555555598-0.011805555555556)</f>
        <v>3.8007791358651843E-15</v>
      </c>
      <c r="F583" s="1" t="s">
        <v>8</v>
      </c>
    </row>
    <row r="584" spans="1:6" x14ac:dyDescent="0.25">
      <c r="A584" s="11">
        <v>42095</v>
      </c>
      <c r="B584" s="7">
        <v>0.28333333333333333</v>
      </c>
      <c r="C584" s="7">
        <v>0.2951388888888889</v>
      </c>
      <c r="D584" s="7">
        <f>(0.295138888888889-0.283333333333333)</f>
        <v>1.1805555555556013E-2</v>
      </c>
      <c r="E584" s="7">
        <f>ABS(0.011805555555556-0.013888888888889)</f>
        <v>2.0833333333329998E-3</v>
      </c>
      <c r="F584" s="1" t="s">
        <v>8</v>
      </c>
    </row>
    <row r="585" spans="1:6" x14ac:dyDescent="0.25">
      <c r="A585" s="11">
        <v>42095</v>
      </c>
      <c r="B585" s="7">
        <v>0.49236111111111108</v>
      </c>
      <c r="C585" s="7">
        <v>0.50624999999999998</v>
      </c>
      <c r="D585" s="7">
        <f>(0.50625-0.492361111111111)</f>
        <v>1.3888888888888951E-2</v>
      </c>
      <c r="E585" s="7"/>
      <c r="F585" s="1" t="s">
        <v>8</v>
      </c>
    </row>
    <row r="586" spans="1:6" x14ac:dyDescent="0.25">
      <c r="A586" s="11">
        <v>42095</v>
      </c>
      <c r="B586" s="7">
        <v>0.62361111111111112</v>
      </c>
      <c r="C586" s="7">
        <v>0.64583333333333337</v>
      </c>
      <c r="D586" s="7">
        <f>(0.645833333333333-0.623611111111111)</f>
        <v>2.2222222222222032E-2</v>
      </c>
      <c r="E586" s="7">
        <f>ABS(0.022222222222222-0.0243055555555559)</f>
        <v>2.0833333333338984E-3</v>
      </c>
      <c r="F586" s="1" t="s">
        <v>11</v>
      </c>
    </row>
    <row r="587" spans="1:6" x14ac:dyDescent="0.25">
      <c r="A587" s="11">
        <v>42095</v>
      </c>
      <c r="B587" s="7">
        <v>0.70833333333333337</v>
      </c>
      <c r="C587" s="7">
        <v>0.73263888888888884</v>
      </c>
      <c r="D587" s="7">
        <f>(0.732638888888889-0.708333333333333)</f>
        <v>2.4305555555555913E-2</v>
      </c>
      <c r="E587" s="7">
        <f>ABS(0.0243055555555559-0.033333333333333)</f>
        <v>9.0277777777771004E-3</v>
      </c>
      <c r="F587" s="1" t="s">
        <v>11</v>
      </c>
    </row>
    <row r="588" spans="1:6" x14ac:dyDescent="0.25">
      <c r="A588" s="11">
        <v>42095</v>
      </c>
      <c r="B588" s="7">
        <v>0.92499999999999993</v>
      </c>
      <c r="C588" s="7">
        <v>0.95833333333333337</v>
      </c>
      <c r="D588" s="7">
        <f>(0.958333333333333-0.925)</f>
        <v>3.3333333333332993E-2</v>
      </c>
      <c r="E588" s="7">
        <f>ABS(0.033333333333333-0.025)</f>
        <v>8.3333333333329984E-3</v>
      </c>
      <c r="F588" s="1" t="s">
        <v>11</v>
      </c>
    </row>
    <row r="589" spans="1:6" x14ac:dyDescent="0.25">
      <c r="A589" s="11">
        <v>42095</v>
      </c>
      <c r="B589" s="7">
        <v>0.8847222222222223</v>
      </c>
      <c r="C589" s="7">
        <v>0.90972222222222221</v>
      </c>
      <c r="D589" s="7">
        <f>(0.909722222222222-0.884722222222222)</f>
        <v>2.5000000000000022E-2</v>
      </c>
      <c r="E589" s="7">
        <f>ABS(0.025-0.0215277777777779)</f>
        <v>3.4722222222221023E-3</v>
      </c>
      <c r="F589" s="1" t="s">
        <v>11</v>
      </c>
    </row>
    <row r="590" spans="1:6" x14ac:dyDescent="0.25">
      <c r="A590" s="11">
        <v>42095</v>
      </c>
      <c r="B590" s="7">
        <v>0.95763888888888893</v>
      </c>
      <c r="C590" s="7">
        <v>0.97916666666666663</v>
      </c>
      <c r="D590" s="7">
        <f>(0.979166666666667-0.957638888888889)</f>
        <v>2.1527777777777923E-2</v>
      </c>
      <c r="E590" s="7">
        <f>ABS(0.0215277777777779-0.0208333333333339)</f>
        <v>6.9444444444399789E-4</v>
      </c>
      <c r="F590" s="1" t="s">
        <v>11</v>
      </c>
    </row>
    <row r="591" spans="1:6" x14ac:dyDescent="0.25">
      <c r="A591" s="11">
        <v>42095</v>
      </c>
      <c r="B591" s="7">
        <v>0.89444444444444438</v>
      </c>
      <c r="C591" s="7">
        <v>0.91527777777777775</v>
      </c>
      <c r="D591" s="7">
        <f>(0.915277777777778-0.894444444444444)</f>
        <v>2.0833333333333925E-2</v>
      </c>
      <c r="E591" s="7">
        <f>ABS(0.0208333333333339-0.020138888888889)</f>
        <v>6.9444444444489994E-4</v>
      </c>
      <c r="F591" s="1" t="s">
        <v>11</v>
      </c>
    </row>
    <row r="592" spans="1:6" x14ac:dyDescent="0.25">
      <c r="A592" s="11">
        <v>42095</v>
      </c>
      <c r="B592" s="7">
        <v>0.15138888888888888</v>
      </c>
      <c r="C592" s="7">
        <v>0.17152777777777775</v>
      </c>
      <c r="D592" s="7">
        <f>(0.171527777777778-0.151388888888889)</f>
        <v>2.0138888888889012E-2</v>
      </c>
      <c r="E592" s="7">
        <f>ABS(0.020138888888889-0.022222222222222)</f>
        <v>2.0833333333329998E-3</v>
      </c>
      <c r="F592" s="1" t="s">
        <v>11</v>
      </c>
    </row>
    <row r="593" spans="1:6" x14ac:dyDescent="0.25">
      <c r="A593" s="11">
        <v>42095</v>
      </c>
      <c r="B593" s="7">
        <v>0.37291666666666662</v>
      </c>
      <c r="C593" s="7">
        <v>0.39513888888888887</v>
      </c>
      <c r="D593" s="7">
        <f>(0.395138888888889-0.372916666666667)</f>
        <v>2.2222222222221977E-2</v>
      </c>
      <c r="E593" s="7">
        <f>ABS(0.022222222222222-0.024305555555555)</f>
        <v>2.0833333333329998E-3</v>
      </c>
      <c r="F593" s="1" t="s">
        <v>11</v>
      </c>
    </row>
    <row r="594" spans="1:6" x14ac:dyDescent="0.25">
      <c r="A594" s="11">
        <v>42095</v>
      </c>
      <c r="B594" s="7">
        <v>0.8041666666666667</v>
      </c>
      <c r="C594" s="7">
        <v>0.82847222222222217</v>
      </c>
      <c r="D594" s="7">
        <f>(0.828472222222222-0.804166666666667)</f>
        <v>2.4305555555555025E-2</v>
      </c>
      <c r="E594" s="7">
        <f>ABS(0.024305555555555-0.0125)</f>
        <v>1.1805555555555E-2</v>
      </c>
      <c r="F594" s="1" t="s">
        <v>11</v>
      </c>
    </row>
    <row r="595" spans="1:6" x14ac:dyDescent="0.25">
      <c r="A595" s="11">
        <v>42095</v>
      </c>
      <c r="B595" s="7">
        <v>0.84444444444444444</v>
      </c>
      <c r="C595" s="7">
        <v>0.8569444444444444</v>
      </c>
      <c r="D595" s="7">
        <f>(0.856944444444444-0.844444444444444)</f>
        <v>1.2499999999999956E-2</v>
      </c>
      <c r="E595" s="7">
        <f>ABS(0.0125-0.00486111111111198)</f>
        <v>7.6388888888880204E-3</v>
      </c>
      <c r="F595" s="1" t="s">
        <v>11</v>
      </c>
    </row>
    <row r="596" spans="1:6" x14ac:dyDescent="0.25">
      <c r="A596" s="11">
        <v>42095</v>
      </c>
      <c r="B596" s="7">
        <v>0.84444444444444444</v>
      </c>
      <c r="C596" s="7">
        <v>0.84930555555555554</v>
      </c>
      <c r="D596" s="7">
        <f>(0.849305555555556-0.844444444444444)</f>
        <v>4.861111111111982E-3</v>
      </c>
      <c r="E596" s="7">
        <f>ABS(0.00486111111111198-0.0354166666666661)</f>
        <v>3.0555555555554115E-2</v>
      </c>
      <c r="F596" s="1" t="s">
        <v>11</v>
      </c>
    </row>
    <row r="597" spans="1:6" x14ac:dyDescent="0.25">
      <c r="A597" s="11">
        <v>42095</v>
      </c>
      <c r="B597" s="7">
        <v>0.89027777777777783</v>
      </c>
      <c r="C597" s="7">
        <v>0.92569444444444438</v>
      </c>
      <c r="D597" s="7">
        <f>(0.925694444444444-0.890277777777778)</f>
        <v>3.5416666666666097E-2</v>
      </c>
      <c r="E597" s="7">
        <f>ABS(0.0354166666666661-0.023611111111111)</f>
        <v>1.1805555555555097E-2</v>
      </c>
      <c r="F597" s="1" t="s">
        <v>11</v>
      </c>
    </row>
    <row r="598" spans="1:6" x14ac:dyDescent="0.25">
      <c r="A598" s="11">
        <v>42095</v>
      </c>
      <c r="B598" s="7">
        <v>0.94930555555555562</v>
      </c>
      <c r="C598" s="7">
        <v>0.97291666666666676</v>
      </c>
      <c r="D598" s="7">
        <f>(0.972916666666667-0.949305555555556)</f>
        <v>2.3611111111111027E-2</v>
      </c>
      <c r="E598" s="7">
        <f>ABS(0.023611111111111-0.011805555555555)</f>
        <v>1.1805555555555999E-2</v>
      </c>
      <c r="F598" s="1" t="s">
        <v>11</v>
      </c>
    </row>
    <row r="599" spans="1:6" x14ac:dyDescent="0.25">
      <c r="A599" s="11">
        <v>42095</v>
      </c>
      <c r="B599" s="7">
        <v>0.38055555555555554</v>
      </c>
      <c r="C599" s="7">
        <v>0.3923611111111111</v>
      </c>
      <c r="D599" s="7">
        <f>(0.392361111111111-0.380555555555556)</f>
        <v>1.1805555555555014E-2</v>
      </c>
      <c r="E599" s="7">
        <f>ABS(0.011805555555555-0.027777777777778)</f>
        <v>1.5972222222222998E-2</v>
      </c>
      <c r="F599" s="1" t="s">
        <v>11</v>
      </c>
    </row>
    <row r="600" spans="1:6" x14ac:dyDescent="0.25">
      <c r="A600" s="11">
        <v>42095</v>
      </c>
      <c r="B600" s="7">
        <v>0.25277777777777777</v>
      </c>
      <c r="C600" s="7">
        <v>0.28055555555555556</v>
      </c>
      <c r="D600" s="7">
        <f>(0.280555555555556-0.252777777777778)</f>
        <v>2.7777777777778012E-2</v>
      </c>
      <c r="E600" s="7">
        <f>ABS(0.027777777777778-0.0125000000000001)</f>
        <v>1.5277777777777899E-2</v>
      </c>
      <c r="F600" s="1" t="s">
        <v>11</v>
      </c>
    </row>
    <row r="601" spans="1:6" x14ac:dyDescent="0.25">
      <c r="A601" s="11">
        <v>42095</v>
      </c>
      <c r="B601" s="7">
        <v>0.69791666666666663</v>
      </c>
      <c r="C601" s="7">
        <v>0.7104166666666667</v>
      </c>
      <c r="D601" s="7">
        <f>(0.710416666666667-0.697916666666667)</f>
        <v>1.2500000000000067E-2</v>
      </c>
      <c r="E601" s="7">
        <f>ABS(0.0125000000000001-0.024305555555555)</f>
        <v>1.1805555555554901E-2</v>
      </c>
      <c r="F601" s="1" t="s">
        <v>11</v>
      </c>
    </row>
    <row r="602" spans="1:6" x14ac:dyDescent="0.25">
      <c r="A602" s="11">
        <v>42095</v>
      </c>
      <c r="B602" s="7">
        <v>0.85555555555555562</v>
      </c>
      <c r="C602" s="7">
        <v>0.87986111111111109</v>
      </c>
      <c r="D602" s="7">
        <f>(0.879861111111111-0.855555555555556)</f>
        <v>2.4305555555555025E-2</v>
      </c>
      <c r="E602" s="7">
        <f>ABS(0.024305555555555-0.012500000000001)</f>
        <v>1.1805555555554001E-2</v>
      </c>
      <c r="F602" s="1" t="s">
        <v>11</v>
      </c>
    </row>
    <row r="603" spans="1:6" x14ac:dyDescent="0.25">
      <c r="A603" s="11">
        <v>42095</v>
      </c>
      <c r="B603" s="7">
        <v>0.86944444444444446</v>
      </c>
      <c r="C603" s="7">
        <v>0.88194444444444453</v>
      </c>
      <c r="D603" s="7">
        <f>(0.881944444444445-0.869444444444444)</f>
        <v>1.2500000000000955E-2</v>
      </c>
      <c r="E603" s="7">
        <f>ABS(0.012500000000001-0.030555555555555)</f>
        <v>1.8055555555554E-2</v>
      </c>
      <c r="F603" s="1" t="s">
        <v>11</v>
      </c>
    </row>
    <row r="604" spans="1:6" x14ac:dyDescent="0.25">
      <c r="A604" s="11">
        <v>42095</v>
      </c>
      <c r="B604" s="7">
        <v>0.91527777777777775</v>
      </c>
      <c r="C604" s="7">
        <v>0.9458333333333333</v>
      </c>
      <c r="D604" s="7">
        <f>(0.945833333333333-0.915277777777778)</f>
        <v>3.0555555555555003E-2</v>
      </c>
      <c r="E604" s="7">
        <f>ABS(0.030555555555555-0.023611111111111)</f>
        <v>6.944444444444E-3</v>
      </c>
      <c r="F604" s="5" t="s">
        <v>11</v>
      </c>
    </row>
    <row r="605" spans="1:6" x14ac:dyDescent="0.25">
      <c r="A605" s="11">
        <v>42095</v>
      </c>
      <c r="B605" s="7">
        <v>0.39027777777777778</v>
      </c>
      <c r="C605" s="7">
        <v>0.41388888888888892</v>
      </c>
      <c r="D605" s="7">
        <f>(0.413888888888889-0.390277777777778)</f>
        <v>2.3611111111110972E-2</v>
      </c>
      <c r="E605" s="7">
        <f>ABS(0.023611111111111-0.01875)</f>
        <v>4.8611111111110002E-3</v>
      </c>
      <c r="F605" s="1" t="s">
        <v>11</v>
      </c>
    </row>
    <row r="606" spans="1:6" x14ac:dyDescent="0.25">
      <c r="A606" s="11">
        <v>42095</v>
      </c>
      <c r="B606" s="7">
        <v>0.45347222222222222</v>
      </c>
      <c r="C606" s="7">
        <v>0.47222222222222227</v>
      </c>
      <c r="D606" s="7">
        <f>(0.472222222222222-0.453472222222222)</f>
        <v>1.8749999999999989E-2</v>
      </c>
      <c r="E606" s="7">
        <f>ABS(0.01875-0.0270833333333329)</f>
        <v>8.3333333333329013E-3</v>
      </c>
      <c r="F606" s="1" t="s">
        <v>11</v>
      </c>
    </row>
    <row r="607" spans="1:6" x14ac:dyDescent="0.25">
      <c r="A607" s="11">
        <v>42095</v>
      </c>
      <c r="B607" s="7">
        <v>0.70416666666666661</v>
      </c>
      <c r="C607" s="7">
        <v>0.73125000000000007</v>
      </c>
      <c r="D607" s="7">
        <f>(0.73125-0.704166666666667)</f>
        <v>2.7083333333332904E-2</v>
      </c>
      <c r="E607" s="7">
        <f>ABS(0.0270833333333329-0.045138888888889)</f>
        <v>1.8055555555556099E-2</v>
      </c>
      <c r="F607" s="1" t="s">
        <v>11</v>
      </c>
    </row>
    <row r="608" spans="1:6" x14ac:dyDescent="0.25">
      <c r="A608" s="11">
        <v>42095</v>
      </c>
      <c r="B608" s="7">
        <v>0.95486111111111116</v>
      </c>
      <c r="C608" s="7">
        <v>1</v>
      </c>
      <c r="D608" s="7">
        <f>(1-0.954861111111111)</f>
        <v>4.5138888888888951E-2</v>
      </c>
      <c r="E608" s="7">
        <f>ABS(0.045138888888889-0.032638888888889)</f>
        <v>1.2499999999999997E-2</v>
      </c>
      <c r="F608" s="1" t="s">
        <v>11</v>
      </c>
    </row>
    <row r="609" spans="1:6" x14ac:dyDescent="0.25">
      <c r="A609" s="11">
        <v>42095</v>
      </c>
      <c r="B609" s="7">
        <v>0.17361111111111113</v>
      </c>
      <c r="C609" s="7">
        <v>0.20625000000000002</v>
      </c>
      <c r="D609" s="7">
        <f>(0.20625-0.173611111111111)</f>
        <v>3.2638888888888995E-2</v>
      </c>
      <c r="E609" s="7">
        <f>ABS(0.032638888888889-0.023611111111111)</f>
        <v>9.0277777777780024E-3</v>
      </c>
      <c r="F609" s="1" t="s">
        <v>11</v>
      </c>
    </row>
    <row r="610" spans="1:6" x14ac:dyDescent="0.25">
      <c r="A610" s="11">
        <v>42095</v>
      </c>
      <c r="B610" s="7">
        <v>0.5395833333333333</v>
      </c>
      <c r="C610" s="7">
        <v>0.56319444444444444</v>
      </c>
      <c r="D610" s="7">
        <f>(0.563194444444444-0.539583333333333)</f>
        <v>2.3611111111111027E-2</v>
      </c>
      <c r="E610" s="7">
        <f>ABS(0.023611111111111-0.0159722222222219)</f>
        <v>7.6388888888891011E-3</v>
      </c>
      <c r="F610" s="1" t="s">
        <v>11</v>
      </c>
    </row>
    <row r="611" spans="1:6" x14ac:dyDescent="0.25">
      <c r="A611" s="11">
        <v>42095</v>
      </c>
      <c r="B611" s="7">
        <v>0.61388888888888882</v>
      </c>
      <c r="C611" s="7">
        <v>0.62986111111111109</v>
      </c>
      <c r="D611" s="7">
        <f>(0.629861111111111-0.613888888888889)</f>
        <v>1.5972222222221943E-2</v>
      </c>
      <c r="E611" s="7">
        <f>ABS(0.0159722222222219-0.022222222222222)</f>
        <v>6.2500000000001027E-3</v>
      </c>
      <c r="F611" s="1" t="s">
        <v>11</v>
      </c>
    </row>
    <row r="612" spans="1:6" x14ac:dyDescent="0.25">
      <c r="A612" s="11">
        <v>42095</v>
      </c>
      <c r="B612" s="7">
        <v>0.6</v>
      </c>
      <c r="C612" s="7">
        <v>0.62222222222222223</v>
      </c>
      <c r="D612" s="7">
        <f>(0.622222222222222-0.6)</f>
        <v>2.2222222222222032E-2</v>
      </c>
      <c r="E612" s="7">
        <f>ABS(0.022222222222222-0.022916666666667)</f>
        <v>6.9444444444500056E-4</v>
      </c>
      <c r="F612" s="1" t="s">
        <v>11</v>
      </c>
    </row>
    <row r="613" spans="1:6" x14ac:dyDescent="0.25">
      <c r="A613" s="11">
        <v>42095</v>
      </c>
      <c r="B613" s="7">
        <v>0.40833333333333338</v>
      </c>
      <c r="C613" s="7">
        <v>0.43124999999999997</v>
      </c>
      <c r="D613" s="7">
        <f>(0.43125-0.408333333333333)</f>
        <v>2.2916666666667029E-2</v>
      </c>
      <c r="E613" s="7">
        <f>ABS(0.022916666666667-0.021527777777778)</f>
        <v>1.3888888888890019E-3</v>
      </c>
      <c r="F613" s="1" t="s">
        <v>11</v>
      </c>
    </row>
    <row r="614" spans="1:6" x14ac:dyDescent="0.25">
      <c r="A614" s="11">
        <v>42095</v>
      </c>
      <c r="B614" s="7">
        <v>0.4548611111111111</v>
      </c>
      <c r="C614" s="7">
        <v>0.47638888888888892</v>
      </c>
      <c r="D614" s="7">
        <f>(0.476388888888889-0.454861111111111)</f>
        <v>2.1527777777777979E-2</v>
      </c>
      <c r="E614" s="7">
        <f>ABS(0.021527777777778-0.021527777777777)</f>
        <v>9.9920072216264089E-16</v>
      </c>
      <c r="F614" s="1" t="s">
        <v>11</v>
      </c>
    </row>
    <row r="615" spans="1:6" x14ac:dyDescent="0.25">
      <c r="A615" s="11">
        <v>42095</v>
      </c>
      <c r="B615" s="7">
        <v>0.53541666666666665</v>
      </c>
      <c r="C615" s="7">
        <v>0.55694444444444446</v>
      </c>
      <c r="D615" s="7">
        <f>(0.556944444444444-0.535416666666667)</f>
        <v>2.1527777777777035E-2</v>
      </c>
      <c r="E615" s="7">
        <f>ABS(0.021527777777777-0.025694444444444)</f>
        <v>4.1666666666669988E-3</v>
      </c>
      <c r="F615" s="1" t="s">
        <v>11</v>
      </c>
    </row>
    <row r="616" spans="1:6" x14ac:dyDescent="0.25">
      <c r="A616" s="11">
        <v>42095</v>
      </c>
      <c r="B616" s="7">
        <v>0.71527777777777779</v>
      </c>
      <c r="C616" s="7">
        <v>0.74097222222222225</v>
      </c>
      <c r="D616" s="7">
        <f>(0.740972222222222-0.715277777777778)</f>
        <v>2.569444444444402E-2</v>
      </c>
      <c r="E616" s="7">
        <f>ABS(0.025694444444444-0.019444444444444)</f>
        <v>6.2499999999999986E-3</v>
      </c>
      <c r="F616" s="1" t="s">
        <v>11</v>
      </c>
    </row>
    <row r="617" spans="1:6" x14ac:dyDescent="0.25">
      <c r="A617" s="11">
        <v>42095</v>
      </c>
      <c r="B617" s="7">
        <v>0.79305555555555562</v>
      </c>
      <c r="C617" s="7">
        <v>0.8125</v>
      </c>
      <c r="D617" s="7">
        <f>(0.8125-0.793055555555556)</f>
        <v>1.9444444444444042E-2</v>
      </c>
      <c r="E617" s="7">
        <f>ABS(0.019444444444444-0.019444444444444)</f>
        <v>0</v>
      </c>
      <c r="F617" s="1" t="s">
        <v>11</v>
      </c>
    </row>
    <row r="618" spans="1:6" x14ac:dyDescent="0.25">
      <c r="A618" s="11">
        <v>42095</v>
      </c>
      <c r="B618" s="7">
        <v>0.95138888888888884</v>
      </c>
      <c r="C618" s="7">
        <v>0.97083333333333333</v>
      </c>
      <c r="D618" s="7">
        <f>(0.970833333333333-0.951388888888889)</f>
        <v>1.9444444444444042E-2</v>
      </c>
      <c r="E618" s="7">
        <f>ABS(0.019444444444444-0.034722222222222)</f>
        <v>1.5277777777778001E-2</v>
      </c>
      <c r="F618" s="1" t="s">
        <v>11</v>
      </c>
    </row>
    <row r="619" spans="1:6" x14ac:dyDescent="0.25">
      <c r="A619" s="11">
        <v>42095</v>
      </c>
      <c r="B619" s="7">
        <v>0.21527777777777779</v>
      </c>
      <c r="C619" s="7">
        <v>0.25</v>
      </c>
      <c r="D619" s="7">
        <f>(0.25-0.215277777777778)</f>
        <v>3.4722222222221988E-2</v>
      </c>
      <c r="E619" s="7">
        <f>ABS(0.034722222222222-0.020833333333333)</f>
        <v>1.3888888888889003E-2</v>
      </c>
      <c r="F619" s="1" t="s">
        <v>11</v>
      </c>
    </row>
    <row r="620" spans="1:6" x14ac:dyDescent="0.25">
      <c r="A620" s="11">
        <v>42095</v>
      </c>
      <c r="B620" s="7">
        <v>0.96736111111111101</v>
      </c>
      <c r="C620" s="7">
        <v>0.98819444444444438</v>
      </c>
      <c r="D620" s="7">
        <f>(0.988194444444444-0.967361111111111)</f>
        <v>2.0833333333333037E-2</v>
      </c>
      <c r="E620" s="7">
        <f>ABS(0.020833333333333-0.021527777777778)</f>
        <v>6.9444444444500056E-4</v>
      </c>
      <c r="F620" s="1" t="s">
        <v>11</v>
      </c>
    </row>
    <row r="621" spans="1:6" x14ac:dyDescent="0.25">
      <c r="A621" s="11">
        <v>42095</v>
      </c>
      <c r="B621" s="7">
        <v>0.56874999999999998</v>
      </c>
      <c r="C621" s="7">
        <v>0.59027777777777779</v>
      </c>
      <c r="D621" s="7">
        <f>(0.590277777777778-0.56875)</f>
        <v>2.1527777777778034E-2</v>
      </c>
      <c r="E621" s="7">
        <f>ABS(0.021527777777778-0.020833333333333)</f>
        <v>6.9444444444500056E-4</v>
      </c>
      <c r="F621" s="1" t="s">
        <v>11</v>
      </c>
    </row>
    <row r="622" spans="1:6" x14ac:dyDescent="0.25">
      <c r="A622" s="11">
        <v>42095</v>
      </c>
      <c r="B622" s="7">
        <v>0.59861111111111109</v>
      </c>
      <c r="C622" s="7">
        <v>0.61944444444444446</v>
      </c>
      <c r="D622" s="7">
        <f>(0.619444444444444-0.598611111111111)</f>
        <v>2.0833333333333037E-2</v>
      </c>
      <c r="E622" s="7">
        <f>ABS(0.020833333333333-0.030555555555555)</f>
        <v>9.7222222222220003E-3</v>
      </c>
      <c r="F622" s="1" t="s">
        <v>11</v>
      </c>
    </row>
    <row r="623" spans="1:6" x14ac:dyDescent="0.25">
      <c r="A623" s="11">
        <v>42095</v>
      </c>
      <c r="B623" s="7">
        <v>0.6743055555555556</v>
      </c>
      <c r="C623" s="7">
        <v>0.70486111111111116</v>
      </c>
      <c r="D623" s="7">
        <f>(0.704861111111111-0.674305555555556)</f>
        <v>3.0555555555555003E-2</v>
      </c>
      <c r="E623" s="7">
        <f>ABS(0.030555555555555-0.020833333333333)</f>
        <v>9.7222222222220003E-3</v>
      </c>
      <c r="F623" s="1" t="s">
        <v>11</v>
      </c>
    </row>
    <row r="624" spans="1:6" x14ac:dyDescent="0.25">
      <c r="A624" s="11">
        <v>42095</v>
      </c>
      <c r="B624" s="7">
        <v>0.68402777777777779</v>
      </c>
      <c r="C624" s="7">
        <v>0.70486111111111116</v>
      </c>
      <c r="D624" s="7">
        <f>(0.704861111111111-0.684027777777778)</f>
        <v>2.0833333333333037E-2</v>
      </c>
      <c r="E624" s="7">
        <f>ABS(0.020833333333333-0.0201388888888889)</f>
        <v>6.944444444440985E-4</v>
      </c>
      <c r="F624" s="1" t="s">
        <v>11</v>
      </c>
    </row>
    <row r="625" spans="1:6" x14ac:dyDescent="0.25">
      <c r="A625" s="11">
        <v>42095</v>
      </c>
      <c r="B625" s="7">
        <v>0.96388888888888891</v>
      </c>
      <c r="C625" s="7">
        <v>0.98402777777777783</v>
      </c>
      <c r="D625" s="7">
        <f>(0.984027777777778-0.963888888888889)</f>
        <v>2.0138888888888928E-2</v>
      </c>
      <c r="E625" s="7">
        <f>ABS(0.0201388888888889-0.0194444444444439)</f>
        <v>6.9444444444500056E-4</v>
      </c>
      <c r="F625" s="1" t="s">
        <v>11</v>
      </c>
    </row>
    <row r="626" spans="1:6" x14ac:dyDescent="0.25">
      <c r="A626" s="11">
        <v>42095</v>
      </c>
      <c r="B626" s="7">
        <v>0.96388888888888891</v>
      </c>
      <c r="C626" s="7">
        <v>0.98333333333333339</v>
      </c>
      <c r="D626" s="7">
        <f>(0.983333333333333-0.963888888888889)</f>
        <v>1.9444444444443931E-2</v>
      </c>
      <c r="E626" s="7">
        <f>ABS(0.0194444444444439-0.034027777777778)</f>
        <v>1.4583333333334097E-2</v>
      </c>
      <c r="F626" s="1" t="s">
        <v>11</v>
      </c>
    </row>
    <row r="627" spans="1:6" x14ac:dyDescent="0.25">
      <c r="A627" s="11">
        <v>42095</v>
      </c>
      <c r="B627" s="7">
        <v>0.58263888888888882</v>
      </c>
      <c r="C627" s="7">
        <v>0.6166666666666667</v>
      </c>
      <c r="D627" s="7">
        <f>(0.616666666666667-0.582638888888889)</f>
        <v>3.402777777777799E-2</v>
      </c>
      <c r="E627" s="7">
        <f>ABS(0.034027777777778-0.019444444444444)</f>
        <v>1.4583333333333996E-2</v>
      </c>
      <c r="F627" s="1" t="s">
        <v>11</v>
      </c>
    </row>
    <row r="628" spans="1:6" x14ac:dyDescent="0.25">
      <c r="A628" s="11">
        <v>42095</v>
      </c>
      <c r="B628" s="7">
        <v>0.85625000000000007</v>
      </c>
      <c r="C628" s="7">
        <v>0.87569444444444444</v>
      </c>
      <c r="D628" s="7">
        <f>(0.875694444444444-0.85625)</f>
        <v>1.9444444444444042E-2</v>
      </c>
      <c r="E628" s="7">
        <f>ABS(0.019444444444444-0.0187499999999999)</f>
        <v>6.9444444444410197E-4</v>
      </c>
      <c r="F628" s="1" t="s">
        <v>11</v>
      </c>
    </row>
    <row r="629" spans="1:6" x14ac:dyDescent="0.25">
      <c r="A629" s="11">
        <v>42095</v>
      </c>
      <c r="B629" s="7">
        <v>0.7680555555555556</v>
      </c>
      <c r="C629" s="7">
        <v>0.78680555555555554</v>
      </c>
      <c r="D629" s="7">
        <f>(0.786805555555556-0.768055555555556)</f>
        <v>1.8749999999999933E-2</v>
      </c>
      <c r="E629" s="7">
        <f>ABS(0.0187499999999999-0.0145833333333333)</f>
        <v>4.1666666666665981E-3</v>
      </c>
      <c r="F629" s="1" t="s">
        <v>11</v>
      </c>
    </row>
    <row r="630" spans="1:6" x14ac:dyDescent="0.25">
      <c r="A630" s="11">
        <v>42095</v>
      </c>
      <c r="B630" s="7">
        <v>2.7777777777777776E-2</v>
      </c>
      <c r="C630" s="7">
        <v>4.2361111111111106E-2</v>
      </c>
      <c r="D630" s="7">
        <f>(0.0423611111111111-0.0277777777777778)</f>
        <v>1.4583333333333299E-2</v>
      </c>
      <c r="E630" s="7">
        <f>ABS(0.0145833333333333-0.023611111111111)</f>
        <v>9.0277777777776989E-3</v>
      </c>
      <c r="F630" s="1" t="s">
        <v>11</v>
      </c>
    </row>
    <row r="631" spans="1:6" x14ac:dyDescent="0.25">
      <c r="A631" s="11">
        <v>42095</v>
      </c>
      <c r="B631" s="7">
        <v>0.10208333333333335</v>
      </c>
      <c r="C631" s="7">
        <v>0.12569444444444444</v>
      </c>
      <c r="D631" s="7">
        <f>(0.125694444444444-0.102083333333333)</f>
        <v>2.3611111111110999E-2</v>
      </c>
      <c r="E631" s="7">
        <f>ABS(0.023611111111111-0.027083333333334)</f>
        <v>3.4722222222230009E-3</v>
      </c>
      <c r="F631" s="1" t="s">
        <v>11</v>
      </c>
    </row>
    <row r="632" spans="1:6" x14ac:dyDescent="0.25">
      <c r="A632" s="11">
        <v>42095</v>
      </c>
      <c r="B632" s="7">
        <v>0.46597222222222223</v>
      </c>
      <c r="C632" s="7">
        <v>0.49305555555555558</v>
      </c>
      <c r="D632" s="7">
        <f>(0.493055555555556-0.465972222222222)</f>
        <v>2.7083333333334014E-2</v>
      </c>
      <c r="E632" s="7">
        <f>ABS(0.027083333333334-0.027083333333333)</f>
        <v>9.9920072216264089E-16</v>
      </c>
      <c r="F632" s="1" t="s">
        <v>11</v>
      </c>
    </row>
    <row r="633" spans="1:6" x14ac:dyDescent="0.25">
      <c r="A633" s="11">
        <v>42095</v>
      </c>
      <c r="B633" s="7">
        <v>0.97291666666666676</v>
      </c>
      <c r="C633" s="7">
        <v>1</v>
      </c>
      <c r="D633" s="7">
        <f>(1-0.972916666666667)</f>
        <v>2.7083333333333015E-2</v>
      </c>
      <c r="E633" s="7">
        <f>ABS(0.027083333333333-0.015972222222222)</f>
        <v>1.1111111111111002E-2</v>
      </c>
      <c r="F633" s="1" t="s">
        <v>11</v>
      </c>
    </row>
    <row r="634" spans="1:6" x14ac:dyDescent="0.25">
      <c r="A634" s="11">
        <v>42095</v>
      </c>
      <c r="B634" s="7">
        <v>0.24861111111111112</v>
      </c>
      <c r="C634" s="7">
        <v>0.26458333333333334</v>
      </c>
      <c r="D634" s="7">
        <f>(0.264583333333333-0.248611111111111)</f>
        <v>1.5972222222221999E-2</v>
      </c>
      <c r="E634" s="7">
        <f>ABS(0.015972222222222-0.021527777777778)</f>
        <v>5.5555555555560007E-3</v>
      </c>
      <c r="F634" s="1" t="s">
        <v>11</v>
      </c>
    </row>
    <row r="635" spans="1:6" x14ac:dyDescent="0.25">
      <c r="A635" s="11">
        <v>42095</v>
      </c>
      <c r="B635" s="7">
        <v>0.4777777777777778</v>
      </c>
      <c r="C635" s="7">
        <v>0.4993055555555555</v>
      </c>
      <c r="D635" s="7">
        <f>(0.499305555555556-0.477777777777778)</f>
        <v>2.1527777777777979E-2</v>
      </c>
      <c r="E635" s="7">
        <f>ABS(0.021527777777778-0.024305555555555)</f>
        <v>2.7777777777770012E-3</v>
      </c>
      <c r="F635" s="1" t="s">
        <v>11</v>
      </c>
    </row>
    <row r="636" spans="1:6" x14ac:dyDescent="0.25">
      <c r="A636" s="11">
        <v>42095</v>
      </c>
      <c r="B636" s="7">
        <v>0.72569444444444453</v>
      </c>
      <c r="C636" s="7">
        <v>0.75</v>
      </c>
      <c r="D636" s="7">
        <f>(0.75-0.725694444444445)</f>
        <v>2.4305555555555025E-2</v>
      </c>
      <c r="E636" s="7">
        <f>ABS(0.024305555555555-0.01875)</f>
        <v>5.5555555555550015E-3</v>
      </c>
      <c r="F636" s="1" t="s">
        <v>11</v>
      </c>
    </row>
    <row r="637" spans="1:6" x14ac:dyDescent="0.25">
      <c r="A637" s="11">
        <v>42095</v>
      </c>
      <c r="B637" s="7">
        <v>0.57430555555555551</v>
      </c>
      <c r="C637" s="7">
        <v>0.59305555555555556</v>
      </c>
      <c r="D637" s="7">
        <f>(0.593055555555556-0.574305555555556)</f>
        <v>1.8750000000000044E-2</v>
      </c>
      <c r="E637" s="7">
        <f>ABS(0.01875-0.0131944444444441)</f>
        <v>5.5555555555559001E-3</v>
      </c>
      <c r="F637" s="1" t="s">
        <v>11</v>
      </c>
    </row>
    <row r="638" spans="1:6" x14ac:dyDescent="0.25">
      <c r="A638" s="11">
        <v>42095</v>
      </c>
      <c r="B638" s="7">
        <v>0.81666666666666676</v>
      </c>
      <c r="C638" s="7">
        <v>0.82986111111111116</v>
      </c>
      <c r="D638" s="7">
        <f>(0.829861111111111-0.816666666666667)</f>
        <v>1.3194444444444065E-2</v>
      </c>
      <c r="E638" s="7">
        <f>ABS(0.0131944444444441-0.0118055555555551)</f>
        <v>1.3888888888889984E-3</v>
      </c>
      <c r="F638" s="1" t="s">
        <v>11</v>
      </c>
    </row>
    <row r="639" spans="1:6" x14ac:dyDescent="0.25">
      <c r="A639" s="11">
        <v>42095</v>
      </c>
      <c r="B639" s="7">
        <v>0.91666666666666663</v>
      </c>
      <c r="C639" s="7">
        <v>0.92847222222222225</v>
      </c>
      <c r="D639" s="7">
        <f>(0.928472222222222-0.916666666666667)</f>
        <v>1.180555555555507E-2</v>
      </c>
      <c r="E639" s="7">
        <f>ABS(0.0118055555555551-0.0236111111111109)</f>
        <v>1.1805555555555798E-2</v>
      </c>
      <c r="F639" s="1" t="s">
        <v>11</v>
      </c>
    </row>
    <row r="640" spans="1:6" x14ac:dyDescent="0.25">
      <c r="A640" s="11">
        <v>42095</v>
      </c>
      <c r="B640" s="7">
        <v>0.52013888888888882</v>
      </c>
      <c r="C640" s="7">
        <v>0.54375000000000007</v>
      </c>
      <c r="D640" s="7">
        <f>(0.54375-0.520138888888889)</f>
        <v>2.3611111111110916E-2</v>
      </c>
      <c r="E640" s="7">
        <f>ABS(0.0236111111111109-0.0201388888888889)</f>
        <v>3.4722222222219983E-3</v>
      </c>
      <c r="F640" s="1" t="s">
        <v>11</v>
      </c>
    </row>
    <row r="641" spans="1:6" x14ac:dyDescent="0.25">
      <c r="A641" s="11">
        <v>42095</v>
      </c>
      <c r="B641" s="7">
        <v>0.61041666666666672</v>
      </c>
      <c r="C641" s="7">
        <v>0.63055555555555554</v>
      </c>
      <c r="D641" s="7">
        <f>(0.630555555555556-0.610416666666667)</f>
        <v>2.0138888888888928E-2</v>
      </c>
      <c r="E641" s="7">
        <f>ABS(0.0201388888888889-0.01875)</f>
        <v>1.3888888888889013E-3</v>
      </c>
      <c r="F641" s="1" t="s">
        <v>11</v>
      </c>
    </row>
    <row r="642" spans="1:6" x14ac:dyDescent="0.25">
      <c r="A642" s="11">
        <v>42095</v>
      </c>
      <c r="B642" s="7">
        <v>0.91666666666666663</v>
      </c>
      <c r="C642" s="7">
        <v>0.93541666666666667</v>
      </c>
      <c r="D642" s="7">
        <f>(0.935416666666667-0.916666666666667)</f>
        <v>1.8750000000000044E-2</v>
      </c>
      <c r="E642" s="7">
        <f>ABS(0.01875-0.020138888888889)</f>
        <v>1.3888888888890019E-3</v>
      </c>
      <c r="F642" s="1" t="s">
        <v>11</v>
      </c>
    </row>
    <row r="643" spans="1:6" x14ac:dyDescent="0.25">
      <c r="A643" s="11">
        <v>42095</v>
      </c>
      <c r="B643" s="7">
        <v>0.41250000000000003</v>
      </c>
      <c r="C643" s="7">
        <v>0.43263888888888885</v>
      </c>
      <c r="D643" s="7">
        <f>(0.432638888888889-0.4125)</f>
        <v>2.0138888888889039E-2</v>
      </c>
      <c r="E643" s="7">
        <f>ABS(0.020138888888889-0.020833333333333)</f>
        <v>6.9444444444399789E-4</v>
      </c>
      <c r="F643" s="1" t="s">
        <v>11</v>
      </c>
    </row>
    <row r="644" spans="1:6" x14ac:dyDescent="0.25">
      <c r="A644" s="11">
        <v>42095</v>
      </c>
      <c r="B644" s="7">
        <v>0.60416666666666663</v>
      </c>
      <c r="C644" s="7">
        <v>0.625</v>
      </c>
      <c r="D644" s="7">
        <f>(0.625-0.604166666666667)</f>
        <v>2.0833333333333037E-2</v>
      </c>
      <c r="E644" s="7">
        <f>ABS(0.020833333333333-0.0187499999999999)</f>
        <v>2.0833333333331004E-3</v>
      </c>
      <c r="F644" s="1" t="s">
        <v>11</v>
      </c>
    </row>
    <row r="645" spans="1:6" x14ac:dyDescent="0.25">
      <c r="A645" s="11">
        <v>42095</v>
      </c>
      <c r="B645" s="7">
        <v>0.64166666666666672</v>
      </c>
      <c r="C645" s="7">
        <v>0.66041666666666665</v>
      </c>
      <c r="D645" s="7">
        <f>(0.660416666666667-0.641666666666667)</f>
        <v>1.8749999999999933E-2</v>
      </c>
      <c r="E645" s="7">
        <f>ABS(0.0187499999999999-0.0222222222222219)</f>
        <v>3.4722222222220017E-3</v>
      </c>
      <c r="F645" s="1" t="s">
        <v>11</v>
      </c>
    </row>
    <row r="646" spans="1:6" x14ac:dyDescent="0.25">
      <c r="A646" s="11">
        <v>42095</v>
      </c>
      <c r="B646" s="7">
        <v>0.6777777777777777</v>
      </c>
      <c r="C646" s="7">
        <v>0.70000000000000007</v>
      </c>
      <c r="D646" s="7">
        <f>(0.7-0.677777777777778)</f>
        <v>2.2222222222221921E-2</v>
      </c>
      <c r="E646" s="7">
        <f>ABS(0.0222222222222219-0.023611111111111)</f>
        <v>1.3888888888890991E-3</v>
      </c>
      <c r="F646" s="1" t="s">
        <v>11</v>
      </c>
    </row>
    <row r="647" spans="1:6" x14ac:dyDescent="0.25">
      <c r="A647" s="11">
        <v>42095</v>
      </c>
      <c r="B647" s="7">
        <v>0.68611111111111101</v>
      </c>
      <c r="C647" s="7">
        <v>0.70972222222222225</v>
      </c>
      <c r="D647" s="7">
        <f>(0.709722222222222-0.686111111111111)</f>
        <v>2.3611111111111027E-2</v>
      </c>
      <c r="E647" s="7">
        <f>ABS(0.023611111111111-0.039583333333333)</f>
        <v>1.5972222222221999E-2</v>
      </c>
      <c r="F647" s="1" t="s">
        <v>11</v>
      </c>
    </row>
    <row r="648" spans="1:6" x14ac:dyDescent="0.25">
      <c r="A648" s="11">
        <v>42095</v>
      </c>
      <c r="B648" s="7">
        <v>0.30138888888888887</v>
      </c>
      <c r="C648" s="7">
        <v>0.34097222222222223</v>
      </c>
      <c r="D648" s="7">
        <f>(0.340972222222222-0.301388888888889)</f>
        <v>3.9583333333333026E-2</v>
      </c>
      <c r="E648" s="7">
        <f>ABS(0.039583333333333-0.036805555555555)</f>
        <v>2.7777777777779969E-3</v>
      </c>
      <c r="F648" s="1" t="s">
        <v>11</v>
      </c>
    </row>
    <row r="649" spans="1:6" x14ac:dyDescent="0.25">
      <c r="A649" s="11">
        <v>42095</v>
      </c>
      <c r="B649" s="7">
        <v>0.33055555555555555</v>
      </c>
      <c r="C649" s="7">
        <v>0.36736111111111108</v>
      </c>
      <c r="D649" s="7">
        <f>(0.367361111111111-0.330555555555556)</f>
        <v>3.6805555555555036E-2</v>
      </c>
      <c r="E649" s="7">
        <f>ABS(0.036805555555555-0.038888888888889)</f>
        <v>2.083333333333999E-3</v>
      </c>
      <c r="F649" s="1" t="s">
        <v>11</v>
      </c>
    </row>
    <row r="650" spans="1:6" x14ac:dyDescent="0.25">
      <c r="A650" s="11">
        <v>42095</v>
      </c>
      <c r="B650" s="7">
        <v>0.41111111111111115</v>
      </c>
      <c r="C650" s="7">
        <v>0.45</v>
      </c>
      <c r="D650" s="7">
        <f>(0.45-0.411111111111111)</f>
        <v>3.8888888888889028E-2</v>
      </c>
      <c r="E650" s="7">
        <f>ABS(0.038888888888889-0.025)</f>
        <v>1.3888888888888999E-2</v>
      </c>
      <c r="F650" s="1" t="s">
        <v>11</v>
      </c>
    </row>
    <row r="651" spans="1:6" x14ac:dyDescent="0.25">
      <c r="A651" s="11">
        <v>42095</v>
      </c>
      <c r="B651" s="7">
        <v>0.41250000000000003</v>
      </c>
      <c r="C651" s="7">
        <v>0.4375</v>
      </c>
      <c r="D651" s="7">
        <f>(0.4375-0.4125)</f>
        <v>2.5000000000000022E-2</v>
      </c>
      <c r="E651" s="7">
        <f>ABS(0.025-0.0201388888888889)</f>
        <v>4.8611111111111008E-3</v>
      </c>
      <c r="F651" s="1" t="s">
        <v>11</v>
      </c>
    </row>
    <row r="652" spans="1:6" x14ac:dyDescent="0.25">
      <c r="A652" s="11">
        <v>42095</v>
      </c>
      <c r="B652" s="7">
        <v>0.54861111111111105</v>
      </c>
      <c r="C652" s="7">
        <v>0.56874999999999998</v>
      </c>
      <c r="D652" s="7">
        <f>(0.56875-0.548611111111111)</f>
        <v>2.0138888888888928E-2</v>
      </c>
      <c r="E652" s="7">
        <f>ABS(0.0201388888888889-0.01875)</f>
        <v>1.3888888888889013E-3</v>
      </c>
      <c r="F652" s="1" t="s">
        <v>11</v>
      </c>
    </row>
    <row r="653" spans="1:6" x14ac:dyDescent="0.25">
      <c r="A653" s="11">
        <v>42095</v>
      </c>
      <c r="B653" s="7">
        <v>4.9305555555555554E-2</v>
      </c>
      <c r="C653" s="7">
        <v>6.805555555555555E-2</v>
      </c>
      <c r="D653" s="7">
        <f>(0.0680555555555556-0.0493055555555556)</f>
        <v>1.8750000000000003E-2</v>
      </c>
      <c r="E653" s="7">
        <f>ABS(0.01875-0.01875)</f>
        <v>0</v>
      </c>
      <c r="F653" s="1" t="s">
        <v>11</v>
      </c>
    </row>
    <row r="654" spans="1:6" x14ac:dyDescent="0.25">
      <c r="A654" s="11">
        <v>42095</v>
      </c>
      <c r="B654" s="7">
        <v>0.10347222222222223</v>
      </c>
      <c r="C654" s="7">
        <v>0.12222222222222223</v>
      </c>
      <c r="D654" s="7">
        <f>(0.122222222222222-0.103472222222222)</f>
        <v>1.8750000000000003E-2</v>
      </c>
      <c r="E654" s="7">
        <f>ABS(0.01875-0.022916666666667)</f>
        <v>4.1666666666670023E-3</v>
      </c>
      <c r="F654" s="1" t="s">
        <v>11</v>
      </c>
    </row>
    <row r="655" spans="1:6" x14ac:dyDescent="0.25">
      <c r="A655" s="11">
        <v>42095</v>
      </c>
      <c r="B655" s="7">
        <v>0.74722222222222223</v>
      </c>
      <c r="C655" s="7">
        <v>0.77013888888888893</v>
      </c>
      <c r="D655" s="7">
        <f>(0.770138888888889-0.747222222222222)</f>
        <v>2.2916666666667029E-2</v>
      </c>
      <c r="E655" s="7">
        <f>ABS(0.022916666666667-0.026388888888889)</f>
        <v>3.4722222222219983E-3</v>
      </c>
      <c r="F655" s="1" t="s">
        <v>11</v>
      </c>
    </row>
    <row r="656" spans="1:6" x14ac:dyDescent="0.25">
      <c r="A656" s="11">
        <v>42095</v>
      </c>
      <c r="B656" s="7">
        <v>0.75138888888888899</v>
      </c>
      <c r="C656" s="7">
        <v>0.77777777777777779</v>
      </c>
      <c r="D656" s="7">
        <f>(0.777777777777778-0.751388888888889)</f>
        <v>2.6388888888889017E-2</v>
      </c>
      <c r="E656" s="7">
        <f>ABS(0.026388888888889-0.019444444444445)</f>
        <v>6.944444444444E-3</v>
      </c>
      <c r="F656" s="1" t="s">
        <v>11</v>
      </c>
    </row>
    <row r="657" spans="1:6" x14ac:dyDescent="0.25">
      <c r="A657" s="11">
        <v>42095</v>
      </c>
      <c r="B657" s="7">
        <v>0.8222222222222223</v>
      </c>
      <c r="C657" s="7">
        <v>0.84166666666666667</v>
      </c>
      <c r="D657" s="7">
        <f>(0.841666666666667-0.822222222222222)</f>
        <v>1.9444444444445041E-2</v>
      </c>
      <c r="E657" s="7">
        <f>ABS(0.019444444444445-0.018055555555555)</f>
        <v>1.3888888888900011E-3</v>
      </c>
      <c r="F657" s="1" t="s">
        <v>11</v>
      </c>
    </row>
    <row r="658" spans="1:6" x14ac:dyDescent="0.25">
      <c r="A658" s="11">
        <v>42095</v>
      </c>
      <c r="B658" s="7">
        <v>0.85763888888888884</v>
      </c>
      <c r="C658" s="7">
        <v>0.87569444444444444</v>
      </c>
      <c r="D658" s="7">
        <f>(0.875694444444444-0.857638888888889)</f>
        <v>1.8055555555555047E-2</v>
      </c>
      <c r="E658" s="7">
        <f>ABS(0.018055555555555-0.017361111111111)</f>
        <v>6.9444444444399789E-4</v>
      </c>
      <c r="F658" s="1" t="s">
        <v>11</v>
      </c>
    </row>
    <row r="659" spans="1:6" x14ac:dyDescent="0.25">
      <c r="A659" s="11">
        <v>42095</v>
      </c>
      <c r="B659" s="7">
        <v>0.13541666666666666</v>
      </c>
      <c r="C659" s="7">
        <v>0.15277777777777776</v>
      </c>
      <c r="D659" s="7">
        <f>(0.152777777777778-0.135416666666667)</f>
        <v>1.7361111111111022E-2</v>
      </c>
      <c r="E659" s="7">
        <f>ABS(0.017361111111111-0.019444444444444)</f>
        <v>2.0833333333329998E-3</v>
      </c>
      <c r="F659" s="1" t="s">
        <v>11</v>
      </c>
    </row>
    <row r="660" spans="1:6" x14ac:dyDescent="0.25">
      <c r="A660" s="11">
        <v>42095</v>
      </c>
      <c r="B660" s="7">
        <v>0.35416666666666669</v>
      </c>
      <c r="C660" s="7">
        <v>0.37361111111111112</v>
      </c>
      <c r="D660" s="7">
        <f>(0.373611111111111-0.354166666666667)</f>
        <v>1.9444444444443987E-2</v>
      </c>
      <c r="E660" s="7">
        <f>ABS(0.019444444444444-0.025)</f>
        <v>5.5555555555560007E-3</v>
      </c>
      <c r="F660" s="1" t="s">
        <v>11</v>
      </c>
    </row>
    <row r="661" spans="1:6" x14ac:dyDescent="0.25">
      <c r="A661" s="11">
        <v>42095</v>
      </c>
      <c r="B661" s="7">
        <v>0.5229166666666667</v>
      </c>
      <c r="C661" s="7">
        <v>0.54791666666666672</v>
      </c>
      <c r="D661" s="7">
        <f>(0.547916666666667-0.522916666666667)</f>
        <v>2.5000000000000022E-2</v>
      </c>
      <c r="E661" s="7">
        <f>ABS(0.025-0.0173611111111109)</f>
        <v>7.6388888888891011E-3</v>
      </c>
      <c r="F661" s="1" t="s">
        <v>11</v>
      </c>
    </row>
    <row r="662" spans="1:6" x14ac:dyDescent="0.25">
      <c r="A662" s="11">
        <v>42095</v>
      </c>
      <c r="B662" s="7">
        <v>0.9</v>
      </c>
      <c r="C662" s="7">
        <v>0.91736111111111107</v>
      </c>
      <c r="D662" s="7">
        <f>(0.917361111111111-0.9)</f>
        <v>1.7361111111110938E-2</v>
      </c>
      <c r="E662" s="7">
        <f>ABS(0.0173611111111109-0.013194444444444)</f>
        <v>4.1666666666668999E-3</v>
      </c>
      <c r="F662" s="1" t="s">
        <v>11</v>
      </c>
    </row>
    <row r="663" spans="1:6" x14ac:dyDescent="0.25">
      <c r="A663" s="11">
        <v>42095</v>
      </c>
      <c r="B663" s="7">
        <v>0.39513888888888887</v>
      </c>
      <c r="C663" s="7">
        <v>0.40833333333333338</v>
      </c>
      <c r="D663" s="7">
        <f>(0.408333333333333-0.395138888888889)</f>
        <v>1.3194444444444009E-2</v>
      </c>
      <c r="E663" s="7">
        <f>ABS(0.013194444444444-0.013194444444444)</f>
        <v>0</v>
      </c>
      <c r="F663" s="1" t="s">
        <v>11</v>
      </c>
    </row>
    <row r="664" spans="1:6" x14ac:dyDescent="0.25">
      <c r="A664" s="11">
        <v>42095</v>
      </c>
      <c r="B664" s="7">
        <v>0.39513888888888887</v>
      </c>
      <c r="C664" s="7">
        <v>0.40833333333333338</v>
      </c>
      <c r="D664" s="7">
        <f>(0.408333333333333-0.395138888888889)</f>
        <v>1.3194444444444009E-2</v>
      </c>
      <c r="E664" s="7">
        <f>ABS(0.013194444444444-0.0145833333333331)</f>
        <v>1.3888888888890991E-3</v>
      </c>
      <c r="F664" s="1" t="s">
        <v>11</v>
      </c>
    </row>
    <row r="665" spans="1:6" x14ac:dyDescent="0.25">
      <c r="A665" s="11">
        <v>42095</v>
      </c>
      <c r="B665" s="7">
        <v>0.63124999999999998</v>
      </c>
      <c r="C665" s="7">
        <v>0.64583333333333337</v>
      </c>
      <c r="D665" s="7">
        <f>(0.645833333333333-0.63125)</f>
        <v>1.4583333333333059E-2</v>
      </c>
      <c r="E665" s="7">
        <f>ABS(0.0145833333333331-0.013194444444444)</f>
        <v>1.3888888888890991E-3</v>
      </c>
      <c r="F665" s="1" t="s">
        <v>11</v>
      </c>
    </row>
    <row r="666" spans="1:6" x14ac:dyDescent="0.25">
      <c r="A666" s="11">
        <v>42095</v>
      </c>
      <c r="B666" s="7">
        <v>0.18541666666666667</v>
      </c>
      <c r="C666" s="7">
        <v>0.1986111111111111</v>
      </c>
      <c r="D666" s="7">
        <f>(0.198611111111111-0.185416666666667)</f>
        <v>1.3194444444443981E-2</v>
      </c>
      <c r="E666" s="7">
        <f>ABS(0.013194444444444-0.022222222222222)</f>
        <v>9.0277777777780007E-3</v>
      </c>
      <c r="F666" s="1" t="s">
        <v>11</v>
      </c>
    </row>
    <row r="667" spans="1:6" x14ac:dyDescent="0.25">
      <c r="A667" s="11">
        <v>42095</v>
      </c>
      <c r="B667" s="7">
        <v>0.24513888888888888</v>
      </c>
      <c r="C667" s="7">
        <v>0.2673611111111111</v>
      </c>
      <c r="D667" s="7">
        <f>(0.267361111111111-0.245138888888889)</f>
        <v>2.2222222222222004E-2</v>
      </c>
      <c r="E667" s="7">
        <f>ABS(0.022222222222222-0.020138888888888)</f>
        <v>2.0833333333340025E-3</v>
      </c>
      <c r="F667" s="1" t="s">
        <v>11</v>
      </c>
    </row>
    <row r="668" spans="1:6" x14ac:dyDescent="0.25">
      <c r="A668" s="11">
        <v>42095</v>
      </c>
      <c r="B668" s="7">
        <v>0.33680555555555558</v>
      </c>
      <c r="C668" s="7">
        <v>0.35694444444444445</v>
      </c>
      <c r="D668" s="7">
        <f>(0.356944444444444-0.336805555555556)</f>
        <v>2.0138888888887985E-2</v>
      </c>
      <c r="E668" s="7">
        <f>ABS(0.020138888888888-0.0208333333333339)</f>
        <v>6.9444444444590261E-4</v>
      </c>
      <c r="F668" s="1" t="s">
        <v>11</v>
      </c>
    </row>
    <row r="669" spans="1:6" x14ac:dyDescent="0.25">
      <c r="A669" s="11">
        <v>42095</v>
      </c>
      <c r="B669" s="7">
        <v>0.83333333333333337</v>
      </c>
      <c r="C669" s="7">
        <v>0.85416666666666663</v>
      </c>
      <c r="D669" s="7">
        <f>(0.854166666666667-0.833333333333333)</f>
        <v>2.0833333333333925E-2</v>
      </c>
      <c r="E669" s="7">
        <f>ABS(0.0208333333333339-0.0201388888888889)</f>
        <v>6.9444444444500056E-4</v>
      </c>
      <c r="F669" s="1" t="s">
        <v>11</v>
      </c>
    </row>
    <row r="670" spans="1:6" x14ac:dyDescent="0.25">
      <c r="A670" s="11">
        <v>42095</v>
      </c>
      <c r="B670" s="7">
        <v>9.8611111111111108E-2</v>
      </c>
      <c r="C670" s="7">
        <v>0.11875000000000001</v>
      </c>
      <c r="D670" s="7">
        <f>(0.11875-0.0986111111111111)</f>
        <v>2.0138888888888901E-2</v>
      </c>
      <c r="E670" s="7">
        <f>ABS(0.0201388888888889-0.016666666666667)</f>
        <v>3.4722222222219011E-3</v>
      </c>
      <c r="F670" s="1" t="s">
        <v>11</v>
      </c>
    </row>
    <row r="671" spans="1:6" x14ac:dyDescent="0.25">
      <c r="A671" s="11">
        <v>42095</v>
      </c>
      <c r="B671" s="7">
        <v>0.16111111111111112</v>
      </c>
      <c r="C671" s="7">
        <v>0.17777777777777778</v>
      </c>
      <c r="D671" s="7">
        <f>(0.177777777777778-0.161111111111111)</f>
        <v>1.6666666666666996E-2</v>
      </c>
      <c r="E671" s="7">
        <f>ABS(0.016666666666667-0.021527777777777)</f>
        <v>4.861111111110001E-3</v>
      </c>
      <c r="F671" s="1" t="s">
        <v>11</v>
      </c>
    </row>
    <row r="672" spans="1:6" x14ac:dyDescent="0.25">
      <c r="A672" s="11">
        <v>42095</v>
      </c>
      <c r="B672" s="7">
        <v>0.3430555555555555</v>
      </c>
      <c r="C672" s="7">
        <v>0.36458333333333331</v>
      </c>
      <c r="D672" s="7">
        <f>(0.364583333333333-0.343055555555556)</f>
        <v>2.152777777777698E-2</v>
      </c>
      <c r="E672" s="7">
        <f>ABS(0.021527777777777-0.022222222222222)</f>
        <v>6.9444444444500056E-4</v>
      </c>
      <c r="F672" s="1" t="s">
        <v>11</v>
      </c>
    </row>
    <row r="673" spans="1:6" x14ac:dyDescent="0.25">
      <c r="A673" s="11">
        <v>42095</v>
      </c>
      <c r="B673" s="7">
        <v>0.6</v>
      </c>
      <c r="C673" s="7">
        <v>0.62222222222222223</v>
      </c>
      <c r="D673" s="7">
        <f>(0.622222222222222-0.6)</f>
        <v>2.2222222222222032E-2</v>
      </c>
      <c r="E673" s="7">
        <f>ABS(0.022222222222222-0.020138888888888)</f>
        <v>2.0833333333340025E-3</v>
      </c>
      <c r="F673" s="1" t="s">
        <v>11</v>
      </c>
    </row>
    <row r="674" spans="1:6" x14ac:dyDescent="0.25">
      <c r="A674" s="11">
        <v>42095</v>
      </c>
      <c r="B674" s="7">
        <v>0.39305555555555555</v>
      </c>
      <c r="C674" s="7">
        <v>0.41319444444444442</v>
      </c>
      <c r="D674" s="7">
        <f>(0.413194444444444-0.393055555555556)</f>
        <v>2.0138888888887985E-2</v>
      </c>
      <c r="E674" s="7">
        <f>ABS(0.020138888888888-0.022916666666667)</f>
        <v>2.777777777779003E-3</v>
      </c>
      <c r="F674" s="1" t="s">
        <v>11</v>
      </c>
    </row>
    <row r="675" spans="1:6" x14ac:dyDescent="0.25">
      <c r="A675" s="11">
        <v>42095</v>
      </c>
      <c r="B675" s="7">
        <v>0.62986111111111109</v>
      </c>
      <c r="C675" s="7">
        <v>0.65277777777777779</v>
      </c>
      <c r="D675" s="7">
        <f>(0.652777777777778-0.629861111111111)</f>
        <v>2.2916666666667029E-2</v>
      </c>
      <c r="E675" s="7">
        <f>ABS(0.022916666666667-0.022222222222222)</f>
        <v>6.9444444444500056E-4</v>
      </c>
      <c r="F675" s="1" t="s">
        <v>11</v>
      </c>
    </row>
    <row r="676" spans="1:6" x14ac:dyDescent="0.25">
      <c r="A676" s="11">
        <v>42095</v>
      </c>
      <c r="B676" s="7">
        <v>0.68958333333333333</v>
      </c>
      <c r="C676" s="7">
        <v>0.71180555555555547</v>
      </c>
      <c r="D676" s="7">
        <f>(0.711805555555555-0.689583333333333)</f>
        <v>2.2222222222222032E-2</v>
      </c>
      <c r="E676" s="7">
        <f>ABS(0.022222222222222-0.020833333333333)</f>
        <v>1.3888888888890019E-3</v>
      </c>
      <c r="F676" s="5" t="s">
        <v>11</v>
      </c>
    </row>
    <row r="677" spans="1:6" x14ac:dyDescent="0.25">
      <c r="A677" s="11">
        <v>42095</v>
      </c>
      <c r="B677" s="7">
        <v>0.69166666666666676</v>
      </c>
      <c r="C677" s="7">
        <v>0.71250000000000002</v>
      </c>
      <c r="D677" s="7">
        <f>(0.7125-0.691666666666667)</f>
        <v>2.0833333333333037E-2</v>
      </c>
      <c r="E677" s="7">
        <f>ABS(0.020833333333333-0.0125)</f>
        <v>8.3333333333329984E-3</v>
      </c>
      <c r="F677" s="1" t="s">
        <v>11</v>
      </c>
    </row>
    <row r="678" spans="1:6" x14ac:dyDescent="0.25">
      <c r="A678" s="11">
        <v>42095</v>
      </c>
      <c r="B678" s="7">
        <v>0.9</v>
      </c>
      <c r="C678" s="7">
        <v>0.91249999999999998</v>
      </c>
      <c r="D678" s="7">
        <f>(0.9125-0.9)</f>
        <v>1.2499999999999956E-2</v>
      </c>
      <c r="E678" s="7">
        <f>ABS(0.0125-0.024305555555556)</f>
        <v>1.1805555555555999E-2</v>
      </c>
      <c r="F678" s="1" t="s">
        <v>11</v>
      </c>
    </row>
    <row r="679" spans="1:6" x14ac:dyDescent="0.25">
      <c r="A679" s="11">
        <v>42095</v>
      </c>
      <c r="B679" s="7">
        <v>0.50069444444444444</v>
      </c>
      <c r="C679" s="7">
        <v>0.52500000000000002</v>
      </c>
      <c r="D679" s="7">
        <f>(0.525-0.500694444444444)</f>
        <v>2.4305555555556024E-2</v>
      </c>
      <c r="E679" s="7">
        <f>ABS(0.024305555555556-0.019444444444444)</f>
        <v>4.8611111111119994E-3</v>
      </c>
      <c r="F679" s="1" t="s">
        <v>11</v>
      </c>
    </row>
    <row r="680" spans="1:6" x14ac:dyDescent="0.25">
      <c r="A680" s="11">
        <v>42095</v>
      </c>
      <c r="B680" s="7">
        <v>0.50763888888888886</v>
      </c>
      <c r="C680" s="7">
        <v>0.52708333333333335</v>
      </c>
      <c r="D680" s="7">
        <f>(0.527083333333333-0.507638888888889)</f>
        <v>1.9444444444444042E-2</v>
      </c>
      <c r="E680" s="7">
        <f>ABS(0.019444444444444-0.0166666666666661)</f>
        <v>2.7777777777778997E-3</v>
      </c>
      <c r="F680" s="1" t="s">
        <v>11</v>
      </c>
    </row>
    <row r="681" spans="1:6" x14ac:dyDescent="0.25">
      <c r="A681" s="11">
        <v>42095</v>
      </c>
      <c r="B681" s="7">
        <v>0.84791666666666676</v>
      </c>
      <c r="C681" s="7">
        <v>0.86458333333333337</v>
      </c>
      <c r="D681" s="7">
        <f>(0.864583333333333-0.847916666666667)</f>
        <v>1.6666666666666052E-2</v>
      </c>
      <c r="E681" s="7">
        <f>ABS(0.0166666666666661-0.021527777777778)</f>
        <v>4.8611111111118988E-3</v>
      </c>
      <c r="F681" s="1" t="s">
        <v>11</v>
      </c>
    </row>
    <row r="682" spans="1:6" x14ac:dyDescent="0.25">
      <c r="A682" s="11">
        <v>42095</v>
      </c>
      <c r="B682" s="7">
        <v>0.97499999999999998</v>
      </c>
      <c r="C682" s="7">
        <v>0.99652777777777779</v>
      </c>
      <c r="D682" s="7">
        <f>(0.996527777777778-0.975)</f>
        <v>2.1527777777778034E-2</v>
      </c>
      <c r="E682" s="7">
        <f>ABS(0.021527777777778-0.0111111111111111)</f>
        <v>1.04166666666669E-2</v>
      </c>
      <c r="F682" s="1" t="s">
        <v>11</v>
      </c>
    </row>
    <row r="683" spans="1:6" x14ac:dyDescent="0.25">
      <c r="A683" s="11">
        <v>42095</v>
      </c>
      <c r="B683" s="7">
        <v>3.4027777777777775E-2</v>
      </c>
      <c r="C683" s="7">
        <v>4.5138888888888888E-2</v>
      </c>
      <c r="D683" s="7">
        <f>(0.0451388888888889-0.0340277777777778)</f>
        <v>1.1111111111111099E-2</v>
      </c>
      <c r="E683" s="7">
        <f>ABS(0.0111111111111111-0.041666666666666)</f>
        <v>3.0555555555554899E-2</v>
      </c>
      <c r="F683" s="1" t="s">
        <v>11</v>
      </c>
    </row>
    <row r="684" spans="1:6" x14ac:dyDescent="0.25">
      <c r="A684" s="11">
        <v>42095</v>
      </c>
      <c r="B684" s="7">
        <v>0.25555555555555559</v>
      </c>
      <c r="C684" s="7">
        <v>0.29722222222222222</v>
      </c>
      <c r="D684" s="7">
        <f>(0.297222222222222-0.255555555555556)</f>
        <v>4.1666666666666019E-2</v>
      </c>
      <c r="E684" s="7">
        <f>ABS(0.041666666666666-0.026388888888889)</f>
        <v>1.5277777777776998E-2</v>
      </c>
      <c r="F684" s="1" t="s">
        <v>11</v>
      </c>
    </row>
    <row r="685" spans="1:6" x14ac:dyDescent="0.25">
      <c r="A685" s="11">
        <v>42095</v>
      </c>
      <c r="B685" s="7">
        <v>0.51041666666666663</v>
      </c>
      <c r="C685" s="7">
        <v>0.53680555555555554</v>
      </c>
      <c r="D685" s="7">
        <f>(0.536805555555556-0.510416666666667)</f>
        <v>2.6388888888889017E-2</v>
      </c>
      <c r="E685" s="7">
        <f>ABS(0.026388888888889-0.024305555555555)</f>
        <v>2.083333333333999E-3</v>
      </c>
      <c r="F685" s="1" t="s">
        <v>11</v>
      </c>
    </row>
    <row r="686" spans="1:6" x14ac:dyDescent="0.25">
      <c r="A686" s="11">
        <v>42095</v>
      </c>
      <c r="B686" s="7">
        <v>0.45763888888888887</v>
      </c>
      <c r="C686" s="7">
        <v>0.48194444444444445</v>
      </c>
      <c r="D686" s="7">
        <f>(0.481944444444444-0.457638888888889)</f>
        <v>2.4305555555555025E-2</v>
      </c>
      <c r="E686" s="7">
        <f>ABS(0.024305555555555-0.0215277777777779)</f>
        <v>2.7777777777771018E-3</v>
      </c>
      <c r="F686" s="1" t="s">
        <v>11</v>
      </c>
    </row>
    <row r="687" spans="1:6" x14ac:dyDescent="0.25">
      <c r="A687" s="11">
        <v>42095</v>
      </c>
      <c r="B687" s="7">
        <v>0.52083333333333337</v>
      </c>
      <c r="C687" s="7">
        <v>0.54236111111111118</v>
      </c>
      <c r="D687" s="7">
        <f>(0.542361111111111-0.520833333333333)</f>
        <v>2.1527777777777923E-2</v>
      </c>
      <c r="E687" s="7">
        <f>ABS(0.0215277777777779-0.023611111111111)</f>
        <v>2.0833333333331004E-3</v>
      </c>
      <c r="F687" s="1" t="s">
        <v>11</v>
      </c>
    </row>
    <row r="688" spans="1:6" x14ac:dyDescent="0.25">
      <c r="A688" s="11">
        <v>42095</v>
      </c>
      <c r="B688" s="7">
        <v>0.53402777777777777</v>
      </c>
      <c r="C688" s="7">
        <v>0.55763888888888891</v>
      </c>
      <c r="D688" s="7">
        <f>(0.557638888888889-0.534027777777778)</f>
        <v>2.3611111111111027E-2</v>
      </c>
      <c r="E688" s="7">
        <f>ABS(0.023611111111111-0.019444444444445)</f>
        <v>4.1666666666659996E-3</v>
      </c>
      <c r="F688" s="1" t="s">
        <v>11</v>
      </c>
    </row>
    <row r="689" spans="1:6" x14ac:dyDescent="0.25">
      <c r="A689" s="11">
        <v>42095</v>
      </c>
      <c r="B689" s="7">
        <v>0.8833333333333333</v>
      </c>
      <c r="C689" s="7">
        <v>0.90277777777777779</v>
      </c>
      <c r="D689" s="7">
        <f>(0.902777777777778-0.883333333333333)</f>
        <v>1.9444444444445041E-2</v>
      </c>
      <c r="E689" s="7">
        <f>ABS(0.019444444444445-0.0222222222222259)</f>
        <v>2.7777777777809008E-3</v>
      </c>
      <c r="F689" s="1" t="s">
        <v>11</v>
      </c>
    </row>
    <row r="690" spans="1:6" x14ac:dyDescent="0.25">
      <c r="A690" s="11">
        <v>42095</v>
      </c>
      <c r="B690" s="7">
        <v>0.99444444444444446</v>
      </c>
      <c r="C690" s="7">
        <v>1.0166666666666666</v>
      </c>
      <c r="D690" s="7">
        <f>(1.01666666666667-0.994444444444444)</f>
        <v>2.2222222222225918E-2</v>
      </c>
      <c r="E690" s="7">
        <f>ABS(0.0222222222222259-0.0208333333333338)</f>
        <v>1.3888888888921001E-3</v>
      </c>
      <c r="F690" s="1" t="s">
        <v>11</v>
      </c>
    </row>
    <row r="691" spans="1:6" x14ac:dyDescent="0.25">
      <c r="A691" s="11">
        <v>42095</v>
      </c>
      <c r="B691" s="7">
        <v>9.0972222222222218E-2</v>
      </c>
      <c r="C691" s="7">
        <v>0.11180555555555556</v>
      </c>
      <c r="D691" s="7">
        <f>(0.111805555555556-0.0909722222222222)</f>
        <v>2.0833333333333801E-2</v>
      </c>
      <c r="E691" s="7">
        <f>ABS(0.0208333333333338-0.022222222222222)</f>
        <v>1.3888888888882005E-3</v>
      </c>
      <c r="F691" s="1" t="s">
        <v>11</v>
      </c>
    </row>
    <row r="692" spans="1:6" x14ac:dyDescent="0.25">
      <c r="A692" s="11">
        <v>42095</v>
      </c>
      <c r="B692" s="7">
        <v>0.80763888888888891</v>
      </c>
      <c r="C692" s="7">
        <v>0.82986111111111116</v>
      </c>
      <c r="D692" s="7">
        <f>(0.829861111111111-0.807638888888889)</f>
        <v>2.2222222222222032E-2</v>
      </c>
      <c r="E692" s="7">
        <f>ABS(0.022222222222222-0.019444444444445)</f>
        <v>2.7777777777770012E-3</v>
      </c>
      <c r="F692" s="5" t="s">
        <v>11</v>
      </c>
    </row>
    <row r="693" spans="1:6" x14ac:dyDescent="0.25">
      <c r="A693" s="11">
        <v>42095</v>
      </c>
      <c r="B693" s="7">
        <v>0.44097222222222227</v>
      </c>
      <c r="C693" s="7">
        <v>0.4604166666666667</v>
      </c>
      <c r="D693" s="7">
        <f>(0.460416666666667-0.440972222222222)</f>
        <v>1.9444444444444986E-2</v>
      </c>
      <c r="E693" s="7">
        <f>ABS(0.019444444444445-0.022916666666666)</f>
        <v>3.472222222220999E-3</v>
      </c>
      <c r="F693" s="1" t="s">
        <v>11</v>
      </c>
    </row>
    <row r="694" spans="1:6" x14ac:dyDescent="0.25">
      <c r="A694" s="11">
        <v>42095</v>
      </c>
      <c r="B694" s="7">
        <v>0.51041666666666663</v>
      </c>
      <c r="C694" s="7">
        <v>0.53333333333333333</v>
      </c>
      <c r="D694" s="7">
        <f>(0.533333333333333-0.510416666666667)</f>
        <v>2.291666666666603E-2</v>
      </c>
      <c r="E694" s="7">
        <f>ABS(0.022916666666666-0.022222222222222)</f>
        <v>6.9444444444399789E-4</v>
      </c>
      <c r="F694" s="1" t="s">
        <v>11</v>
      </c>
    </row>
    <row r="695" spans="1:6" x14ac:dyDescent="0.25">
      <c r="A695" s="11">
        <v>42095</v>
      </c>
      <c r="B695" s="7">
        <v>0.81527777777777777</v>
      </c>
      <c r="C695" s="7">
        <v>0.83750000000000002</v>
      </c>
      <c r="D695" s="7">
        <f>(0.8375-0.815277777777778)</f>
        <v>2.2222222222222032E-2</v>
      </c>
      <c r="E695" s="7">
        <f>ABS(0.022222222222222-0.0173611111111119)</f>
        <v>4.8611111111101016E-3</v>
      </c>
      <c r="F695" s="1" t="s">
        <v>11</v>
      </c>
    </row>
    <row r="696" spans="1:6" x14ac:dyDescent="0.25">
      <c r="A696" s="11">
        <v>42095</v>
      </c>
      <c r="B696" s="7">
        <v>0.89444444444444438</v>
      </c>
      <c r="C696" s="7">
        <v>0.91180555555555554</v>
      </c>
      <c r="D696" s="7">
        <f>(0.911805555555556-0.894444444444444)</f>
        <v>1.7361111111111938E-2</v>
      </c>
      <c r="E696" s="7">
        <f>ABS(0.0173611111111119-0.017361111111111)</f>
        <v>8.9858676055598607E-16</v>
      </c>
      <c r="F696" s="1" t="s">
        <v>11</v>
      </c>
    </row>
    <row r="697" spans="1:6" x14ac:dyDescent="0.25">
      <c r="A697" s="11">
        <v>42095</v>
      </c>
      <c r="B697" s="7">
        <v>0.21111111111111111</v>
      </c>
      <c r="C697" s="7">
        <v>0.22847222222222222</v>
      </c>
      <c r="D697" s="7">
        <f>(0.228472222222222-0.211111111111111)</f>
        <v>1.7361111111110994E-2</v>
      </c>
      <c r="E697" s="7">
        <f>ABS(0.017361111111111-0.025694444444445)</f>
        <v>8.3333333333339976E-3</v>
      </c>
      <c r="F697" s="1" t="s">
        <v>11</v>
      </c>
    </row>
    <row r="698" spans="1:6" x14ac:dyDescent="0.25">
      <c r="A698" s="11">
        <v>42095</v>
      </c>
      <c r="B698" s="7">
        <v>0.30833333333333335</v>
      </c>
      <c r="C698" s="7">
        <v>0.33402777777777781</v>
      </c>
      <c r="D698" s="7">
        <f>(0.334027777777778-0.308333333333333)</f>
        <v>2.5694444444444964E-2</v>
      </c>
      <c r="E698" s="7">
        <f>ABS(0.025694444444445-0.025694444444445)</f>
        <v>0</v>
      </c>
      <c r="F698" s="1" t="s">
        <v>11</v>
      </c>
    </row>
    <row r="699" spans="1:6" x14ac:dyDescent="0.25">
      <c r="A699" s="11">
        <v>42095</v>
      </c>
      <c r="B699" s="7">
        <v>0.38611111111111113</v>
      </c>
      <c r="C699" s="7">
        <v>0.41180555555555554</v>
      </c>
      <c r="D699" s="7">
        <f>(0.411805555555556-0.386111111111111)</f>
        <v>2.5694444444444964E-2</v>
      </c>
      <c r="E699" s="7">
        <f>ABS(0.025694444444445-0.024305555555556)</f>
        <v>1.3888888888889984E-3</v>
      </c>
      <c r="F699" s="1" t="s">
        <v>11</v>
      </c>
    </row>
    <row r="700" spans="1:6" x14ac:dyDescent="0.25">
      <c r="A700" s="11">
        <v>42095</v>
      </c>
      <c r="B700" s="7">
        <v>0.38750000000000001</v>
      </c>
      <c r="C700" s="7">
        <v>0.41180555555555554</v>
      </c>
      <c r="D700" s="7">
        <f>(0.411805555555556-0.3875)</f>
        <v>2.4305555555555969E-2</v>
      </c>
      <c r="E700" s="7">
        <f>ABS(0.024305555555556-0.019444444444444)</f>
        <v>4.8611111111119994E-3</v>
      </c>
      <c r="F700" s="1" t="s">
        <v>11</v>
      </c>
    </row>
    <row r="701" spans="1:6" x14ac:dyDescent="0.25">
      <c r="A701" s="11">
        <v>42095</v>
      </c>
      <c r="B701" s="7">
        <v>0.47430555555555554</v>
      </c>
      <c r="C701" s="7">
        <v>0.49374999999999997</v>
      </c>
      <c r="D701" s="7">
        <f>(0.49375-0.474305555555556)</f>
        <v>1.9444444444444042E-2</v>
      </c>
      <c r="E701" s="7">
        <f>ABS(0.019444444444444-0.020138888888889)</f>
        <v>6.9444444444500056E-4</v>
      </c>
      <c r="F701" s="1" t="s">
        <v>11</v>
      </c>
    </row>
    <row r="702" spans="1:6" x14ac:dyDescent="0.25">
      <c r="A702" s="11">
        <v>42095</v>
      </c>
      <c r="B702" s="7">
        <v>0.6</v>
      </c>
      <c r="C702" s="7">
        <v>0.62013888888888891</v>
      </c>
      <c r="D702" s="7">
        <f>(0.620138888888889-0.6)</f>
        <v>2.0138888888889039E-2</v>
      </c>
      <c r="E702" s="7">
        <f>ABS(0.020138888888889-0.022916666666667)</f>
        <v>2.7777777777780004E-3</v>
      </c>
      <c r="F702" s="1" t="s">
        <v>11</v>
      </c>
    </row>
    <row r="703" spans="1:6" x14ac:dyDescent="0.25">
      <c r="A703" s="11">
        <v>42095</v>
      </c>
      <c r="B703" s="7">
        <v>0.85902777777777783</v>
      </c>
      <c r="C703" s="7">
        <v>0.88194444444444453</v>
      </c>
      <c r="D703" s="7">
        <f>(0.881944444444445-0.859027777777778)</f>
        <v>2.2916666666667029E-2</v>
      </c>
      <c r="E703" s="7">
        <f>ABS(0.022916666666667-0.036805555555555)</f>
        <v>1.3888888888888E-2</v>
      </c>
      <c r="F703" s="1" t="s">
        <v>11</v>
      </c>
    </row>
    <row r="704" spans="1:6" x14ac:dyDescent="0.25">
      <c r="A704" s="11">
        <v>42095</v>
      </c>
      <c r="B704" s="7">
        <v>0.66527777777777775</v>
      </c>
      <c r="C704" s="7">
        <v>0.70208333333333339</v>
      </c>
      <c r="D704" s="7">
        <f>(0.702083333333333-0.665277777777778)</f>
        <v>3.6805555555554981E-2</v>
      </c>
      <c r="E704" s="7">
        <f>ABS(0.036805555555555-0.027083333333333)</f>
        <v>9.7222222222220003E-3</v>
      </c>
      <c r="F704" s="1" t="s">
        <v>11</v>
      </c>
    </row>
    <row r="705" spans="1:6" x14ac:dyDescent="0.25">
      <c r="A705" s="11">
        <v>42095</v>
      </c>
      <c r="B705" s="7">
        <v>0.92013888888888884</v>
      </c>
      <c r="C705" s="7">
        <v>0.9472222222222223</v>
      </c>
      <c r="D705" s="7">
        <f>(0.947222222222222-0.920138888888889)</f>
        <v>2.7083333333333015E-2</v>
      </c>
      <c r="E705" s="7">
        <f>ABS(0.027083333333333-0.01875)</f>
        <v>8.3333333333330019E-3</v>
      </c>
      <c r="F705" s="1" t="s">
        <v>11</v>
      </c>
    </row>
    <row r="706" spans="1:6" x14ac:dyDescent="0.25">
      <c r="A706" s="11">
        <v>42095</v>
      </c>
      <c r="B706" s="7">
        <v>0.19236111111111112</v>
      </c>
      <c r="C706" s="7">
        <v>0.21111111111111111</v>
      </c>
      <c r="D706" s="7">
        <f>(0.211111111111111-0.192361111111111)</f>
        <v>1.8749999999999989E-2</v>
      </c>
      <c r="E706" s="7">
        <f>ABS(0.01875-0.017361111111111)</f>
        <v>1.3888888888889984E-3</v>
      </c>
      <c r="F706" s="1" t="s">
        <v>11</v>
      </c>
    </row>
    <row r="707" spans="1:6" x14ac:dyDescent="0.25">
      <c r="A707" s="11">
        <v>42095</v>
      </c>
      <c r="B707" s="7">
        <v>0.10972222222222222</v>
      </c>
      <c r="C707" s="7">
        <v>0.12708333333333333</v>
      </c>
      <c r="D707" s="7">
        <f>(0.127083333333333-0.109722222222222)</f>
        <v>1.7361111111110994E-2</v>
      </c>
      <c r="E707" s="7">
        <f>ABS(0.017361111111111-0.021527777777778)</f>
        <v>4.1666666666669988E-3</v>
      </c>
      <c r="F707" s="1" t="s">
        <v>11</v>
      </c>
    </row>
    <row r="708" spans="1:6" x14ac:dyDescent="0.25">
      <c r="A708" s="11">
        <v>42095</v>
      </c>
      <c r="B708" s="7">
        <v>0.42152777777777778</v>
      </c>
      <c r="C708" s="7">
        <v>0.44305555555555554</v>
      </c>
      <c r="D708" s="7">
        <f>(0.443055555555556-0.421527777777778)</f>
        <v>2.1527777777777979E-2</v>
      </c>
      <c r="E708" s="7">
        <f>ABS(0.021527777777778-0.034722222222222)</f>
        <v>1.3194444444444002E-2</v>
      </c>
      <c r="F708" s="1" t="s">
        <v>11</v>
      </c>
    </row>
    <row r="709" spans="1:6" x14ac:dyDescent="0.25">
      <c r="A709" s="11">
        <v>42095</v>
      </c>
      <c r="B709" s="7">
        <v>0.7597222222222223</v>
      </c>
      <c r="C709" s="7">
        <v>0.7944444444444444</v>
      </c>
      <c r="D709" s="7">
        <f>(0.794444444444444-0.759722222222222)</f>
        <v>3.4722222222221988E-2</v>
      </c>
      <c r="E709" s="7">
        <f>ABS(0.034722222222222-0.020138888888889)</f>
        <v>1.4583333333333E-2</v>
      </c>
      <c r="F709" s="1" t="s">
        <v>11</v>
      </c>
    </row>
    <row r="710" spans="1:6" x14ac:dyDescent="0.25">
      <c r="A710" s="11">
        <v>42095</v>
      </c>
      <c r="B710" s="7">
        <v>0.76250000000000007</v>
      </c>
      <c r="C710" s="7">
        <v>0.78263888888888899</v>
      </c>
      <c r="D710" s="7">
        <f>(0.782638888888889-0.7625)</f>
        <v>2.0138888888889039E-2</v>
      </c>
      <c r="E710" s="7">
        <f>ABS(0.020138888888889-0.01875)</f>
        <v>1.3888888888890019E-3</v>
      </c>
      <c r="F710" s="1" t="s">
        <v>11</v>
      </c>
    </row>
    <row r="711" spans="1:6" x14ac:dyDescent="0.25">
      <c r="A711" s="11">
        <v>42095</v>
      </c>
      <c r="B711" s="7">
        <v>0.91249999999999998</v>
      </c>
      <c r="C711" s="7">
        <v>0.93125000000000002</v>
      </c>
      <c r="D711" s="7">
        <f>(0.93125-0.9125)</f>
        <v>1.8750000000000044E-2</v>
      </c>
      <c r="E711" s="7">
        <f>ABS(0.01875-0.019444444444444)</f>
        <v>6.9444444444400136E-4</v>
      </c>
      <c r="F711" s="1" t="s">
        <v>11</v>
      </c>
    </row>
    <row r="712" spans="1:6" x14ac:dyDescent="0.25">
      <c r="A712" s="11">
        <v>42095</v>
      </c>
      <c r="B712" s="7">
        <v>0.54166666666666663</v>
      </c>
      <c r="C712" s="7">
        <v>0.56111111111111112</v>
      </c>
      <c r="D712" s="7">
        <f>(0.561111111111111-0.541666666666667)</f>
        <v>1.9444444444444042E-2</v>
      </c>
      <c r="E712" s="7"/>
      <c r="F712" s="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722"/>
  <sheetViews>
    <sheetView topLeftCell="F1" workbookViewId="0">
      <selection activeCell="H4" sqref="H4:M8"/>
    </sheetView>
  </sheetViews>
  <sheetFormatPr defaultRowHeight="15" x14ac:dyDescent="0.25"/>
  <cols>
    <col min="1" max="1" width="15.7109375" customWidth="1"/>
    <col min="2" max="5" width="15.7109375" style="2" customWidth="1"/>
    <col min="6" max="6" width="15.7109375" style="1" customWidth="1"/>
    <col min="11" max="11" width="15.140625" bestFit="1" customWidth="1"/>
    <col min="12" max="12" width="12" bestFit="1" customWidth="1"/>
    <col min="13" max="13" width="17" bestFit="1" customWidth="1"/>
  </cols>
  <sheetData>
    <row r="1" spans="1:13" s="1" customFormat="1" x14ac:dyDescent="0.25">
      <c r="A1" s="1" t="s">
        <v>12</v>
      </c>
      <c r="B1" s="2" t="s">
        <v>0</v>
      </c>
      <c r="C1" s="2" t="s">
        <v>1</v>
      </c>
      <c r="D1" s="2" t="s">
        <v>13</v>
      </c>
      <c r="E1" s="2" t="s">
        <v>18</v>
      </c>
      <c r="F1" s="1" t="s">
        <v>2</v>
      </c>
    </row>
    <row r="3" spans="1:13" x14ac:dyDescent="0.25">
      <c r="A3" s="11">
        <v>42125</v>
      </c>
      <c r="B3" s="7">
        <v>0.48958333333333331</v>
      </c>
      <c r="C3" s="7">
        <v>0.50486111111111109</v>
      </c>
      <c r="D3" s="7">
        <f>(0.504861111111111-0.489583333333333)</f>
        <v>1.5277777777778001E-2</v>
      </c>
      <c r="E3" s="7">
        <f>ABS(0.015277777777778-0.0138888888888881)</f>
        <v>1.3888888888898988E-3</v>
      </c>
      <c r="F3" s="1" t="s">
        <v>9</v>
      </c>
      <c r="I3" s="1"/>
      <c r="J3" s="1" t="s">
        <v>7</v>
      </c>
      <c r="K3" s="1" t="s">
        <v>15</v>
      </c>
      <c r="L3" s="1" t="s">
        <v>17</v>
      </c>
      <c r="M3" s="1" t="s">
        <v>16</v>
      </c>
    </row>
    <row r="4" spans="1:13" x14ac:dyDescent="0.25">
      <c r="A4" s="11">
        <v>42125</v>
      </c>
      <c r="B4" s="7">
        <v>0.75694444444444453</v>
      </c>
      <c r="C4" s="7">
        <v>0.77083333333333337</v>
      </c>
      <c r="D4" s="7">
        <f>(0.770833333333333-0.756944444444445)</f>
        <v>1.3888888888888062E-2</v>
      </c>
      <c r="E4" s="7">
        <f>ABS(0.0138888888888881-0.013194444444444)</f>
        <v>6.9444444444410024E-4</v>
      </c>
      <c r="F4" s="1" t="s">
        <v>9</v>
      </c>
      <c r="H4" s="14">
        <v>42125</v>
      </c>
      <c r="I4" t="s">
        <v>19</v>
      </c>
      <c r="J4" t="s">
        <v>9</v>
      </c>
      <c r="K4" s="18">
        <v>60</v>
      </c>
      <c r="L4" s="3">
        <f>AVERAGE(D3:D62)</f>
        <v>1.614583333333329E-2</v>
      </c>
      <c r="M4" s="3">
        <f>AVERAGE(E3:E61)</f>
        <v>5.6261770244820852E-3</v>
      </c>
    </row>
    <row r="5" spans="1:13" x14ac:dyDescent="0.25">
      <c r="A5" s="11">
        <v>42125</v>
      </c>
      <c r="B5" s="7">
        <v>0.31180555555555556</v>
      </c>
      <c r="C5" s="7">
        <v>0.32500000000000001</v>
      </c>
      <c r="D5" s="7">
        <f>(0.325-0.311805555555556)</f>
        <v>1.3194444444444009E-2</v>
      </c>
      <c r="E5" s="7">
        <f>ABS(0.013194444444444-0.0166666666666661)</f>
        <v>3.4722222222221006E-3</v>
      </c>
      <c r="F5" s="1" t="s">
        <v>9</v>
      </c>
      <c r="H5" s="14">
        <v>42125</v>
      </c>
      <c r="I5" t="s">
        <v>19</v>
      </c>
      <c r="J5" t="s">
        <v>3</v>
      </c>
      <c r="K5" s="18">
        <v>273</v>
      </c>
      <c r="L5" s="3">
        <f>AVERAGE(D63:D335)</f>
        <v>1.0574379324379339E-2</v>
      </c>
      <c r="M5" s="3">
        <f>AVERAGE(E63:E334)</f>
        <v>9.1707516339868556E-3</v>
      </c>
    </row>
    <row r="6" spans="1:13" x14ac:dyDescent="0.25">
      <c r="A6" s="11">
        <v>42125</v>
      </c>
      <c r="B6" s="7">
        <v>0.57430555555555551</v>
      </c>
      <c r="C6" s="7">
        <v>0.59097222222222223</v>
      </c>
      <c r="D6" s="7">
        <f>(0.590972222222222-0.574305555555556)</f>
        <v>1.6666666666666052E-2</v>
      </c>
      <c r="E6" s="7">
        <f>ABS(0.0166666666666661-0.0194444444444449)</f>
        <v>2.7777777777787983E-3</v>
      </c>
      <c r="F6" s="1" t="s">
        <v>9</v>
      </c>
      <c r="H6" s="14">
        <v>42125</v>
      </c>
      <c r="I6" t="s">
        <v>19</v>
      </c>
      <c r="J6" t="s">
        <v>10</v>
      </c>
      <c r="K6" s="18">
        <v>222</v>
      </c>
      <c r="L6" s="3">
        <f>AVERAGE(D336:D557)</f>
        <v>1.9600850850850914E-2</v>
      </c>
      <c r="M6" s="3">
        <f>AVERAGE(E336:E556)</f>
        <v>9.1251885369533509E-3</v>
      </c>
    </row>
    <row r="7" spans="1:13" x14ac:dyDescent="0.25">
      <c r="A7" s="11">
        <v>42125</v>
      </c>
      <c r="B7" s="7">
        <v>0.61111111111111105</v>
      </c>
      <c r="C7" s="7">
        <v>0.63055555555555554</v>
      </c>
      <c r="D7" s="7">
        <f>(0.630555555555556-0.611111111111111)</f>
        <v>1.944444444444493E-2</v>
      </c>
      <c r="E7" s="7">
        <f>ABS(0.0194444444444449-0.018055555555556)</f>
        <v>1.3888888888888978E-3</v>
      </c>
      <c r="F7" s="1" t="s">
        <v>9</v>
      </c>
      <c r="H7" s="14">
        <v>42125</v>
      </c>
      <c r="I7" t="s">
        <v>19</v>
      </c>
      <c r="J7" t="s">
        <v>8</v>
      </c>
      <c r="K7" s="18">
        <v>27</v>
      </c>
      <c r="L7" s="3">
        <f>AVERAGE(D558:D584)</f>
        <v>1.5123456790123406E-2</v>
      </c>
      <c r="M7" s="3">
        <f>AVERAGE(E558:E583)</f>
        <v>6.6239316239314694E-3</v>
      </c>
    </row>
    <row r="8" spans="1:13" x14ac:dyDescent="0.25">
      <c r="A8" s="11">
        <v>42125</v>
      </c>
      <c r="B8" s="7">
        <v>0.63194444444444442</v>
      </c>
      <c r="C8" s="7">
        <v>0.65</v>
      </c>
      <c r="D8" s="7">
        <f>(0.65-0.631944444444444)</f>
        <v>1.8055555555556047E-2</v>
      </c>
      <c r="E8" s="7">
        <f>ABS(0.018055555555556-0.0125)</f>
        <v>5.5555555555560007E-3</v>
      </c>
      <c r="F8" s="1" t="s">
        <v>9</v>
      </c>
      <c r="H8" s="14">
        <v>42125</v>
      </c>
      <c r="I8" t="s">
        <v>19</v>
      </c>
      <c r="J8" t="s">
        <v>11</v>
      </c>
      <c r="K8" s="18">
        <v>138</v>
      </c>
      <c r="L8" s="3">
        <f>AVERAGE(D585:D722)</f>
        <v>2.2267512077294663E-2</v>
      </c>
      <c r="M8" s="3">
        <f>AVERAGE(E585:E721)</f>
        <v>7.1928223844282225E-3</v>
      </c>
    </row>
    <row r="9" spans="1:13" x14ac:dyDescent="0.25">
      <c r="A9" s="11">
        <v>42125</v>
      </c>
      <c r="B9" s="7">
        <v>0.2951388888888889</v>
      </c>
      <c r="C9" s="7">
        <v>0.30763888888888891</v>
      </c>
      <c r="D9" s="7">
        <f>(0.307638888888889-0.295138888888889)</f>
        <v>1.2500000000000011E-2</v>
      </c>
      <c r="E9" s="7">
        <f>ABS(0.0125-0.0361111111111111)</f>
        <v>2.36111111111111E-2</v>
      </c>
      <c r="F9" s="1" t="s">
        <v>9</v>
      </c>
    </row>
    <row r="10" spans="1:13" x14ac:dyDescent="0.25">
      <c r="A10" s="11">
        <v>42125</v>
      </c>
      <c r="B10" s="7">
        <v>0.72986111111111107</v>
      </c>
      <c r="C10" s="7">
        <v>0.76597222222222217</v>
      </c>
      <c r="D10" s="7">
        <f>(0.765972222222222-0.729861111111111)</f>
        <v>3.6111111111111094E-2</v>
      </c>
      <c r="E10" s="7">
        <f>ABS(0.0361111111111111-0.0138888888888899)</f>
        <v>2.22222222222212E-2</v>
      </c>
      <c r="F10" s="1" t="s">
        <v>9</v>
      </c>
    </row>
    <row r="11" spans="1:13" x14ac:dyDescent="0.25">
      <c r="A11" s="11">
        <v>42125</v>
      </c>
      <c r="B11" s="7">
        <v>1.0090277777777776</v>
      </c>
      <c r="C11" s="7">
        <v>1.0229166666666667</v>
      </c>
      <c r="D11" s="7">
        <f>(1.02291666666667-1.00902777777778)</f>
        <v>1.388888888888995E-2</v>
      </c>
      <c r="E11" s="7">
        <f>ABS(0.0138888888888899-0.025)</f>
        <v>1.1111111111110102E-2</v>
      </c>
      <c r="F11" s="1" t="s">
        <v>9</v>
      </c>
    </row>
    <row r="12" spans="1:13" x14ac:dyDescent="0.25">
      <c r="A12" s="11">
        <v>42125</v>
      </c>
      <c r="B12" s="7">
        <v>0.26041666666666669</v>
      </c>
      <c r="C12" s="7">
        <v>0.28541666666666665</v>
      </c>
      <c r="D12" s="7">
        <f>(0.285416666666667-0.260416666666667)</f>
        <v>2.4999999999999967E-2</v>
      </c>
      <c r="E12" s="7">
        <f>ABS(0.025-0.013888888888889)</f>
        <v>1.1111111111111002E-2</v>
      </c>
      <c r="F12" s="1" t="s">
        <v>9</v>
      </c>
    </row>
    <row r="13" spans="1:13" x14ac:dyDescent="0.25">
      <c r="A13" s="11">
        <v>42125</v>
      </c>
      <c r="B13" s="7">
        <v>0.89583333333333337</v>
      </c>
      <c r="C13" s="7">
        <v>0.90972222222222221</v>
      </c>
      <c r="D13" s="7">
        <f>(0.909722222222222-0.895833333333333)</f>
        <v>1.3888888888888951E-2</v>
      </c>
      <c r="E13" s="7">
        <f>ABS(0.013888888888889-0.0145833333333331)</f>
        <v>6.9444444444410024E-4</v>
      </c>
      <c r="F13" s="1" t="s">
        <v>9</v>
      </c>
    </row>
    <row r="14" spans="1:13" x14ac:dyDescent="0.25">
      <c r="A14" s="11">
        <v>42125</v>
      </c>
      <c r="B14" s="7">
        <v>0.51250000000000007</v>
      </c>
      <c r="C14" s="7">
        <v>0.52708333333333335</v>
      </c>
      <c r="D14" s="7">
        <f>(0.527083333333333-0.5125)</f>
        <v>1.4583333333333059E-2</v>
      </c>
      <c r="E14" s="7">
        <f>ABS(0.0145833333333331-0.0131944444444445)</f>
        <v>1.3888888888885995E-3</v>
      </c>
      <c r="F14" s="1" t="s">
        <v>9</v>
      </c>
    </row>
    <row r="15" spans="1:13" x14ac:dyDescent="0.25">
      <c r="A15" s="11">
        <v>42125</v>
      </c>
      <c r="B15" s="7">
        <v>7.8472222222222221E-2</v>
      </c>
      <c r="C15" s="7">
        <v>9.1666666666666674E-2</v>
      </c>
      <c r="D15" s="7">
        <f>(0.0916666666666667-0.0784722222222222)</f>
        <v>1.3194444444444509E-2</v>
      </c>
      <c r="E15" s="7">
        <f>ABS(0.0131944444444445-0.011805555555556)</f>
        <v>1.3888888888885006E-3</v>
      </c>
      <c r="F15" s="1" t="s">
        <v>9</v>
      </c>
    </row>
    <row r="16" spans="1:13" x14ac:dyDescent="0.25">
      <c r="A16" s="11">
        <v>42125</v>
      </c>
      <c r="B16" s="7">
        <v>0.89097222222222217</v>
      </c>
      <c r="C16" s="7">
        <v>0.90277777777777779</v>
      </c>
      <c r="D16" s="7">
        <f>(0.902777777777778-0.890972222222222)</f>
        <v>1.1805555555555958E-2</v>
      </c>
      <c r="E16" s="7">
        <f>ABS(0.011805555555556-0.0125000000000001)</f>
        <v>6.9444444444410024E-4</v>
      </c>
      <c r="F16" s="1" t="s">
        <v>9</v>
      </c>
    </row>
    <row r="17" spans="1:6" x14ac:dyDescent="0.25">
      <c r="A17" s="11">
        <v>42125</v>
      </c>
      <c r="B17" s="7">
        <v>0.89027777777777783</v>
      </c>
      <c r="C17" s="7">
        <v>0.90277777777777779</v>
      </c>
      <c r="D17" s="7">
        <f>(0.902777777777778-0.890277777777778)</f>
        <v>1.2500000000000067E-2</v>
      </c>
      <c r="E17" s="7">
        <f>ABS(0.0125000000000001-0.013888888888888)</f>
        <v>1.3888888888879004E-3</v>
      </c>
      <c r="F17" s="1" t="s">
        <v>9</v>
      </c>
    </row>
    <row r="18" spans="1:6" x14ac:dyDescent="0.25">
      <c r="A18" s="11">
        <v>42125</v>
      </c>
      <c r="B18" s="7">
        <v>0.29305555555555557</v>
      </c>
      <c r="C18" s="7">
        <v>0.30694444444444441</v>
      </c>
      <c r="D18" s="7">
        <f>(0.306944444444444-0.293055555555556)</f>
        <v>1.3888888888888007E-2</v>
      </c>
      <c r="E18" s="7">
        <f>ABS(0.013888888888888-0.015972222222223)</f>
        <v>2.0833333333350017E-3</v>
      </c>
      <c r="F18" s="1" t="s">
        <v>9</v>
      </c>
    </row>
    <row r="19" spans="1:6" x14ac:dyDescent="0.25">
      <c r="A19" s="11">
        <v>42125</v>
      </c>
      <c r="B19" s="7">
        <v>0.30069444444444443</v>
      </c>
      <c r="C19" s="7">
        <v>0.31666666666666665</v>
      </c>
      <c r="D19" s="7">
        <f>(0.316666666666667-0.300694444444444)</f>
        <v>1.5972222222222998E-2</v>
      </c>
      <c r="E19" s="7">
        <f>ABS(0.015972222222223-0.013888888888889)</f>
        <v>2.0833333333340025E-3</v>
      </c>
      <c r="F19" s="1" t="s">
        <v>9</v>
      </c>
    </row>
    <row r="20" spans="1:6" x14ac:dyDescent="0.25">
      <c r="A20" s="11">
        <v>42125</v>
      </c>
      <c r="B20" s="7">
        <v>0.38541666666666669</v>
      </c>
      <c r="C20" s="7">
        <v>0.39930555555555558</v>
      </c>
      <c r="D20" s="7">
        <f>(0.399305555555556-0.385416666666667)</f>
        <v>1.3888888888889006E-2</v>
      </c>
      <c r="E20" s="7">
        <f>ABS(0.013888888888889-0.01875)</f>
        <v>4.8611111111110002E-3</v>
      </c>
      <c r="F20" s="1" t="s">
        <v>9</v>
      </c>
    </row>
    <row r="21" spans="1:6" x14ac:dyDescent="0.25">
      <c r="A21" s="11">
        <v>42125</v>
      </c>
      <c r="B21" s="7">
        <v>0.29375000000000001</v>
      </c>
      <c r="C21" s="7">
        <v>0.3125</v>
      </c>
      <c r="D21" s="7">
        <f>(0.3125-0.29375)</f>
        <v>1.8749999999999989E-2</v>
      </c>
      <c r="E21" s="7">
        <f>ABS(0.01875-0.013194444444444)</f>
        <v>5.555555555555999E-3</v>
      </c>
      <c r="F21" s="1" t="s">
        <v>9</v>
      </c>
    </row>
    <row r="22" spans="1:6" x14ac:dyDescent="0.25">
      <c r="A22" s="11">
        <v>42125</v>
      </c>
      <c r="B22" s="7">
        <v>0.22638888888888889</v>
      </c>
      <c r="C22" s="7">
        <v>0.23958333333333334</v>
      </c>
      <c r="D22" s="7">
        <f>(0.239583333333333-0.226388888888889)</f>
        <v>1.3194444444444009E-2</v>
      </c>
      <c r="E22" s="7">
        <f>ABS(0.013194444444444-0.015277777777778)</f>
        <v>2.083333333333999E-3</v>
      </c>
      <c r="F22" s="1" t="s">
        <v>9</v>
      </c>
    </row>
    <row r="23" spans="1:6" x14ac:dyDescent="0.25">
      <c r="A23" s="11">
        <v>42125</v>
      </c>
      <c r="B23" s="7">
        <v>0.31388888888888888</v>
      </c>
      <c r="C23" s="7">
        <v>0.32916666666666666</v>
      </c>
      <c r="D23" s="7">
        <f>(0.329166666666667-0.313888888888889)</f>
        <v>1.5277777777778001E-2</v>
      </c>
      <c r="E23" s="7">
        <f>ABS(0.015277777777778-0.0145833333333341)</f>
        <v>6.9444444444389901E-4</v>
      </c>
      <c r="F23" s="1" t="s">
        <v>9</v>
      </c>
    </row>
    <row r="24" spans="1:6" x14ac:dyDescent="0.25">
      <c r="A24" s="11">
        <v>42125</v>
      </c>
      <c r="B24" s="7">
        <v>0.62708333333333333</v>
      </c>
      <c r="C24" s="7">
        <v>0.64166666666666672</v>
      </c>
      <c r="D24" s="7">
        <f>(0.641666666666667-0.627083333333333)</f>
        <v>1.4583333333334059E-2</v>
      </c>
      <c r="E24" s="7">
        <f>ABS(0.0145833333333341-0.0159722222222229)</f>
        <v>1.3888888888888007E-3</v>
      </c>
      <c r="F24" s="1" t="s">
        <v>9</v>
      </c>
    </row>
    <row r="25" spans="1:6" x14ac:dyDescent="0.25">
      <c r="A25" s="11">
        <v>42125</v>
      </c>
      <c r="B25" s="7">
        <v>0.61944444444444446</v>
      </c>
      <c r="C25" s="7">
        <v>0.63541666666666663</v>
      </c>
      <c r="D25" s="7">
        <f>(0.635416666666667-0.619444444444444)</f>
        <v>1.5972222222222943E-2</v>
      </c>
      <c r="E25" s="7">
        <f>ABS(0.0159722222222229-0.0138888888888891)</f>
        <v>2.0833333333338012E-3</v>
      </c>
      <c r="F25" s="1" t="s">
        <v>9</v>
      </c>
    </row>
    <row r="26" spans="1:6" x14ac:dyDescent="0.25">
      <c r="A26" s="11">
        <v>42125</v>
      </c>
      <c r="B26" s="7">
        <v>0.72152777777777777</v>
      </c>
      <c r="C26" s="7">
        <v>0.73541666666666661</v>
      </c>
      <c r="D26" s="7">
        <f>(0.735416666666667-0.721527777777778)</f>
        <v>1.3888888888889062E-2</v>
      </c>
      <c r="E26" s="7">
        <f>ABS(0.0138888888888891-0.0166666666666669)</f>
        <v>2.7777777777777991E-3</v>
      </c>
      <c r="F26" s="1" t="s">
        <v>9</v>
      </c>
    </row>
    <row r="27" spans="1:6" x14ac:dyDescent="0.25">
      <c r="A27" s="11">
        <v>42125</v>
      </c>
      <c r="B27" s="7">
        <v>0.86388888888888893</v>
      </c>
      <c r="C27" s="7">
        <v>0.88055555555555554</v>
      </c>
      <c r="D27" s="7">
        <f>(0.880555555555556-0.863888888888889)</f>
        <v>1.6666666666666941E-2</v>
      </c>
      <c r="E27" s="7">
        <f>ABS(0.0166666666666669-0.0166666666666661)</f>
        <v>7.9797279894933126E-16</v>
      </c>
      <c r="F27" s="1" t="s">
        <v>9</v>
      </c>
    </row>
    <row r="28" spans="1:6" x14ac:dyDescent="0.25">
      <c r="A28" s="11">
        <v>42125</v>
      </c>
      <c r="B28" s="7">
        <v>0.94930555555555562</v>
      </c>
      <c r="C28" s="7">
        <v>0.96597222222222223</v>
      </c>
      <c r="D28" s="7">
        <f>(0.965972222222222-0.949305555555556)</f>
        <v>1.6666666666666052E-2</v>
      </c>
      <c r="E28" s="7">
        <f>ABS(0.0166666666666661-0.00833333333333303)</f>
        <v>8.3333333333330713E-3</v>
      </c>
      <c r="F28" s="1" t="s">
        <v>9</v>
      </c>
    </row>
    <row r="29" spans="1:6" x14ac:dyDescent="0.25">
      <c r="A29" s="11">
        <v>42125</v>
      </c>
      <c r="B29" s="7">
        <v>0.34861111111111115</v>
      </c>
      <c r="C29" s="7">
        <v>0.35694444444444445</v>
      </c>
      <c r="D29" s="7">
        <f>(0.356944444444444-0.348611111111111)</f>
        <v>8.3333333333330262E-3</v>
      </c>
      <c r="E29" s="7">
        <f>ABS(0.00833333333333303-0.021527777777777)</f>
        <v>1.3194444444443971E-2</v>
      </c>
      <c r="F29" s="1" t="s">
        <v>9</v>
      </c>
    </row>
    <row r="30" spans="1:6" x14ac:dyDescent="0.25">
      <c r="A30" s="11">
        <v>42125</v>
      </c>
      <c r="B30" s="7">
        <v>0.33680555555555558</v>
      </c>
      <c r="C30" s="7">
        <v>0.35833333333333334</v>
      </c>
      <c r="D30" s="7">
        <f>(0.358333333333333-0.336805555555556)</f>
        <v>2.152777777777698E-2</v>
      </c>
      <c r="E30" s="7">
        <f>ABS(0.021527777777777-0.028472222222222)</f>
        <v>6.9444444444449992E-3</v>
      </c>
      <c r="F30" s="1" t="s">
        <v>9</v>
      </c>
    </row>
    <row r="31" spans="1:6" x14ac:dyDescent="0.25">
      <c r="A31" s="11">
        <v>42125</v>
      </c>
      <c r="B31" s="7">
        <v>0.35138888888888892</v>
      </c>
      <c r="C31" s="7">
        <v>0.37986111111111115</v>
      </c>
      <c r="D31" s="7">
        <f>(0.379861111111111-0.351388888888889)</f>
        <v>2.847222222222201E-2</v>
      </c>
      <c r="E31" s="7">
        <f>ABS(0.028472222222222-0.0125000000000001)</f>
        <v>1.5972222222221902E-2</v>
      </c>
      <c r="F31" s="1" t="s">
        <v>9</v>
      </c>
    </row>
    <row r="32" spans="1:6" x14ac:dyDescent="0.25">
      <c r="A32" s="11">
        <v>42125</v>
      </c>
      <c r="B32" s="7">
        <v>0.8208333333333333</v>
      </c>
      <c r="C32" s="7">
        <v>0.83333333333333337</v>
      </c>
      <c r="D32" s="7">
        <f>(0.833333333333333-0.820833333333333)</f>
        <v>1.2500000000000067E-2</v>
      </c>
      <c r="E32" s="7">
        <f>ABS(0.0125000000000001-0.014583333333333)</f>
        <v>2.0833333333329009E-3</v>
      </c>
      <c r="F32" s="1" t="s">
        <v>9</v>
      </c>
    </row>
    <row r="33" spans="1:6" x14ac:dyDescent="0.25">
      <c r="A33" s="11">
        <v>42125</v>
      </c>
      <c r="B33" s="7">
        <v>0.33402777777777781</v>
      </c>
      <c r="C33" s="7">
        <v>0.34861111111111115</v>
      </c>
      <c r="D33" s="7">
        <f>(0.348611111111111-0.334027777777778)</f>
        <v>1.4583333333333004E-2</v>
      </c>
      <c r="E33" s="7">
        <f>ABS(0.014583333333333-0.013888888888889)</f>
        <v>6.9444444444400136E-4</v>
      </c>
      <c r="F33" s="1" t="s">
        <v>9</v>
      </c>
    </row>
    <row r="34" spans="1:6" x14ac:dyDescent="0.25">
      <c r="A34" s="11">
        <v>42125</v>
      </c>
      <c r="B34" s="7">
        <v>0.30069444444444443</v>
      </c>
      <c r="C34" s="7">
        <v>0.31458333333333333</v>
      </c>
      <c r="D34" s="7">
        <f>(0.314583333333333-0.300694444444444)</f>
        <v>1.3888888888889006E-2</v>
      </c>
      <c r="E34" s="7">
        <f>ABS(0.013888888888889-0.011111111111111)</f>
        <v>2.7777777777779986E-3</v>
      </c>
      <c r="F34" s="1" t="s">
        <v>9</v>
      </c>
    </row>
    <row r="35" spans="1:6" x14ac:dyDescent="0.25">
      <c r="A35" s="11">
        <v>42125</v>
      </c>
      <c r="B35" s="7">
        <v>0.90347222222222223</v>
      </c>
      <c r="C35" s="7">
        <v>0.9145833333333333</v>
      </c>
      <c r="D35" s="7">
        <f>(0.914583333333333-0.903472222222222)</f>
        <v>1.1111111111110961E-2</v>
      </c>
      <c r="E35" s="7">
        <f>ABS(0.011111111111111-0.0138888888888899)</f>
        <v>2.7777777777788989E-3</v>
      </c>
      <c r="F35" s="1" t="s">
        <v>9</v>
      </c>
    </row>
    <row r="36" spans="1:6" x14ac:dyDescent="0.25">
      <c r="A36" s="11">
        <v>42125</v>
      </c>
      <c r="B36" s="7">
        <v>1.007638888888889</v>
      </c>
      <c r="C36" s="7">
        <v>1.0215277777777778</v>
      </c>
      <c r="D36" s="7">
        <f>(1.02152777777778-1.00763888888889)</f>
        <v>1.388888888888995E-2</v>
      </c>
      <c r="E36" s="7">
        <f>ABS(0.0138888888888899-0.0145833333333329)</f>
        <v>6.9444444444300042E-4</v>
      </c>
      <c r="F36" s="1" t="s">
        <v>9</v>
      </c>
    </row>
    <row r="37" spans="1:6" x14ac:dyDescent="0.25">
      <c r="A37" s="11">
        <v>42125</v>
      </c>
      <c r="B37" s="7">
        <v>0.86041666666666661</v>
      </c>
      <c r="C37" s="7">
        <v>0.875</v>
      </c>
      <c r="D37" s="7">
        <f>(0.875-0.860416666666667)</f>
        <v>1.4583333333332948E-2</v>
      </c>
      <c r="E37" s="7">
        <f>ABS(0.0145833333333329-0.00555555555555598)</f>
        <v>9.02777777777692E-3</v>
      </c>
      <c r="F37" s="1" t="s">
        <v>9</v>
      </c>
    </row>
    <row r="38" spans="1:6" x14ac:dyDescent="0.25">
      <c r="A38" s="11">
        <v>42125</v>
      </c>
      <c r="B38" s="7">
        <v>0.92569444444444438</v>
      </c>
      <c r="C38" s="7">
        <v>0.93125000000000002</v>
      </c>
      <c r="D38" s="7">
        <f>(0.93125-0.925694444444444)</f>
        <v>5.5555555555559799E-3</v>
      </c>
      <c r="E38" s="7">
        <f>ABS(0.00555555555555598-0.0236111111111111)</f>
        <v>1.805555555555512E-2</v>
      </c>
      <c r="F38" s="1" t="s">
        <v>9</v>
      </c>
    </row>
    <row r="39" spans="1:6" x14ac:dyDescent="0.25">
      <c r="A39" s="11">
        <v>42125</v>
      </c>
      <c r="B39" s="7">
        <v>5.8333333333333327E-2</v>
      </c>
      <c r="C39" s="7">
        <v>8.1944444444444445E-2</v>
      </c>
      <c r="D39" s="7">
        <f>(0.0819444444444444-0.0583333333333333)</f>
        <v>2.3611111111111104E-2</v>
      </c>
      <c r="E39" s="7">
        <f>ABS(0.0236111111111111-0.022916666666666)</f>
        <v>6.9444444444510117E-4</v>
      </c>
      <c r="F39" s="1" t="s">
        <v>9</v>
      </c>
    </row>
    <row r="40" spans="1:6" x14ac:dyDescent="0.25">
      <c r="A40" s="11">
        <v>42125</v>
      </c>
      <c r="B40" s="7">
        <v>0.29652777777777778</v>
      </c>
      <c r="C40" s="7">
        <v>0.31944444444444448</v>
      </c>
      <c r="D40" s="7">
        <f>(0.319444444444444-0.296527777777778)</f>
        <v>2.2916666666665975E-2</v>
      </c>
      <c r="E40" s="7">
        <f>ABS(0.022916666666666-0.013194444444444)</f>
        <v>9.7222222222219986E-3</v>
      </c>
      <c r="F40" s="1" t="s">
        <v>9</v>
      </c>
    </row>
    <row r="41" spans="1:6" x14ac:dyDescent="0.25">
      <c r="A41" s="11">
        <v>42125</v>
      </c>
      <c r="B41" s="7">
        <v>0.24930555555555556</v>
      </c>
      <c r="C41" s="7">
        <v>0.26250000000000001</v>
      </c>
      <c r="D41" s="7">
        <f>(0.2625-0.249305555555556)</f>
        <v>1.3194444444444009E-2</v>
      </c>
      <c r="E41" s="7">
        <f>ABS(0.013194444444444-0.0173611111111109)</f>
        <v>4.1666666666668999E-3</v>
      </c>
      <c r="F41" s="1" t="s">
        <v>9</v>
      </c>
    </row>
    <row r="42" spans="1:6" x14ac:dyDescent="0.25">
      <c r="A42" s="11">
        <v>42125</v>
      </c>
      <c r="B42" s="7">
        <v>0.6791666666666667</v>
      </c>
      <c r="C42" s="7">
        <v>0.69652777777777775</v>
      </c>
      <c r="D42" s="7">
        <f>(0.696527777777778-0.679166666666667)</f>
        <v>1.7361111111110938E-2</v>
      </c>
      <c r="E42" s="7">
        <f>ABS(0.0173611111111109-0.019444444444444)</f>
        <v>2.0833333333331004E-3</v>
      </c>
      <c r="F42" s="1" t="s">
        <v>9</v>
      </c>
    </row>
    <row r="43" spans="1:6" x14ac:dyDescent="0.25">
      <c r="A43" s="11">
        <v>42125</v>
      </c>
      <c r="B43" s="7">
        <v>0.90625</v>
      </c>
      <c r="C43" s="7">
        <v>0.92569444444444438</v>
      </c>
      <c r="D43" s="7">
        <f>(0.925694444444444-0.90625)</f>
        <v>1.9444444444444042E-2</v>
      </c>
      <c r="E43" s="7">
        <f>ABS(0.019444444444444-0.016666666666667)</f>
        <v>2.7777777777770012E-3</v>
      </c>
      <c r="F43" s="1" t="s">
        <v>9</v>
      </c>
    </row>
    <row r="44" spans="1:6" x14ac:dyDescent="0.25">
      <c r="A44" s="11">
        <v>42125</v>
      </c>
      <c r="B44" s="7">
        <v>0.35972222222222222</v>
      </c>
      <c r="C44" s="7">
        <v>0.37638888888888888</v>
      </c>
      <c r="D44" s="7">
        <f>(0.376388888888889-0.359722222222222)</f>
        <v>1.6666666666666996E-2</v>
      </c>
      <c r="E44" s="7">
        <f>ABS(0.016666666666667-0.013888888888889)</f>
        <v>2.7777777777780004E-3</v>
      </c>
      <c r="F44" s="1" t="s">
        <v>9</v>
      </c>
    </row>
    <row r="45" spans="1:6" x14ac:dyDescent="0.25">
      <c r="A45" s="11">
        <v>42125</v>
      </c>
      <c r="B45" s="7">
        <v>0.29583333333333334</v>
      </c>
      <c r="C45" s="7">
        <v>0.30972222222222223</v>
      </c>
      <c r="D45" s="7">
        <f>(0.309722222222222-0.295833333333333)</f>
        <v>1.3888888888889006E-2</v>
      </c>
      <c r="E45" s="7">
        <f>ABS(0.013888888888889-0.0159722222222221)</f>
        <v>2.0833333333331004E-3</v>
      </c>
      <c r="F45" s="1" t="s">
        <v>9</v>
      </c>
    </row>
    <row r="46" spans="1:6" x14ac:dyDescent="0.25">
      <c r="A46" s="11">
        <v>42125</v>
      </c>
      <c r="B46" s="7">
        <v>0.75694444444444453</v>
      </c>
      <c r="C46" s="7">
        <v>0.7729166666666667</v>
      </c>
      <c r="D46" s="7">
        <f>(0.772916666666667-0.756944444444445)</f>
        <v>1.5972222222222054E-2</v>
      </c>
      <c r="E46" s="7">
        <f>ABS(0.0159722222222221-0.00555555555555509)</f>
        <v>1.041666666666701E-2</v>
      </c>
      <c r="F46" s="1" t="s">
        <v>9</v>
      </c>
    </row>
    <row r="47" spans="1:6" x14ac:dyDescent="0.25">
      <c r="A47" s="11">
        <v>42125</v>
      </c>
      <c r="B47" s="7">
        <v>0.92152777777777783</v>
      </c>
      <c r="C47" s="7">
        <v>0.92708333333333337</v>
      </c>
      <c r="D47" s="7">
        <f>(0.927083333333333-0.921527777777778)</f>
        <v>5.5555555555550917E-3</v>
      </c>
      <c r="E47" s="7">
        <f>ABS(0.00555555555555509-0.011805555555555)</f>
        <v>6.2499999999999101E-3</v>
      </c>
      <c r="F47" s="1" t="s">
        <v>9</v>
      </c>
    </row>
    <row r="48" spans="1:6" x14ac:dyDescent="0.25">
      <c r="A48" s="11">
        <v>42125</v>
      </c>
      <c r="B48" s="7">
        <v>0.44166666666666665</v>
      </c>
      <c r="C48" s="7">
        <v>0.45347222222222222</v>
      </c>
      <c r="D48" s="7">
        <f>(0.453472222222222-0.441666666666667)</f>
        <v>1.1805555555555014E-2</v>
      </c>
      <c r="E48" s="7">
        <f>ABS(0.011805555555555-0.0187499999999999)</f>
        <v>6.9444444444448986E-3</v>
      </c>
      <c r="F48" s="1" t="s">
        <v>9</v>
      </c>
    </row>
    <row r="49" spans="1:6" x14ac:dyDescent="0.25">
      <c r="A49" s="11">
        <v>42125</v>
      </c>
      <c r="B49" s="7">
        <v>0.52152777777777781</v>
      </c>
      <c r="C49" s="7">
        <v>0.54027777777777775</v>
      </c>
      <c r="D49" s="7">
        <f>(0.540277777777778-0.521527777777778)</f>
        <v>1.8749999999999933E-2</v>
      </c>
      <c r="E49" s="7">
        <f>ABS(0.0187499999999999-0.0159722222222229)</f>
        <v>2.7777777777769977E-3</v>
      </c>
      <c r="F49" s="1" t="s">
        <v>9</v>
      </c>
    </row>
    <row r="50" spans="1:6" x14ac:dyDescent="0.25">
      <c r="A50" s="11">
        <v>42125</v>
      </c>
      <c r="B50" s="7">
        <v>0.55833333333333335</v>
      </c>
      <c r="C50" s="7">
        <v>0.57430555555555551</v>
      </c>
      <c r="D50" s="7">
        <f>(0.574305555555556-0.558333333333333)</f>
        <v>1.5972222222222943E-2</v>
      </c>
      <c r="E50" s="7">
        <f>ABS(0.0159722222222229-0.00694444444444409)</f>
        <v>9.0277777777788108E-3</v>
      </c>
      <c r="F50" s="1" t="s">
        <v>9</v>
      </c>
    </row>
    <row r="51" spans="1:6" x14ac:dyDescent="0.25">
      <c r="A51" s="11">
        <v>42125</v>
      </c>
      <c r="B51" s="7">
        <v>0.51250000000000007</v>
      </c>
      <c r="C51" s="7">
        <v>0.51944444444444449</v>
      </c>
      <c r="D51" s="7">
        <f>(0.519444444444444-0.5125)</f>
        <v>6.9444444444440867E-3</v>
      </c>
      <c r="E51" s="7">
        <f>ABS(0.00694444444444409-0.0166666666666661)</f>
        <v>9.7222222222220107E-3</v>
      </c>
      <c r="F51" s="1" t="s">
        <v>9</v>
      </c>
    </row>
    <row r="52" spans="1:6" x14ac:dyDescent="0.25">
      <c r="A52" s="11">
        <v>42125</v>
      </c>
      <c r="B52" s="7">
        <v>0.57291666666666663</v>
      </c>
      <c r="C52" s="7">
        <v>0.58958333333333335</v>
      </c>
      <c r="D52" s="7">
        <f>(0.589583333333333-0.572916666666667)</f>
        <v>1.6666666666666052E-2</v>
      </c>
      <c r="E52" s="7">
        <f>ABS(0.0166666666666661-0.0201388888888889)</f>
        <v>3.4722222222227997E-3</v>
      </c>
      <c r="F52" s="1" t="s">
        <v>9</v>
      </c>
    </row>
    <row r="53" spans="1:6" x14ac:dyDescent="0.25">
      <c r="A53" s="11">
        <v>42125</v>
      </c>
      <c r="B53" s="7">
        <v>0.58333333333333337</v>
      </c>
      <c r="C53" s="7">
        <v>0.60347222222222219</v>
      </c>
      <c r="D53" s="7">
        <f>(0.603472222222222-0.583333333333333)</f>
        <v>2.0138888888888928E-2</v>
      </c>
      <c r="E53" s="7">
        <f>ABS(0.0201388888888889-0.0166666666666671)</f>
        <v>3.4722222222218005E-3</v>
      </c>
      <c r="F53" s="1" t="s">
        <v>9</v>
      </c>
    </row>
    <row r="54" spans="1:6" x14ac:dyDescent="0.25">
      <c r="A54" s="11">
        <v>42125</v>
      </c>
      <c r="B54" s="7">
        <v>0.78194444444444444</v>
      </c>
      <c r="C54" s="7">
        <v>0.79861111111111116</v>
      </c>
      <c r="D54" s="7">
        <f>(0.798611111111111-0.781944444444444)</f>
        <v>1.6666666666667052E-2</v>
      </c>
      <c r="E54" s="7">
        <f>ABS(0.0166666666666671-0.040972222222222)</f>
        <v>2.43055555555549E-2</v>
      </c>
      <c r="F54" s="1" t="s">
        <v>9</v>
      </c>
    </row>
    <row r="55" spans="1:6" x14ac:dyDescent="0.25">
      <c r="A55" s="11">
        <v>42125</v>
      </c>
      <c r="B55" s="7">
        <v>0.37847222222222227</v>
      </c>
      <c r="C55" s="7">
        <v>0.41944444444444445</v>
      </c>
      <c r="D55" s="7">
        <f>(0.419444444444444-0.378472222222222)</f>
        <v>4.0972222222222021E-2</v>
      </c>
      <c r="E55" s="7">
        <f>ABS(0.040972222222222-0.0138888888888881)</f>
        <v>2.70833333333339E-2</v>
      </c>
      <c r="F55" s="1" t="s">
        <v>9</v>
      </c>
    </row>
    <row r="56" spans="1:6" x14ac:dyDescent="0.25">
      <c r="A56" s="11">
        <v>42125</v>
      </c>
      <c r="B56" s="7">
        <v>0.76041666666666663</v>
      </c>
      <c r="C56" s="7">
        <v>0.77430555555555547</v>
      </c>
      <c r="D56" s="7">
        <f>(0.774305555555555-0.760416666666667)</f>
        <v>1.3888888888888062E-2</v>
      </c>
      <c r="E56" s="7">
        <f>ABS(0.0138888888888881-0.01875)</f>
        <v>4.8611111111118988E-3</v>
      </c>
      <c r="F56" s="1" t="s">
        <v>9</v>
      </c>
    </row>
    <row r="57" spans="1:6" x14ac:dyDescent="0.25">
      <c r="A57" s="11">
        <v>42125</v>
      </c>
      <c r="B57" s="7">
        <v>0.51388888888888895</v>
      </c>
      <c r="C57" s="7">
        <v>0.53263888888888888</v>
      </c>
      <c r="D57" s="7">
        <f>(0.532638888888889-0.513888888888889)</f>
        <v>1.8750000000000044E-2</v>
      </c>
      <c r="E57" s="7">
        <f>ABS(0.01875-0.0159722222222221)</f>
        <v>2.7777777777778997E-3</v>
      </c>
      <c r="F57" s="1" t="s">
        <v>9</v>
      </c>
    </row>
    <row r="58" spans="1:6" x14ac:dyDescent="0.25">
      <c r="A58" s="11">
        <v>42125</v>
      </c>
      <c r="B58" s="7">
        <v>0.78472222222222221</v>
      </c>
      <c r="C58" s="7">
        <v>0.80069444444444438</v>
      </c>
      <c r="D58" s="7">
        <f>(0.800694444444444-0.784722222222222)</f>
        <v>1.5972222222222054E-2</v>
      </c>
      <c r="E58" s="7">
        <f>ABS(0.0159722222222221-0.016666666666666)</f>
        <v>6.9444444444390074E-4</v>
      </c>
      <c r="F58" s="1" t="s">
        <v>9</v>
      </c>
    </row>
    <row r="59" spans="1:6" x14ac:dyDescent="0.25">
      <c r="A59" s="11">
        <v>42125</v>
      </c>
      <c r="B59" s="7">
        <v>0.46527777777777773</v>
      </c>
      <c r="C59" s="7">
        <v>0.48194444444444445</v>
      </c>
      <c r="D59" s="7">
        <f>(0.481944444444444-0.465277777777778)</f>
        <v>1.6666666666665997E-2</v>
      </c>
      <c r="E59" s="7">
        <f>ABS(0.016666666666666-0.0152777777777779)</f>
        <v>1.3888888888880999E-3</v>
      </c>
      <c r="F59" s="1" t="s">
        <v>9</v>
      </c>
    </row>
    <row r="60" spans="1:6" x14ac:dyDescent="0.25">
      <c r="A60" s="11">
        <v>42125</v>
      </c>
      <c r="B60" s="7">
        <v>0.49652777777777773</v>
      </c>
      <c r="C60" s="7">
        <v>0.51180555555555551</v>
      </c>
      <c r="D60" s="7">
        <f>(0.511805555555556-0.496527777777778)</f>
        <v>1.5277777777777946E-2</v>
      </c>
      <c r="E60" s="7">
        <f>ABS(0.0152777777777779-0.0145833333333329)</f>
        <v>6.9444444444500056E-4</v>
      </c>
      <c r="F60" s="1" t="s">
        <v>9</v>
      </c>
    </row>
    <row r="61" spans="1:6" x14ac:dyDescent="0.25">
      <c r="A61" s="11">
        <v>42125</v>
      </c>
      <c r="B61" s="7">
        <v>0.55763888888888891</v>
      </c>
      <c r="C61" s="7">
        <v>0.57222222222222219</v>
      </c>
      <c r="D61" s="7">
        <f>(0.572222222222222-0.557638888888889)</f>
        <v>1.4583333333332948E-2</v>
      </c>
      <c r="E61" s="7">
        <f>ABS(0.0145833333333329-0.0138888888888891)</f>
        <v>6.9444444444380013E-4</v>
      </c>
      <c r="F61" s="1" t="s">
        <v>9</v>
      </c>
    </row>
    <row r="62" spans="1:6" x14ac:dyDescent="0.25">
      <c r="A62" s="11">
        <v>42125</v>
      </c>
      <c r="B62" s="7">
        <v>0.59791666666666665</v>
      </c>
      <c r="C62" s="7">
        <v>0.6118055555555556</v>
      </c>
      <c r="D62" s="7">
        <f>(0.611805555555556-0.597916666666667)</f>
        <v>1.3888888888889062E-2</v>
      </c>
      <c r="E62" s="7"/>
      <c r="F62" s="1" t="s">
        <v>9</v>
      </c>
    </row>
    <row r="63" spans="1:6" x14ac:dyDescent="0.25">
      <c r="A63" s="11">
        <v>42125</v>
      </c>
      <c r="B63" s="7">
        <v>7.0833333333333331E-2</v>
      </c>
      <c r="C63" s="7">
        <v>9.375E-2</v>
      </c>
      <c r="D63" s="7">
        <f>(0.09375-0.0708333333333333)</f>
        <v>2.2916666666666696E-2</v>
      </c>
      <c r="E63" s="7">
        <f>ABS(0.0229166666666667-0.00486111111111109)</f>
        <v>1.8055555555555609E-2</v>
      </c>
      <c r="F63" s="1" t="s">
        <v>3</v>
      </c>
    </row>
    <row r="64" spans="1:6" x14ac:dyDescent="0.25">
      <c r="A64" s="11">
        <v>42125</v>
      </c>
      <c r="B64" s="7">
        <v>0.51250000000000007</v>
      </c>
      <c r="C64" s="7">
        <v>0.51736111111111105</v>
      </c>
      <c r="D64" s="7">
        <f>(0.517361111111111-0.5125)</f>
        <v>4.8611111111110938E-3</v>
      </c>
      <c r="E64" s="7">
        <f>ABS(0.00486111111111109-0.00625000000000001)</f>
        <v>1.3888888888889195E-3</v>
      </c>
      <c r="F64" s="1" t="s">
        <v>3</v>
      </c>
    </row>
    <row r="65" spans="1:6" x14ac:dyDescent="0.25">
      <c r="A65" s="11">
        <v>42125</v>
      </c>
      <c r="B65" s="7">
        <v>8.4722222222222213E-2</v>
      </c>
      <c r="C65" s="7">
        <v>9.0972222222222218E-2</v>
      </c>
      <c r="D65" s="7">
        <f>(0.0909722222222222-0.0847222222222222)</f>
        <v>6.2500000000000056E-3</v>
      </c>
      <c r="E65" s="7">
        <f>ABS(0.00625000000000001-0.00486111111111204)</f>
        <v>1.3888888888879698E-3</v>
      </c>
      <c r="F65" s="1" t="s">
        <v>3</v>
      </c>
    </row>
    <row r="66" spans="1:6" x14ac:dyDescent="0.25">
      <c r="A66" s="11">
        <v>42125</v>
      </c>
      <c r="B66" s="7">
        <v>0.36319444444444443</v>
      </c>
      <c r="C66" s="7">
        <v>0.36805555555555558</v>
      </c>
      <c r="D66" s="7">
        <f>(0.368055555555556-0.363194444444444)</f>
        <v>4.8611111111120375E-3</v>
      </c>
      <c r="E66" s="7">
        <f>ABS(0.00486111111111204-0.00625000000000003)</f>
        <v>1.3888888888879897E-3</v>
      </c>
      <c r="F66" s="1" t="s">
        <v>3</v>
      </c>
    </row>
    <row r="67" spans="1:6" x14ac:dyDescent="0.25">
      <c r="A67" s="11">
        <v>42125</v>
      </c>
      <c r="B67" s="7">
        <v>0.3611111111111111</v>
      </c>
      <c r="C67" s="7">
        <v>0.36736111111111108</v>
      </c>
      <c r="D67" s="7">
        <f>(0.367361111111111-0.361111111111111)</f>
        <v>6.2500000000000333E-3</v>
      </c>
      <c r="E67" s="7">
        <f>ABS(0.00625000000000003-0.00347222222222204)</f>
        <v>2.77777777777799E-3</v>
      </c>
      <c r="F67" s="1" t="s">
        <v>3</v>
      </c>
    </row>
    <row r="68" spans="1:6" x14ac:dyDescent="0.25">
      <c r="A68" s="11">
        <v>42125</v>
      </c>
      <c r="B68" s="7">
        <v>0.3972222222222222</v>
      </c>
      <c r="C68" s="7">
        <v>0.40069444444444446</v>
      </c>
      <c r="D68" s="7">
        <f>(0.400694444444444-0.397222222222222)</f>
        <v>3.4722222222220434E-3</v>
      </c>
      <c r="E68" s="7">
        <f>ABS(0.00347222222222204-0.00694444444444398)</f>
        <v>3.4722222222219401E-3</v>
      </c>
      <c r="F68" s="1" t="s">
        <v>3</v>
      </c>
    </row>
    <row r="69" spans="1:6" x14ac:dyDescent="0.25">
      <c r="A69" s="11">
        <v>42125</v>
      </c>
      <c r="B69" s="7">
        <v>0.44791666666666669</v>
      </c>
      <c r="C69" s="7">
        <v>0.4548611111111111</v>
      </c>
      <c r="D69" s="7">
        <f>(0.454861111111111-0.447916666666667)</f>
        <v>6.9444444444439757E-3</v>
      </c>
      <c r="E69" s="7">
        <f>ABS(0.00694444444444398-0.022916666666667)</f>
        <v>1.5972222222223022E-2</v>
      </c>
      <c r="F69" s="1" t="s">
        <v>3</v>
      </c>
    </row>
    <row r="70" spans="1:6" x14ac:dyDescent="0.25">
      <c r="A70" s="11">
        <v>42125</v>
      </c>
      <c r="B70" s="7">
        <v>0.5708333333333333</v>
      </c>
      <c r="C70" s="7">
        <v>0.59375</v>
      </c>
      <c r="D70" s="7">
        <f>(0.59375-0.570833333333333)</f>
        <v>2.2916666666667029E-2</v>
      </c>
      <c r="E70" s="7">
        <f>ABS(0.022916666666667-0.0118055555555551)</f>
        <v>1.1111111111111901E-2</v>
      </c>
      <c r="F70" s="1" t="s">
        <v>3</v>
      </c>
    </row>
    <row r="71" spans="1:6" x14ac:dyDescent="0.25">
      <c r="A71" s="11">
        <v>42125</v>
      </c>
      <c r="B71" s="7">
        <v>0.57291666666666663</v>
      </c>
      <c r="C71" s="7">
        <v>0.58472222222222225</v>
      </c>
      <c r="D71" s="7">
        <f>(0.584722222222222-0.572916666666667)</f>
        <v>1.180555555555507E-2</v>
      </c>
      <c r="E71" s="7">
        <f>ABS(0.0118055555555551-0.021527777777778)</f>
        <v>9.7222222222228989E-3</v>
      </c>
      <c r="F71" s="1" t="s">
        <v>3</v>
      </c>
    </row>
    <row r="72" spans="1:6" x14ac:dyDescent="0.25">
      <c r="A72" s="11">
        <v>42125</v>
      </c>
      <c r="B72" s="7">
        <v>0.74583333333333324</v>
      </c>
      <c r="C72" s="7">
        <v>0.76736111111111116</v>
      </c>
      <c r="D72" s="7">
        <f>(0.767361111111111-0.745833333333333)</f>
        <v>2.1527777777778034E-2</v>
      </c>
      <c r="E72" s="7">
        <f>ABS(0.021527777777778-0.00694444444444497)</f>
        <v>1.458333333333303E-2</v>
      </c>
      <c r="F72" s="1" t="s">
        <v>3</v>
      </c>
    </row>
    <row r="73" spans="1:6" x14ac:dyDescent="0.25">
      <c r="A73" s="11">
        <v>42125</v>
      </c>
      <c r="B73" s="7">
        <v>0.80833333333333324</v>
      </c>
      <c r="C73" s="7">
        <v>0.81527777777777777</v>
      </c>
      <c r="D73" s="7">
        <f>(0.815277777777778-0.808333333333333)</f>
        <v>6.9444444444449749E-3</v>
      </c>
      <c r="E73" s="7">
        <f>ABS(0.00694444444444497-0.00763888888888897)</f>
        <v>6.9444444444400049E-4</v>
      </c>
      <c r="F73" s="1" t="s">
        <v>3</v>
      </c>
    </row>
    <row r="74" spans="1:6" x14ac:dyDescent="0.25">
      <c r="A74" s="11">
        <v>42125</v>
      </c>
      <c r="B74" s="7">
        <v>0.86458333333333337</v>
      </c>
      <c r="C74" s="7">
        <v>0.87222222222222223</v>
      </c>
      <c r="D74" s="7">
        <f>(0.872222222222222-0.864583333333333)</f>
        <v>7.6388888888889728E-3</v>
      </c>
      <c r="E74" s="7">
        <f>ABS(0.00763888888888897-0.011805555555556)</f>
        <v>4.1666666666670292E-3</v>
      </c>
      <c r="F74" s="1" t="s">
        <v>3</v>
      </c>
    </row>
    <row r="75" spans="1:6" x14ac:dyDescent="0.25">
      <c r="A75" s="11">
        <v>42125</v>
      </c>
      <c r="B75" s="7">
        <v>0.90625</v>
      </c>
      <c r="C75" s="7">
        <v>0.91805555555555562</v>
      </c>
      <c r="D75" s="7">
        <f>(0.918055555555556-0.90625)</f>
        <v>1.1805555555555958E-2</v>
      </c>
      <c r="E75" s="7">
        <f>ABS(0.011805555555556-0.00694444444444403)</f>
        <v>4.861111111111969E-3</v>
      </c>
      <c r="F75" s="1" t="s">
        <v>3</v>
      </c>
    </row>
    <row r="76" spans="1:6" x14ac:dyDescent="0.25">
      <c r="A76" s="11">
        <v>42125</v>
      </c>
      <c r="B76" s="7">
        <v>0.42291666666666666</v>
      </c>
      <c r="C76" s="7">
        <v>0.42986111111111108</v>
      </c>
      <c r="D76" s="7">
        <f>(0.429861111111111-0.422916666666667)</f>
        <v>6.9444444444440312E-3</v>
      </c>
      <c r="E76" s="7">
        <f>ABS(0.00694444444444403-0.00347222222222304)</f>
        <v>3.4722222222209904E-3</v>
      </c>
      <c r="F76" s="1" t="s">
        <v>3</v>
      </c>
    </row>
    <row r="77" spans="1:6" x14ac:dyDescent="0.25">
      <c r="A77" s="11">
        <v>42125</v>
      </c>
      <c r="B77" s="7">
        <v>0.48958333333333331</v>
      </c>
      <c r="C77" s="7">
        <v>0.49305555555555558</v>
      </c>
      <c r="D77" s="7">
        <f>(0.493055555555556-0.489583333333333)</f>
        <v>3.4722222222230426E-3</v>
      </c>
      <c r="E77" s="7">
        <f>ABS(0.00347222222222304-0.00416666666666599)</f>
        <v>6.9444444444295012E-4</v>
      </c>
      <c r="F77" s="1" t="s">
        <v>3</v>
      </c>
    </row>
    <row r="78" spans="1:6" x14ac:dyDescent="0.25">
      <c r="A78" s="11">
        <v>42125</v>
      </c>
      <c r="B78" s="7">
        <v>0.75694444444444453</v>
      </c>
      <c r="C78" s="7">
        <v>0.76111111111111107</v>
      </c>
      <c r="D78" s="7">
        <f>(0.761111111111111-0.756944444444445)</f>
        <v>4.1666666666659857E-3</v>
      </c>
      <c r="E78" s="7">
        <f>ABS(0.00416666666666599-0.00486111111111098)</f>
        <v>6.9444444444499015E-4</v>
      </c>
      <c r="F78" s="1" t="s">
        <v>3</v>
      </c>
    </row>
    <row r="79" spans="1:6" x14ac:dyDescent="0.25">
      <c r="A79" s="11">
        <v>42125</v>
      </c>
      <c r="B79" s="7">
        <v>0.78819444444444453</v>
      </c>
      <c r="C79" s="7">
        <v>0.79305555555555562</v>
      </c>
      <c r="D79" s="7">
        <f>(0.793055555555556-0.788194444444445)</f>
        <v>4.8611111111109828E-3</v>
      </c>
      <c r="E79" s="7">
        <f>ABS(0.00486111111111098-0.00347222222222199)</f>
        <v>1.3888888888889902E-3</v>
      </c>
      <c r="F79" s="1" t="s">
        <v>3</v>
      </c>
    </row>
    <row r="80" spans="1:6" x14ac:dyDescent="0.25">
      <c r="A80" s="11">
        <v>42125</v>
      </c>
      <c r="B80" s="7">
        <v>0.87013888888888891</v>
      </c>
      <c r="C80" s="7">
        <v>0.87361111111111101</v>
      </c>
      <c r="D80" s="7">
        <f>(0.873611111111111-0.870138888888889)</f>
        <v>3.4722222222219878E-3</v>
      </c>
      <c r="E80" s="7">
        <f>ABS(0.00347222222222199-0.00902777777777697)</f>
        <v>5.5555555555549807E-3</v>
      </c>
      <c r="F80" s="1" t="s">
        <v>3</v>
      </c>
    </row>
    <row r="81" spans="1:6" x14ac:dyDescent="0.25">
      <c r="A81" s="11">
        <v>42125</v>
      </c>
      <c r="B81" s="7">
        <v>0.9555555555555556</v>
      </c>
      <c r="C81" s="7">
        <v>0.96458333333333324</v>
      </c>
      <c r="D81" s="7">
        <f>(0.964583333333333-0.955555555555556)</f>
        <v>9.0277777777769685E-3</v>
      </c>
      <c r="E81" s="7">
        <f>ABS(0.00902777777777697-0.00694444444444398)</f>
        <v>2.0833333333329903E-3</v>
      </c>
      <c r="F81" s="1" t="s">
        <v>3</v>
      </c>
    </row>
    <row r="82" spans="1:6" x14ac:dyDescent="0.25">
      <c r="A82" s="11">
        <v>42125</v>
      </c>
      <c r="B82" s="7">
        <v>0.31180555555555556</v>
      </c>
      <c r="C82" s="7">
        <v>0.31875000000000003</v>
      </c>
      <c r="D82" s="7">
        <f>(0.31875-0.311805555555556)</f>
        <v>6.9444444444439757E-3</v>
      </c>
      <c r="E82" s="7">
        <f>ABS(0.00694444444444398-0.0041666666666661)</f>
        <v>2.7777777777778798E-3</v>
      </c>
      <c r="F82" s="1" t="s">
        <v>3</v>
      </c>
    </row>
    <row r="83" spans="1:6" x14ac:dyDescent="0.25">
      <c r="A83" s="11">
        <v>42125</v>
      </c>
      <c r="B83" s="7">
        <v>0.57430555555555551</v>
      </c>
      <c r="C83" s="7">
        <v>0.57847222222222217</v>
      </c>
      <c r="D83" s="7">
        <f>(0.578472222222222-0.574305555555556)</f>
        <v>4.1666666666660968E-3</v>
      </c>
      <c r="E83" s="7">
        <f>ABS(0.0041666666666661-0.00486111111111098)</f>
        <v>6.9444444444487999E-4</v>
      </c>
      <c r="F83" s="1" t="s">
        <v>3</v>
      </c>
    </row>
    <row r="84" spans="1:6" x14ac:dyDescent="0.25">
      <c r="A84" s="11">
        <v>42125</v>
      </c>
      <c r="B84" s="7">
        <v>0.61111111111111105</v>
      </c>
      <c r="C84" s="7">
        <v>0.61597222222222225</v>
      </c>
      <c r="D84" s="7">
        <f>(0.615972222222222-0.611111111111111)</f>
        <v>4.8611111111109828E-3</v>
      </c>
      <c r="E84" s="7">
        <f>ABS(0.00486111111111098-0)</f>
        <v>4.8611111111109802E-3</v>
      </c>
      <c r="F84" s="1" t="s">
        <v>3</v>
      </c>
    </row>
    <row r="85" spans="1:6" x14ac:dyDescent="0.25">
      <c r="A85" s="11">
        <v>42125</v>
      </c>
      <c r="B85" s="7">
        <v>0.63194444444444442</v>
      </c>
      <c r="C85" s="7">
        <v>0.63194444444444442</v>
      </c>
      <c r="D85" s="7">
        <f>(0.631944444444444-0.631944444444444)</f>
        <v>0</v>
      </c>
      <c r="E85" s="7">
        <f>ABS(0-0.00208333333333399)</f>
        <v>2.0833333333339899E-3</v>
      </c>
      <c r="F85" s="1" t="s">
        <v>3</v>
      </c>
    </row>
    <row r="86" spans="1:6" x14ac:dyDescent="0.25">
      <c r="A86" s="11">
        <v>42125</v>
      </c>
      <c r="B86" s="7">
        <v>0.63194444444444442</v>
      </c>
      <c r="C86" s="7">
        <v>0.63402777777777775</v>
      </c>
      <c r="D86" s="7">
        <f>(0.634027777777778-0.631944444444444)</f>
        <v>2.0833333333339921E-3</v>
      </c>
      <c r="E86" s="7">
        <f>ABS(0.00208333333333399-0.00347222222222199)</f>
        <v>1.3888888888880001E-3</v>
      </c>
      <c r="F86" s="1" t="s">
        <v>3</v>
      </c>
    </row>
    <row r="87" spans="1:6" x14ac:dyDescent="0.25">
      <c r="A87" s="11">
        <v>42125</v>
      </c>
      <c r="B87" s="7">
        <v>0.6875</v>
      </c>
      <c r="C87" s="7">
        <v>0.69097222222222221</v>
      </c>
      <c r="D87" s="7">
        <f>(0.690972222222222-0.6875)</f>
        <v>3.4722222222219878E-3</v>
      </c>
      <c r="E87" s="7">
        <f>ABS(0.00347222222222199-0.00625000000000009)</f>
        <v>2.7777777777780997E-3</v>
      </c>
      <c r="F87" s="1" t="s">
        <v>3</v>
      </c>
    </row>
    <row r="88" spans="1:6" x14ac:dyDescent="0.25">
      <c r="A88" s="11">
        <v>42125</v>
      </c>
      <c r="B88" s="7">
        <v>0.76388888888888884</v>
      </c>
      <c r="C88" s="7">
        <v>0.77013888888888893</v>
      </c>
      <c r="D88" s="7">
        <f>(0.770138888888889-0.763888888888889)</f>
        <v>6.2500000000000888E-3</v>
      </c>
      <c r="E88" s="7">
        <f>ABS(0.00625000000000009-0.022916666666667)</f>
        <v>1.6666666666666913E-2</v>
      </c>
      <c r="F88" s="1" t="s">
        <v>3</v>
      </c>
    </row>
    <row r="89" spans="1:6" x14ac:dyDescent="0.25">
      <c r="A89" s="11">
        <v>42125</v>
      </c>
      <c r="B89" s="7">
        <v>0.75069444444444444</v>
      </c>
      <c r="C89" s="7">
        <v>0.77361111111111114</v>
      </c>
      <c r="D89" s="7">
        <f>(0.773611111111111-0.750694444444444)</f>
        <v>2.2916666666667029E-2</v>
      </c>
      <c r="E89" s="7">
        <f>ABS(0.022916666666667-0.00694444444444497)</f>
        <v>1.5972222222222034E-2</v>
      </c>
      <c r="F89" s="1" t="s">
        <v>3</v>
      </c>
    </row>
    <row r="90" spans="1:6" x14ac:dyDescent="0.25">
      <c r="A90" s="11">
        <v>42125</v>
      </c>
      <c r="B90" s="7">
        <v>0.80972222222222223</v>
      </c>
      <c r="C90" s="7">
        <v>0.81666666666666676</v>
      </c>
      <c r="D90" s="7">
        <f>(0.816666666666667-0.809722222222222)</f>
        <v>6.9444444444449749E-3</v>
      </c>
      <c r="E90" s="7">
        <f>ABS(0.00694444444444497-0.0125)</f>
        <v>5.555555555555031E-3</v>
      </c>
      <c r="F90" s="1" t="s">
        <v>3</v>
      </c>
    </row>
    <row r="91" spans="1:6" x14ac:dyDescent="0.25">
      <c r="A91" s="11">
        <v>42125</v>
      </c>
      <c r="B91" s="7">
        <v>0.9604166666666667</v>
      </c>
      <c r="C91" s="7">
        <v>0.97291666666666676</v>
      </c>
      <c r="D91" s="7">
        <f>(0.972916666666667-0.960416666666667)</f>
        <v>1.2499999999999956E-2</v>
      </c>
      <c r="E91" s="7">
        <f>ABS(0.0125-0.00902777777778008)</f>
        <v>3.4722222222199201E-3</v>
      </c>
      <c r="F91" s="1" t="s">
        <v>3</v>
      </c>
    </row>
    <row r="92" spans="1:6" x14ac:dyDescent="0.25">
      <c r="A92" s="11">
        <v>42125</v>
      </c>
      <c r="B92" s="7">
        <v>1.0027777777777778</v>
      </c>
      <c r="C92" s="7">
        <v>1.0118055555555556</v>
      </c>
      <c r="D92" s="7">
        <f>(1.01180555555556-1.00277777777778)</f>
        <v>9.0277777777800772E-3</v>
      </c>
      <c r="E92" s="7">
        <f>ABS(0.00902777777778008-0.022916666666666)</f>
        <v>1.3888888888885918E-2</v>
      </c>
      <c r="F92" s="1" t="s">
        <v>3</v>
      </c>
    </row>
    <row r="93" spans="1:6" x14ac:dyDescent="0.25">
      <c r="A93" s="11">
        <v>42125</v>
      </c>
      <c r="B93" s="7">
        <v>0.29652777777777778</v>
      </c>
      <c r="C93" s="7">
        <v>0.31944444444444448</v>
      </c>
      <c r="D93" s="7">
        <f>(0.319444444444444-0.296527777777778)</f>
        <v>2.2916666666665975E-2</v>
      </c>
      <c r="E93" s="7">
        <f>ABS(0.022916666666666-0.018055555555556)</f>
        <v>4.8611111111099975E-3</v>
      </c>
      <c r="F93" s="1" t="s">
        <v>3</v>
      </c>
    </row>
    <row r="94" spans="1:6" x14ac:dyDescent="0.25">
      <c r="A94" s="11">
        <v>42125</v>
      </c>
      <c r="B94" s="7">
        <v>0.40833333333333338</v>
      </c>
      <c r="C94" s="7">
        <v>0.42638888888888887</v>
      </c>
      <c r="D94" s="7">
        <f>(0.426388888888889-0.408333333333333)</f>
        <v>1.8055555555555991E-2</v>
      </c>
      <c r="E94" s="7">
        <f>ABS(0.018055555555556-0.010416666666666)</f>
        <v>7.6388888888900015E-3</v>
      </c>
      <c r="F94" s="1" t="s">
        <v>3</v>
      </c>
    </row>
    <row r="95" spans="1:6" x14ac:dyDescent="0.25">
      <c r="A95" s="11">
        <v>42125</v>
      </c>
      <c r="B95" s="7">
        <v>0.41666666666666669</v>
      </c>
      <c r="C95" s="7">
        <v>0.42708333333333331</v>
      </c>
      <c r="D95" s="7">
        <f>(0.427083333333333-0.416666666666667)</f>
        <v>1.0416666666665964E-2</v>
      </c>
      <c r="E95" s="7">
        <f>ABS(0.010416666666666-0.00486111111111198)</f>
        <v>5.5555555555540197E-3</v>
      </c>
      <c r="F95" s="1" t="s">
        <v>3</v>
      </c>
    </row>
    <row r="96" spans="1:6" x14ac:dyDescent="0.25">
      <c r="A96" s="11">
        <v>42125</v>
      </c>
      <c r="B96" s="7">
        <v>0.43194444444444446</v>
      </c>
      <c r="C96" s="7">
        <v>0.4368055555555555</v>
      </c>
      <c r="D96" s="7">
        <f>(0.436805555555556-0.431944444444444)</f>
        <v>4.861111111111982E-3</v>
      </c>
      <c r="E96" s="7">
        <f>ABS(0.00486111111111198-0.00624999999999998)</f>
        <v>1.3888888888880001E-3</v>
      </c>
      <c r="F96" s="1" t="s">
        <v>3</v>
      </c>
    </row>
    <row r="97" spans="1:6" x14ac:dyDescent="0.25">
      <c r="A97" s="11">
        <v>42125</v>
      </c>
      <c r="B97" s="7">
        <v>0.67499999999999993</v>
      </c>
      <c r="C97" s="7">
        <v>0.68125000000000002</v>
      </c>
      <c r="D97" s="7">
        <f>(0.68125-0.675)</f>
        <v>6.2499999999999778E-3</v>
      </c>
      <c r="E97" s="7">
        <f>ABS(0.00624999999999998-0.00902777777777797)</f>
        <v>2.7777777777779891E-3</v>
      </c>
      <c r="F97" s="1" t="s">
        <v>3</v>
      </c>
    </row>
    <row r="98" spans="1:6" x14ac:dyDescent="0.25">
      <c r="A98" s="11">
        <v>42125</v>
      </c>
      <c r="B98" s="7">
        <v>0.71388888888888891</v>
      </c>
      <c r="C98" s="7">
        <v>0.72291666666666676</v>
      </c>
      <c r="D98" s="7">
        <f>(0.722916666666667-0.713888888888889)</f>
        <v>9.0277777777779677E-3</v>
      </c>
      <c r="E98" s="7">
        <f>ABS(0.00902777777777797-0.01875)</f>
        <v>9.7222222222220298E-3</v>
      </c>
      <c r="F98" s="1" t="s">
        <v>3</v>
      </c>
    </row>
    <row r="99" spans="1:6" x14ac:dyDescent="0.25">
      <c r="A99" s="11">
        <v>42125</v>
      </c>
      <c r="B99" s="7">
        <v>0.72986111111111107</v>
      </c>
      <c r="C99" s="7">
        <v>0.74861111111111101</v>
      </c>
      <c r="D99" s="7">
        <f>(0.748611111111111-0.729861111111111)</f>
        <v>1.8750000000000044E-2</v>
      </c>
      <c r="E99" s="7">
        <f>ABS(0.01875-0.00694444444444497)</f>
        <v>1.180555555555503E-2</v>
      </c>
      <c r="F99" s="1" t="s">
        <v>3</v>
      </c>
    </row>
    <row r="100" spans="1:6" x14ac:dyDescent="0.25">
      <c r="A100" s="11">
        <v>42125</v>
      </c>
      <c r="B100" s="7">
        <v>0.78194444444444444</v>
      </c>
      <c r="C100" s="7">
        <v>0.78888888888888886</v>
      </c>
      <c r="D100" s="7">
        <f>(0.788888888888889-0.781944444444444)</f>
        <v>6.9444444444449749E-3</v>
      </c>
      <c r="E100" s="7">
        <f>ABS(0.00694444444444497-0.00902777777777797)</f>
        <v>2.0833333333329998E-3</v>
      </c>
      <c r="F100" s="1" t="s">
        <v>3</v>
      </c>
    </row>
    <row r="101" spans="1:6" x14ac:dyDescent="0.25">
      <c r="A101" s="11">
        <v>42125</v>
      </c>
      <c r="B101" s="7">
        <v>0.81527777777777777</v>
      </c>
      <c r="C101" s="7">
        <v>0.82430555555555562</v>
      </c>
      <c r="D101" s="7">
        <f>(0.824305555555556-0.815277777777778)</f>
        <v>9.0277777777779677E-3</v>
      </c>
      <c r="E101" s="7">
        <f>ABS(0.00902777777777797-0.00763888888888897)</f>
        <v>1.3888888888889993E-3</v>
      </c>
      <c r="F101" s="1" t="s">
        <v>3</v>
      </c>
    </row>
    <row r="102" spans="1:6" x14ac:dyDescent="0.25">
      <c r="A102" s="11">
        <v>42125</v>
      </c>
      <c r="B102" s="7">
        <v>0.92569444444444438</v>
      </c>
      <c r="C102" s="7">
        <v>0.93333333333333324</v>
      </c>
      <c r="D102" s="7">
        <f>(0.933333333333333-0.925694444444444)</f>
        <v>7.6388888888889728E-3</v>
      </c>
      <c r="E102" s="7">
        <f>ABS(0.00763888888888897-0.00486111111110987)</f>
        <v>2.7777777777791002E-3</v>
      </c>
      <c r="F102" s="1" t="s">
        <v>3</v>
      </c>
    </row>
    <row r="103" spans="1:6" x14ac:dyDescent="0.25">
      <c r="A103" s="11">
        <v>42125</v>
      </c>
      <c r="B103" s="7">
        <v>1.0090277777777776</v>
      </c>
      <c r="C103" s="7">
        <v>1.0138888888888888</v>
      </c>
      <c r="D103" s="7">
        <f>(1.01388888888889-1.00902777777778)</f>
        <v>4.8611111111098726E-3</v>
      </c>
      <c r="E103" s="7">
        <f>ABS(0.00486111111110987-0.00347222222221988)</f>
        <v>1.3888888888899898E-3</v>
      </c>
      <c r="F103" s="1" t="s">
        <v>3</v>
      </c>
    </row>
    <row r="104" spans="1:6" x14ac:dyDescent="0.25">
      <c r="A104" s="11">
        <v>42125</v>
      </c>
      <c r="B104" s="7">
        <v>1.0284722222222222</v>
      </c>
      <c r="C104" s="7">
        <v>1.0319444444444443</v>
      </c>
      <c r="D104" s="7">
        <f>(1.03194444444444-1.02847222222222)</f>
        <v>3.4722222222198784E-3</v>
      </c>
      <c r="E104" s="7">
        <f>ABS(0.00347222222221988-0.00555555555555509)</f>
        <v>2.0833333333352098E-3</v>
      </c>
      <c r="F104" s="1" t="s">
        <v>3</v>
      </c>
    </row>
    <row r="105" spans="1:6" x14ac:dyDescent="0.25">
      <c r="A105" s="11">
        <v>42125</v>
      </c>
      <c r="B105" s="7">
        <v>0.57430555555555551</v>
      </c>
      <c r="C105" s="7">
        <v>0.57986111111111105</v>
      </c>
      <c r="D105" s="7">
        <f>(0.579861111111111-0.574305555555556)</f>
        <v>5.5555555555550917E-3</v>
      </c>
      <c r="E105" s="7">
        <f>ABS(0.00555555555555509-0.00208333333333299)</f>
        <v>3.4722222222221002E-3</v>
      </c>
      <c r="F105" s="1" t="s">
        <v>3</v>
      </c>
    </row>
    <row r="106" spans="1:6" x14ac:dyDescent="0.25">
      <c r="A106" s="11">
        <v>42125</v>
      </c>
      <c r="B106" s="7">
        <v>0.52916666666666667</v>
      </c>
      <c r="C106" s="7">
        <v>0.53125</v>
      </c>
      <c r="D106" s="7">
        <f>(0.53125-0.529166666666667)</f>
        <v>2.0833333333329929E-3</v>
      </c>
      <c r="E106" s="7">
        <f>ABS(0.00208333333333299-0.017361111111111)</f>
        <v>1.5277777777778011E-2</v>
      </c>
      <c r="F106" s="1" t="s">
        <v>3</v>
      </c>
    </row>
    <row r="107" spans="1:6" x14ac:dyDescent="0.25">
      <c r="A107" s="11">
        <v>42125</v>
      </c>
      <c r="B107" s="7">
        <v>0.6</v>
      </c>
      <c r="C107" s="7">
        <v>0.61736111111111114</v>
      </c>
      <c r="D107" s="7">
        <f>(0.617361111111111-0.6)</f>
        <v>1.7361111111111049E-2</v>
      </c>
      <c r="E107" s="7">
        <f>ABS(0.017361111111111-0.006944444444444)</f>
        <v>1.0416666666667001E-2</v>
      </c>
      <c r="F107" s="1" t="s">
        <v>3</v>
      </c>
    </row>
    <row r="108" spans="1:6" x14ac:dyDescent="0.25">
      <c r="A108" s="11">
        <v>42125</v>
      </c>
      <c r="B108" s="7">
        <v>0.15625</v>
      </c>
      <c r="C108" s="7">
        <v>0.16319444444444445</v>
      </c>
      <c r="D108" s="7">
        <f>(0.163194444444444-0.15625)</f>
        <v>6.9444444444440034E-3</v>
      </c>
      <c r="E108" s="7">
        <f>ABS(0.006944444444444-0.00694444444444398)</f>
        <v>1.9949319973733282E-17</v>
      </c>
      <c r="F108" s="1" t="s">
        <v>3</v>
      </c>
    </row>
    <row r="109" spans="1:6" x14ac:dyDescent="0.25">
      <c r="A109" s="11">
        <v>42125</v>
      </c>
      <c r="B109" s="7">
        <v>0.33680555555555558</v>
      </c>
      <c r="C109" s="7">
        <v>0.34375</v>
      </c>
      <c r="D109" s="7">
        <f>(0.34375-0.336805555555556)</f>
        <v>6.9444444444439757E-3</v>
      </c>
      <c r="E109" s="7">
        <f>ABS(0.00694444444444398-0.00486111111111098)</f>
        <v>2.0833333333329998E-3</v>
      </c>
      <c r="F109" s="1" t="s">
        <v>3</v>
      </c>
    </row>
    <row r="110" spans="1:6" x14ac:dyDescent="0.25">
      <c r="A110" s="11">
        <v>42125</v>
      </c>
      <c r="B110" s="7">
        <v>0.4680555555555555</v>
      </c>
      <c r="C110" s="7">
        <v>0.47291666666666665</v>
      </c>
      <c r="D110" s="7">
        <f>(0.472916666666667-0.468055555555556)</f>
        <v>4.8611111111109828E-3</v>
      </c>
      <c r="E110" s="7">
        <f>ABS(0.00486111111111098-0.00624999999999998)</f>
        <v>1.3888888888890002E-3</v>
      </c>
      <c r="F110" s="1" t="s">
        <v>3</v>
      </c>
    </row>
    <row r="111" spans="1:6" x14ac:dyDescent="0.25">
      <c r="A111" s="11">
        <v>42125</v>
      </c>
      <c r="B111" s="7">
        <v>0.52986111111111112</v>
      </c>
      <c r="C111" s="7">
        <v>0.53611111111111109</v>
      </c>
      <c r="D111" s="7">
        <f>(0.536111111111111-0.529861111111111)</f>
        <v>6.2499999999999778E-3</v>
      </c>
      <c r="E111" s="7">
        <f>ABS(0.00624999999999998-0.00624999999999998)</f>
        <v>0</v>
      </c>
      <c r="F111" s="1" t="s">
        <v>3</v>
      </c>
    </row>
    <row r="112" spans="1:6" x14ac:dyDescent="0.25">
      <c r="A112" s="11">
        <v>42125</v>
      </c>
      <c r="B112" s="7">
        <v>0.55763888888888891</v>
      </c>
      <c r="C112" s="7">
        <v>0.56388888888888888</v>
      </c>
      <c r="D112" s="7">
        <f>(0.563888888888889-0.557638888888889)</f>
        <v>6.2499999999999778E-3</v>
      </c>
      <c r="E112" s="7">
        <f>ABS(0.00624999999999998-0.011805555555556)</f>
        <v>5.5555555555560189E-3</v>
      </c>
      <c r="F112" s="1" t="s">
        <v>3</v>
      </c>
    </row>
    <row r="113" spans="1:6" x14ac:dyDescent="0.25">
      <c r="A113" s="11">
        <v>42125</v>
      </c>
      <c r="B113" s="7">
        <v>0.10208333333333335</v>
      </c>
      <c r="C113" s="7">
        <v>0.11388888888888889</v>
      </c>
      <c r="D113" s="7">
        <f>(0.113888888888889-0.102083333333333)</f>
        <v>1.1805555555555999E-2</v>
      </c>
      <c r="E113" s="7">
        <f>ABS(0.011805555555556-0.00833333333333297)</f>
        <v>3.4722222222230287E-3</v>
      </c>
      <c r="F113" s="1" t="s">
        <v>3</v>
      </c>
    </row>
    <row r="114" spans="1:6" x14ac:dyDescent="0.25">
      <c r="A114" s="11">
        <v>42125</v>
      </c>
      <c r="B114" s="7">
        <v>0.62638888888888888</v>
      </c>
      <c r="C114" s="7">
        <v>0.63472222222222219</v>
      </c>
      <c r="D114" s="7">
        <f>(0.634722222222222-0.626388888888889)</f>
        <v>8.3333333333329707E-3</v>
      </c>
      <c r="E114" s="7">
        <f>ABS(0.00833333333333297-0.0111111111111111)</f>
        <v>2.7777777777781287E-3</v>
      </c>
      <c r="F114" s="1" t="s">
        <v>3</v>
      </c>
    </row>
    <row r="115" spans="1:6" x14ac:dyDescent="0.25">
      <c r="A115" s="11">
        <v>42125</v>
      </c>
      <c r="B115" s="7">
        <v>0.67083333333333339</v>
      </c>
      <c r="C115" s="7">
        <v>0.68194444444444446</v>
      </c>
      <c r="D115" s="7">
        <f>(0.681944444444444-0.670833333333333)</f>
        <v>1.1111111111111072E-2</v>
      </c>
      <c r="E115" s="7">
        <f>ABS(0.0111111111111111-0.00763888888888897)</f>
        <v>3.4722222222221292E-3</v>
      </c>
      <c r="F115" s="1" t="s">
        <v>3</v>
      </c>
    </row>
    <row r="116" spans="1:6" x14ac:dyDescent="0.25">
      <c r="A116" s="11">
        <v>42125</v>
      </c>
      <c r="B116" s="7">
        <v>0.71458333333333324</v>
      </c>
      <c r="C116" s="7">
        <v>0.72222222222222221</v>
      </c>
      <c r="D116" s="7">
        <f>(0.722222222222222-0.714583333333333)</f>
        <v>7.6388888888889728E-3</v>
      </c>
      <c r="E116" s="7">
        <f>ABS(0.00763888888888897-0.00416666666666599)</f>
        <v>3.4722222222229801E-3</v>
      </c>
      <c r="F116" s="1" t="s">
        <v>3</v>
      </c>
    </row>
    <row r="117" spans="1:6" x14ac:dyDescent="0.25">
      <c r="A117" s="11">
        <v>42125</v>
      </c>
      <c r="B117" s="7">
        <v>0.87430555555555556</v>
      </c>
      <c r="C117" s="7">
        <v>0.87847222222222221</v>
      </c>
      <c r="D117" s="7">
        <f>(0.878472222222222-0.874305555555556)</f>
        <v>4.1666666666659857E-3</v>
      </c>
      <c r="E117" s="7">
        <f>ABS(0.00416666666666599-0.00763888888888797)</f>
        <v>3.47222222222198E-3</v>
      </c>
      <c r="F117" s="1" t="s">
        <v>3</v>
      </c>
    </row>
    <row r="118" spans="1:6" x14ac:dyDescent="0.25">
      <c r="A118" s="11">
        <v>42125</v>
      </c>
      <c r="B118" s="7">
        <v>0.94444444444444453</v>
      </c>
      <c r="C118" s="7">
        <v>0.95208333333333339</v>
      </c>
      <c r="D118" s="7">
        <f>(0.952083333333333-0.944444444444445)</f>
        <v>7.6388888888879736E-3</v>
      </c>
      <c r="E118" s="7">
        <f>ABS(0.00763888888888797-0.00555555555555609)</f>
        <v>2.08333333333188E-3</v>
      </c>
      <c r="F118" s="1" t="s">
        <v>3</v>
      </c>
    </row>
    <row r="119" spans="1:6" x14ac:dyDescent="0.25">
      <c r="A119" s="11">
        <v>42125</v>
      </c>
      <c r="B119" s="7">
        <v>0.51250000000000007</v>
      </c>
      <c r="C119" s="7">
        <v>0.5180555555555556</v>
      </c>
      <c r="D119" s="7">
        <f>(0.518055555555556-0.5125)</f>
        <v>5.5555555555560909E-3</v>
      </c>
      <c r="E119" s="7">
        <f>ABS(0.00555555555555609-0.00486111111111009)</f>
        <v>6.9444444444599976E-4</v>
      </c>
      <c r="F119" s="1" t="s">
        <v>3</v>
      </c>
    </row>
    <row r="120" spans="1:6" x14ac:dyDescent="0.25">
      <c r="A120" s="11">
        <v>42125</v>
      </c>
      <c r="B120" s="7">
        <v>1.0298611111111111</v>
      </c>
      <c r="C120" s="7">
        <v>1.0347222222222221</v>
      </c>
      <c r="D120" s="7">
        <f>(1.03472222222222-1.02986111111111)</f>
        <v>4.8611111111100946E-3</v>
      </c>
      <c r="E120" s="7">
        <f>ABS(0.00486111111111009-0.0104166666666667)</f>
        <v>5.5555555555566105E-3</v>
      </c>
      <c r="F120" s="1" t="s">
        <v>3</v>
      </c>
    </row>
    <row r="121" spans="1:6" x14ac:dyDescent="0.25">
      <c r="A121" s="11">
        <v>42125</v>
      </c>
      <c r="B121" s="7">
        <v>7.8472222222222221E-2</v>
      </c>
      <c r="C121" s="7">
        <v>8.8888888888888892E-2</v>
      </c>
      <c r="D121" s="7">
        <f>(0.0888888888888889-0.0784722222222222)</f>
        <v>1.0416666666666713E-2</v>
      </c>
      <c r="E121" s="7">
        <f>ABS(0.0104166666666667-0.013888888888889)</f>
        <v>3.4722222222222984E-3</v>
      </c>
      <c r="F121" s="1" t="s">
        <v>3</v>
      </c>
    </row>
    <row r="122" spans="1:6" x14ac:dyDescent="0.25">
      <c r="A122" s="11">
        <v>42125</v>
      </c>
      <c r="B122" s="7">
        <v>0.41041666666666665</v>
      </c>
      <c r="C122" s="7">
        <v>0.42430555555555555</v>
      </c>
      <c r="D122" s="7">
        <f>(0.424305555555556-0.410416666666667)</f>
        <v>1.3888888888889006E-2</v>
      </c>
      <c r="E122" s="7">
        <f>ABS(0.013888888888889-0.00416666666666698)</f>
        <v>9.7222222222220194E-3</v>
      </c>
      <c r="F122" s="1" t="s">
        <v>3</v>
      </c>
    </row>
    <row r="123" spans="1:6" x14ac:dyDescent="0.25">
      <c r="A123" s="11">
        <v>42125</v>
      </c>
      <c r="B123" s="7">
        <v>0.4861111111111111</v>
      </c>
      <c r="C123" s="7">
        <v>0.49027777777777781</v>
      </c>
      <c r="D123" s="7">
        <f>(0.490277777777778-0.486111111111111)</f>
        <v>4.1666666666669849E-3</v>
      </c>
      <c r="E123" s="7">
        <f>ABS(0.00416666666666698-0.00208333333333299)</f>
        <v>2.0833333333339899E-3</v>
      </c>
      <c r="F123" s="1" t="s">
        <v>3</v>
      </c>
    </row>
    <row r="124" spans="1:6" x14ac:dyDescent="0.25">
      <c r="A124" s="11">
        <v>42125</v>
      </c>
      <c r="B124" s="7">
        <v>0.55902777777777779</v>
      </c>
      <c r="C124" s="7">
        <v>0.56111111111111112</v>
      </c>
      <c r="D124" s="7">
        <f>(0.561111111111111-0.559027777777778)</f>
        <v>2.0833333333329929E-3</v>
      </c>
      <c r="E124" s="7">
        <f>ABS(0.00208333333333299-0.0131944444444441)</f>
        <v>1.111111111111111E-2</v>
      </c>
      <c r="F124" s="1" t="s">
        <v>3</v>
      </c>
    </row>
    <row r="125" spans="1:6" x14ac:dyDescent="0.25">
      <c r="A125" s="11">
        <v>42125</v>
      </c>
      <c r="B125" s="7">
        <v>0.72638888888888886</v>
      </c>
      <c r="C125" s="7">
        <v>0.73958333333333337</v>
      </c>
      <c r="D125" s="7">
        <f>(0.739583333333333-0.726388888888889)</f>
        <v>1.3194444444444065E-2</v>
      </c>
      <c r="E125" s="7">
        <f>ABS(0.0131944444444441-0.0104166666666661)</f>
        <v>2.7777777777779986E-3</v>
      </c>
      <c r="F125" s="1" t="s">
        <v>3</v>
      </c>
    </row>
    <row r="126" spans="1:6" x14ac:dyDescent="0.25">
      <c r="A126" s="11">
        <v>42125</v>
      </c>
      <c r="B126" s="7">
        <v>0.79513888888888884</v>
      </c>
      <c r="C126" s="7">
        <v>0.80555555555555547</v>
      </c>
      <c r="D126" s="7">
        <f>(0.805555555555555-0.795138888888889)</f>
        <v>1.0416666666666075E-2</v>
      </c>
      <c r="E126" s="7">
        <f>ABS(0.0104166666666661-0.00416666666666698)</f>
        <v>6.2499999999991208E-3</v>
      </c>
      <c r="F126" s="1" t="s">
        <v>3</v>
      </c>
    </row>
    <row r="127" spans="1:6" x14ac:dyDescent="0.25">
      <c r="A127" s="11">
        <v>42125</v>
      </c>
      <c r="B127" s="7">
        <v>0.84722222222222221</v>
      </c>
      <c r="C127" s="7">
        <v>0.85138888888888886</v>
      </c>
      <c r="D127" s="7">
        <f>(0.851388888888889-0.847222222222222)</f>
        <v>4.1666666666669849E-3</v>
      </c>
      <c r="E127" s="7">
        <f>ABS(0.00416666666666698-0.00833333333333308)</f>
        <v>4.1666666666661002E-3</v>
      </c>
      <c r="F127" s="1" t="s">
        <v>3</v>
      </c>
    </row>
    <row r="128" spans="1:6" x14ac:dyDescent="0.25">
      <c r="A128" s="11">
        <v>42125</v>
      </c>
      <c r="B128" s="7">
        <v>0.88263888888888886</v>
      </c>
      <c r="C128" s="7">
        <v>0.89097222222222217</v>
      </c>
      <c r="D128" s="7">
        <f>(0.890972222222222-0.882638888888889)</f>
        <v>8.3333333333330817E-3</v>
      </c>
      <c r="E128" s="7">
        <f>ABS(0.00833333333333308-0.00694444444444497)</f>
        <v>1.3888888888881103E-3</v>
      </c>
      <c r="F128" s="1" t="s">
        <v>3</v>
      </c>
    </row>
    <row r="129" spans="1:6" x14ac:dyDescent="0.25">
      <c r="A129" s="11">
        <v>42125</v>
      </c>
      <c r="B129" s="7">
        <v>0.89097222222222217</v>
      </c>
      <c r="C129" s="7">
        <v>0.8979166666666667</v>
      </c>
      <c r="D129" s="7">
        <f>(0.897916666666667-0.890972222222222)</f>
        <v>6.9444444444449749E-3</v>
      </c>
      <c r="E129" s="7">
        <f>ABS(0.00694444444444497-0.00763888888888908)</f>
        <v>6.9444444444411065E-4</v>
      </c>
      <c r="F129" s="1" t="s">
        <v>3</v>
      </c>
    </row>
    <row r="130" spans="1:6" x14ac:dyDescent="0.25">
      <c r="A130" s="11">
        <v>42125</v>
      </c>
      <c r="B130" s="7">
        <v>0.89027777777777783</v>
      </c>
      <c r="C130" s="7">
        <v>0.8979166666666667</v>
      </c>
      <c r="D130" s="7">
        <f>(0.897916666666667-0.890277777777778)</f>
        <v>7.6388888888890838E-3</v>
      </c>
      <c r="E130" s="7">
        <f>ABS(0.00763888888888908-0.0125000000000001)</f>
        <v>4.8611111111110192E-3</v>
      </c>
      <c r="F130" s="1" t="s">
        <v>3</v>
      </c>
    </row>
    <row r="131" spans="1:6" x14ac:dyDescent="0.25">
      <c r="A131" s="11">
        <v>42125</v>
      </c>
      <c r="B131" s="7">
        <v>0.94305555555555554</v>
      </c>
      <c r="C131" s="7">
        <v>0.9555555555555556</v>
      </c>
      <c r="D131" s="7">
        <f>(0.955555555555556-0.943055555555556)</f>
        <v>1.2500000000000067E-2</v>
      </c>
      <c r="E131" s="7">
        <f>ABS(0.0125000000000001-0.0083333333333336)</f>
        <v>4.1666666666664992E-3</v>
      </c>
      <c r="F131" s="1" t="s">
        <v>3</v>
      </c>
    </row>
    <row r="132" spans="1:6" x14ac:dyDescent="0.25">
      <c r="A132" s="11">
        <v>42125</v>
      </c>
      <c r="B132" s="7">
        <v>9.4444444444444442E-2</v>
      </c>
      <c r="C132" s="7">
        <v>0.10277777777777779</v>
      </c>
      <c r="D132" s="7">
        <f>(0.102777777777778-0.0944444444444444)</f>
        <v>8.3333333333335952E-3</v>
      </c>
      <c r="E132" s="7">
        <f>ABS(0.0083333333333336-0.013194444444445)</f>
        <v>4.8611111111113992E-3</v>
      </c>
      <c r="F132" s="1" t="s">
        <v>3</v>
      </c>
    </row>
    <row r="133" spans="1:6" x14ac:dyDescent="0.25">
      <c r="A133" s="11">
        <v>42125</v>
      </c>
      <c r="B133" s="7">
        <v>0.52083333333333337</v>
      </c>
      <c r="C133" s="7">
        <v>0.53402777777777777</v>
      </c>
      <c r="D133" s="7">
        <f>(0.534027777777778-0.520833333333333)</f>
        <v>1.3194444444444953E-2</v>
      </c>
      <c r="E133" s="7">
        <f>ABS(0.013194444444445-0.0430555555555551)</f>
        <v>2.9861111111110096E-2</v>
      </c>
      <c r="F133" s="1" t="s">
        <v>3</v>
      </c>
    </row>
    <row r="134" spans="1:6" x14ac:dyDescent="0.25">
      <c r="A134" s="11">
        <v>42125</v>
      </c>
      <c r="B134" s="7">
        <v>7.6388888888888895E-2</v>
      </c>
      <c r="C134" s="7">
        <v>0.11944444444444445</v>
      </c>
      <c r="D134" s="7">
        <f>(0.119444444444444-0.0763888888888889)</f>
        <v>4.3055555555555111E-2</v>
      </c>
      <c r="E134" s="7">
        <f>ABS(0.0430555555555551-0.00416666666666599)</f>
        <v>3.8888888888889105E-2</v>
      </c>
      <c r="F134" s="1" t="s">
        <v>3</v>
      </c>
    </row>
    <row r="135" spans="1:6" x14ac:dyDescent="0.25">
      <c r="A135" s="11">
        <v>42125</v>
      </c>
      <c r="B135" s="7">
        <v>0.38541666666666669</v>
      </c>
      <c r="C135" s="7">
        <v>0.38958333333333334</v>
      </c>
      <c r="D135" s="7">
        <f>(0.389583333333333-0.385416666666667)</f>
        <v>4.1666666666659857E-3</v>
      </c>
      <c r="E135" s="7">
        <f>ABS(0.00416666666666599-0.026388888888889)</f>
        <v>2.2222222222223011E-2</v>
      </c>
      <c r="F135" s="1" t="s">
        <v>3</v>
      </c>
    </row>
    <row r="136" spans="1:6" x14ac:dyDescent="0.25">
      <c r="A136" s="11">
        <v>42125</v>
      </c>
      <c r="B136" s="7">
        <v>0.48333333333333334</v>
      </c>
      <c r="C136" s="7">
        <v>0.50972222222222219</v>
      </c>
      <c r="D136" s="7">
        <f>(0.509722222222222-0.483333333333333)</f>
        <v>2.6388888888888962E-2</v>
      </c>
      <c r="E136" s="7">
        <f>ABS(0.026388888888889-0.0152777777777779)</f>
        <v>1.1111111111111099E-2</v>
      </c>
      <c r="F136" s="1" t="s">
        <v>3</v>
      </c>
    </row>
    <row r="137" spans="1:6" x14ac:dyDescent="0.25">
      <c r="A137" s="11">
        <v>42125</v>
      </c>
      <c r="B137" s="7">
        <v>0.49444444444444446</v>
      </c>
      <c r="C137" s="7">
        <v>0.50972222222222219</v>
      </c>
      <c r="D137" s="7">
        <f>(0.509722222222222-0.494444444444444)</f>
        <v>1.5277777777777946E-2</v>
      </c>
      <c r="E137" s="7">
        <f>ABS(0.0152777777777779-0.0104166666666671)</f>
        <v>4.8611111111108007E-3</v>
      </c>
      <c r="F137" s="1" t="s">
        <v>3</v>
      </c>
    </row>
    <row r="138" spans="1:6" x14ac:dyDescent="0.25">
      <c r="A138" s="11">
        <v>42125</v>
      </c>
      <c r="B138" s="7">
        <v>0.5395833333333333</v>
      </c>
      <c r="C138" s="7">
        <v>0.54999999999999993</v>
      </c>
      <c r="D138" s="7">
        <f>(0.55-0.539583333333333)</f>
        <v>1.0416666666667074E-2</v>
      </c>
      <c r="E138" s="7">
        <f>ABS(0.0104166666666671-0.00833333333333297)</f>
        <v>2.0833333333341291E-3</v>
      </c>
      <c r="F138" s="1" t="s">
        <v>3</v>
      </c>
    </row>
    <row r="139" spans="1:6" x14ac:dyDescent="0.25">
      <c r="A139" s="11">
        <v>42125</v>
      </c>
      <c r="B139" s="7">
        <v>0.59027777777777779</v>
      </c>
      <c r="C139" s="7">
        <v>0.59861111111111109</v>
      </c>
      <c r="D139" s="7">
        <f>(0.598611111111111-0.590277777777778)</f>
        <v>8.3333333333329707E-3</v>
      </c>
      <c r="E139" s="7">
        <f>ABS(0.00833333333333297-0.017361111111111)</f>
        <v>9.0277777777780302E-3</v>
      </c>
      <c r="F139" s="1" t="s">
        <v>3</v>
      </c>
    </row>
    <row r="140" spans="1:6" x14ac:dyDescent="0.25">
      <c r="A140" s="11">
        <v>42125</v>
      </c>
      <c r="B140" s="7">
        <v>0.65763888888888888</v>
      </c>
      <c r="C140" s="7">
        <v>0.67499999999999993</v>
      </c>
      <c r="D140" s="7">
        <f>(0.675-0.657638888888889)</f>
        <v>1.7361111111111049E-2</v>
      </c>
      <c r="E140" s="7">
        <f>ABS(0.017361111111111-0.00833333333333397)</f>
        <v>9.027777777777031E-3</v>
      </c>
      <c r="F140" s="1" t="s">
        <v>3</v>
      </c>
    </row>
    <row r="141" spans="1:6" x14ac:dyDescent="0.25">
      <c r="A141" s="11">
        <v>42125</v>
      </c>
      <c r="B141" s="7">
        <v>0.68333333333333324</v>
      </c>
      <c r="C141" s="7">
        <v>0.69166666666666676</v>
      </c>
      <c r="D141" s="7">
        <f>(0.691666666666667-0.683333333333333)</f>
        <v>8.3333333333339699E-3</v>
      </c>
      <c r="E141" s="7">
        <f>ABS(0.00833333333333397-0.00347222222222199)</f>
        <v>4.8611111111119803E-3</v>
      </c>
      <c r="F141" s="1" t="s">
        <v>3</v>
      </c>
    </row>
    <row r="142" spans="1:6" x14ac:dyDescent="0.25">
      <c r="A142" s="11">
        <v>42125</v>
      </c>
      <c r="B142" s="7">
        <v>0.72430555555555554</v>
      </c>
      <c r="C142" s="7">
        <v>0.72777777777777775</v>
      </c>
      <c r="D142" s="7">
        <f>(0.727777777777778-0.724305555555556)</f>
        <v>3.4722222222219878E-3</v>
      </c>
      <c r="E142" s="7">
        <f>ABS(0.00347222222222199-0.00694444444444398)</f>
        <v>3.47222222222199E-3</v>
      </c>
      <c r="F142" s="1" t="s">
        <v>3</v>
      </c>
    </row>
    <row r="143" spans="1:6" x14ac:dyDescent="0.25">
      <c r="A143" s="11">
        <v>42125</v>
      </c>
      <c r="B143" s="7">
        <v>0.82986111111111116</v>
      </c>
      <c r="C143" s="7">
        <v>0.83680555555555547</v>
      </c>
      <c r="D143" s="7">
        <f>(0.836805555555555-0.829861111111111)</f>
        <v>6.9444444444439757E-3</v>
      </c>
      <c r="E143" s="7">
        <f>ABS(0.00694444444444398-0.000694444444443998)</f>
        <v>6.2499999999999821E-3</v>
      </c>
      <c r="F143" s="1" t="s">
        <v>3</v>
      </c>
    </row>
    <row r="144" spans="1:6" x14ac:dyDescent="0.25">
      <c r="A144" s="11">
        <v>42125</v>
      </c>
      <c r="B144" s="7">
        <v>0.88194444444444453</v>
      </c>
      <c r="C144" s="7">
        <v>0.88263888888888886</v>
      </c>
      <c r="D144" s="7">
        <f>(0.882638888888889-0.881944444444445)</f>
        <v>6.9444444444399789E-4</v>
      </c>
      <c r="E144" s="7">
        <f>ABS(0.000694444444443998-0.00347222222222199)</f>
        <v>2.7777777777779921E-3</v>
      </c>
      <c r="F144" s="1" t="s">
        <v>3</v>
      </c>
    </row>
    <row r="145" spans="1:7" x14ac:dyDescent="0.25">
      <c r="A145" s="11">
        <v>42125</v>
      </c>
      <c r="B145" s="7">
        <v>0.99236111111111114</v>
      </c>
      <c r="C145" s="7">
        <v>0.99583333333333324</v>
      </c>
      <c r="D145" s="7">
        <f>(0.995833333333333-0.992361111111111)</f>
        <v>3.4722222222219878E-3</v>
      </c>
      <c r="E145" s="7">
        <f>ABS(0.00347222222222199-0.006944444444445)</f>
        <v>3.47222222222301E-3</v>
      </c>
      <c r="F145" s="1" t="s">
        <v>3</v>
      </c>
    </row>
    <row r="146" spans="1:7" x14ac:dyDescent="0.25">
      <c r="A146" s="11">
        <v>42125</v>
      </c>
      <c r="B146" s="7">
        <v>0.11458333333333333</v>
      </c>
      <c r="C146" s="7">
        <v>0.12152777777777778</v>
      </c>
      <c r="D146" s="7">
        <f>(0.121527777777778-0.114583333333333)</f>
        <v>6.9444444444450026E-3</v>
      </c>
      <c r="E146" s="7">
        <f>ABS(0.006944444444445-0.009027777777778)</f>
        <v>2.0833333333330007E-3</v>
      </c>
      <c r="F146" s="1" t="s">
        <v>3</v>
      </c>
    </row>
    <row r="147" spans="1:7" x14ac:dyDescent="0.25">
      <c r="A147" s="11">
        <v>42125</v>
      </c>
      <c r="B147" s="7">
        <v>0.23958333333333334</v>
      </c>
      <c r="C147" s="7">
        <v>0.24861111111111112</v>
      </c>
      <c r="D147" s="7">
        <f>(0.248611111111111-0.239583333333333)</f>
        <v>9.0277777777779955E-3</v>
      </c>
      <c r="E147" s="7">
        <f>ABS(0.009027777777778-0.000694444444444997)</f>
        <v>8.3333333333330036E-3</v>
      </c>
      <c r="F147" s="1" t="s">
        <v>3</v>
      </c>
    </row>
    <row r="148" spans="1:7" x14ac:dyDescent="0.25">
      <c r="A148" s="11">
        <v>42125</v>
      </c>
      <c r="B148" s="7">
        <v>0.22569444444444445</v>
      </c>
      <c r="C148" s="7">
        <v>0.22638888888888889</v>
      </c>
      <c r="D148" s="7">
        <f>(0.226388888888889-0.225694444444444)</f>
        <v>6.9444444444499709E-4</v>
      </c>
      <c r="E148" s="7">
        <f>ABS(0.000694444444444997-0.010416666666666)</f>
        <v>9.7222222222210029E-3</v>
      </c>
      <c r="F148" s="1" t="s">
        <v>3</v>
      </c>
    </row>
    <row r="149" spans="1:7" x14ac:dyDescent="0.25">
      <c r="A149" s="11">
        <v>42125</v>
      </c>
      <c r="B149" s="7">
        <v>0.8979166666666667</v>
      </c>
      <c r="C149" s="7">
        <v>0.90833333333333333</v>
      </c>
      <c r="D149" s="7">
        <f>(0.908333333333333-0.897916666666667)</f>
        <v>1.0416666666665964E-2</v>
      </c>
      <c r="E149" s="7">
        <f>ABS(0.010416666666666-0.00902777777777797)</f>
        <v>1.3888888888880305E-3</v>
      </c>
      <c r="F149" s="1" t="s">
        <v>3</v>
      </c>
    </row>
    <row r="150" spans="1:7" x14ac:dyDescent="0.25">
      <c r="A150" s="11">
        <v>42125</v>
      </c>
      <c r="B150" s="7">
        <v>0.9375</v>
      </c>
      <c r="C150" s="7">
        <v>0.94652777777777775</v>
      </c>
      <c r="D150" s="7">
        <f>(0.946527777777778-0.9375)</f>
        <v>9.0277777777779677E-3</v>
      </c>
      <c r="E150" s="7">
        <f>ABS(0.00902777777777797-0.00347222222222987)</f>
        <v>5.5555555555480991E-3</v>
      </c>
      <c r="F150" s="1" t="s">
        <v>3</v>
      </c>
    </row>
    <row r="151" spans="1:7" x14ac:dyDescent="0.25">
      <c r="A151" s="11">
        <v>42125</v>
      </c>
      <c r="B151" s="7">
        <v>1.0333333333333334</v>
      </c>
      <c r="C151" s="7">
        <v>1.0368055555555555</v>
      </c>
      <c r="D151" s="7">
        <f>(1.03680555555556-1.03333333333333)</f>
        <v>3.4722222222298704E-3</v>
      </c>
      <c r="E151" s="7">
        <f>ABS(0.00347222222222987-0.0048611111111111)</f>
        <v>1.3888888888812299E-3</v>
      </c>
      <c r="F151" s="1" t="s">
        <v>3</v>
      </c>
    </row>
    <row r="152" spans="1:7" x14ac:dyDescent="0.25">
      <c r="A152" s="11">
        <v>42125</v>
      </c>
      <c r="B152" s="7">
        <v>5.9722222222222225E-2</v>
      </c>
      <c r="C152" s="7">
        <v>6.458333333333334E-2</v>
      </c>
      <c r="D152" s="7">
        <f>(0.0645833333333333-0.0597222222222222)</f>
        <v>4.8611111111111008E-3</v>
      </c>
      <c r="E152" s="7">
        <f>ABS(0.0048611111111111-0.00416666666666698)</f>
        <v>6.9444444444412019E-4</v>
      </c>
      <c r="F152" s="1" t="s">
        <v>3</v>
      </c>
    </row>
    <row r="153" spans="1:7" x14ac:dyDescent="0.25">
      <c r="A153" s="11">
        <v>42125</v>
      </c>
      <c r="B153" s="7">
        <v>0.26874999999999999</v>
      </c>
      <c r="C153" s="7">
        <v>0.27291666666666664</v>
      </c>
      <c r="D153" s="7">
        <f>(0.272916666666667-0.26875)</f>
        <v>4.1666666666669849E-3</v>
      </c>
      <c r="E153" s="7">
        <f>ABS(0.00416666666666698-0.010416666666666)</f>
        <v>6.2499999999990202E-3</v>
      </c>
      <c r="F153" s="1" t="s">
        <v>3</v>
      </c>
    </row>
    <row r="154" spans="1:7" x14ac:dyDescent="0.25">
      <c r="A154" s="11">
        <v>42125</v>
      </c>
      <c r="B154" s="7">
        <v>0.31041666666666667</v>
      </c>
      <c r="C154" s="7">
        <v>0.32083333333333336</v>
      </c>
      <c r="D154" s="7">
        <f>(0.320833333333333-0.310416666666667)</f>
        <v>1.0416666666666019E-2</v>
      </c>
      <c r="E154" s="7">
        <f>ABS(0.010416666666666-0.00555555555555498)</f>
        <v>4.8611111111110201E-3</v>
      </c>
      <c r="F154" s="1" t="s">
        <v>3</v>
      </c>
    </row>
    <row r="155" spans="1:7" x14ac:dyDescent="0.25">
      <c r="A155" s="11">
        <v>42125</v>
      </c>
      <c r="B155" s="7">
        <v>0.31388888888888888</v>
      </c>
      <c r="C155" s="7">
        <v>0.31944444444444448</v>
      </c>
      <c r="D155" s="7">
        <f>(0.319444444444444-0.313888888888889)</f>
        <v>5.5555555555549807E-3</v>
      </c>
      <c r="E155" s="7">
        <f>ABS(0.00555555555555498-0.00416666666666698)</f>
        <v>1.3888888888880001E-3</v>
      </c>
      <c r="F155" s="1" t="s">
        <v>3</v>
      </c>
    </row>
    <row r="156" spans="1:7" x14ac:dyDescent="0.25">
      <c r="A156" s="11">
        <v>42125</v>
      </c>
      <c r="B156" s="7">
        <v>0.32500000000000001</v>
      </c>
      <c r="C156" s="7">
        <v>0.32916666666666666</v>
      </c>
      <c r="D156" s="7">
        <f>(0.329166666666667-0.325)</f>
        <v>4.1666666666669849E-3</v>
      </c>
      <c r="E156" s="7">
        <f>ABS(0.00416666666666698-0.0034722222222231)</f>
        <v>6.9444444444387993E-4</v>
      </c>
      <c r="F156" s="1" t="s">
        <v>3</v>
      </c>
    </row>
    <row r="157" spans="1:7" x14ac:dyDescent="0.25">
      <c r="A157" s="11">
        <v>42125</v>
      </c>
      <c r="B157" s="7">
        <v>0.63958333333333328</v>
      </c>
      <c r="C157" s="7">
        <v>0.6430555555555556</v>
      </c>
      <c r="D157" s="7">
        <f>(0.643055555555556-0.639583333333333)</f>
        <v>3.4722222222230981E-3</v>
      </c>
      <c r="E157" s="7">
        <f>ABS(0.0034722222222231-0.00347222222222299)</f>
        <v>1.0972125985553305E-16</v>
      </c>
      <c r="F157" s="1" t="s">
        <v>3</v>
      </c>
    </row>
    <row r="158" spans="1:7" x14ac:dyDescent="0.25">
      <c r="A158" s="11">
        <v>42125</v>
      </c>
      <c r="B158" s="7">
        <v>0.77708333333333324</v>
      </c>
      <c r="C158" s="7">
        <v>0.78055555555555556</v>
      </c>
      <c r="D158" s="7">
        <f>(0.780555555555556-0.777083333333333)</f>
        <v>3.472222222222987E-3</v>
      </c>
      <c r="E158" s="7">
        <f>ABS(0.00347222222222299-0.0118055555555561)</f>
        <v>8.3333333333331094E-3</v>
      </c>
      <c r="F158" s="1" t="s">
        <v>3</v>
      </c>
      <c r="G158" s="4"/>
    </row>
    <row r="159" spans="1:7" x14ac:dyDescent="0.25">
      <c r="A159" s="11">
        <v>42125</v>
      </c>
      <c r="B159" s="7">
        <v>0.8847222222222223</v>
      </c>
      <c r="C159" s="7">
        <v>0.8965277777777777</v>
      </c>
      <c r="D159" s="7">
        <f>(0.896527777777778-0.884722222222222)</f>
        <v>1.1805555555556069E-2</v>
      </c>
      <c r="E159" s="7">
        <f>ABS(0.0118055555555561-0.0034722222222231)</f>
        <v>8.3333333333330002E-3</v>
      </c>
      <c r="F159" s="1" t="s">
        <v>3</v>
      </c>
    </row>
    <row r="160" spans="1:7" x14ac:dyDescent="0.25">
      <c r="A160" s="11">
        <v>42125</v>
      </c>
      <c r="B160" s="7">
        <v>0.9194444444444444</v>
      </c>
      <c r="C160" s="7">
        <v>0.92291666666666661</v>
      </c>
      <c r="D160" s="7">
        <f>(0.922916666666667-0.919444444444444)</f>
        <v>3.4722222222230981E-3</v>
      </c>
      <c r="E160" s="7">
        <f>ABS(0.0034722222222231-0.0201388888888889)</f>
        <v>1.6666666666665803E-2</v>
      </c>
      <c r="F160" s="1" t="s">
        <v>3</v>
      </c>
    </row>
    <row r="161" spans="1:6" x14ac:dyDescent="0.25">
      <c r="A161" s="11">
        <v>42125</v>
      </c>
      <c r="B161" s="7">
        <v>0.92499999999999993</v>
      </c>
      <c r="C161" s="7">
        <v>0.94513888888888886</v>
      </c>
      <c r="D161" s="7">
        <f>(0.945138888888889-0.925)</f>
        <v>2.0138888888888928E-2</v>
      </c>
      <c r="E161" s="7">
        <f>ABS(0.0201388888888889-0.0104166666666661)</f>
        <v>9.7222222222228E-3</v>
      </c>
      <c r="F161" s="1" t="s">
        <v>3</v>
      </c>
    </row>
    <row r="162" spans="1:6" x14ac:dyDescent="0.25">
      <c r="A162" s="11">
        <v>42125</v>
      </c>
      <c r="B162" s="7">
        <v>0.97777777777777775</v>
      </c>
      <c r="C162" s="7">
        <v>0.98819444444444438</v>
      </c>
      <c r="D162" s="7">
        <f>(0.988194444444444-0.977777777777778)</f>
        <v>1.0416666666666075E-2</v>
      </c>
      <c r="E162" s="7">
        <f>ABS(0.0104166666666661-0.0097222222222223)</f>
        <v>6.9444444444380013E-4</v>
      </c>
      <c r="F162" s="1" t="s">
        <v>3</v>
      </c>
    </row>
    <row r="163" spans="1:6" x14ac:dyDescent="0.25">
      <c r="A163" s="11">
        <v>42125</v>
      </c>
      <c r="B163" s="7">
        <v>4.5833333333333337E-2</v>
      </c>
      <c r="C163" s="7">
        <v>5.5555555555555552E-2</v>
      </c>
      <c r="D163" s="7">
        <f>(0.0555555555555556-0.0458333333333333)</f>
        <v>9.7222222222222987E-3</v>
      </c>
      <c r="E163" s="7">
        <f>ABS(0.0097222222222223-0.035416666666667)</f>
        <v>2.56944444444447E-2</v>
      </c>
      <c r="F163" s="1" t="s">
        <v>3</v>
      </c>
    </row>
    <row r="164" spans="1:6" x14ac:dyDescent="0.25">
      <c r="A164" s="11">
        <v>42125</v>
      </c>
      <c r="B164" s="7">
        <v>9.375E-2</v>
      </c>
      <c r="C164" s="7">
        <v>0.12916666666666668</v>
      </c>
      <c r="D164" s="7">
        <f>(0.129166666666667-0.09375)</f>
        <v>3.5416666666667013E-2</v>
      </c>
      <c r="E164" s="7">
        <f>ABS(0.035416666666667-0.00416666666666701)</f>
        <v>3.124999999999999E-2</v>
      </c>
      <c r="F164" s="1" t="s">
        <v>3</v>
      </c>
    </row>
    <row r="165" spans="1:6" x14ac:dyDescent="0.25">
      <c r="A165" s="11">
        <v>42125</v>
      </c>
      <c r="B165" s="7">
        <v>0.15138888888888888</v>
      </c>
      <c r="C165" s="7">
        <v>0.15555555555555556</v>
      </c>
      <c r="D165" s="7">
        <f>(0.155555555555556-0.151388888888889)</f>
        <v>4.1666666666670127E-3</v>
      </c>
      <c r="E165" s="7">
        <f>ABS(0.00416666666666701-0.009027777777778)</f>
        <v>4.8611111111109906E-3</v>
      </c>
      <c r="F165" s="1" t="s">
        <v>3</v>
      </c>
    </row>
    <row r="166" spans="1:6" x14ac:dyDescent="0.25">
      <c r="A166" s="11">
        <v>42125</v>
      </c>
      <c r="B166" s="7">
        <v>0.14652777777777778</v>
      </c>
      <c r="C166" s="7">
        <v>0.15555555555555556</v>
      </c>
      <c r="D166" s="7">
        <f>(0.155555555555556-0.146527777777778)</f>
        <v>9.0277777777779955E-3</v>
      </c>
      <c r="E166" s="7">
        <f>ABS(0.009027777777778-0.238194444444444)</f>
        <v>0.22916666666666599</v>
      </c>
      <c r="F166" s="1" t="s">
        <v>3</v>
      </c>
    </row>
    <row r="167" spans="1:6" x14ac:dyDescent="0.25">
      <c r="A167" s="11">
        <v>42125</v>
      </c>
      <c r="B167" s="7">
        <v>0.27777777777777779</v>
      </c>
      <c r="C167" s="7">
        <v>0.51597222222222217</v>
      </c>
      <c r="D167" s="7">
        <f>(0.515972222222222-0.277777777777778)</f>
        <v>0.23819444444444404</v>
      </c>
      <c r="E167" s="7">
        <f>ABS(0.238194444444444-0.00763888888888908)</f>
        <v>0.2305555555555549</v>
      </c>
      <c r="F167" s="1" t="s">
        <v>3</v>
      </c>
    </row>
    <row r="168" spans="1:6" x14ac:dyDescent="0.25">
      <c r="A168" s="11">
        <v>42125</v>
      </c>
      <c r="B168" s="7">
        <v>0.54027777777777775</v>
      </c>
      <c r="C168" s="7">
        <v>0.54791666666666672</v>
      </c>
      <c r="D168" s="7">
        <f>(0.547916666666667-0.540277777777778)</f>
        <v>7.6388888888890838E-3</v>
      </c>
      <c r="E168" s="7">
        <f>ABS(0.00763888888888908-0.035416666666667)</f>
        <v>2.7777777777777918E-2</v>
      </c>
      <c r="F168" s="1" t="s">
        <v>3</v>
      </c>
    </row>
    <row r="169" spans="1:6" x14ac:dyDescent="0.25">
      <c r="A169" s="11">
        <v>42125</v>
      </c>
      <c r="B169" s="7">
        <v>0.62708333333333333</v>
      </c>
      <c r="C169" s="7">
        <v>0.66249999999999998</v>
      </c>
      <c r="D169" s="7">
        <f>(0.6625-0.627083333333333)</f>
        <v>3.5416666666666985E-2</v>
      </c>
      <c r="E169" s="7">
        <f>ABS(0.035416666666667-0.011805555555556)</f>
        <v>2.3611111111110999E-2</v>
      </c>
      <c r="F169" s="1" t="s">
        <v>3</v>
      </c>
    </row>
    <row r="170" spans="1:6" x14ac:dyDescent="0.25">
      <c r="A170" s="11">
        <v>42125</v>
      </c>
      <c r="B170" s="7">
        <v>0.61944444444444446</v>
      </c>
      <c r="C170" s="7">
        <v>0.63124999999999998</v>
      </c>
      <c r="D170" s="7">
        <f>(0.63125-0.619444444444444)</f>
        <v>1.1805555555555958E-2</v>
      </c>
      <c r="E170" s="7">
        <f>ABS(0.011805555555556-0.0215277777777779)</f>
        <v>9.7222222222218997E-3</v>
      </c>
      <c r="F170" s="1" t="s">
        <v>3</v>
      </c>
    </row>
    <row r="171" spans="1:6" x14ac:dyDescent="0.25">
      <c r="A171" s="11">
        <v>42125</v>
      </c>
      <c r="B171" s="7">
        <v>0.70624999999999993</v>
      </c>
      <c r="C171" s="7">
        <v>0.72777777777777775</v>
      </c>
      <c r="D171" s="7">
        <f>(0.727777777777778-0.70625)</f>
        <v>2.1527777777777923E-2</v>
      </c>
      <c r="E171" s="7">
        <f>ABS(0.0215277777777779-0.00624999999999998)</f>
        <v>1.5277777777777918E-2</v>
      </c>
      <c r="F171" s="1" t="s">
        <v>3</v>
      </c>
    </row>
    <row r="172" spans="1:6" x14ac:dyDescent="0.25">
      <c r="A172" s="11">
        <v>42125</v>
      </c>
      <c r="B172" s="7">
        <v>0.72152777777777777</v>
      </c>
      <c r="C172" s="7">
        <v>0.72777777777777775</v>
      </c>
      <c r="D172" s="7">
        <f>(0.727777777777778-0.721527777777778)</f>
        <v>6.2499999999999778E-3</v>
      </c>
      <c r="E172" s="7">
        <f>ABS(0.00624999999999998-0.0118055555555561)</f>
        <v>5.5555555555561196E-3</v>
      </c>
      <c r="F172" s="1" t="s">
        <v>3</v>
      </c>
    </row>
    <row r="173" spans="1:6" x14ac:dyDescent="0.25">
      <c r="A173" s="11">
        <v>42125</v>
      </c>
      <c r="B173" s="7">
        <v>0.8222222222222223</v>
      </c>
      <c r="C173" s="7">
        <v>0.8340277777777777</v>
      </c>
      <c r="D173" s="7">
        <f>(0.834027777777778-0.822222222222222)</f>
        <v>1.1805555555556069E-2</v>
      </c>
      <c r="E173" s="7">
        <f>ABS(0.0118055555555561-0.0145833333333331)</f>
        <v>2.7777777777769994E-3</v>
      </c>
      <c r="F173" s="1" t="s">
        <v>3</v>
      </c>
    </row>
    <row r="174" spans="1:6" x14ac:dyDescent="0.25">
      <c r="A174" s="11">
        <v>42125</v>
      </c>
      <c r="B174" s="7">
        <v>0.78402777777777777</v>
      </c>
      <c r="C174" s="7">
        <v>0.79861111111111116</v>
      </c>
      <c r="D174" s="7">
        <f>(0.798611111111111-0.784027777777778)</f>
        <v>1.4583333333333059E-2</v>
      </c>
      <c r="E174" s="7">
        <f>ABS(0.0145833333333331-0.00624999999999998)</f>
        <v>8.3333333333331198E-3</v>
      </c>
      <c r="F174" s="1" t="s">
        <v>3</v>
      </c>
    </row>
    <row r="175" spans="1:6" x14ac:dyDescent="0.25">
      <c r="A175" s="11">
        <v>42125</v>
      </c>
      <c r="B175" s="7">
        <v>0.86388888888888893</v>
      </c>
      <c r="C175" s="7">
        <v>0.87013888888888891</v>
      </c>
      <c r="D175" s="7">
        <f>(0.870138888888889-0.863888888888889)</f>
        <v>6.2499999999999778E-3</v>
      </c>
      <c r="E175" s="7">
        <f>ABS(0.00624999999999998-0.0111111111111111)</f>
        <v>4.861111111111119E-3</v>
      </c>
      <c r="F175" s="1" t="s">
        <v>3</v>
      </c>
    </row>
    <row r="176" spans="1:6" x14ac:dyDescent="0.25">
      <c r="A176" s="11">
        <v>42125</v>
      </c>
      <c r="B176" s="7">
        <v>0.95000000000000007</v>
      </c>
      <c r="C176" s="7">
        <v>0.96111111111111114</v>
      </c>
      <c r="D176" s="7">
        <f>(0.961111111111111-0.95)</f>
        <v>1.1111111111111072E-2</v>
      </c>
      <c r="E176" s="7">
        <f>ABS(0.0111111111111111-0.022222222222222)</f>
        <v>1.1111111111110902E-2</v>
      </c>
      <c r="F176" s="1" t="s">
        <v>3</v>
      </c>
    </row>
    <row r="177" spans="1:6" x14ac:dyDescent="0.25">
      <c r="A177" s="11">
        <v>42125</v>
      </c>
      <c r="B177" s="7">
        <v>0.21736111111111112</v>
      </c>
      <c r="C177" s="7">
        <v>0.23958333333333334</v>
      </c>
      <c r="D177" s="7">
        <f>(0.239583333333333-0.217361111111111)</f>
        <v>2.2222222222222004E-2</v>
      </c>
      <c r="E177" s="7">
        <f>ABS(0.022222222222222-0.015277777777778)</f>
        <v>6.9444444444440017E-3</v>
      </c>
      <c r="F177" s="1" t="s">
        <v>3</v>
      </c>
    </row>
    <row r="178" spans="1:6" x14ac:dyDescent="0.25">
      <c r="A178" s="11">
        <v>42125</v>
      </c>
      <c r="B178" s="7">
        <v>0.31597222222222221</v>
      </c>
      <c r="C178" s="7">
        <v>0.33124999999999999</v>
      </c>
      <c r="D178" s="7">
        <f>(0.33125-0.315972222222222)</f>
        <v>1.5277777777778001E-2</v>
      </c>
      <c r="E178" s="7">
        <f>ABS(0.015277777777778-0.011805555555555)</f>
        <v>3.4722222222229992E-3</v>
      </c>
      <c r="F178" s="1" t="s">
        <v>3</v>
      </c>
    </row>
    <row r="179" spans="1:6" x14ac:dyDescent="0.25">
      <c r="A179" s="11">
        <v>42125</v>
      </c>
      <c r="B179" s="7">
        <v>0.47916666666666669</v>
      </c>
      <c r="C179" s="7">
        <v>0.4909722222222222</v>
      </c>
      <c r="D179" s="7">
        <f>(0.490972222222222-0.479166666666667)</f>
        <v>1.1805555555554959E-2</v>
      </c>
      <c r="E179" s="7">
        <f>ABS(0.011805555555555-0.00416666666666698)</f>
        <v>7.6388888888880204E-3</v>
      </c>
      <c r="F179" s="1" t="s">
        <v>3</v>
      </c>
    </row>
    <row r="180" spans="1:6" x14ac:dyDescent="0.25">
      <c r="A180" s="11">
        <v>42125</v>
      </c>
      <c r="B180" s="7">
        <v>0.62569444444444444</v>
      </c>
      <c r="C180" s="7">
        <v>0.62986111111111109</v>
      </c>
      <c r="D180" s="7">
        <f>(0.629861111111111-0.625694444444444)</f>
        <v>4.1666666666669849E-3</v>
      </c>
      <c r="E180" s="7">
        <f>ABS(0.00416666666666698-0.00694444444444403)</f>
        <v>2.7777777777770506E-3</v>
      </c>
      <c r="F180" s="1" t="s">
        <v>3</v>
      </c>
    </row>
    <row r="181" spans="1:6" x14ac:dyDescent="0.25">
      <c r="A181" s="11">
        <v>42125</v>
      </c>
      <c r="B181" s="7">
        <v>0.44027777777777777</v>
      </c>
      <c r="C181" s="7">
        <v>0.44722222222222219</v>
      </c>
      <c r="D181" s="7">
        <f>(0.447222222222222-0.440277777777778)</f>
        <v>6.9444444444440312E-3</v>
      </c>
      <c r="E181" s="7">
        <f>ABS(0.00694444444444403-0.011111111111111)</f>
        <v>4.1666666666669702E-3</v>
      </c>
      <c r="F181" s="1" t="s">
        <v>3</v>
      </c>
    </row>
    <row r="182" spans="1:6" x14ac:dyDescent="0.25">
      <c r="A182" s="11">
        <v>42125</v>
      </c>
      <c r="B182" s="7">
        <v>0.46527777777777773</v>
      </c>
      <c r="C182" s="7">
        <v>0.47638888888888892</v>
      </c>
      <c r="D182" s="7">
        <f>(0.476388888888889-0.465277777777778)</f>
        <v>1.1111111111110961E-2</v>
      </c>
      <c r="E182" s="7">
        <f>ABS(0.011111111111111-0.013888888888889)</f>
        <v>2.7777777777779986E-3</v>
      </c>
      <c r="F182" s="1" t="s">
        <v>3</v>
      </c>
    </row>
    <row r="183" spans="1:6" x14ac:dyDescent="0.25">
      <c r="A183" s="11">
        <v>42125</v>
      </c>
      <c r="B183" s="7">
        <v>0.74513888888888891</v>
      </c>
      <c r="C183" s="7">
        <v>0.75902777777777775</v>
      </c>
      <c r="D183" s="7">
        <f>(0.759027777777778-0.745138888888889)</f>
        <v>1.3888888888888951E-2</v>
      </c>
      <c r="E183" s="7">
        <f>ABS(0.013888888888889-0.00416666666666698)</f>
        <v>9.7222222222220194E-3</v>
      </c>
      <c r="F183" s="1" t="s">
        <v>3</v>
      </c>
    </row>
    <row r="184" spans="1:6" x14ac:dyDescent="0.25">
      <c r="A184" s="11">
        <v>42125</v>
      </c>
      <c r="B184" s="7">
        <v>0.8208333333333333</v>
      </c>
      <c r="C184" s="7">
        <v>0.82500000000000007</v>
      </c>
      <c r="D184" s="7">
        <f>(0.825-0.820833333333333)</f>
        <v>4.1666666666669849E-3</v>
      </c>
      <c r="E184" s="7">
        <f>ABS(0.00416666666666698-0.0104166666666666)</f>
        <v>6.2499999999996204E-3</v>
      </c>
      <c r="F184" s="1" t="s">
        <v>3</v>
      </c>
    </row>
    <row r="185" spans="1:6" x14ac:dyDescent="0.25">
      <c r="A185" s="11">
        <v>42125</v>
      </c>
      <c r="B185" s="7">
        <v>8.0555555555555561E-2</v>
      </c>
      <c r="C185" s="7">
        <v>9.0972222222222218E-2</v>
      </c>
      <c r="D185" s="7">
        <f>(0.0909722222222222-0.0805555555555556)</f>
        <v>1.0416666666666602E-2</v>
      </c>
      <c r="E185" s="7">
        <f>ABS(0.0104166666666666-0.00624999999999998)</f>
        <v>4.1666666666666198E-3</v>
      </c>
      <c r="F185" s="1" t="s">
        <v>3</v>
      </c>
    </row>
    <row r="186" spans="1:6" x14ac:dyDescent="0.25">
      <c r="A186" s="11">
        <v>42125</v>
      </c>
      <c r="B186" s="7">
        <v>0.52569444444444446</v>
      </c>
      <c r="C186" s="7">
        <v>0.53194444444444444</v>
      </c>
      <c r="D186" s="7">
        <f>(0.531944444444444-0.525694444444444)</f>
        <v>6.2499999999999778E-3</v>
      </c>
      <c r="E186" s="7">
        <f>ABS(0.00624999999999998-0.00694444444444409)</f>
        <v>6.9444444444410978E-4</v>
      </c>
      <c r="F186" s="1" t="s">
        <v>3</v>
      </c>
    </row>
    <row r="187" spans="1:6" x14ac:dyDescent="0.25">
      <c r="A187" s="11">
        <v>42125</v>
      </c>
      <c r="B187" s="7">
        <v>0.67013888888888884</v>
      </c>
      <c r="C187" s="7">
        <v>0.67708333333333337</v>
      </c>
      <c r="D187" s="7">
        <f>(0.677083333333333-0.670138888888889)</f>
        <v>6.9444444444440867E-3</v>
      </c>
      <c r="E187" s="7">
        <f>ABS(0.00694444444444409-0.00902777777777797)</f>
        <v>2.0833333333338793E-3</v>
      </c>
      <c r="F187" s="1" t="s">
        <v>3</v>
      </c>
    </row>
    <row r="188" spans="1:6" x14ac:dyDescent="0.25">
      <c r="A188" s="11">
        <v>42125</v>
      </c>
      <c r="B188" s="7">
        <v>0.73611111111111116</v>
      </c>
      <c r="C188" s="7">
        <v>0.74513888888888891</v>
      </c>
      <c r="D188" s="7">
        <f>(0.745138888888889-0.736111111111111)</f>
        <v>9.0277777777779677E-3</v>
      </c>
      <c r="E188" s="7">
        <f>ABS(0.00902777777777797-0.00486111111111098)</f>
        <v>4.1666666666669893E-3</v>
      </c>
      <c r="F188" s="1" t="s">
        <v>3</v>
      </c>
    </row>
    <row r="189" spans="1:6" x14ac:dyDescent="0.25">
      <c r="A189" s="11">
        <v>42125</v>
      </c>
      <c r="B189" s="7">
        <v>0.71597222222222223</v>
      </c>
      <c r="C189" s="7">
        <v>0.72083333333333333</v>
      </c>
      <c r="D189" s="7">
        <f>(0.720833333333333-0.715972222222222)</f>
        <v>4.8611111111109828E-3</v>
      </c>
      <c r="E189" s="7">
        <f>ABS(0.00486111111111098-0.00833333333333297)</f>
        <v>3.4722222222219904E-3</v>
      </c>
      <c r="F189" s="1" t="s">
        <v>3</v>
      </c>
    </row>
    <row r="190" spans="1:6" x14ac:dyDescent="0.25">
      <c r="A190" s="11">
        <v>42125</v>
      </c>
      <c r="B190" s="7">
        <v>0.94166666666666676</v>
      </c>
      <c r="C190" s="7">
        <v>0.95000000000000007</v>
      </c>
      <c r="D190" s="7">
        <f>(0.95-0.941666666666667)</f>
        <v>8.3333333333329707E-3</v>
      </c>
      <c r="E190" s="7">
        <f>ABS(0.00833333333333297-0.007638888888889)</f>
        <v>6.94444444443971E-4</v>
      </c>
      <c r="F190" s="1" t="s">
        <v>3</v>
      </c>
    </row>
    <row r="191" spans="1:6" x14ac:dyDescent="0.25">
      <c r="A191" s="11">
        <v>42125</v>
      </c>
      <c r="B191" s="7">
        <v>0.10902777777777778</v>
      </c>
      <c r="C191" s="7">
        <v>0.11666666666666665</v>
      </c>
      <c r="D191" s="7">
        <f>(0.116666666666667-0.109027777777778)</f>
        <v>7.6388888888890005E-3</v>
      </c>
      <c r="E191" s="7">
        <f>ABS(0.007638888888889-0.014583333333334)</f>
        <v>6.944444444445E-3</v>
      </c>
      <c r="F191" s="1" t="s">
        <v>3</v>
      </c>
    </row>
    <row r="192" spans="1:6" x14ac:dyDescent="0.25">
      <c r="A192" s="11">
        <v>42125</v>
      </c>
      <c r="B192" s="7">
        <v>0.48472222222222222</v>
      </c>
      <c r="C192" s="7">
        <v>0.4993055555555555</v>
      </c>
      <c r="D192" s="7">
        <f>(0.499305555555556-0.484722222222222)</f>
        <v>1.4583333333334003E-2</v>
      </c>
      <c r="E192" s="7">
        <f>ABS(0.014583333333334-0.010416666666667)</f>
        <v>4.1666666666670005E-3</v>
      </c>
      <c r="F192" s="1" t="s">
        <v>3</v>
      </c>
    </row>
    <row r="193" spans="1:6" x14ac:dyDescent="0.25">
      <c r="A193" s="11">
        <v>42125</v>
      </c>
      <c r="B193" s="7">
        <v>0.52361111111111114</v>
      </c>
      <c r="C193" s="7">
        <v>0.53402777777777777</v>
      </c>
      <c r="D193" s="7">
        <f>(0.534027777777778-0.523611111111111)</f>
        <v>1.0416666666666963E-2</v>
      </c>
      <c r="E193" s="7">
        <f>ABS(0.010416666666667-0.00208333333333299)</f>
        <v>8.3333333333340098E-3</v>
      </c>
      <c r="F193" s="1" t="s">
        <v>3</v>
      </c>
    </row>
    <row r="194" spans="1:6" x14ac:dyDescent="0.25">
      <c r="A194" s="11">
        <v>42125</v>
      </c>
      <c r="B194" s="7">
        <v>0.55555555555555558</v>
      </c>
      <c r="C194" s="7">
        <v>0.55763888888888891</v>
      </c>
      <c r="D194" s="7">
        <f>(0.557638888888889-0.555555555555556)</f>
        <v>2.0833333333329929E-3</v>
      </c>
      <c r="E194" s="7">
        <f>ABS(0.00208333333333299-0.00486111111111098)</f>
        <v>2.7777777777779904E-3</v>
      </c>
      <c r="F194" s="1" t="s">
        <v>3</v>
      </c>
    </row>
    <row r="195" spans="1:6" x14ac:dyDescent="0.25">
      <c r="A195" s="11">
        <v>42125</v>
      </c>
      <c r="B195" s="7">
        <v>0.67222222222222217</v>
      </c>
      <c r="C195" s="7">
        <v>0.67708333333333337</v>
      </c>
      <c r="D195" s="7">
        <f>(0.677083333333333-0.672222222222222)</f>
        <v>4.8611111111109828E-3</v>
      </c>
      <c r="E195" s="7">
        <f>ABS(0.00486111111111098-0.0118055555555551)</f>
        <v>6.9444444444441205E-3</v>
      </c>
      <c r="F195" s="1" t="s">
        <v>3</v>
      </c>
    </row>
    <row r="196" spans="1:6" x14ac:dyDescent="0.25">
      <c r="A196" s="11">
        <v>42125</v>
      </c>
      <c r="B196" s="7">
        <v>0.79513888888888884</v>
      </c>
      <c r="C196" s="7">
        <v>0.80694444444444446</v>
      </c>
      <c r="D196" s="7">
        <f>(0.806944444444444-0.795138888888889)</f>
        <v>1.180555555555507E-2</v>
      </c>
      <c r="E196" s="7">
        <f>ABS(0.0118055555555551-0.010416666666666)</f>
        <v>1.3888888888891008E-3</v>
      </c>
      <c r="F196" s="1" t="s">
        <v>3</v>
      </c>
    </row>
    <row r="197" spans="1:6" x14ac:dyDescent="0.25">
      <c r="A197" s="11">
        <v>42125</v>
      </c>
      <c r="B197" s="7">
        <v>0.82916666666666661</v>
      </c>
      <c r="C197" s="7">
        <v>0.83958333333333324</v>
      </c>
      <c r="D197" s="7">
        <f>(0.839583333333333-0.829166666666667)</f>
        <v>1.0416666666665964E-2</v>
      </c>
      <c r="E197" s="7">
        <f>ABS(0.010416666666666-0.00486111111111098)</f>
        <v>5.5555555555550197E-3</v>
      </c>
      <c r="F197" s="1" t="s">
        <v>3</v>
      </c>
    </row>
    <row r="198" spans="1:6" x14ac:dyDescent="0.25">
      <c r="A198" s="11">
        <v>42125</v>
      </c>
      <c r="B198" s="7">
        <v>0.84027777777777779</v>
      </c>
      <c r="C198" s="7">
        <v>0.84513888888888899</v>
      </c>
      <c r="D198" s="7">
        <f>(0.845138888888889-0.840277777777778)</f>
        <v>4.8611111111109828E-3</v>
      </c>
      <c r="E198" s="7">
        <f>ABS(0.00486111111111098-0.007638888888889)</f>
        <v>2.7777777777780194E-3</v>
      </c>
      <c r="F198" s="1" t="s">
        <v>3</v>
      </c>
    </row>
    <row r="199" spans="1:6" x14ac:dyDescent="0.25">
      <c r="A199" s="11">
        <v>42125</v>
      </c>
      <c r="B199" s="7">
        <v>0.13749999999999998</v>
      </c>
      <c r="C199" s="7">
        <v>0.1451388888888889</v>
      </c>
      <c r="D199" s="7">
        <f>(0.145138888888889-0.1375)</f>
        <v>7.6388888888890005E-3</v>
      </c>
      <c r="E199" s="7">
        <f>ABS(0.007638888888889-0.00416666666666698)</f>
        <v>3.4722222222220199E-3</v>
      </c>
      <c r="F199" s="1" t="s">
        <v>3</v>
      </c>
    </row>
    <row r="200" spans="1:6" x14ac:dyDescent="0.25">
      <c r="A200" s="11">
        <v>42125</v>
      </c>
      <c r="B200" s="7">
        <v>0.375</v>
      </c>
      <c r="C200" s="7">
        <v>0.37916666666666665</v>
      </c>
      <c r="D200" s="7">
        <f>(0.379166666666667-0.375)</f>
        <v>4.1666666666669849E-3</v>
      </c>
      <c r="E200" s="7">
        <f>ABS(0.00416666666666698-0.00555555555555598)</f>
        <v>1.3888888888890002E-3</v>
      </c>
      <c r="F200" s="1" t="s">
        <v>3</v>
      </c>
    </row>
    <row r="201" spans="1:6" x14ac:dyDescent="0.25">
      <c r="A201" s="11">
        <v>42125</v>
      </c>
      <c r="B201" s="7">
        <v>0.52361111111111114</v>
      </c>
      <c r="C201" s="7">
        <v>0.52916666666666667</v>
      </c>
      <c r="D201" s="7">
        <f>(0.529166666666667-0.523611111111111)</f>
        <v>5.5555555555559799E-3</v>
      </c>
      <c r="E201" s="7">
        <f>ABS(0.00555555555555598-0.0034722222222231)</f>
        <v>2.0833333333328801E-3</v>
      </c>
      <c r="F201" s="1" t="s">
        <v>3</v>
      </c>
    </row>
    <row r="202" spans="1:6" x14ac:dyDescent="0.25">
      <c r="A202" s="11">
        <v>42125</v>
      </c>
      <c r="B202" s="7">
        <v>0.79583333333333339</v>
      </c>
      <c r="C202" s="7">
        <v>0.7993055555555556</v>
      </c>
      <c r="D202" s="7">
        <f>(0.799305555555556-0.795833333333333)</f>
        <v>3.4722222222230981E-3</v>
      </c>
      <c r="E202" s="7">
        <f>ABS(0.0034722222222231-0.00555555555555509)</f>
        <v>2.0833333333319902E-3</v>
      </c>
      <c r="F202" s="1" t="s">
        <v>3</v>
      </c>
    </row>
    <row r="203" spans="1:6" x14ac:dyDescent="0.25">
      <c r="A203" s="11">
        <v>42125</v>
      </c>
      <c r="B203" s="7">
        <v>0.79652777777777783</v>
      </c>
      <c r="C203" s="7">
        <v>0.80208333333333337</v>
      </c>
      <c r="D203" s="7">
        <f>(0.802083333333333-0.796527777777778)</f>
        <v>5.5555555555550917E-3</v>
      </c>
      <c r="E203" s="7">
        <f>ABS(0.00555555555555509-0.011805555555555)</f>
        <v>6.2499999999999101E-3</v>
      </c>
      <c r="F203" s="1" t="s">
        <v>3</v>
      </c>
    </row>
    <row r="204" spans="1:6" x14ac:dyDescent="0.25">
      <c r="A204" s="11">
        <v>42125</v>
      </c>
      <c r="B204" s="7">
        <v>0.28402777777777777</v>
      </c>
      <c r="C204" s="7">
        <v>0.29583333333333334</v>
      </c>
      <c r="D204" s="7">
        <f>(0.295833333333333-0.284027777777778)</f>
        <v>1.1805555555555014E-2</v>
      </c>
      <c r="E204" s="7">
        <f>ABS(0.011805555555555-0.031944444444445)</f>
        <v>2.0138888888889997E-2</v>
      </c>
      <c r="F204" s="1" t="s">
        <v>3</v>
      </c>
    </row>
    <row r="205" spans="1:6" x14ac:dyDescent="0.25">
      <c r="A205" s="11">
        <v>42125</v>
      </c>
      <c r="B205" s="7">
        <v>0.93055555555555547</v>
      </c>
      <c r="C205" s="7">
        <v>0.96250000000000002</v>
      </c>
      <c r="D205" s="7">
        <f>(0.9625-0.930555555555555)</f>
        <v>3.1944444444444997E-2</v>
      </c>
      <c r="E205" s="7">
        <f>ABS(0.031944444444445-0)</f>
        <v>3.1944444444444997E-2</v>
      </c>
      <c r="F205" s="1" t="s">
        <v>3</v>
      </c>
    </row>
    <row r="206" spans="1:6" x14ac:dyDescent="0.25">
      <c r="A206" s="11">
        <v>42125</v>
      </c>
      <c r="B206" s="7">
        <v>0.94513888888888886</v>
      </c>
      <c r="C206" s="7">
        <v>0.94513888888888886</v>
      </c>
      <c r="D206" s="7">
        <f>(0.945138888888889-0.945138888888889)</f>
        <v>0</v>
      </c>
      <c r="E206" s="7">
        <f>ABS(0-0.00902777777777986)</f>
        <v>9.0277777777798603E-3</v>
      </c>
      <c r="F206" s="1" t="s">
        <v>3</v>
      </c>
    </row>
    <row r="207" spans="1:6" x14ac:dyDescent="0.25">
      <c r="A207" s="11">
        <v>42125</v>
      </c>
      <c r="B207" s="7">
        <v>1.007638888888889</v>
      </c>
      <c r="C207" s="7">
        <v>1.0166666666666666</v>
      </c>
      <c r="D207" s="7">
        <f>(1.01666666666667-1.00763888888889)</f>
        <v>9.0277777777798551E-3</v>
      </c>
      <c r="E207" s="7">
        <f>ABS(0.00902777777777986-0.0083333333333302)</f>
        <v>6.9444444444966003E-4</v>
      </c>
      <c r="F207" s="1" t="s">
        <v>3</v>
      </c>
    </row>
    <row r="208" spans="1:6" x14ac:dyDescent="0.25">
      <c r="A208" s="11">
        <v>42125</v>
      </c>
      <c r="B208" s="7">
        <v>1.0291666666666666</v>
      </c>
      <c r="C208" s="7">
        <v>1.0374999999999999</v>
      </c>
      <c r="D208" s="7">
        <f>(1.0375-1.02916666666667)</f>
        <v>8.3333333333301951E-3</v>
      </c>
      <c r="E208" s="7">
        <f>ABS(0.0083333333333302-0.00416666666666698)</f>
        <v>4.1666666666632206E-3</v>
      </c>
      <c r="F208" s="1" t="s">
        <v>3</v>
      </c>
    </row>
    <row r="209" spans="1:6" x14ac:dyDescent="0.25">
      <c r="A209" s="11">
        <v>42125</v>
      </c>
      <c r="B209" s="7">
        <v>0.375</v>
      </c>
      <c r="C209" s="7">
        <v>0.37916666666666665</v>
      </c>
      <c r="D209" s="7">
        <f>(0.379166666666667-0.375)</f>
        <v>4.1666666666669849E-3</v>
      </c>
      <c r="E209" s="7">
        <f>ABS(0.00416666666666698-0.00486111111111098)</f>
        <v>6.9444444444400049E-4</v>
      </c>
      <c r="F209" s="1" t="s">
        <v>3</v>
      </c>
    </row>
    <row r="210" spans="1:6" x14ac:dyDescent="0.25">
      <c r="A210" s="11">
        <v>42125</v>
      </c>
      <c r="B210" s="7">
        <v>0.78888888888888886</v>
      </c>
      <c r="C210" s="7">
        <v>0.79375000000000007</v>
      </c>
      <c r="D210" s="7">
        <f>(0.79375-0.788888888888889)</f>
        <v>4.8611111111109828E-3</v>
      </c>
      <c r="E210" s="7">
        <f>ABS(0.00486111111111098-0.0145833333333329)</f>
        <v>9.7222222222219205E-3</v>
      </c>
      <c r="F210" s="1" t="s">
        <v>3</v>
      </c>
    </row>
    <row r="211" spans="1:6" x14ac:dyDescent="0.25">
      <c r="A211" s="11">
        <v>42125</v>
      </c>
      <c r="B211" s="7">
        <v>0.86041666666666661</v>
      </c>
      <c r="C211" s="7">
        <v>0.875</v>
      </c>
      <c r="D211" s="7">
        <f>(0.875-0.860416666666667)</f>
        <v>1.4583333333332948E-2</v>
      </c>
      <c r="E211" s="7">
        <f>ABS(0.0145833333333329-0.0125)</f>
        <v>2.0833333333328992E-3</v>
      </c>
      <c r="F211" s="1" t="s">
        <v>3</v>
      </c>
    </row>
    <row r="212" spans="1:6" x14ac:dyDescent="0.25">
      <c r="A212" s="11">
        <v>42125</v>
      </c>
      <c r="B212" s="7">
        <v>0.9243055555555556</v>
      </c>
      <c r="C212" s="7">
        <v>0.93680555555555556</v>
      </c>
      <c r="D212" s="7">
        <f>(0.936805555555556-0.924305555555556)</f>
        <v>1.2499999999999956E-2</v>
      </c>
      <c r="E212" s="7">
        <f>ABS(0.0125-0.00972222222222296)</f>
        <v>2.7777777777770411E-3</v>
      </c>
      <c r="F212" s="1" t="s">
        <v>3</v>
      </c>
    </row>
    <row r="213" spans="1:6" x14ac:dyDescent="0.25">
      <c r="A213" s="11">
        <v>42125</v>
      </c>
      <c r="B213" s="7">
        <v>0.92569444444444438</v>
      </c>
      <c r="C213" s="7">
        <v>0.93541666666666667</v>
      </c>
      <c r="D213" s="7">
        <f>(0.935416666666667-0.925694444444444)</f>
        <v>9.7222222222229648E-3</v>
      </c>
      <c r="E213" s="7">
        <f>ABS(0.00972222222222296-0.00416666666666698)</f>
        <v>5.5555555555559799E-3</v>
      </c>
      <c r="F213" s="1" t="s">
        <v>3</v>
      </c>
    </row>
    <row r="214" spans="1:6" x14ac:dyDescent="0.25">
      <c r="A214" s="11">
        <v>42125</v>
      </c>
      <c r="B214" s="7">
        <v>0.40625</v>
      </c>
      <c r="C214" s="7">
        <v>0.41041666666666665</v>
      </c>
      <c r="D214" s="7">
        <f>(0.410416666666667-0.40625)</f>
        <v>4.1666666666669849E-3</v>
      </c>
      <c r="E214" s="7">
        <f>ABS(0.00416666666666698-0.00902777777777797)</f>
        <v>4.8611111111109898E-3</v>
      </c>
      <c r="F214" s="1" t="s">
        <v>3</v>
      </c>
    </row>
    <row r="215" spans="1:6" x14ac:dyDescent="0.25">
      <c r="A215" s="11">
        <v>42125</v>
      </c>
      <c r="B215" s="7">
        <v>0.53749999999999998</v>
      </c>
      <c r="C215" s="7">
        <v>0.54652777777777783</v>
      </c>
      <c r="D215" s="7">
        <f>(0.546527777777778-0.5375)</f>
        <v>9.0277777777779677E-3</v>
      </c>
      <c r="E215" s="7">
        <f>ABS(0.00902777777777797-0.040277777777778)</f>
        <v>3.1250000000000035E-2</v>
      </c>
      <c r="F215" s="1" t="s">
        <v>3</v>
      </c>
    </row>
    <row r="216" spans="1:6" x14ac:dyDescent="0.25">
      <c r="A216" s="11">
        <v>42125</v>
      </c>
      <c r="B216" s="7">
        <v>0.51874999999999993</v>
      </c>
      <c r="C216" s="7">
        <v>0.55902777777777779</v>
      </c>
      <c r="D216" s="7">
        <f>(0.559027777777778-0.51875)</f>
        <v>4.0277777777777968E-2</v>
      </c>
      <c r="E216" s="7">
        <f>ABS(0.040277777777778-0.023611111111111)</f>
        <v>1.6666666666667003E-2</v>
      </c>
      <c r="F216" s="1" t="s">
        <v>3</v>
      </c>
    </row>
    <row r="217" spans="1:6" x14ac:dyDescent="0.25">
      <c r="A217" s="11">
        <v>42125</v>
      </c>
      <c r="B217" s="7">
        <v>0.56805555555555554</v>
      </c>
      <c r="C217" s="7">
        <v>0.59166666666666667</v>
      </c>
      <c r="D217" s="7">
        <f>(0.591666666666667-0.568055555555556)</f>
        <v>2.3611111111111027E-2</v>
      </c>
      <c r="E217" s="7">
        <f>ABS(0.023611111111111-0.00624999999999998)</f>
        <v>1.7361111111111018E-2</v>
      </c>
      <c r="F217" s="1" t="s">
        <v>3</v>
      </c>
    </row>
    <row r="218" spans="1:6" x14ac:dyDescent="0.25">
      <c r="A218" s="11">
        <v>42125</v>
      </c>
      <c r="B218" s="7">
        <v>0.63124999999999998</v>
      </c>
      <c r="C218" s="7">
        <v>0.63750000000000007</v>
      </c>
      <c r="D218" s="7">
        <f>(0.6375-0.63125)</f>
        <v>6.2499999999999778E-3</v>
      </c>
      <c r="E218" s="7">
        <f>ABS(0.00624999999999998-0.00763888888888897)</f>
        <v>1.3888888888889898E-3</v>
      </c>
      <c r="F218" s="1" t="s">
        <v>3</v>
      </c>
    </row>
    <row r="219" spans="1:6" x14ac:dyDescent="0.25">
      <c r="A219" s="11">
        <v>42125</v>
      </c>
      <c r="B219" s="7">
        <v>0.68055555555555547</v>
      </c>
      <c r="C219" s="7">
        <v>0.68819444444444444</v>
      </c>
      <c r="D219" s="7">
        <f>(0.688194444444444-0.680555555555555)</f>
        <v>7.6388888888889728E-3</v>
      </c>
      <c r="E219" s="7">
        <f>ABS(0.00763888888888897-0.00347222222222199)</f>
        <v>4.1666666666669797E-3</v>
      </c>
      <c r="F219" s="1" t="s">
        <v>3</v>
      </c>
    </row>
    <row r="220" spans="1:6" x14ac:dyDescent="0.25">
      <c r="A220" s="11">
        <v>42125</v>
      </c>
      <c r="B220" s="7">
        <v>0.69166666666666676</v>
      </c>
      <c r="C220" s="7">
        <v>0.69513888888888886</v>
      </c>
      <c r="D220" s="7">
        <f>(0.695138888888889-0.691666666666667)</f>
        <v>3.4722222222219878E-3</v>
      </c>
      <c r="E220" s="7">
        <f>ABS(0.00347222222222199-0.00416666666666698)</f>
        <v>6.9444444444498972E-4</v>
      </c>
      <c r="F220" s="1" t="s">
        <v>3</v>
      </c>
    </row>
    <row r="221" spans="1:6" x14ac:dyDescent="0.25">
      <c r="A221" s="11">
        <v>42125</v>
      </c>
      <c r="B221" s="7">
        <v>0.72013888888888899</v>
      </c>
      <c r="C221" s="7">
        <v>0.72430555555555554</v>
      </c>
      <c r="D221" s="7">
        <f>(0.724305555555556-0.720138888888889)</f>
        <v>4.1666666666669849E-3</v>
      </c>
      <c r="E221" s="7">
        <f>ABS(0.00416666666666698-0.00208333333333299)</f>
        <v>2.0833333333339899E-3</v>
      </c>
      <c r="F221" s="1" t="s">
        <v>3</v>
      </c>
    </row>
    <row r="222" spans="1:6" x14ac:dyDescent="0.25">
      <c r="A222" s="11">
        <v>42125</v>
      </c>
      <c r="B222" s="7">
        <v>0.8666666666666667</v>
      </c>
      <c r="C222" s="7">
        <v>0.86875000000000002</v>
      </c>
      <c r="D222" s="7">
        <f>(0.86875-0.866666666666667)</f>
        <v>2.0833333333329929E-3</v>
      </c>
      <c r="E222" s="7">
        <f>ABS(0.00208333333333299-0.00486111111111098)</f>
        <v>2.7777777777779904E-3</v>
      </c>
      <c r="F222" s="1" t="s">
        <v>3</v>
      </c>
    </row>
    <row r="223" spans="1:6" x14ac:dyDescent="0.25">
      <c r="A223" s="11">
        <v>42125</v>
      </c>
      <c r="B223" s="7">
        <v>0.95972222222222225</v>
      </c>
      <c r="C223" s="7">
        <v>0.96458333333333324</v>
      </c>
      <c r="D223" s="7">
        <f>(0.964583333333333-0.959722222222222)</f>
        <v>4.8611111111109828E-3</v>
      </c>
      <c r="E223" s="7">
        <f>ABS(0.00486111111111098-0.00833333333333297)</f>
        <v>3.4722222222219904E-3</v>
      </c>
      <c r="F223" s="1" t="s">
        <v>3</v>
      </c>
    </row>
    <row r="224" spans="1:6" x14ac:dyDescent="0.25">
      <c r="A224" s="11">
        <v>42125</v>
      </c>
      <c r="B224" s="7">
        <v>0.97013888888888899</v>
      </c>
      <c r="C224" s="7">
        <v>0.9784722222222223</v>
      </c>
      <c r="D224" s="7">
        <f>(0.978472222222222-0.970138888888889)</f>
        <v>8.3333333333329707E-3</v>
      </c>
      <c r="E224" s="7">
        <f>ABS(0.00833333333333297-0.00833333333333339)</f>
        <v>4.1980308118638732E-16</v>
      </c>
      <c r="F224" s="1" t="s">
        <v>3</v>
      </c>
    </row>
    <row r="225" spans="1:6" x14ac:dyDescent="0.25">
      <c r="A225" s="11">
        <v>42125</v>
      </c>
      <c r="B225" s="7">
        <v>5.8333333333333327E-2</v>
      </c>
      <c r="C225" s="7">
        <v>6.6666666666666666E-2</v>
      </c>
      <c r="D225" s="7">
        <f>(0.0666666666666667-0.0583333333333333)</f>
        <v>8.3333333333333939E-3</v>
      </c>
      <c r="E225" s="7">
        <f>ABS(0.00833333333333339-0.0090277777777778)</f>
        <v>6.9444444444440902E-4</v>
      </c>
      <c r="F225" s="1" t="s">
        <v>3</v>
      </c>
    </row>
    <row r="226" spans="1:6" x14ac:dyDescent="0.25">
      <c r="A226" s="11">
        <v>42125</v>
      </c>
      <c r="B226" s="7">
        <v>7.013888888888889E-2</v>
      </c>
      <c r="C226" s="7">
        <v>7.9166666666666663E-2</v>
      </c>
      <c r="D226" s="7">
        <f>(0.0791666666666667-0.0701388888888889)</f>
        <v>9.0277777777778012E-3</v>
      </c>
      <c r="E226" s="7">
        <f>ABS(0.0090277777777778-0.0041666666666666)</f>
        <v>4.8611111111111997E-3</v>
      </c>
      <c r="F226" s="1" t="s">
        <v>3</v>
      </c>
    </row>
    <row r="227" spans="1:6" x14ac:dyDescent="0.25">
      <c r="A227" s="11">
        <v>42125</v>
      </c>
      <c r="B227" s="7">
        <v>7.7777777777777779E-2</v>
      </c>
      <c r="C227" s="7">
        <v>8.1944444444444445E-2</v>
      </c>
      <c r="D227" s="7">
        <f>(0.0819444444444444-0.0777777777777778)</f>
        <v>4.1666666666665964E-3</v>
      </c>
      <c r="E227" s="7">
        <f>ABS(0.0041666666666666-0.00555555555555598)</f>
        <v>1.3888888888893801E-3</v>
      </c>
      <c r="F227" s="1" t="s">
        <v>3</v>
      </c>
    </row>
    <row r="228" spans="1:6" x14ac:dyDescent="0.25">
      <c r="A228" s="11">
        <v>42125</v>
      </c>
      <c r="B228" s="7">
        <v>0.32847222222222222</v>
      </c>
      <c r="C228" s="7">
        <v>0.33402777777777781</v>
      </c>
      <c r="D228" s="7">
        <f>(0.334027777777778-0.328472222222222)</f>
        <v>5.5555555555559799E-3</v>
      </c>
      <c r="E228" s="7">
        <f>ABS(0.00555555555555598-0.00694444444444503)</f>
        <v>1.3888888888890505E-3</v>
      </c>
      <c r="F228" s="1" t="s">
        <v>3</v>
      </c>
    </row>
    <row r="229" spans="1:6" x14ac:dyDescent="0.25">
      <c r="A229" s="11">
        <v>42125</v>
      </c>
      <c r="B229" s="7">
        <v>0.35069444444444442</v>
      </c>
      <c r="C229" s="7">
        <v>0.3576388888888889</v>
      </c>
      <c r="D229" s="7">
        <f>(0.357638888888889-0.350694444444444)</f>
        <v>6.9444444444450304E-3</v>
      </c>
      <c r="E229" s="7">
        <f>ABS(0.00694444444444503-0.015277777777778)</f>
        <v>8.3333333333329689E-3</v>
      </c>
      <c r="F229" s="1" t="s">
        <v>3</v>
      </c>
    </row>
    <row r="230" spans="1:6" x14ac:dyDescent="0.25">
      <c r="A230" s="11">
        <v>42125</v>
      </c>
      <c r="B230" s="7">
        <v>0.39999999999999997</v>
      </c>
      <c r="C230" s="7">
        <v>0.4152777777777778</v>
      </c>
      <c r="D230" s="7">
        <f>(0.415277777777778-0.4)</f>
        <v>1.5277777777778001E-2</v>
      </c>
      <c r="E230" s="7">
        <f>ABS(0.015277777777778-0.00416666666666704)</f>
        <v>1.1111111111110961E-2</v>
      </c>
      <c r="F230" s="1" t="s">
        <v>3</v>
      </c>
    </row>
    <row r="231" spans="1:6" x14ac:dyDescent="0.25">
      <c r="A231" s="11">
        <v>42125</v>
      </c>
      <c r="B231" s="7">
        <v>0.44513888888888892</v>
      </c>
      <c r="C231" s="7">
        <v>0.44930555555555557</v>
      </c>
      <c r="D231" s="7">
        <f>(0.449305555555556-0.445138888888889)</f>
        <v>4.1666666666670404E-3</v>
      </c>
      <c r="E231" s="7">
        <f>ABS(0.00416666666666704-0.00208333333333299)</f>
        <v>2.0833333333340497E-3</v>
      </c>
      <c r="F231" s="1" t="s">
        <v>3</v>
      </c>
    </row>
    <row r="232" spans="1:6" x14ac:dyDescent="0.25">
      <c r="A232" s="11">
        <v>42125</v>
      </c>
      <c r="B232" s="7">
        <v>0.52430555555555558</v>
      </c>
      <c r="C232" s="7">
        <v>0.52638888888888891</v>
      </c>
      <c r="D232" s="7">
        <f>(0.526388888888889-0.524305555555556)</f>
        <v>2.0833333333329929E-3</v>
      </c>
      <c r="E232" s="7">
        <f>ABS(0.00208333333333299-0.0152777777777781)</f>
        <v>1.3194444444445111E-2</v>
      </c>
      <c r="F232" s="1" t="s">
        <v>3</v>
      </c>
    </row>
    <row r="233" spans="1:6" x14ac:dyDescent="0.25">
      <c r="A233" s="11">
        <v>42125</v>
      </c>
      <c r="B233" s="7">
        <v>0.60347222222222219</v>
      </c>
      <c r="C233" s="7">
        <v>0.61875000000000002</v>
      </c>
      <c r="D233" s="7">
        <f>(0.61875-0.603472222222222)</f>
        <v>1.5277777777778057E-2</v>
      </c>
      <c r="E233" s="7">
        <f>ABS(0.0152777777777781-0.0152777777777779)</f>
        <v>1.9949319973733282E-16</v>
      </c>
      <c r="F233" s="1" t="s">
        <v>3</v>
      </c>
    </row>
    <row r="234" spans="1:6" x14ac:dyDescent="0.25">
      <c r="A234" s="11">
        <v>42125</v>
      </c>
      <c r="B234" s="7">
        <v>0.61736111111111114</v>
      </c>
      <c r="C234" s="7">
        <v>0.63263888888888886</v>
      </c>
      <c r="D234" s="7">
        <f>(0.632638888888889-0.617361111111111)</f>
        <v>1.5277777777777946E-2</v>
      </c>
      <c r="E234" s="7">
        <f>ABS(0.0152777777777779-0.0138888888888881)</f>
        <v>1.3888888888897999E-3</v>
      </c>
      <c r="F234" s="1" t="s">
        <v>3</v>
      </c>
    </row>
    <row r="235" spans="1:6" x14ac:dyDescent="0.25">
      <c r="A235" s="11">
        <v>42125</v>
      </c>
      <c r="B235" s="7">
        <v>0.75694444444444453</v>
      </c>
      <c r="C235" s="7">
        <v>0.77083333333333337</v>
      </c>
      <c r="D235" s="7">
        <f>(0.770833333333333-0.756944444444445)</f>
        <v>1.3888888888888062E-2</v>
      </c>
      <c r="E235" s="7">
        <f>ABS(0.0138888888888881-0.00972222222221997)</f>
        <v>4.1666666666681298E-3</v>
      </c>
      <c r="F235" s="1" t="s">
        <v>3</v>
      </c>
    </row>
    <row r="236" spans="1:6" x14ac:dyDescent="0.25">
      <c r="A236" s="11">
        <v>42125</v>
      </c>
      <c r="B236" s="7">
        <v>1.0138888888888888</v>
      </c>
      <c r="C236" s="7">
        <v>1.023611111111111</v>
      </c>
      <c r="D236" s="7">
        <f>(1.02361111111111-1.01388888888889)</f>
        <v>9.7222222222199672E-3</v>
      </c>
      <c r="E236" s="7">
        <f>ABS(0.00972222222221997-0.00833333333333997)</f>
        <v>1.3888888888800004E-3</v>
      </c>
      <c r="F236" s="1" t="s">
        <v>3</v>
      </c>
    </row>
    <row r="237" spans="1:6" x14ac:dyDescent="0.25">
      <c r="A237" s="11">
        <v>42125</v>
      </c>
      <c r="B237" s="7">
        <v>1.0145833333333334</v>
      </c>
      <c r="C237" s="7">
        <v>1.0229166666666667</v>
      </c>
      <c r="D237" s="7">
        <f>(1.02291666666667-1.01458333333333)</f>
        <v>8.3333333333399651E-3</v>
      </c>
      <c r="E237" s="7">
        <f>ABS(0.00833333333333997-0.0138888888888889)</f>
        <v>5.55555555554893E-3</v>
      </c>
      <c r="F237" s="1" t="s">
        <v>3</v>
      </c>
    </row>
    <row r="238" spans="1:6" x14ac:dyDescent="0.25">
      <c r="A238" s="11">
        <v>42125</v>
      </c>
      <c r="B238" s="7">
        <v>6.1111111111111116E-2</v>
      </c>
      <c r="C238" s="7">
        <v>7.4999999999999997E-2</v>
      </c>
      <c r="D238" s="7">
        <f>(0.075-0.0611111111111111)</f>
        <v>1.3888888888888895E-2</v>
      </c>
      <c r="E238" s="7">
        <f>ABS(0.0138888888888889-0.011805555555556)</f>
        <v>2.0833333333329009E-3</v>
      </c>
      <c r="F238" s="1" t="s">
        <v>3</v>
      </c>
    </row>
    <row r="239" spans="1:6" x14ac:dyDescent="0.25">
      <c r="A239" s="11">
        <v>42125</v>
      </c>
      <c r="B239" s="7">
        <v>0.14375000000000002</v>
      </c>
      <c r="C239" s="7">
        <v>0.15555555555555556</v>
      </c>
      <c r="D239" s="7">
        <f>(0.155555555555556-0.14375)</f>
        <v>1.1805555555556013E-2</v>
      </c>
      <c r="E239" s="7">
        <f>ABS(0.011805555555556-0.028472222222222)</f>
        <v>1.6666666666666E-2</v>
      </c>
      <c r="F239" s="1" t="s">
        <v>3</v>
      </c>
    </row>
    <row r="240" spans="1:6" x14ac:dyDescent="0.25">
      <c r="A240" s="11">
        <v>42125</v>
      </c>
      <c r="B240" s="7">
        <v>0.33263888888888887</v>
      </c>
      <c r="C240" s="7">
        <v>0.3611111111111111</v>
      </c>
      <c r="D240" s="7">
        <f>(0.361111111111111-0.332638888888889)</f>
        <v>2.847222222222201E-2</v>
      </c>
      <c r="E240" s="7">
        <f>ABS(0.028472222222222-0.00277777777777799)</f>
        <v>2.569444444444401E-2</v>
      </c>
      <c r="F240" s="1" t="s">
        <v>3</v>
      </c>
    </row>
    <row r="241" spans="1:6" x14ac:dyDescent="0.25">
      <c r="A241" s="11">
        <v>42125</v>
      </c>
      <c r="B241" s="7">
        <v>0.4770833333333333</v>
      </c>
      <c r="C241" s="7">
        <v>0.47986111111111113</v>
      </c>
      <c r="D241" s="7">
        <f>(0.479861111111111-0.477083333333333)</f>
        <v>2.77777777777799E-3</v>
      </c>
      <c r="E241" s="7">
        <f>ABS(0.00277777777777799-0.00833333333333303)</f>
        <v>5.5555555555550397E-3</v>
      </c>
      <c r="F241" s="1" t="s">
        <v>3</v>
      </c>
    </row>
    <row r="242" spans="1:6" x14ac:dyDescent="0.25">
      <c r="A242" s="11">
        <v>42125</v>
      </c>
      <c r="B242" s="7">
        <v>0.4548611111111111</v>
      </c>
      <c r="C242" s="7">
        <v>0.46319444444444446</v>
      </c>
      <c r="D242" s="7">
        <f>(0.463194444444444-0.454861111111111)</f>
        <v>8.3333333333330262E-3</v>
      </c>
      <c r="E242" s="7">
        <f>ABS(0.00833333333333303-0.0618055555555551)</f>
        <v>5.3472222222222074E-2</v>
      </c>
      <c r="F242" s="1" t="s">
        <v>3</v>
      </c>
    </row>
    <row r="243" spans="1:6" x14ac:dyDescent="0.25">
      <c r="A243" s="11">
        <v>42125</v>
      </c>
      <c r="B243" s="7">
        <v>0.49027777777777781</v>
      </c>
      <c r="C243" s="7">
        <v>0.55208333333333337</v>
      </c>
      <c r="D243" s="7">
        <f>(0.552083333333333-0.490277777777778)</f>
        <v>6.1805555555555058E-2</v>
      </c>
      <c r="E243" s="7">
        <f>ABS(0.0618055555555551-0.00694444444444398)</f>
        <v>5.4861111111111117E-2</v>
      </c>
      <c r="F243" s="1" t="s">
        <v>3</v>
      </c>
    </row>
    <row r="244" spans="1:6" x14ac:dyDescent="0.25">
      <c r="A244" s="11">
        <v>42125</v>
      </c>
      <c r="B244" s="7">
        <v>0.8305555555555556</v>
      </c>
      <c r="C244" s="7">
        <v>0.83750000000000002</v>
      </c>
      <c r="D244" s="7">
        <f>(0.8375-0.830555555555556)</f>
        <v>6.9444444444439757E-3</v>
      </c>
      <c r="E244" s="7">
        <f>ABS(0.00694444444444398-0.0090277777777778)</f>
        <v>2.0833333333338195E-3</v>
      </c>
      <c r="F244" s="1" t="s">
        <v>3</v>
      </c>
    </row>
    <row r="245" spans="1:6" x14ac:dyDescent="0.25">
      <c r="A245" s="11">
        <v>42125</v>
      </c>
      <c r="B245" s="7">
        <v>3.9583333333333331E-2</v>
      </c>
      <c r="C245" s="7">
        <v>4.8611111111111112E-2</v>
      </c>
      <c r="D245" s="7">
        <f>(0.0486111111111111-0.0395833333333333)</f>
        <v>9.0277777777778012E-3</v>
      </c>
      <c r="E245" s="7">
        <f>ABS(0.0090277777777778-0.011805555555556)</f>
        <v>2.7777777777781999E-3</v>
      </c>
      <c r="F245" s="1" t="s">
        <v>3</v>
      </c>
    </row>
    <row r="246" spans="1:6" x14ac:dyDescent="0.25">
      <c r="A246" s="11">
        <v>42125</v>
      </c>
      <c r="B246" s="7">
        <v>0.48819444444444443</v>
      </c>
      <c r="C246" s="7">
        <v>0.5</v>
      </c>
      <c r="D246" s="7">
        <f>(0.5-0.488194444444444)</f>
        <v>1.1805555555556013E-2</v>
      </c>
      <c r="E246" s="7">
        <f>ABS(0.011805555555556-0.00416666666666698)</f>
        <v>7.6388888888890196E-3</v>
      </c>
      <c r="F246" s="1" t="s">
        <v>3</v>
      </c>
    </row>
    <row r="247" spans="1:6" x14ac:dyDescent="0.25">
      <c r="A247" s="11">
        <v>42125</v>
      </c>
      <c r="B247" s="7">
        <v>0.76874999999999993</v>
      </c>
      <c r="C247" s="7">
        <v>0.7729166666666667</v>
      </c>
      <c r="D247" s="7">
        <f>(0.772916666666667-0.76875)</f>
        <v>4.1666666666669849E-3</v>
      </c>
      <c r="E247" s="7">
        <f>ABS(0.00416666666666698-0.00486111111111109)</f>
        <v>6.9444444444411065E-4</v>
      </c>
      <c r="F247" s="1" t="s">
        <v>3</v>
      </c>
    </row>
    <row r="248" spans="1:6" x14ac:dyDescent="0.25">
      <c r="A248" s="11">
        <v>42125</v>
      </c>
      <c r="B248" s="7">
        <v>0.82708333333333339</v>
      </c>
      <c r="C248" s="7">
        <v>0.83194444444444438</v>
      </c>
      <c r="D248" s="7">
        <f>(0.831944444444444-0.827083333333333)</f>
        <v>4.8611111111110938E-3</v>
      </c>
      <c r="E248" s="7">
        <f>ABS(0.00486111111111109-0.0131944444444444)</f>
        <v>8.3333333333333089E-3</v>
      </c>
      <c r="F248" s="1" t="s">
        <v>3</v>
      </c>
    </row>
    <row r="249" spans="1:6" x14ac:dyDescent="0.25">
      <c r="A249" s="11">
        <v>42125</v>
      </c>
      <c r="B249" s="7">
        <v>8.4027777777777771E-2</v>
      </c>
      <c r="C249" s="7">
        <v>9.7222222222222224E-2</v>
      </c>
      <c r="D249" s="7">
        <f>(0.0972222222222222-0.0840277777777778)</f>
        <v>1.3194444444444398E-2</v>
      </c>
      <c r="E249" s="7">
        <f>ABS(0.0131944444444444-0.00763888888888903)</f>
        <v>5.5555555555553693E-3</v>
      </c>
      <c r="F249" s="1" t="s">
        <v>3</v>
      </c>
    </row>
    <row r="250" spans="1:6" x14ac:dyDescent="0.25">
      <c r="A250" s="11">
        <v>42125</v>
      </c>
      <c r="B250" s="7">
        <v>0.27291666666666664</v>
      </c>
      <c r="C250" s="7">
        <v>0.28055555555555556</v>
      </c>
      <c r="D250" s="7">
        <f>(0.280555555555556-0.272916666666667)</f>
        <v>7.6388888888890283E-3</v>
      </c>
      <c r="E250" s="7">
        <f>ABS(0.00763888888888903-0.129166666666666)</f>
        <v>0.12152777777777699</v>
      </c>
      <c r="F250" s="1" t="s">
        <v>3</v>
      </c>
    </row>
    <row r="251" spans="1:6" x14ac:dyDescent="0.25">
      <c r="A251" s="11">
        <v>42125</v>
      </c>
      <c r="B251" s="7">
        <v>0.31527777777777777</v>
      </c>
      <c r="C251" s="7">
        <v>0.44444444444444442</v>
      </c>
      <c r="D251" s="7">
        <f>(0.444444444444444-0.315277777777778)</f>
        <v>0.12916666666666599</v>
      </c>
      <c r="E251" s="7">
        <f>ABS(0.129166666666666-0.00416666666666698)</f>
        <v>0.12499999999999903</v>
      </c>
      <c r="F251" s="1" t="s">
        <v>3</v>
      </c>
    </row>
    <row r="252" spans="1:6" x14ac:dyDescent="0.25">
      <c r="A252" s="11">
        <v>42125</v>
      </c>
      <c r="B252" s="7">
        <v>0.44097222222222227</v>
      </c>
      <c r="C252" s="7">
        <v>0.44513888888888892</v>
      </c>
      <c r="D252" s="7">
        <f>(0.445138888888889-0.440972222222222)</f>
        <v>4.1666666666669849E-3</v>
      </c>
      <c r="E252" s="7">
        <f>ABS(0.00416666666666698-0.00486111111111098)</f>
        <v>6.9444444444400049E-4</v>
      </c>
      <c r="F252" s="1" t="s">
        <v>3</v>
      </c>
    </row>
    <row r="253" spans="1:6" x14ac:dyDescent="0.25">
      <c r="A253" s="11">
        <v>42125</v>
      </c>
      <c r="B253" s="7">
        <v>0.75</v>
      </c>
      <c r="C253" s="7">
        <v>0.75486111111111109</v>
      </c>
      <c r="D253" s="7">
        <f>(0.754861111111111-0.75)</f>
        <v>4.8611111111109828E-3</v>
      </c>
      <c r="E253" s="7">
        <f>ABS(0.00486111111111098-0.00763888888888897)</f>
        <v>2.77777777777799E-3</v>
      </c>
      <c r="F253" s="1" t="s">
        <v>3</v>
      </c>
    </row>
    <row r="254" spans="1:6" x14ac:dyDescent="0.25">
      <c r="A254" s="11">
        <v>42125</v>
      </c>
      <c r="B254" s="7">
        <v>0.75624999999999998</v>
      </c>
      <c r="C254" s="7">
        <v>0.76388888888888884</v>
      </c>
      <c r="D254" s="7">
        <f>(0.763888888888889-0.75625)</f>
        <v>7.6388888888889728E-3</v>
      </c>
      <c r="E254" s="7">
        <f>ABS(0.00763888888888897-0.00486111111111098)</f>
        <v>2.77777777777799E-3</v>
      </c>
      <c r="F254" s="1" t="s">
        <v>3</v>
      </c>
    </row>
    <row r="255" spans="1:6" x14ac:dyDescent="0.25">
      <c r="A255" s="11">
        <v>42125</v>
      </c>
      <c r="B255" s="7">
        <v>0.77013888888888893</v>
      </c>
      <c r="C255" s="7">
        <v>0.77500000000000002</v>
      </c>
      <c r="D255" s="7">
        <f>(0.775-0.770138888888889)</f>
        <v>4.8611111111109828E-3</v>
      </c>
      <c r="E255" s="7">
        <f>ABS(0.00486111111111098-0.011111111111111)</f>
        <v>6.2500000000000203E-3</v>
      </c>
      <c r="F255" s="1" t="s">
        <v>3</v>
      </c>
    </row>
    <row r="256" spans="1:6" x14ac:dyDescent="0.25">
      <c r="A256" s="11">
        <v>42125</v>
      </c>
      <c r="B256" s="7">
        <v>0.12222222222222223</v>
      </c>
      <c r="C256" s="7">
        <v>0.13333333333333333</v>
      </c>
      <c r="D256" s="7">
        <f>(0.133333333333333-0.122222222222222)</f>
        <v>1.1111111111111002E-2</v>
      </c>
      <c r="E256" s="7">
        <f>ABS(0.011111111111111-0.009027777777778)</f>
        <v>2.0833333333329998E-3</v>
      </c>
      <c r="F256" s="1" t="s">
        <v>3</v>
      </c>
    </row>
    <row r="257" spans="1:6" x14ac:dyDescent="0.25">
      <c r="A257" s="11">
        <v>42125</v>
      </c>
      <c r="B257" s="7">
        <v>0.16597222222222222</v>
      </c>
      <c r="C257" s="7">
        <v>0.17500000000000002</v>
      </c>
      <c r="D257" s="7">
        <f>(0.175-0.165972222222222)</f>
        <v>9.0277777777779955E-3</v>
      </c>
      <c r="E257" s="7">
        <f>ABS(0.009027777777778-0.00486111111111098)</f>
        <v>4.1666666666670205E-3</v>
      </c>
      <c r="F257" s="1" t="s">
        <v>3</v>
      </c>
    </row>
    <row r="258" spans="1:6" x14ac:dyDescent="0.25">
      <c r="A258" s="11">
        <v>42125</v>
      </c>
      <c r="B258" s="7">
        <v>0.14722222222222223</v>
      </c>
      <c r="C258" s="7">
        <v>0.15208333333333332</v>
      </c>
      <c r="D258" s="7">
        <f>(0.152083333333333-0.147222222222222)</f>
        <v>4.8611111111109828E-3</v>
      </c>
      <c r="E258" s="7">
        <f>ABS(0.00486111111111098-0.00277777777777799)</f>
        <v>2.0833333333329903E-3</v>
      </c>
      <c r="F258" s="1" t="s">
        <v>3</v>
      </c>
    </row>
    <row r="259" spans="1:6" x14ac:dyDescent="0.25">
      <c r="A259" s="11">
        <v>42125</v>
      </c>
      <c r="B259" s="7">
        <v>0.43541666666666662</v>
      </c>
      <c r="C259" s="7">
        <v>0.4381944444444445</v>
      </c>
      <c r="D259" s="7">
        <f>(0.438194444444445-0.435416666666667)</f>
        <v>2.77777777777799E-3</v>
      </c>
      <c r="E259" s="7">
        <f>ABS(0.00277777777777799-0.024305555555556)</f>
        <v>2.152777777777801E-2</v>
      </c>
      <c r="F259" s="1" t="s">
        <v>3</v>
      </c>
    </row>
    <row r="260" spans="1:6" x14ac:dyDescent="0.25">
      <c r="A260" s="11">
        <v>42125</v>
      </c>
      <c r="B260" s="7">
        <v>0.4236111111111111</v>
      </c>
      <c r="C260" s="7">
        <v>0.44791666666666669</v>
      </c>
      <c r="D260" s="7">
        <f>(0.447916666666667-0.423611111111111)</f>
        <v>2.4305555555556024E-2</v>
      </c>
      <c r="E260" s="7">
        <f>ABS(0.024305555555556-0.00208333333333299)</f>
        <v>2.2222222222223011E-2</v>
      </c>
      <c r="F260" s="1" t="s">
        <v>3</v>
      </c>
    </row>
    <row r="261" spans="1:6" x14ac:dyDescent="0.25">
      <c r="A261" s="11">
        <v>42125</v>
      </c>
      <c r="B261" s="7">
        <v>0.59652777777777777</v>
      </c>
      <c r="C261" s="7">
        <v>0.59861111111111109</v>
      </c>
      <c r="D261" s="7">
        <f>(0.598611111111111-0.596527777777778)</f>
        <v>2.0833333333329929E-3</v>
      </c>
      <c r="E261" s="7">
        <f>ABS(0.00208333333333299-0.00694444444444497)</f>
        <v>4.8611111111119803E-3</v>
      </c>
      <c r="F261" s="1" t="s">
        <v>3</v>
      </c>
    </row>
    <row r="262" spans="1:6" x14ac:dyDescent="0.25">
      <c r="A262" s="11">
        <v>42125</v>
      </c>
      <c r="B262" s="7">
        <v>0.78194444444444444</v>
      </c>
      <c r="C262" s="7">
        <v>0.78888888888888886</v>
      </c>
      <c r="D262" s="7">
        <f>(0.788888888888889-0.781944444444444)</f>
        <v>6.9444444444449749E-3</v>
      </c>
      <c r="E262" s="7">
        <f>ABS(0.00694444444444497-0.00416666666666698)</f>
        <v>2.77777777777799E-3</v>
      </c>
      <c r="F262" s="1" t="s">
        <v>3</v>
      </c>
    </row>
    <row r="263" spans="1:6" x14ac:dyDescent="0.25">
      <c r="A263" s="11">
        <v>42125</v>
      </c>
      <c r="B263" s="7">
        <v>0.7284722222222223</v>
      </c>
      <c r="C263" s="7">
        <v>0.73263888888888884</v>
      </c>
      <c r="D263" s="7">
        <f>(0.732638888888889-0.728472222222222)</f>
        <v>4.1666666666669849E-3</v>
      </c>
      <c r="E263" s="7">
        <f>ABS(0.00416666666666698-0.00208333333333299)</f>
        <v>2.0833333333339899E-3</v>
      </c>
      <c r="F263" s="1" t="s">
        <v>3</v>
      </c>
    </row>
    <row r="264" spans="1:6" x14ac:dyDescent="0.25">
      <c r="A264" s="11">
        <v>42125</v>
      </c>
      <c r="B264" s="7">
        <v>0.75138888888888899</v>
      </c>
      <c r="C264" s="7">
        <v>0.75347222222222221</v>
      </c>
      <c r="D264" s="7">
        <f>(0.753472222222222-0.751388888888889)</f>
        <v>2.0833333333329929E-3</v>
      </c>
      <c r="E264" s="7">
        <f>ABS(0.00208333333333299-0.00763888888888908)</f>
        <v>5.5555555555560909E-3</v>
      </c>
      <c r="F264" s="1" t="s">
        <v>3</v>
      </c>
    </row>
    <row r="265" spans="1:6" x14ac:dyDescent="0.25">
      <c r="A265" s="11">
        <v>42125</v>
      </c>
      <c r="B265" s="7">
        <v>0.8256944444444444</v>
      </c>
      <c r="C265" s="7">
        <v>0.83333333333333337</v>
      </c>
      <c r="D265" s="7">
        <f>(0.833333333333333-0.825694444444444)</f>
        <v>7.6388888888890838E-3</v>
      </c>
      <c r="E265" s="7">
        <f>ABS(0.00763888888888908-0.019444444444445)</f>
        <v>1.180555555555592E-2</v>
      </c>
      <c r="F265" s="1" t="s">
        <v>3</v>
      </c>
    </row>
    <row r="266" spans="1:6" x14ac:dyDescent="0.25">
      <c r="A266" s="11">
        <v>42125</v>
      </c>
      <c r="B266" s="7">
        <v>0.90833333333333333</v>
      </c>
      <c r="C266" s="7">
        <v>0.9277777777777777</v>
      </c>
      <c r="D266" s="7">
        <f>(0.927777777777778-0.908333333333333)</f>
        <v>1.9444444444445041E-2</v>
      </c>
      <c r="E266" s="7">
        <f>ABS(0.019444444444445-0.011805555555555)</f>
        <v>7.6388888888899997E-3</v>
      </c>
      <c r="F266" s="1" t="s">
        <v>3</v>
      </c>
    </row>
    <row r="267" spans="1:6" x14ac:dyDescent="0.25">
      <c r="A267" s="11">
        <v>42125</v>
      </c>
      <c r="B267" s="7">
        <v>0.9291666666666667</v>
      </c>
      <c r="C267" s="7">
        <v>0.94097222222222221</v>
      </c>
      <c r="D267" s="7">
        <f>(0.940972222222222-0.929166666666667)</f>
        <v>1.1805555555554959E-2</v>
      </c>
      <c r="E267" s="7">
        <f>ABS(0.011805555555555-0.0125)</f>
        <v>6.9444444444500056E-4</v>
      </c>
      <c r="F267" s="1" t="s">
        <v>3</v>
      </c>
    </row>
    <row r="268" spans="1:6" x14ac:dyDescent="0.25">
      <c r="A268" s="11">
        <v>42125</v>
      </c>
      <c r="B268" s="7">
        <v>0.41805555555555557</v>
      </c>
      <c r="C268" s="7">
        <v>0.43055555555555558</v>
      </c>
      <c r="D268" s="7">
        <f>(0.430555555555556-0.418055555555556)</f>
        <v>1.2500000000000011E-2</v>
      </c>
      <c r="E268" s="7">
        <f>ABS(0.0125-0.00972222222222296)</f>
        <v>2.7777777777770411E-3</v>
      </c>
      <c r="F268" s="1" t="s">
        <v>3</v>
      </c>
    </row>
    <row r="269" spans="1:6" x14ac:dyDescent="0.25">
      <c r="A269" s="11">
        <v>42125</v>
      </c>
      <c r="B269" s="7">
        <v>0.45069444444444445</v>
      </c>
      <c r="C269" s="7">
        <v>0.4604166666666667</v>
      </c>
      <c r="D269" s="7">
        <f>(0.460416666666667-0.450694444444444)</f>
        <v>9.7222222222229648E-3</v>
      </c>
      <c r="E269" s="7">
        <f>ABS(0.00972222222222296-0.00555555555555598)</f>
        <v>4.1666666666669797E-3</v>
      </c>
      <c r="F269" s="1" t="s">
        <v>3</v>
      </c>
    </row>
    <row r="270" spans="1:6" x14ac:dyDescent="0.25">
      <c r="A270" s="11">
        <v>42125</v>
      </c>
      <c r="B270" s="7">
        <v>0.58333333333333337</v>
      </c>
      <c r="C270" s="7">
        <v>0.58888888888888891</v>
      </c>
      <c r="D270" s="7">
        <f>(0.588888888888889-0.583333333333333)</f>
        <v>5.5555555555559799E-3</v>
      </c>
      <c r="E270" s="7">
        <f>ABS(0.00555555555555598-0.00902777777777697)</f>
        <v>3.4722222222209904E-3</v>
      </c>
      <c r="F270" s="1" t="s">
        <v>3</v>
      </c>
    </row>
    <row r="271" spans="1:6" x14ac:dyDescent="0.25">
      <c r="A271" s="11">
        <v>42125</v>
      </c>
      <c r="B271" s="7">
        <v>0.66041666666666665</v>
      </c>
      <c r="C271" s="7">
        <v>0.6694444444444444</v>
      </c>
      <c r="D271" s="7">
        <f>(0.669444444444444-0.660416666666667)</f>
        <v>9.0277777777769685E-3</v>
      </c>
      <c r="E271" s="7">
        <f>ABS(0.00902777777777697-0.010416666666667)</f>
        <v>1.3888888888900289E-3</v>
      </c>
      <c r="F271" s="1" t="s">
        <v>3</v>
      </c>
    </row>
    <row r="272" spans="1:6" x14ac:dyDescent="0.25">
      <c r="A272" s="11">
        <v>42125</v>
      </c>
      <c r="B272" s="7">
        <v>0.70694444444444438</v>
      </c>
      <c r="C272" s="7">
        <v>0.71736111111111101</v>
      </c>
      <c r="D272" s="7">
        <f>(0.717361111111111-0.706944444444444)</f>
        <v>1.0416666666666963E-2</v>
      </c>
      <c r="E272" s="7">
        <f>ABS(0.010416666666667-0.00486111111111098)</f>
        <v>5.5555555555560189E-3</v>
      </c>
      <c r="F272" s="1" t="s">
        <v>3</v>
      </c>
    </row>
    <row r="273" spans="1:6" x14ac:dyDescent="0.25">
      <c r="A273" s="11">
        <v>42125</v>
      </c>
      <c r="B273" s="7">
        <v>0.72152777777777777</v>
      </c>
      <c r="C273" s="7">
        <v>0.72638888888888886</v>
      </c>
      <c r="D273" s="7">
        <f>(0.726388888888889-0.721527777777778)</f>
        <v>4.8611111111109828E-3</v>
      </c>
      <c r="E273" s="7">
        <f>ABS(0.00486111111111098-0.00486111111111098)</f>
        <v>0</v>
      </c>
      <c r="F273" s="1" t="s">
        <v>3</v>
      </c>
    </row>
    <row r="274" spans="1:6" x14ac:dyDescent="0.25">
      <c r="A274" s="11">
        <v>42125</v>
      </c>
      <c r="B274" s="7">
        <v>0.7895833333333333</v>
      </c>
      <c r="C274" s="7">
        <v>0.7944444444444444</v>
      </c>
      <c r="D274" s="7">
        <f>(0.794444444444444-0.789583333333333)</f>
        <v>4.8611111111109828E-3</v>
      </c>
      <c r="E274" s="7">
        <f>ABS(0.00486111111111098-0.0104166666666661)</f>
        <v>5.5555555555551204E-3</v>
      </c>
      <c r="F274" s="1" t="s">
        <v>3</v>
      </c>
    </row>
    <row r="275" spans="1:6" x14ac:dyDescent="0.25">
      <c r="A275" s="11">
        <v>42125</v>
      </c>
      <c r="B275" s="7">
        <v>0.81944444444444453</v>
      </c>
      <c r="C275" s="7">
        <v>0.82986111111111116</v>
      </c>
      <c r="D275" s="7">
        <f>(0.829861111111111-0.819444444444445)</f>
        <v>1.0416666666666075E-2</v>
      </c>
      <c r="E275" s="7">
        <f>ABS(0.0104166666666661-0.00555555555555598)</f>
        <v>4.8611111111101207E-3</v>
      </c>
      <c r="F275" s="1" t="s">
        <v>3</v>
      </c>
    </row>
    <row r="276" spans="1:6" x14ac:dyDescent="0.25">
      <c r="A276" s="11">
        <v>42125</v>
      </c>
      <c r="B276" s="7">
        <v>0.98611111111111116</v>
      </c>
      <c r="C276" s="7">
        <v>0.9916666666666667</v>
      </c>
      <c r="D276" s="7">
        <f>(0.991666666666667-0.986111111111111)</f>
        <v>5.5555555555559799E-3</v>
      </c>
      <c r="E276" s="7">
        <f>ABS(0.00555555555555598-0.008333333333333)</f>
        <v>2.7777777777770202E-3</v>
      </c>
      <c r="F276" s="1" t="s">
        <v>3</v>
      </c>
    </row>
    <row r="277" spans="1:6" x14ac:dyDescent="0.25">
      <c r="A277" s="11">
        <v>42125</v>
      </c>
      <c r="B277" s="7">
        <v>0.1875</v>
      </c>
      <c r="C277" s="7">
        <v>0.19583333333333333</v>
      </c>
      <c r="D277" s="7">
        <f>(0.195833333333333-0.1875)</f>
        <v>8.3333333333329984E-3</v>
      </c>
      <c r="E277" s="7">
        <f>ABS(0.008333333333333-0.018055555555556)</f>
        <v>9.7222222222230013E-3</v>
      </c>
      <c r="F277" s="1" t="s">
        <v>3</v>
      </c>
    </row>
    <row r="278" spans="1:6" x14ac:dyDescent="0.25">
      <c r="A278" s="11">
        <v>42125</v>
      </c>
      <c r="B278" s="7">
        <v>0.40972222222222227</v>
      </c>
      <c r="C278" s="7">
        <v>0.42777777777777781</v>
      </c>
      <c r="D278" s="7">
        <f>(0.427777777777778-0.409722222222222)</f>
        <v>1.8055555555555991E-2</v>
      </c>
      <c r="E278" s="7">
        <f>ABS(0.018055555555556-0.00555555555555498)</f>
        <v>1.2500000000001021E-2</v>
      </c>
      <c r="F278" s="1" t="s">
        <v>3</v>
      </c>
    </row>
    <row r="279" spans="1:6" x14ac:dyDescent="0.25">
      <c r="A279" s="11">
        <v>42125</v>
      </c>
      <c r="B279" s="7">
        <v>0.45277777777777778</v>
      </c>
      <c r="C279" s="7">
        <v>0.45833333333333331</v>
      </c>
      <c r="D279" s="7">
        <f>(0.458333333333333-0.452777777777778)</f>
        <v>5.5555555555549807E-3</v>
      </c>
      <c r="E279" s="7">
        <f>ABS(0.00555555555555498-0.010416666666667)</f>
        <v>4.8611111111120193E-3</v>
      </c>
      <c r="F279" s="1" t="s">
        <v>3</v>
      </c>
    </row>
    <row r="280" spans="1:6" x14ac:dyDescent="0.25">
      <c r="A280" s="11">
        <v>42125</v>
      </c>
      <c r="B280" s="7">
        <v>0.56319444444444444</v>
      </c>
      <c r="C280" s="7">
        <v>0.57361111111111118</v>
      </c>
      <c r="D280" s="7">
        <f>(0.573611111111111-0.563194444444444)</f>
        <v>1.0416666666666963E-2</v>
      </c>
      <c r="E280" s="7">
        <f>ABS(0.010416666666667-0.0201388888888889)</f>
        <v>9.7222222222219015E-3</v>
      </c>
      <c r="F280" s="1" t="s">
        <v>3</v>
      </c>
    </row>
    <row r="281" spans="1:6" x14ac:dyDescent="0.25">
      <c r="A281" s="11">
        <v>42125</v>
      </c>
      <c r="B281" s="7">
        <v>0.76666666666666661</v>
      </c>
      <c r="C281" s="7">
        <v>0.78680555555555554</v>
      </c>
      <c r="D281" s="7">
        <f>(0.786805555555556-0.766666666666667)</f>
        <v>2.0138888888888928E-2</v>
      </c>
      <c r="E281" s="7">
        <f>ABS(0.0201388888888889-0.00555555555555598)</f>
        <v>1.4583333333332921E-2</v>
      </c>
      <c r="F281" s="1" t="s">
        <v>3</v>
      </c>
    </row>
    <row r="282" spans="1:6" x14ac:dyDescent="0.25">
      <c r="A282" s="11">
        <v>42125</v>
      </c>
      <c r="B282" s="7">
        <v>0.81874999999999998</v>
      </c>
      <c r="C282" s="7">
        <v>0.82430555555555562</v>
      </c>
      <c r="D282" s="7">
        <f>(0.824305555555556-0.81875)</f>
        <v>5.5555555555559799E-3</v>
      </c>
      <c r="E282" s="7">
        <f>ABS(0.00555555555555598-0.020138888888889)</f>
        <v>1.4583333333333021E-2</v>
      </c>
      <c r="F282" s="1" t="s">
        <v>3</v>
      </c>
    </row>
    <row r="283" spans="1:6" x14ac:dyDescent="0.25">
      <c r="A283" s="11">
        <v>42125</v>
      </c>
      <c r="B283" s="7">
        <v>0.90625</v>
      </c>
      <c r="C283" s="7">
        <v>0.92638888888888893</v>
      </c>
      <c r="D283" s="7">
        <f>(0.926388888888889-0.90625)</f>
        <v>2.0138888888889039E-2</v>
      </c>
      <c r="E283" s="7">
        <f>ABS(0.020138888888889-0.00208333333333299)</f>
        <v>1.8055555555556012E-2</v>
      </c>
      <c r="F283" s="1" t="s">
        <v>3</v>
      </c>
    </row>
    <row r="284" spans="1:6" x14ac:dyDescent="0.25">
      <c r="A284" s="11">
        <v>42125</v>
      </c>
      <c r="B284" s="7">
        <v>0.94652777777777775</v>
      </c>
      <c r="C284" s="7">
        <v>0.94861111111111107</v>
      </c>
      <c r="D284" s="7">
        <f>(0.948611111111111-0.946527777777778)</f>
        <v>2.0833333333329929E-3</v>
      </c>
      <c r="E284" s="7">
        <f>ABS(0.00208333333333299-0.0104166666666667)</f>
        <v>8.3333333333337114E-3</v>
      </c>
      <c r="F284" s="1" t="s">
        <v>3</v>
      </c>
    </row>
    <row r="285" spans="1:6" x14ac:dyDescent="0.25">
      <c r="A285" s="11">
        <v>42125</v>
      </c>
      <c r="B285" s="7">
        <v>7.2222222222222229E-2</v>
      </c>
      <c r="C285" s="7">
        <v>8.2638888888888887E-2</v>
      </c>
      <c r="D285" s="7">
        <f>(0.0826388888888889-0.0722222222222222)</f>
        <v>1.0416666666666699E-2</v>
      </c>
      <c r="E285" s="7">
        <f>ABS(0.0104166666666667-0.00486111111111098)</f>
        <v>5.5555555555557206E-3</v>
      </c>
      <c r="F285" s="1" t="s">
        <v>3</v>
      </c>
    </row>
    <row r="286" spans="1:6" x14ac:dyDescent="0.25">
      <c r="A286" s="11">
        <v>42125</v>
      </c>
      <c r="B286" s="7">
        <v>0.3520833333333333</v>
      </c>
      <c r="C286" s="7">
        <v>0.35694444444444445</v>
      </c>
      <c r="D286" s="7">
        <f>(0.356944444444444-0.352083333333333)</f>
        <v>4.8611111111109828E-3</v>
      </c>
      <c r="E286" s="7">
        <f>ABS(0.00486111111111098-0.011805555555556)</f>
        <v>6.9444444444450191E-3</v>
      </c>
      <c r="F286" s="1" t="s">
        <v>3</v>
      </c>
    </row>
    <row r="287" spans="1:6" x14ac:dyDescent="0.25">
      <c r="A287" s="11">
        <v>42125</v>
      </c>
      <c r="B287" s="7">
        <v>0.35972222222222222</v>
      </c>
      <c r="C287" s="7">
        <v>0.37152777777777773</v>
      </c>
      <c r="D287" s="7">
        <f>(0.371527777777778-0.359722222222222)</f>
        <v>1.1805555555556013E-2</v>
      </c>
      <c r="E287" s="7">
        <f>ABS(0.011805555555556-0.00416666666666599)</f>
        <v>7.6388888888900093E-3</v>
      </c>
      <c r="F287" s="1" t="s">
        <v>3</v>
      </c>
    </row>
    <row r="288" spans="1:6" x14ac:dyDescent="0.25">
      <c r="A288" s="11">
        <v>42125</v>
      </c>
      <c r="B288" s="7">
        <v>0.50902777777777775</v>
      </c>
      <c r="C288" s="7">
        <v>0.5131944444444444</v>
      </c>
      <c r="D288" s="7">
        <f>(0.513194444444444-0.509027777777778)</f>
        <v>4.1666666666659857E-3</v>
      </c>
      <c r="E288" s="7">
        <f>ABS(0.00416666666666599-0.0124999999999991)</f>
        <v>8.3333333333331094E-3</v>
      </c>
      <c r="F288" s="1" t="s">
        <v>3</v>
      </c>
    </row>
    <row r="289" spans="1:6" x14ac:dyDescent="0.25">
      <c r="A289" s="11">
        <v>42125</v>
      </c>
      <c r="B289" s="7">
        <v>0.75694444444444453</v>
      </c>
      <c r="C289" s="7">
        <v>0.76944444444444438</v>
      </c>
      <c r="D289" s="7">
        <f>(0.769444444444444-0.756944444444445)</f>
        <v>1.2499999999999067E-2</v>
      </c>
      <c r="E289" s="7">
        <f>ABS(0.0124999999999991-0.00416666666666698)</f>
        <v>8.3333333333321206E-3</v>
      </c>
      <c r="F289" s="1" t="s">
        <v>3</v>
      </c>
    </row>
    <row r="290" spans="1:6" x14ac:dyDescent="0.25">
      <c r="A290" s="11">
        <v>42125</v>
      </c>
      <c r="B290" s="7">
        <v>0.86319444444444438</v>
      </c>
      <c r="C290" s="7">
        <v>0.86736111111111114</v>
      </c>
      <c r="D290" s="7">
        <f>(0.867361111111111-0.863194444444444)</f>
        <v>4.1666666666669849E-3</v>
      </c>
      <c r="E290" s="7">
        <f>ABS(0.00416666666666698-0.00624999999999998)</f>
        <v>2.0833333333330007E-3</v>
      </c>
      <c r="F290" s="1" t="s">
        <v>3</v>
      </c>
    </row>
    <row r="291" spans="1:6" x14ac:dyDescent="0.25">
      <c r="A291" s="11">
        <v>42125</v>
      </c>
      <c r="B291" s="7">
        <v>0.84930555555555554</v>
      </c>
      <c r="C291" s="7">
        <v>0.85555555555555562</v>
      </c>
      <c r="D291" s="7">
        <f>(0.855555555555556-0.849305555555556)</f>
        <v>6.2499999999999778E-3</v>
      </c>
      <c r="E291" s="7">
        <f>ABS(0.00624999999999998-0.00486111111111109)</f>
        <v>1.38888888888889E-3</v>
      </c>
      <c r="F291" s="1" t="s">
        <v>3</v>
      </c>
    </row>
    <row r="292" spans="1:6" x14ac:dyDescent="0.25">
      <c r="A292" s="11">
        <v>42125</v>
      </c>
      <c r="B292" s="7">
        <v>0.92152777777777783</v>
      </c>
      <c r="C292" s="7">
        <v>0.92638888888888893</v>
      </c>
      <c r="D292" s="7">
        <f>(0.926388888888889-0.921527777777778)</f>
        <v>4.8611111111110938E-3</v>
      </c>
      <c r="E292" s="7">
        <f>ABS(0.00486111111111109-0.00416666666666599)</f>
        <v>6.944444444451003E-4</v>
      </c>
      <c r="F292" s="1" t="s">
        <v>3</v>
      </c>
    </row>
    <row r="293" spans="1:6" x14ac:dyDescent="0.25">
      <c r="A293" s="11">
        <v>42125</v>
      </c>
      <c r="B293" s="7">
        <v>0.16041666666666668</v>
      </c>
      <c r="C293" s="7">
        <v>0.16458333333333333</v>
      </c>
      <c r="D293" s="7">
        <f>(0.164583333333333-0.160416666666667)</f>
        <v>4.1666666666659857E-3</v>
      </c>
      <c r="E293" s="7">
        <f>ABS(0.00416666666666599-0.00555555555555504)</f>
        <v>1.3888888888890496E-3</v>
      </c>
      <c r="F293" s="1" t="s">
        <v>3</v>
      </c>
    </row>
    <row r="294" spans="1:6" x14ac:dyDescent="0.25">
      <c r="A294" s="11">
        <v>42125</v>
      </c>
      <c r="B294" s="7">
        <v>0.44166666666666665</v>
      </c>
      <c r="C294" s="7">
        <v>0.44722222222222219</v>
      </c>
      <c r="D294" s="7">
        <f>(0.447222222222222-0.441666666666667)</f>
        <v>5.5555555555550362E-3</v>
      </c>
      <c r="E294" s="7">
        <f>ABS(0.00555555555555504-0.00624999999999998)</f>
        <v>6.9444444444494071E-4</v>
      </c>
      <c r="F294" s="1" t="s">
        <v>3</v>
      </c>
    </row>
    <row r="295" spans="1:6" x14ac:dyDescent="0.25">
      <c r="A295" s="11">
        <v>42125</v>
      </c>
      <c r="B295" s="7">
        <v>0.52152777777777781</v>
      </c>
      <c r="C295" s="7">
        <v>0.52777777777777779</v>
      </c>
      <c r="D295" s="7">
        <f>(0.527777777777778-0.521527777777778)</f>
        <v>6.2499999999999778E-3</v>
      </c>
      <c r="E295" s="7">
        <f>ABS(0.00624999999999998-0.00416666666666698)</f>
        <v>2.0833333333330007E-3</v>
      </c>
      <c r="F295" s="1" t="s">
        <v>3</v>
      </c>
    </row>
    <row r="296" spans="1:6" x14ac:dyDescent="0.25">
      <c r="A296" s="11">
        <v>42125</v>
      </c>
      <c r="B296" s="7">
        <v>0.55833333333333335</v>
      </c>
      <c r="C296" s="7">
        <v>0.5625</v>
      </c>
      <c r="D296" s="7">
        <f>(0.5625-0.558333333333333)</f>
        <v>4.1666666666669849E-3</v>
      </c>
      <c r="E296" s="7">
        <f>ABS(0.00416666666666698-0.00625000000000009)</f>
        <v>2.08333333333311E-3</v>
      </c>
      <c r="F296" s="1" t="s">
        <v>3</v>
      </c>
    </row>
    <row r="297" spans="1:6" x14ac:dyDescent="0.25">
      <c r="A297" s="11">
        <v>42125</v>
      </c>
      <c r="B297" s="7">
        <v>0.51250000000000007</v>
      </c>
      <c r="C297" s="7">
        <v>0.51874999999999993</v>
      </c>
      <c r="D297" s="7">
        <f>(0.51875-0.5125)</f>
        <v>6.2500000000000888E-3</v>
      </c>
      <c r="E297" s="7">
        <f>ABS(0.00625000000000009-0.00625000000000009)</f>
        <v>0</v>
      </c>
      <c r="F297" s="1" t="s">
        <v>3</v>
      </c>
    </row>
    <row r="298" spans="1:6" x14ac:dyDescent="0.25">
      <c r="A298" s="11">
        <v>42125</v>
      </c>
      <c r="B298" s="7">
        <v>0.57291666666666663</v>
      </c>
      <c r="C298" s="7">
        <v>0.57916666666666672</v>
      </c>
      <c r="D298" s="7">
        <f>(0.579166666666667-0.572916666666667)</f>
        <v>6.2500000000000888E-3</v>
      </c>
      <c r="E298" s="7">
        <f>ABS(0.00625000000000009-0.0173611111111119)</f>
        <v>1.1111111111111811E-2</v>
      </c>
      <c r="F298" s="1" t="s">
        <v>3</v>
      </c>
    </row>
    <row r="299" spans="1:6" x14ac:dyDescent="0.25">
      <c r="A299" s="11">
        <v>42125</v>
      </c>
      <c r="B299" s="7">
        <v>0.70694444444444438</v>
      </c>
      <c r="C299" s="7">
        <v>0.72430555555555554</v>
      </c>
      <c r="D299" s="7">
        <f>(0.724305555555556-0.706944444444444)</f>
        <v>1.7361111111111938E-2</v>
      </c>
      <c r="E299" s="7">
        <f>ABS(0.0173611111111119-0.00694444444444497)</f>
        <v>1.041666666666693E-2</v>
      </c>
      <c r="F299" s="1" t="s">
        <v>3</v>
      </c>
    </row>
    <row r="300" spans="1:6" x14ac:dyDescent="0.25">
      <c r="A300" s="11">
        <v>42125</v>
      </c>
      <c r="B300" s="7">
        <v>0.78194444444444444</v>
      </c>
      <c r="C300" s="7">
        <v>0.78888888888888886</v>
      </c>
      <c r="D300" s="7">
        <f>(0.788888888888889-0.781944444444444)</f>
        <v>6.9444444444449749E-3</v>
      </c>
      <c r="E300" s="7">
        <f>ABS(0.00694444444444497-0.01875)</f>
        <v>1.180555555555503E-2</v>
      </c>
      <c r="F300" s="1" t="s">
        <v>3</v>
      </c>
    </row>
    <row r="301" spans="1:6" x14ac:dyDescent="0.25">
      <c r="A301" s="11">
        <v>42125</v>
      </c>
      <c r="B301" s="7">
        <v>0.3520833333333333</v>
      </c>
      <c r="C301" s="7">
        <v>0.37083333333333335</v>
      </c>
      <c r="D301" s="7">
        <f>(0.370833333333333-0.352083333333333)</f>
        <v>1.8749999999999989E-2</v>
      </c>
      <c r="E301" s="7">
        <f>ABS(0.01875-0.00625000000000003)</f>
        <v>1.2499999999999969E-2</v>
      </c>
      <c r="F301" s="1" t="s">
        <v>3</v>
      </c>
    </row>
    <row r="302" spans="1:6" x14ac:dyDescent="0.25">
      <c r="A302" s="11">
        <v>42125</v>
      </c>
      <c r="B302" s="7">
        <v>0.37847222222222227</v>
      </c>
      <c r="C302" s="7">
        <v>0.38472222222222219</v>
      </c>
      <c r="D302" s="7">
        <f>(0.384722222222222-0.378472222222222)</f>
        <v>6.2500000000000333E-3</v>
      </c>
      <c r="E302" s="7">
        <f>ABS(0.00625000000000003-0.00763888888888897)</f>
        <v>1.3888888888889403E-3</v>
      </c>
      <c r="F302" s="1" t="s">
        <v>3</v>
      </c>
    </row>
    <row r="303" spans="1:6" x14ac:dyDescent="0.25">
      <c r="A303" s="11">
        <v>42125</v>
      </c>
      <c r="B303" s="7">
        <v>0.41666666666666669</v>
      </c>
      <c r="C303" s="7">
        <v>0.42430555555555555</v>
      </c>
      <c r="D303" s="7">
        <f>(0.424305555555556-0.416666666666667)</f>
        <v>7.6388888888889728E-3</v>
      </c>
      <c r="E303" s="7">
        <f>ABS(0.00763888888888897-0.00763888888888908)</f>
        <v>1.1015494072452725E-16</v>
      </c>
      <c r="F303" s="1" t="s">
        <v>3</v>
      </c>
    </row>
    <row r="304" spans="1:6" x14ac:dyDescent="0.25">
      <c r="A304" s="11">
        <v>42125</v>
      </c>
      <c r="B304" s="7">
        <v>0.73263888888888884</v>
      </c>
      <c r="C304" s="7">
        <v>0.7402777777777777</v>
      </c>
      <c r="D304" s="7">
        <f>(0.740277777777778-0.732638888888889)</f>
        <v>7.6388888888890838E-3</v>
      </c>
      <c r="E304" s="7">
        <f>ABS(0.00763888888888908-0.0118055555555551)</f>
        <v>4.1666666666660204E-3</v>
      </c>
      <c r="F304" s="1" t="s">
        <v>3</v>
      </c>
    </row>
    <row r="305" spans="1:6" x14ac:dyDescent="0.25">
      <c r="A305" s="11">
        <v>42125</v>
      </c>
      <c r="B305" s="7">
        <v>0.76041666666666663</v>
      </c>
      <c r="C305" s="7">
        <v>0.77222222222222225</v>
      </c>
      <c r="D305" s="7">
        <f>(0.772222222222222-0.760416666666667)</f>
        <v>1.180555555555507E-2</v>
      </c>
      <c r="E305" s="7">
        <f>ABS(0.0118055555555551-0.0125000000000001)</f>
        <v>6.9444444444499882E-4</v>
      </c>
      <c r="F305" s="1" t="s">
        <v>3</v>
      </c>
    </row>
    <row r="306" spans="1:6" x14ac:dyDescent="0.25">
      <c r="A306" s="11">
        <v>42125</v>
      </c>
      <c r="B306" s="7">
        <v>0.81597222222222221</v>
      </c>
      <c r="C306" s="7">
        <v>0.82847222222222217</v>
      </c>
      <c r="D306" s="7">
        <f>(0.828472222222222-0.815972222222222)</f>
        <v>1.2500000000000067E-2</v>
      </c>
      <c r="E306" s="7">
        <f>ABS(0.0125000000000001-0.00694444444444497)</f>
        <v>5.5555555555551299E-3</v>
      </c>
      <c r="F306" s="1" t="s">
        <v>3</v>
      </c>
    </row>
    <row r="307" spans="1:6" x14ac:dyDescent="0.25">
      <c r="A307" s="11">
        <v>42125</v>
      </c>
      <c r="B307" s="7">
        <v>0.85972222222222217</v>
      </c>
      <c r="C307" s="7">
        <v>0.8666666666666667</v>
      </c>
      <c r="D307" s="7">
        <f>(0.866666666666667-0.859722222222222)</f>
        <v>6.9444444444449749E-3</v>
      </c>
      <c r="E307" s="7">
        <f>ABS(0.00694444444444497-0.00833333333333297)</f>
        <v>1.388888888888001E-3</v>
      </c>
      <c r="F307" s="1" t="s">
        <v>3</v>
      </c>
    </row>
    <row r="308" spans="1:6" x14ac:dyDescent="0.25">
      <c r="A308" s="11">
        <v>42125</v>
      </c>
      <c r="B308" s="7">
        <v>0.94305555555555554</v>
      </c>
      <c r="C308" s="7">
        <v>0.95138888888888884</v>
      </c>
      <c r="D308" s="7">
        <f>(0.951388888888889-0.943055555555556)</f>
        <v>8.3333333333329707E-3</v>
      </c>
      <c r="E308" s="7">
        <f>ABS(0.00833333333333297-0.00486111111111104)</f>
        <v>3.4722222222219306E-3</v>
      </c>
      <c r="F308" s="1" t="s">
        <v>3</v>
      </c>
    </row>
    <row r="309" spans="1:6" x14ac:dyDescent="0.25">
      <c r="A309" s="11">
        <v>42125</v>
      </c>
      <c r="B309" s="7">
        <v>0.33263888888888887</v>
      </c>
      <c r="C309" s="7">
        <v>0.33749999999999997</v>
      </c>
      <c r="D309" s="7">
        <f>(0.3375-0.332638888888889)</f>
        <v>4.8611111111110383E-3</v>
      </c>
      <c r="E309" s="7">
        <f>ABS(0.00486111111111104-0.030555555555556)</f>
        <v>2.5694444444444957E-2</v>
      </c>
      <c r="F309" s="1" t="s">
        <v>3</v>
      </c>
    </row>
    <row r="310" spans="1:6" x14ac:dyDescent="0.25">
      <c r="A310" s="11">
        <v>42125</v>
      </c>
      <c r="B310" s="7">
        <v>0.44375000000000003</v>
      </c>
      <c r="C310" s="7">
        <v>0.47430555555555554</v>
      </c>
      <c r="D310" s="7">
        <f>(0.474305555555556-0.44375)</f>
        <v>3.0555555555556002E-2</v>
      </c>
      <c r="E310" s="7">
        <f>ABS(0.030555555555556-0.00486111111111109)</f>
        <v>2.5694444444444908E-2</v>
      </c>
      <c r="F310" s="1" t="s">
        <v>3</v>
      </c>
    </row>
    <row r="311" spans="1:6" x14ac:dyDescent="0.25">
      <c r="A311" s="11">
        <v>42125</v>
      </c>
      <c r="B311" s="7">
        <v>0.51388888888888895</v>
      </c>
      <c r="C311" s="7">
        <v>0.51874999999999993</v>
      </c>
      <c r="D311" s="7">
        <f>(0.51875-0.513888888888889)</f>
        <v>4.8611111111110938E-3</v>
      </c>
      <c r="E311" s="7">
        <f>ABS(0.00486111111111109-0.00416666666666698)</f>
        <v>6.9444444444411065E-4</v>
      </c>
      <c r="F311" s="1" t="s">
        <v>3</v>
      </c>
    </row>
    <row r="312" spans="1:6" x14ac:dyDescent="0.25">
      <c r="A312" s="11">
        <v>42125</v>
      </c>
      <c r="B312" s="7">
        <v>0.67499999999999993</v>
      </c>
      <c r="C312" s="7">
        <v>0.6791666666666667</v>
      </c>
      <c r="D312" s="7">
        <f>(0.679166666666667-0.675)</f>
        <v>4.1666666666669849E-3</v>
      </c>
      <c r="E312" s="7">
        <f>ABS(0.00416666666666698-0.00555555555555498)</f>
        <v>1.3888888888880001E-3</v>
      </c>
      <c r="F312" s="1" t="s">
        <v>3</v>
      </c>
    </row>
    <row r="313" spans="1:6" x14ac:dyDescent="0.25">
      <c r="A313" s="11">
        <v>42125</v>
      </c>
      <c r="B313" s="7">
        <v>0.18541666666666667</v>
      </c>
      <c r="C313" s="7">
        <v>0.19097222222222221</v>
      </c>
      <c r="D313" s="7">
        <f>(0.190972222222222-0.185416666666667)</f>
        <v>5.5555555555549807E-3</v>
      </c>
      <c r="E313" s="7">
        <f>ABS(0.00555555555555498-0.00277777777777799)</f>
        <v>2.7777777777769899E-3</v>
      </c>
      <c r="F313" s="1" t="s">
        <v>3</v>
      </c>
    </row>
    <row r="314" spans="1:6" x14ac:dyDescent="0.25">
      <c r="A314" s="11">
        <v>42125</v>
      </c>
      <c r="B314" s="7">
        <v>0.68472222222222223</v>
      </c>
      <c r="C314" s="7">
        <v>0.6875</v>
      </c>
      <c r="D314" s="7">
        <f>(0.6875-0.684722222222222)</f>
        <v>2.77777777777799E-3</v>
      </c>
      <c r="E314" s="7">
        <f>ABS(0.00277777777777799-0.013888888888889)</f>
        <v>1.1111111111111009E-2</v>
      </c>
      <c r="F314" s="1" t="s">
        <v>3</v>
      </c>
    </row>
    <row r="315" spans="1:6" x14ac:dyDescent="0.25">
      <c r="A315" s="11">
        <v>42125</v>
      </c>
      <c r="B315" s="7">
        <v>0.83263888888888893</v>
      </c>
      <c r="C315" s="7">
        <v>0.84652777777777777</v>
      </c>
      <c r="D315" s="7">
        <f>(0.846527777777778-0.832638888888889)</f>
        <v>1.3888888888888951E-2</v>
      </c>
      <c r="E315" s="7">
        <f>ABS(0.013888888888889-0.021527777777778)</f>
        <v>7.6388888888890005E-3</v>
      </c>
      <c r="F315" s="1" t="s">
        <v>3</v>
      </c>
    </row>
    <row r="316" spans="1:6" x14ac:dyDescent="0.25">
      <c r="A316" s="11">
        <v>42125</v>
      </c>
      <c r="B316" s="7">
        <v>0.88263888888888886</v>
      </c>
      <c r="C316" s="7">
        <v>0.90416666666666667</v>
      </c>
      <c r="D316" s="7">
        <f>(0.904166666666667-0.882638888888889)</f>
        <v>2.1527777777778034E-2</v>
      </c>
      <c r="E316" s="7">
        <f>ABS(0.021527777777778-0.00763888888888897)</f>
        <v>1.388888888888903E-2</v>
      </c>
      <c r="F316" s="1" t="s">
        <v>3</v>
      </c>
    </row>
    <row r="317" spans="1:6" x14ac:dyDescent="0.25">
      <c r="A317" s="11">
        <v>42125</v>
      </c>
      <c r="B317" s="7">
        <v>0.91388888888888886</v>
      </c>
      <c r="C317" s="7">
        <v>0.92152777777777783</v>
      </c>
      <c r="D317" s="7">
        <f>(0.921527777777778-0.913888888888889)</f>
        <v>7.6388888888889728E-3</v>
      </c>
      <c r="E317" s="7">
        <f>ABS(0.00763888888888897-0.00416666666666704)</f>
        <v>3.4722222222219306E-3</v>
      </c>
      <c r="F317" s="1" t="s">
        <v>3</v>
      </c>
    </row>
    <row r="318" spans="1:6" x14ac:dyDescent="0.25">
      <c r="A318" s="11">
        <v>42125</v>
      </c>
      <c r="B318" s="7">
        <v>0.38263888888888892</v>
      </c>
      <c r="C318" s="7">
        <v>0.38680555555555557</v>
      </c>
      <c r="D318" s="7">
        <f>(0.386805555555556-0.382638888888889)</f>
        <v>4.1666666666670404E-3</v>
      </c>
      <c r="E318" s="7">
        <f>ABS(0.00416666666666704-0.00347222222222199)</f>
        <v>6.9444444444504956E-4</v>
      </c>
      <c r="F318" s="1" t="s">
        <v>3</v>
      </c>
    </row>
    <row r="319" spans="1:6" x14ac:dyDescent="0.25">
      <c r="A319" s="11">
        <v>42125</v>
      </c>
      <c r="B319" s="7">
        <v>0.46527777777777773</v>
      </c>
      <c r="C319" s="7">
        <v>0.46875</v>
      </c>
      <c r="D319" s="7">
        <f>(0.46875-0.465277777777778)</f>
        <v>3.4722222222219878E-3</v>
      </c>
      <c r="E319" s="7">
        <f>ABS(0.00347222222222199-0.00347222222222199)</f>
        <v>0</v>
      </c>
      <c r="F319" s="1" t="s">
        <v>3</v>
      </c>
    </row>
    <row r="320" spans="1:6" x14ac:dyDescent="0.25">
      <c r="A320" s="11">
        <v>42125</v>
      </c>
      <c r="B320" s="7">
        <v>0.49652777777777773</v>
      </c>
      <c r="C320" s="7">
        <v>0.5</v>
      </c>
      <c r="D320" s="7">
        <f>(0.5-0.496527777777778)</f>
        <v>3.4722222222219878E-3</v>
      </c>
      <c r="E320" s="7">
        <f>ABS(0.00347222222222199-0.00833333333333297)</f>
        <v>4.8611111111109811E-3</v>
      </c>
      <c r="F320" s="1" t="s">
        <v>3</v>
      </c>
    </row>
    <row r="321" spans="1:6" x14ac:dyDescent="0.25">
      <c r="A321" s="11">
        <v>42125</v>
      </c>
      <c r="B321" s="7">
        <v>0.55763888888888891</v>
      </c>
      <c r="C321" s="7">
        <v>0.56597222222222221</v>
      </c>
      <c r="D321" s="7">
        <f>(0.565972222222222-0.557638888888889)</f>
        <v>8.3333333333329707E-3</v>
      </c>
      <c r="E321" s="7">
        <f>ABS(0.00833333333333297-0.00347222222222199)</f>
        <v>4.8611111111109811E-3</v>
      </c>
      <c r="F321" s="1" t="s">
        <v>3</v>
      </c>
    </row>
    <row r="322" spans="1:6" x14ac:dyDescent="0.25">
      <c r="A322" s="11">
        <v>42125</v>
      </c>
      <c r="B322" s="7">
        <v>0.59097222222222223</v>
      </c>
      <c r="C322" s="7">
        <v>0.59444444444444444</v>
      </c>
      <c r="D322" s="7">
        <f>(0.594444444444444-0.590972222222222)</f>
        <v>3.4722222222219878E-3</v>
      </c>
      <c r="E322" s="7">
        <f>ABS(0.00347222222222199-0.0041666666666671)</f>
        <v>6.9444444444511028E-4</v>
      </c>
      <c r="F322" s="1" t="s">
        <v>3</v>
      </c>
    </row>
    <row r="323" spans="1:6" x14ac:dyDescent="0.25">
      <c r="A323" s="11">
        <v>42125</v>
      </c>
      <c r="B323" s="7">
        <v>0.63888888888888895</v>
      </c>
      <c r="C323" s="7">
        <v>0.6430555555555556</v>
      </c>
      <c r="D323" s="7">
        <f>(0.643055555555556-0.638888888888889)</f>
        <v>4.166666666667096E-3</v>
      </c>
      <c r="E323" s="7">
        <f>ABS(0.0041666666666671-0.025)</f>
        <v>2.0833333333332902E-2</v>
      </c>
      <c r="F323" s="1" t="s">
        <v>3</v>
      </c>
    </row>
    <row r="324" spans="1:6" x14ac:dyDescent="0.25">
      <c r="A324" s="11">
        <v>42125</v>
      </c>
      <c r="B324" s="7">
        <v>0.66736111111111107</v>
      </c>
      <c r="C324" s="7">
        <v>0.69236111111111109</v>
      </c>
      <c r="D324" s="7">
        <f>(0.692361111111111-0.667361111111111)</f>
        <v>2.5000000000000022E-2</v>
      </c>
      <c r="E324" s="7">
        <f>ABS(0.025-0.0034722222222221)</f>
        <v>2.1527777777777903E-2</v>
      </c>
      <c r="F324" s="1" t="s">
        <v>3</v>
      </c>
    </row>
    <row r="325" spans="1:6" x14ac:dyDescent="0.25">
      <c r="A325" s="11">
        <v>42125</v>
      </c>
      <c r="B325" s="7">
        <v>0.73402777777777783</v>
      </c>
      <c r="C325" s="7">
        <v>0.73749999999999993</v>
      </c>
      <c r="D325" s="7">
        <f>(0.7375-0.734027777777778)</f>
        <v>3.4722222222220989E-3</v>
      </c>
      <c r="E325" s="7">
        <f>ABS(0.0034722222222221-0.00624999999999998)</f>
        <v>2.7777777777778802E-3</v>
      </c>
      <c r="F325" s="1" t="s">
        <v>3</v>
      </c>
    </row>
    <row r="326" spans="1:6" x14ac:dyDescent="0.25">
      <c r="A326" s="11">
        <v>42125</v>
      </c>
      <c r="B326" s="7">
        <v>0.86388888888888893</v>
      </c>
      <c r="C326" s="7">
        <v>0.87013888888888891</v>
      </c>
      <c r="D326" s="7">
        <f>(0.870138888888889-0.863888888888889)</f>
        <v>6.2499999999999778E-3</v>
      </c>
      <c r="E326" s="7">
        <f>ABS(0.00624999999999998-0.00416666666666599)</f>
        <v>2.0833333333339903E-3</v>
      </c>
      <c r="F326" s="1" t="s">
        <v>3</v>
      </c>
    </row>
    <row r="327" spans="1:6" x14ac:dyDescent="0.25">
      <c r="A327" s="11">
        <v>42125</v>
      </c>
      <c r="B327" s="7">
        <v>0.90416666666666667</v>
      </c>
      <c r="C327" s="7">
        <v>0.90833333333333333</v>
      </c>
      <c r="D327" s="7">
        <f>(0.908333333333333-0.904166666666667)</f>
        <v>4.1666666666659857E-3</v>
      </c>
      <c r="E327" s="7">
        <f>ABS(0.00416666666666599-0.00972222222221997)</f>
        <v>5.5555555555539806E-3</v>
      </c>
      <c r="F327" s="1" t="s">
        <v>3</v>
      </c>
    </row>
    <row r="328" spans="1:6" x14ac:dyDescent="0.25">
      <c r="A328" s="11">
        <v>42125</v>
      </c>
      <c r="B328" s="7">
        <v>1.0097222222222222</v>
      </c>
      <c r="C328" s="7">
        <v>1.0194444444444444</v>
      </c>
      <c r="D328" s="7">
        <f>(1.01944444444444-1.00972222222222)</f>
        <v>9.7222222222199672E-3</v>
      </c>
      <c r="E328" s="7">
        <f>ABS(0.00972222222221997-0.00416666666665999)</f>
        <v>5.555555555559981E-3</v>
      </c>
      <c r="F328" s="1" t="s">
        <v>3</v>
      </c>
    </row>
    <row r="329" spans="1:6" x14ac:dyDescent="0.25">
      <c r="A329" s="11">
        <v>42125</v>
      </c>
      <c r="B329" s="7">
        <v>1.0215277777777778</v>
      </c>
      <c r="C329" s="7">
        <v>1.0256944444444445</v>
      </c>
      <c r="D329" s="7">
        <f>(1.02569444444444-1.02152777777778)</f>
        <v>4.1666666666599905E-3</v>
      </c>
      <c r="E329" s="7">
        <f>ABS(0.00416666666665999-0.00972222222222296)</f>
        <v>5.55555555556297E-3</v>
      </c>
      <c r="F329" s="1" t="s">
        <v>3</v>
      </c>
    </row>
    <row r="330" spans="1:6" x14ac:dyDescent="0.25">
      <c r="A330" s="11">
        <v>42125</v>
      </c>
      <c r="B330" s="7">
        <v>0.4770833333333333</v>
      </c>
      <c r="C330" s="7">
        <v>0.48680555555555555</v>
      </c>
      <c r="D330" s="7">
        <f>(0.486805555555556-0.477083333333333)</f>
        <v>9.7222222222229648E-3</v>
      </c>
      <c r="E330" s="7">
        <f>ABS(0.00972222222222296-0.00763888888888897)</f>
        <v>2.0833333333339895E-3</v>
      </c>
      <c r="F330" s="1" t="s">
        <v>3</v>
      </c>
    </row>
    <row r="331" spans="1:6" x14ac:dyDescent="0.25">
      <c r="A331" s="11">
        <v>42125</v>
      </c>
      <c r="B331" s="7">
        <v>0.58263888888888882</v>
      </c>
      <c r="C331" s="7">
        <v>0.59027777777777779</v>
      </c>
      <c r="D331" s="7">
        <f>(0.590277777777778-0.582638888888889)</f>
        <v>7.6388888888889728E-3</v>
      </c>
      <c r="E331" s="7">
        <f>ABS(0.00763888888888897-0.00763888888888897)</f>
        <v>0</v>
      </c>
      <c r="F331" s="1" t="s">
        <v>3</v>
      </c>
    </row>
    <row r="332" spans="1:6" x14ac:dyDescent="0.25">
      <c r="A332" s="11">
        <v>42125</v>
      </c>
      <c r="B332" s="7">
        <v>0.59791666666666665</v>
      </c>
      <c r="C332" s="7">
        <v>0.60555555555555551</v>
      </c>
      <c r="D332" s="7">
        <f>(0.605555555555556-0.597916666666667)</f>
        <v>7.6388888888889728E-3</v>
      </c>
      <c r="E332" s="7">
        <f>ABS(0.00763888888888897-0.00763888888888897)</f>
        <v>0</v>
      </c>
      <c r="F332" s="1" t="s">
        <v>3</v>
      </c>
    </row>
    <row r="333" spans="1:6" x14ac:dyDescent="0.25">
      <c r="A333" s="11">
        <v>42125</v>
      </c>
      <c r="B333" s="7">
        <v>0.62986111111111109</v>
      </c>
      <c r="C333" s="7">
        <v>0.63750000000000007</v>
      </c>
      <c r="D333" s="7">
        <f>(0.6375-0.629861111111111)</f>
        <v>7.6388888888889728E-3</v>
      </c>
      <c r="E333" s="7">
        <f>ABS(0.00763888888888897-0.010416666666667)</f>
        <v>2.777777777778029E-3</v>
      </c>
      <c r="F333" s="1" t="s">
        <v>3</v>
      </c>
    </row>
    <row r="334" spans="1:6" x14ac:dyDescent="0.25">
      <c r="A334" s="11">
        <v>42125</v>
      </c>
      <c r="B334" s="7">
        <v>0.84513888888888899</v>
      </c>
      <c r="C334" s="7">
        <v>0.85555555555555562</v>
      </c>
      <c r="D334" s="7">
        <f>(0.855555555555556-0.845138888888889)</f>
        <v>1.0416666666666963E-2</v>
      </c>
      <c r="E334" s="7">
        <f>ABS(0.010416666666667-0.00347222222222299)</f>
        <v>6.9444444444440086E-3</v>
      </c>
      <c r="F334" s="1" t="s">
        <v>3</v>
      </c>
    </row>
    <row r="335" spans="1:6" x14ac:dyDescent="0.25">
      <c r="A335" s="11">
        <v>42125</v>
      </c>
      <c r="B335" s="7">
        <v>0.78333333333333333</v>
      </c>
      <c r="C335" s="7">
        <v>0.78680555555555554</v>
      </c>
      <c r="D335" s="7">
        <f>(0.786805555555556-0.783333333333333)</f>
        <v>3.472222222222987E-3</v>
      </c>
      <c r="E335" s="7"/>
      <c r="F335" s="1" t="s">
        <v>3</v>
      </c>
    </row>
    <row r="336" spans="1:6" x14ac:dyDescent="0.25">
      <c r="A336" s="11">
        <v>42125</v>
      </c>
      <c r="B336" s="7">
        <v>0.6333333333333333</v>
      </c>
      <c r="C336" s="7">
        <v>0.65833333333333333</v>
      </c>
      <c r="D336" s="7">
        <f>(0.658333333333333-0.633333333333333)</f>
        <v>2.5000000000000022E-2</v>
      </c>
      <c r="E336" s="7">
        <f>ABS(0.025-0.0152777777777781)</f>
        <v>9.7222222222219015E-3</v>
      </c>
      <c r="F336" s="1" t="s">
        <v>10</v>
      </c>
    </row>
    <row r="337" spans="1:6" x14ac:dyDescent="0.25">
      <c r="A337" s="11">
        <v>42125</v>
      </c>
      <c r="B337" s="7">
        <v>0.51250000000000007</v>
      </c>
      <c r="C337" s="7">
        <v>0.52777777777777779</v>
      </c>
      <c r="D337" s="7">
        <f>(0.527777777777778-0.5125)</f>
        <v>1.5277777777778057E-2</v>
      </c>
      <c r="E337" s="7">
        <f>ABS(0.0152777777777781-0.0201388888888888)</f>
        <v>4.8611111111107001E-3</v>
      </c>
      <c r="F337" s="1" t="s">
        <v>10</v>
      </c>
    </row>
    <row r="338" spans="1:6" x14ac:dyDescent="0.25">
      <c r="A338" s="11">
        <v>42125</v>
      </c>
      <c r="B338" s="7">
        <v>8.4722222222222213E-2</v>
      </c>
      <c r="C338" s="7">
        <v>0.10486111111111111</v>
      </c>
      <c r="D338" s="7">
        <f>(0.104861111111111-0.0847222222222222)</f>
        <v>2.0138888888888803E-2</v>
      </c>
      <c r="E338" s="7">
        <f>ABS(0.0201388888888888-0.019444444444445)</f>
        <v>6.9444444444380013E-4</v>
      </c>
      <c r="F338" s="1" t="s">
        <v>10</v>
      </c>
    </row>
    <row r="339" spans="1:6" x14ac:dyDescent="0.25">
      <c r="A339" s="11">
        <v>42125</v>
      </c>
      <c r="B339" s="7">
        <v>0.3611111111111111</v>
      </c>
      <c r="C339" s="7">
        <v>0.38055555555555554</v>
      </c>
      <c r="D339" s="7">
        <f>(0.380555555555556-0.361111111111111)</f>
        <v>1.9444444444444986E-2</v>
      </c>
      <c r="E339" s="7">
        <f>ABS(0.019444444444445-0.015972222222222)</f>
        <v>3.4722222222230009E-3</v>
      </c>
      <c r="F339" s="1" t="s">
        <v>10</v>
      </c>
    </row>
    <row r="340" spans="1:6" x14ac:dyDescent="0.25">
      <c r="A340" s="11">
        <v>42125</v>
      </c>
      <c r="B340" s="7">
        <v>0.44791666666666669</v>
      </c>
      <c r="C340" s="7">
        <v>0.46388888888888885</v>
      </c>
      <c r="D340" s="7">
        <f>(0.463888888888889-0.447916666666667)</f>
        <v>1.5972222222221999E-2</v>
      </c>
      <c r="E340" s="7">
        <f>ABS(0.015972222222222-0.029861111111111)</f>
        <v>1.3888888888889003E-2</v>
      </c>
      <c r="F340" s="1" t="s">
        <v>10</v>
      </c>
    </row>
    <row r="341" spans="1:6" x14ac:dyDescent="0.25">
      <c r="A341" s="11">
        <v>42125</v>
      </c>
      <c r="B341" s="7">
        <v>0.5708333333333333</v>
      </c>
      <c r="C341" s="7">
        <v>0.60069444444444442</v>
      </c>
      <c r="D341" s="7">
        <f>(0.600694444444444-0.570833333333333)</f>
        <v>2.9861111111111005E-2</v>
      </c>
      <c r="E341" s="7">
        <f>ABS(0.029861111111111-0.027777777777777)</f>
        <v>2.0833333333340025E-3</v>
      </c>
      <c r="F341" s="1" t="s">
        <v>10</v>
      </c>
    </row>
    <row r="342" spans="1:6" x14ac:dyDescent="0.25">
      <c r="A342" s="11">
        <v>42125</v>
      </c>
      <c r="B342" s="7">
        <v>0.57291666666666663</v>
      </c>
      <c r="C342" s="7">
        <v>0.60069444444444442</v>
      </c>
      <c r="D342" s="7">
        <f>(0.600694444444444-0.572916666666667)</f>
        <v>2.7777777777777013E-2</v>
      </c>
      <c r="E342" s="7">
        <f>ABS(0.027777777777777-0.029166666666667)</f>
        <v>1.3888888888900011E-3</v>
      </c>
      <c r="F342" s="1" t="s">
        <v>10</v>
      </c>
    </row>
    <row r="343" spans="1:6" x14ac:dyDescent="0.25">
      <c r="A343" s="11">
        <v>42125</v>
      </c>
      <c r="B343" s="7">
        <v>0.74583333333333324</v>
      </c>
      <c r="C343" s="7">
        <v>0.77500000000000002</v>
      </c>
      <c r="D343" s="7">
        <f>(0.775-0.745833333333333)</f>
        <v>2.9166666666667007E-2</v>
      </c>
      <c r="E343" s="7">
        <f>ABS(0.029166666666667-0.0159722222222229)</f>
        <v>1.3194444444444099E-2</v>
      </c>
      <c r="F343" s="1" t="s">
        <v>10</v>
      </c>
    </row>
    <row r="344" spans="1:6" x14ac:dyDescent="0.25">
      <c r="A344" s="11">
        <v>42125</v>
      </c>
      <c r="B344" s="7">
        <v>0.80833333333333324</v>
      </c>
      <c r="C344" s="7">
        <v>0.82430555555555562</v>
      </c>
      <c r="D344" s="7">
        <f>(0.824305555555556-0.808333333333333)</f>
        <v>1.5972222222222943E-2</v>
      </c>
      <c r="E344" s="7">
        <f>ABS(0.0159722222222229-0.00902777777777797)</f>
        <v>6.9444444444449315E-3</v>
      </c>
      <c r="F344" s="1" t="s">
        <v>10</v>
      </c>
    </row>
    <row r="345" spans="1:6" x14ac:dyDescent="0.25">
      <c r="A345" s="11">
        <v>42125</v>
      </c>
      <c r="B345" s="7">
        <v>0.86458333333333337</v>
      </c>
      <c r="C345" s="7">
        <v>0.87361111111111101</v>
      </c>
      <c r="D345" s="7">
        <f>(0.873611111111111-0.864583333333333)</f>
        <v>9.0277777777779677E-3</v>
      </c>
      <c r="E345" s="7">
        <f>ABS(0.00902777777777797-0.011805555555556)</f>
        <v>2.7777777777780299E-3</v>
      </c>
      <c r="F345" s="1" t="s">
        <v>10</v>
      </c>
    </row>
    <row r="346" spans="1:6" x14ac:dyDescent="0.25">
      <c r="A346" s="11">
        <v>42125</v>
      </c>
      <c r="B346" s="7">
        <v>0.90625</v>
      </c>
      <c r="C346" s="7">
        <v>0.91805555555555562</v>
      </c>
      <c r="D346" s="7">
        <f>(0.918055555555556-0.90625)</f>
        <v>1.1805555555555958E-2</v>
      </c>
      <c r="E346" s="7">
        <f>ABS(0.011805555555556-0.021527777777777)</f>
        <v>9.7222222222210011E-3</v>
      </c>
      <c r="F346" s="1" t="s">
        <v>10</v>
      </c>
    </row>
    <row r="347" spans="1:6" x14ac:dyDescent="0.25">
      <c r="A347" s="11">
        <v>42125</v>
      </c>
      <c r="B347" s="7">
        <v>0.42291666666666666</v>
      </c>
      <c r="C347" s="7">
        <v>0.44444444444444442</v>
      </c>
      <c r="D347" s="7">
        <f>(0.444444444444444-0.422916666666667)</f>
        <v>2.152777777777698E-2</v>
      </c>
      <c r="E347" s="7">
        <f>ABS(0.021527777777777-0.018749999999999)</f>
        <v>2.7777777777780004E-3</v>
      </c>
      <c r="F347" s="1" t="s">
        <v>10</v>
      </c>
    </row>
    <row r="348" spans="1:6" x14ac:dyDescent="0.25">
      <c r="A348" s="11">
        <v>42125</v>
      </c>
      <c r="B348" s="7">
        <v>0.78819444444444453</v>
      </c>
      <c r="C348" s="7">
        <v>0.80694444444444446</v>
      </c>
      <c r="D348" s="7">
        <f>(0.806944444444444-0.788194444444445)</f>
        <v>1.8749999999999045E-2</v>
      </c>
      <c r="E348" s="7">
        <f>ABS(0.018749999999999-0.0152777777777779)</f>
        <v>3.4722222222210997E-3</v>
      </c>
      <c r="F348" s="1" t="s">
        <v>10</v>
      </c>
    </row>
    <row r="349" spans="1:6" x14ac:dyDescent="0.25">
      <c r="A349" s="11">
        <v>42125</v>
      </c>
      <c r="B349" s="7">
        <v>0.87013888888888891</v>
      </c>
      <c r="C349" s="7">
        <v>0.88541666666666663</v>
      </c>
      <c r="D349" s="7">
        <f>(0.885416666666667-0.870138888888889)</f>
        <v>1.5277777777777946E-2</v>
      </c>
      <c r="E349" s="7">
        <f>ABS(0.0152777777777779-0.011111111111111)</f>
        <v>4.1666666666668999E-3</v>
      </c>
      <c r="F349" s="1" t="s">
        <v>10</v>
      </c>
    </row>
    <row r="350" spans="1:6" x14ac:dyDescent="0.25">
      <c r="A350" s="11">
        <v>42125</v>
      </c>
      <c r="B350" s="7">
        <v>0.9555555555555556</v>
      </c>
      <c r="C350" s="7">
        <v>0.96666666666666667</v>
      </c>
      <c r="D350" s="7">
        <f>(0.966666666666667-0.955555555555556)</f>
        <v>1.1111111111110961E-2</v>
      </c>
      <c r="E350" s="7">
        <f>ABS(0.011111111111111-0.018055555555556)</f>
        <v>6.9444444444450009E-3</v>
      </c>
      <c r="F350" s="1" t="s">
        <v>10</v>
      </c>
    </row>
    <row r="351" spans="1:6" x14ac:dyDescent="0.25">
      <c r="A351" s="11">
        <v>42125</v>
      </c>
      <c r="B351" s="7">
        <v>0.63194444444444442</v>
      </c>
      <c r="C351" s="7">
        <v>0.65</v>
      </c>
      <c r="D351" s="7">
        <f>(0.65-0.631944444444444)</f>
        <v>1.8055555555556047E-2</v>
      </c>
      <c r="E351" s="7">
        <f>ABS(0.018055555555556-0.019444444444444)</f>
        <v>1.3888888888879992E-3</v>
      </c>
      <c r="F351" s="1" t="s">
        <v>10</v>
      </c>
    </row>
    <row r="352" spans="1:6" x14ac:dyDescent="0.25">
      <c r="A352" s="11">
        <v>42125</v>
      </c>
      <c r="B352" s="7">
        <v>0.6875</v>
      </c>
      <c r="C352" s="7">
        <v>0.70694444444444438</v>
      </c>
      <c r="D352" s="7">
        <f>(0.706944444444444-0.6875)</f>
        <v>1.9444444444444042E-2</v>
      </c>
      <c r="E352" s="7">
        <f>ABS(0.019444444444444-0.026388888888889)</f>
        <v>6.9444444444449992E-3</v>
      </c>
      <c r="F352" s="1" t="s">
        <v>10</v>
      </c>
    </row>
    <row r="353" spans="1:6" x14ac:dyDescent="0.25">
      <c r="A353" s="11">
        <v>42125</v>
      </c>
      <c r="B353" s="7">
        <v>0.76388888888888884</v>
      </c>
      <c r="C353" s="7">
        <v>0.79027777777777775</v>
      </c>
      <c r="D353" s="7">
        <f>(0.790277777777778-0.763888888888889)</f>
        <v>2.6388888888889017E-2</v>
      </c>
      <c r="E353" s="7">
        <f>ABS(0.026388888888889-0.020833333333334)</f>
        <v>5.5555555555550015E-3</v>
      </c>
      <c r="F353" s="1" t="s">
        <v>10</v>
      </c>
    </row>
    <row r="354" spans="1:6" x14ac:dyDescent="0.25">
      <c r="A354" s="11">
        <v>42125</v>
      </c>
      <c r="B354" s="7">
        <v>0.75069444444444444</v>
      </c>
      <c r="C354" s="7">
        <v>0.7715277777777777</v>
      </c>
      <c r="D354" s="7">
        <f>(0.771527777777778-0.750694444444444)</f>
        <v>2.0833333333334036E-2</v>
      </c>
      <c r="E354" s="7">
        <f>ABS(0.020833333333334-0.0152777777777779)</f>
        <v>5.5555555555560979E-3</v>
      </c>
      <c r="F354" s="1" t="s">
        <v>10</v>
      </c>
    </row>
    <row r="355" spans="1:6" x14ac:dyDescent="0.25">
      <c r="A355" s="11">
        <v>42125</v>
      </c>
      <c r="B355" s="7">
        <v>0.80972222222222223</v>
      </c>
      <c r="C355" s="7">
        <v>0.82500000000000007</v>
      </c>
      <c r="D355" s="7">
        <f>(0.825-0.809722222222222)</f>
        <v>1.5277777777777946E-2</v>
      </c>
      <c r="E355" s="7">
        <f>ABS(0.0152777777777779-0.013888888888889)</f>
        <v>1.3888888888889013E-3</v>
      </c>
      <c r="F355" s="1" t="s">
        <v>10</v>
      </c>
    </row>
    <row r="356" spans="1:6" x14ac:dyDescent="0.25">
      <c r="A356" s="11">
        <v>42125</v>
      </c>
      <c r="B356" s="7">
        <v>0.9604166666666667</v>
      </c>
      <c r="C356" s="7">
        <v>0.97430555555555554</v>
      </c>
      <c r="D356" s="7">
        <f>(0.974305555555556-0.960416666666667)</f>
        <v>1.3888888888888951E-2</v>
      </c>
      <c r="E356" s="7">
        <f>ABS(0.013888888888889-0.01875)</f>
        <v>4.8611111111110002E-3</v>
      </c>
      <c r="F356" s="1" t="s">
        <v>10</v>
      </c>
    </row>
    <row r="357" spans="1:6" x14ac:dyDescent="0.25">
      <c r="A357" s="11">
        <v>42125</v>
      </c>
      <c r="B357" s="7">
        <v>1.0027777777777778</v>
      </c>
      <c r="C357" s="7">
        <v>1.0215277777777778</v>
      </c>
      <c r="D357" s="7">
        <f>(1.02152777777778-1.00277777777778)</f>
        <v>1.8750000000000044E-2</v>
      </c>
      <c r="E357" s="7">
        <f>ABS(0.01875-0.040972222222222)</f>
        <v>2.2222222222222001E-2</v>
      </c>
      <c r="F357" s="1" t="s">
        <v>10</v>
      </c>
    </row>
    <row r="358" spans="1:6" x14ac:dyDescent="0.25">
      <c r="A358" s="11">
        <v>42125</v>
      </c>
      <c r="B358" s="7">
        <v>0.29652777777777778</v>
      </c>
      <c r="C358" s="7">
        <v>0.33749999999999997</v>
      </c>
      <c r="D358" s="7">
        <f>(0.3375-0.296527777777778)</f>
        <v>4.0972222222222021E-2</v>
      </c>
      <c r="E358" s="7">
        <f>ABS(0.040972222222222-0.035416666666667)</f>
        <v>5.5555555555550015E-3</v>
      </c>
      <c r="F358" s="1" t="s">
        <v>10</v>
      </c>
    </row>
    <row r="359" spans="1:6" x14ac:dyDescent="0.25">
      <c r="A359" s="11">
        <v>42125</v>
      </c>
      <c r="B359" s="7">
        <v>0.40833333333333338</v>
      </c>
      <c r="C359" s="7">
        <v>0.44375000000000003</v>
      </c>
      <c r="D359" s="7">
        <f>(0.44375-0.408333333333333)</f>
        <v>3.5416666666666985E-2</v>
      </c>
      <c r="E359" s="7">
        <f>ABS(0.035416666666667-0.019444444444444)</f>
        <v>1.5972222222222998E-2</v>
      </c>
      <c r="F359" s="1" t="s">
        <v>10</v>
      </c>
    </row>
    <row r="360" spans="1:6" x14ac:dyDescent="0.25">
      <c r="A360" s="11">
        <v>42125</v>
      </c>
      <c r="B360" s="7">
        <v>0.41666666666666669</v>
      </c>
      <c r="C360" s="7">
        <v>0.43611111111111112</v>
      </c>
      <c r="D360" s="7">
        <f>(0.436111111111111-0.416666666666667)</f>
        <v>1.9444444444443987E-2</v>
      </c>
      <c r="E360" s="7">
        <f>ABS(0.019444444444444-0.019444444444445)</f>
        <v>9.9920072216264089E-16</v>
      </c>
      <c r="F360" s="1" t="s">
        <v>10</v>
      </c>
    </row>
    <row r="361" spans="1:6" x14ac:dyDescent="0.25">
      <c r="A361" s="11">
        <v>42125</v>
      </c>
      <c r="B361" s="7">
        <v>0.43194444444444446</v>
      </c>
      <c r="C361" s="7">
        <v>0.4513888888888889</v>
      </c>
      <c r="D361" s="7">
        <f>(0.451388888888889-0.431944444444444)</f>
        <v>1.9444444444444986E-2</v>
      </c>
      <c r="E361" s="7">
        <f>ABS(0.019444444444445-0.0152777777777779)</f>
        <v>4.1666666666670994E-3</v>
      </c>
      <c r="F361" s="1" t="s">
        <v>10</v>
      </c>
    </row>
    <row r="362" spans="1:6" x14ac:dyDescent="0.25">
      <c r="A362" s="11">
        <v>42125</v>
      </c>
      <c r="B362" s="7">
        <v>0.67499999999999993</v>
      </c>
      <c r="C362" s="7">
        <v>0.69027777777777777</v>
      </c>
      <c r="D362" s="7">
        <f>(0.690277777777778-0.675)</f>
        <v>1.5277777777777946E-2</v>
      </c>
      <c r="E362" s="7">
        <f>ABS(0.0152777777777779-0.0201388888888889)</f>
        <v>4.8611111111110002E-3</v>
      </c>
      <c r="F362" s="1" t="s">
        <v>10</v>
      </c>
    </row>
    <row r="363" spans="1:6" x14ac:dyDescent="0.25">
      <c r="A363" s="11">
        <v>42125</v>
      </c>
      <c r="B363" s="7">
        <v>0.71388888888888891</v>
      </c>
      <c r="C363" s="7">
        <v>0.73402777777777783</v>
      </c>
      <c r="D363" s="7">
        <f>(0.734027777777778-0.713888888888889)</f>
        <v>2.0138888888888928E-2</v>
      </c>
      <c r="E363" s="7">
        <f>ABS(0.0201388888888889-0.013888888888889)</f>
        <v>6.2499999999999015E-3</v>
      </c>
      <c r="F363" s="1" t="s">
        <v>10</v>
      </c>
    </row>
    <row r="364" spans="1:6" x14ac:dyDescent="0.25">
      <c r="A364" s="11">
        <v>42125</v>
      </c>
      <c r="B364" s="7">
        <v>0.78194444444444444</v>
      </c>
      <c r="C364" s="7">
        <v>0.79583333333333339</v>
      </c>
      <c r="D364" s="7">
        <f>(0.795833333333333-0.781944444444444)</f>
        <v>1.3888888888888951E-2</v>
      </c>
      <c r="E364" s="7">
        <f>ABS(0.013888888888889-0.0131944444444441)</f>
        <v>6.9444444444489994E-4</v>
      </c>
      <c r="F364" s="1" t="s">
        <v>10</v>
      </c>
    </row>
    <row r="365" spans="1:6" x14ac:dyDescent="0.25">
      <c r="A365" s="11">
        <v>42125</v>
      </c>
      <c r="B365" s="7">
        <v>0.81527777777777777</v>
      </c>
      <c r="C365" s="7">
        <v>0.82847222222222217</v>
      </c>
      <c r="D365" s="7">
        <f>(0.828472222222222-0.815277777777778)</f>
        <v>1.3194444444444065E-2</v>
      </c>
      <c r="E365" s="7">
        <f>ABS(0.0131944444444441-0.0159722222222221)</f>
        <v>2.7777777777780004E-3</v>
      </c>
      <c r="F365" s="1" t="s">
        <v>10</v>
      </c>
    </row>
    <row r="366" spans="1:6" x14ac:dyDescent="0.25">
      <c r="A366" s="11">
        <v>42125</v>
      </c>
      <c r="B366" s="7">
        <v>0.78125</v>
      </c>
      <c r="C366" s="7">
        <v>0.79722222222222217</v>
      </c>
      <c r="D366" s="7">
        <f>(0.797222222222222-0.78125)</f>
        <v>1.5972222222222054E-2</v>
      </c>
      <c r="E366" s="7">
        <f>ABS(0.0159722222222221-0.0208333333333339)</f>
        <v>4.8611111111118016E-3</v>
      </c>
      <c r="F366" s="1" t="s">
        <v>10</v>
      </c>
    </row>
    <row r="367" spans="1:6" x14ac:dyDescent="0.25">
      <c r="A367" s="11">
        <v>42125</v>
      </c>
      <c r="B367" s="7">
        <v>0.83333333333333337</v>
      </c>
      <c r="C367" s="7">
        <v>0.85416666666666663</v>
      </c>
      <c r="D367" s="7">
        <f>(0.854166666666667-0.833333333333333)</f>
        <v>2.0833333333333925E-2</v>
      </c>
      <c r="E367" s="7">
        <f>ABS(0.0208333333333339-0.0201388888888889)</f>
        <v>6.9444444444500056E-4</v>
      </c>
      <c r="F367" s="1" t="s">
        <v>10</v>
      </c>
    </row>
    <row r="368" spans="1:6" x14ac:dyDescent="0.25">
      <c r="A368" s="11">
        <v>42125</v>
      </c>
      <c r="B368" s="7">
        <v>2.8472222222222222E-2</v>
      </c>
      <c r="C368" s="7">
        <v>4.8611111111111112E-2</v>
      </c>
      <c r="D368" s="7">
        <f>(0.0486111111111111-0.0284722222222222)</f>
        <v>2.0138888888888897E-2</v>
      </c>
      <c r="E368" s="7">
        <f>ABS(0.0201388888888889-0.0159722222222219)</f>
        <v>4.1666666666670023E-3</v>
      </c>
      <c r="F368" s="1" t="s">
        <v>10</v>
      </c>
    </row>
    <row r="369" spans="1:6" x14ac:dyDescent="0.25">
      <c r="A369" s="11">
        <v>42125</v>
      </c>
      <c r="B369" s="7">
        <v>0.52916666666666667</v>
      </c>
      <c r="C369" s="7">
        <v>0.54513888888888895</v>
      </c>
      <c r="D369" s="7">
        <f>(0.545138888888889-0.529166666666667)</f>
        <v>1.5972222222221943E-2</v>
      </c>
      <c r="E369" s="7">
        <f>ABS(0.0159722222222219-0.017361111111111)</f>
        <v>1.3888888888891025E-3</v>
      </c>
      <c r="F369" s="1" t="s">
        <v>10</v>
      </c>
    </row>
    <row r="370" spans="1:6" x14ac:dyDescent="0.25">
      <c r="A370" s="11">
        <v>42125</v>
      </c>
      <c r="B370" s="7">
        <v>0.6</v>
      </c>
      <c r="C370" s="7">
        <v>0.61736111111111114</v>
      </c>
      <c r="D370" s="7">
        <f>(0.617361111111111-0.6)</f>
        <v>1.7361111111111049E-2</v>
      </c>
      <c r="E370" s="7">
        <f>ABS(0.017361111111111-0.016666666666667)</f>
        <v>6.9444444444400136E-4</v>
      </c>
      <c r="F370" s="1" t="s">
        <v>10</v>
      </c>
    </row>
    <row r="371" spans="1:6" x14ac:dyDescent="0.25">
      <c r="A371" s="11">
        <v>42125</v>
      </c>
      <c r="B371" s="7">
        <v>0.15625</v>
      </c>
      <c r="C371" s="7">
        <v>0.17291666666666669</v>
      </c>
      <c r="D371" s="7">
        <f>(0.172916666666667-0.15625)</f>
        <v>1.6666666666666996E-2</v>
      </c>
      <c r="E371" s="7">
        <f>ABS(0.016666666666667-0.011111111111111)</f>
        <v>5.555555555555999E-3</v>
      </c>
      <c r="F371" s="1" t="s">
        <v>10</v>
      </c>
    </row>
    <row r="372" spans="1:6" x14ac:dyDescent="0.25">
      <c r="A372" s="11">
        <v>42125</v>
      </c>
      <c r="B372" s="7">
        <v>0.33680555555555558</v>
      </c>
      <c r="C372" s="7">
        <v>0.34791666666666665</v>
      </c>
      <c r="D372" s="7">
        <f>(0.347916666666667-0.336805555555556)</f>
        <v>1.1111111111110961E-2</v>
      </c>
      <c r="E372" s="7">
        <f>ABS(0.011111111111111-0.015972222222222)</f>
        <v>4.8611111111109984E-3</v>
      </c>
      <c r="F372" s="1" t="s">
        <v>10</v>
      </c>
    </row>
    <row r="373" spans="1:6" x14ac:dyDescent="0.25">
      <c r="A373" s="11">
        <v>42125</v>
      </c>
      <c r="B373" s="7">
        <v>0.4680555555555555</v>
      </c>
      <c r="C373" s="7">
        <v>0.48402777777777778</v>
      </c>
      <c r="D373" s="7">
        <f>(0.484027777777778-0.468055555555556)</f>
        <v>1.5972222222221999E-2</v>
      </c>
      <c r="E373" s="7">
        <f>ABS(0.015972222222222-0.01875)</f>
        <v>2.7777777777780004E-3</v>
      </c>
      <c r="F373" s="1" t="s">
        <v>10</v>
      </c>
    </row>
    <row r="374" spans="1:6" x14ac:dyDescent="0.25">
      <c r="A374" s="11">
        <v>42125</v>
      </c>
      <c r="B374" s="7">
        <v>0.52986111111111112</v>
      </c>
      <c r="C374" s="7">
        <v>0.54861111111111105</v>
      </c>
      <c r="D374" s="7">
        <f>(0.548611111111111-0.529861111111111)</f>
        <v>1.8750000000000044E-2</v>
      </c>
      <c r="E374" s="7">
        <f>ABS(0.01875-0.020833333333333)</f>
        <v>2.0833333333329998E-3</v>
      </c>
      <c r="F374" s="1" t="s">
        <v>10</v>
      </c>
    </row>
    <row r="375" spans="1:6" x14ac:dyDescent="0.25">
      <c r="A375" s="11">
        <v>42125</v>
      </c>
      <c r="B375" s="7">
        <v>0.55763888888888891</v>
      </c>
      <c r="C375" s="7">
        <v>0.57847222222222217</v>
      </c>
      <c r="D375" s="7">
        <f>(0.578472222222222-0.557638888888889)</f>
        <v>2.0833333333333037E-2</v>
      </c>
      <c r="E375" s="7">
        <f>ABS(0.020833333333333-0.020138888888889)</f>
        <v>6.9444444444399789E-4</v>
      </c>
      <c r="F375" s="1" t="s">
        <v>10</v>
      </c>
    </row>
    <row r="376" spans="1:6" x14ac:dyDescent="0.25">
      <c r="A376" s="11">
        <v>42125</v>
      </c>
      <c r="B376" s="7">
        <v>0.10208333333333335</v>
      </c>
      <c r="C376" s="7">
        <v>0.12222222222222223</v>
      </c>
      <c r="D376" s="7">
        <f>(0.122222222222222-0.102083333333333)</f>
        <v>2.0138888888888998E-2</v>
      </c>
      <c r="E376" s="7">
        <f>ABS(0.020138888888889-0.019444444444444)</f>
        <v>6.9444444444500056E-4</v>
      </c>
      <c r="F376" s="1" t="s">
        <v>10</v>
      </c>
    </row>
    <row r="377" spans="1:6" x14ac:dyDescent="0.25">
      <c r="A377" s="11">
        <v>42125</v>
      </c>
      <c r="B377" s="7">
        <v>0.62638888888888888</v>
      </c>
      <c r="C377" s="7">
        <v>0.64583333333333337</v>
      </c>
      <c r="D377" s="7">
        <f>(0.645833333333333-0.626388888888889)</f>
        <v>1.9444444444444042E-2</v>
      </c>
      <c r="E377" s="7">
        <f>ABS(0.019444444444444-0.017361111111111)</f>
        <v>2.0833333333329998E-3</v>
      </c>
      <c r="F377" s="1" t="s">
        <v>10</v>
      </c>
    </row>
    <row r="378" spans="1:6" x14ac:dyDescent="0.25">
      <c r="A378" s="11">
        <v>42125</v>
      </c>
      <c r="B378" s="7">
        <v>0.67083333333333339</v>
      </c>
      <c r="C378" s="7">
        <v>0.68819444444444444</v>
      </c>
      <c r="D378" s="7">
        <f>(0.688194444444444-0.670833333333333)</f>
        <v>1.7361111111111049E-2</v>
      </c>
      <c r="E378" s="7">
        <f>ABS(0.017361111111111-0.020138888888889)</f>
        <v>2.7777777777780004E-3</v>
      </c>
      <c r="F378" s="1" t="s">
        <v>10</v>
      </c>
    </row>
    <row r="379" spans="1:6" x14ac:dyDescent="0.25">
      <c r="A379" s="11">
        <v>42125</v>
      </c>
      <c r="B379" s="7">
        <v>0.71458333333333324</v>
      </c>
      <c r="C379" s="7">
        <v>0.73472222222222217</v>
      </c>
      <c r="D379" s="7">
        <f>(0.734722222222222-0.714583333333333)</f>
        <v>2.0138888888889039E-2</v>
      </c>
      <c r="E379" s="7">
        <f>ABS(0.020138888888889-0.01875)</f>
        <v>1.3888888888890019E-3</v>
      </c>
      <c r="F379" s="1" t="s">
        <v>10</v>
      </c>
    </row>
    <row r="380" spans="1:6" x14ac:dyDescent="0.25">
      <c r="A380" s="11">
        <v>42125</v>
      </c>
      <c r="B380" s="7">
        <v>0.87430555555555556</v>
      </c>
      <c r="C380" s="7">
        <v>0.8930555555555556</v>
      </c>
      <c r="D380" s="7">
        <f>(0.893055555555556-0.874305555555556)</f>
        <v>1.8750000000000044E-2</v>
      </c>
      <c r="E380" s="7">
        <f>ABS(0.01875-0.008333333333333)</f>
        <v>1.0416666666666999E-2</v>
      </c>
      <c r="F380" s="1" t="s">
        <v>10</v>
      </c>
    </row>
    <row r="381" spans="1:6" x14ac:dyDescent="0.25">
      <c r="A381" s="11">
        <v>42125</v>
      </c>
      <c r="B381" s="7">
        <v>0.17500000000000002</v>
      </c>
      <c r="C381" s="7">
        <v>0.18333333333333335</v>
      </c>
      <c r="D381" s="7">
        <f>(0.183333333333333-0.175)</f>
        <v>8.3333333333329984E-3</v>
      </c>
      <c r="E381" s="7">
        <f>ABS(0.008333333333333-0.00486111111111198)</f>
        <v>3.4722222222210199E-3</v>
      </c>
      <c r="F381" s="1" t="s">
        <v>10</v>
      </c>
    </row>
    <row r="382" spans="1:6" x14ac:dyDescent="0.25">
      <c r="A382" s="11">
        <v>42125</v>
      </c>
      <c r="B382" s="7">
        <v>0.41944444444444445</v>
      </c>
      <c r="C382" s="7">
        <v>0.42430555555555555</v>
      </c>
      <c r="D382" s="7">
        <f>(0.424305555555556-0.419444444444444)</f>
        <v>4.861111111111982E-3</v>
      </c>
      <c r="E382" s="7">
        <f>ABS(0.00486111111111198-0.015972222222222)</f>
        <v>1.1111111111110019E-2</v>
      </c>
      <c r="F382" s="1" t="s">
        <v>10</v>
      </c>
    </row>
    <row r="383" spans="1:6" x14ac:dyDescent="0.25">
      <c r="A383" s="11">
        <v>42125</v>
      </c>
      <c r="B383" s="7">
        <v>0.4861111111111111</v>
      </c>
      <c r="C383" s="7">
        <v>0.50208333333333333</v>
      </c>
      <c r="D383" s="7">
        <f>(0.502083333333333-0.486111111111111)</f>
        <v>1.5972222222221999E-2</v>
      </c>
      <c r="E383" s="7">
        <f>ABS(0.015972222222222-0.0187499999999999)</f>
        <v>2.7777777777778997E-3</v>
      </c>
      <c r="F383" s="1" t="s">
        <v>10</v>
      </c>
    </row>
    <row r="384" spans="1:6" x14ac:dyDescent="0.25">
      <c r="A384" s="11">
        <v>42125</v>
      </c>
      <c r="B384" s="7">
        <v>0.55902777777777779</v>
      </c>
      <c r="C384" s="7">
        <v>0.57777777777777783</v>
      </c>
      <c r="D384" s="7">
        <f>(0.577777777777778-0.559027777777778)</f>
        <v>1.8749999999999933E-2</v>
      </c>
      <c r="E384" s="7">
        <f>ABS(0.0187499999999999-0.018055555555555)</f>
        <v>6.9444444444489994E-4</v>
      </c>
      <c r="F384" s="1" t="s">
        <v>10</v>
      </c>
    </row>
    <row r="385" spans="1:6" x14ac:dyDescent="0.25">
      <c r="A385" s="11">
        <v>42125</v>
      </c>
      <c r="B385" s="7">
        <v>0.72638888888888886</v>
      </c>
      <c r="C385" s="7">
        <v>0.74444444444444446</v>
      </c>
      <c r="D385" s="7">
        <f>(0.744444444444444-0.726388888888889)</f>
        <v>1.8055555555555047E-2</v>
      </c>
      <c r="E385" s="7">
        <f>ABS(0.018055555555555-0.0159722222222221)</f>
        <v>2.0833333333328992E-3</v>
      </c>
      <c r="F385" s="1" t="s">
        <v>10</v>
      </c>
    </row>
    <row r="386" spans="1:6" x14ac:dyDescent="0.25">
      <c r="A386" s="11">
        <v>42125</v>
      </c>
      <c r="B386" s="7">
        <v>0.79513888888888884</v>
      </c>
      <c r="C386" s="7">
        <v>0.81111111111111101</v>
      </c>
      <c r="D386" s="7">
        <f>(0.811111111111111-0.795138888888889)</f>
        <v>1.5972222222222054E-2</v>
      </c>
      <c r="E386" s="7">
        <f>ABS(0.0159722222222221-0.0125000000000001)</f>
        <v>3.472222222222E-3</v>
      </c>
      <c r="F386" s="1" t="s">
        <v>10</v>
      </c>
    </row>
    <row r="387" spans="1:6" x14ac:dyDescent="0.25">
      <c r="A387" s="11">
        <v>42125</v>
      </c>
      <c r="B387" s="7">
        <v>0.84722222222222221</v>
      </c>
      <c r="C387" s="7">
        <v>0.85972222222222217</v>
      </c>
      <c r="D387" s="7">
        <f>(0.859722222222222-0.847222222222222)</f>
        <v>1.2500000000000067E-2</v>
      </c>
      <c r="E387" s="7">
        <f>ABS(0.0125000000000001-0.0145833333333331)</f>
        <v>2.0833333333329998E-3</v>
      </c>
      <c r="F387" s="1" t="s">
        <v>10</v>
      </c>
    </row>
    <row r="388" spans="1:6" x14ac:dyDescent="0.25">
      <c r="A388" s="11">
        <v>42125</v>
      </c>
      <c r="B388" s="7">
        <v>0.88263888888888886</v>
      </c>
      <c r="C388" s="7">
        <v>0.89722222222222225</v>
      </c>
      <c r="D388" s="7">
        <f>(0.897222222222222-0.882638888888889)</f>
        <v>1.4583333333333059E-2</v>
      </c>
      <c r="E388" s="7">
        <f>ABS(0.0145833333333331-0.0145833333333331)</f>
        <v>0</v>
      </c>
      <c r="F388" s="1" t="s">
        <v>10</v>
      </c>
    </row>
    <row r="389" spans="1:6" x14ac:dyDescent="0.25">
      <c r="A389" s="11">
        <v>42125</v>
      </c>
      <c r="B389" s="7">
        <v>0.94305555555555554</v>
      </c>
      <c r="C389" s="7">
        <v>0.95763888888888893</v>
      </c>
      <c r="D389" s="7">
        <f>(0.957638888888889-0.943055555555556)</f>
        <v>1.4583333333333059E-2</v>
      </c>
      <c r="E389" s="7">
        <f>ABS(0.0145833333333331-0.0187499999999999)</f>
        <v>4.1666666666667993E-3</v>
      </c>
      <c r="F389" s="1" t="s">
        <v>10</v>
      </c>
    </row>
    <row r="390" spans="1:6" x14ac:dyDescent="0.25">
      <c r="A390" s="11">
        <v>42125</v>
      </c>
      <c r="B390" s="7">
        <v>0.52083333333333337</v>
      </c>
      <c r="C390" s="7">
        <v>0.5395833333333333</v>
      </c>
      <c r="D390" s="7">
        <f>(0.539583333333333-0.520833333333333)</f>
        <v>1.8749999999999933E-2</v>
      </c>
      <c r="E390" s="7">
        <f>ABS(0.0187499999999999-0.0305555555555551)</f>
        <v>1.1805555555555201E-2</v>
      </c>
      <c r="F390" s="1" t="s">
        <v>10</v>
      </c>
    </row>
    <row r="391" spans="1:6" x14ac:dyDescent="0.25">
      <c r="A391" s="11">
        <v>42125</v>
      </c>
      <c r="B391" s="7">
        <v>7.6388888888888895E-2</v>
      </c>
      <c r="C391" s="7">
        <v>0.10694444444444444</v>
      </c>
      <c r="D391" s="7">
        <f>(0.106944444444444-0.0763888888888889)</f>
        <v>3.05555555555551E-2</v>
      </c>
      <c r="E391" s="7">
        <f>ABS(0.0305555555555551-0.018055555555556)</f>
        <v>1.2499999999999099E-2</v>
      </c>
      <c r="F391" s="1" t="s">
        <v>10</v>
      </c>
    </row>
    <row r="392" spans="1:6" x14ac:dyDescent="0.25">
      <c r="A392" s="11">
        <v>42125</v>
      </c>
      <c r="B392" s="7">
        <v>0.48333333333333334</v>
      </c>
      <c r="C392" s="7">
        <v>0.50138888888888888</v>
      </c>
      <c r="D392" s="7">
        <f>(0.501388888888889-0.483333333333333)</f>
        <v>1.8055555555555991E-2</v>
      </c>
      <c r="E392" s="7">
        <f>ABS(0.018055555555556-0.039583333333334)</f>
        <v>2.1527777777777996E-2</v>
      </c>
      <c r="F392" s="1" t="s">
        <v>10</v>
      </c>
    </row>
    <row r="393" spans="1:6" x14ac:dyDescent="0.25">
      <c r="A393" s="11">
        <v>42125</v>
      </c>
      <c r="B393" s="7">
        <v>0.49444444444444446</v>
      </c>
      <c r="C393" s="7">
        <v>0.53402777777777777</v>
      </c>
      <c r="D393" s="7">
        <f>(0.534027777777778-0.494444444444444)</f>
        <v>3.958333333333397E-2</v>
      </c>
      <c r="E393" s="7">
        <f>ABS(0.039583333333334-0.0152777777777781)</f>
        <v>2.4305555555555899E-2</v>
      </c>
      <c r="F393" s="1" t="s">
        <v>10</v>
      </c>
    </row>
    <row r="394" spans="1:6" x14ac:dyDescent="0.25">
      <c r="A394" s="11">
        <v>42125</v>
      </c>
      <c r="B394" s="7">
        <v>0.5395833333333333</v>
      </c>
      <c r="C394" s="7">
        <v>0.55486111111111114</v>
      </c>
      <c r="D394" s="7">
        <f>(0.554861111111111-0.539583333333333)</f>
        <v>1.5277777777778057E-2</v>
      </c>
      <c r="E394" s="7">
        <f>ABS(0.0152777777777781-0.0166666666666659)</f>
        <v>1.3888888888877998E-3</v>
      </c>
      <c r="F394" s="1" t="s">
        <v>10</v>
      </c>
    </row>
    <row r="395" spans="1:6" x14ac:dyDescent="0.25">
      <c r="A395" s="11">
        <v>42125</v>
      </c>
      <c r="B395" s="7">
        <v>0.59027777777777779</v>
      </c>
      <c r="C395" s="7">
        <v>0.6069444444444444</v>
      </c>
      <c r="D395" s="7">
        <f>(0.606944444444444-0.590277777777778)</f>
        <v>1.6666666666665941E-2</v>
      </c>
      <c r="E395" s="7">
        <f>ABS(0.0166666666666659-0.017361111111111)</f>
        <v>6.9444444444510117E-4</v>
      </c>
      <c r="F395" s="1" t="s">
        <v>10</v>
      </c>
    </row>
    <row r="396" spans="1:6" x14ac:dyDescent="0.25">
      <c r="A396" s="11">
        <v>42125</v>
      </c>
      <c r="B396" s="7">
        <v>0.65763888888888888</v>
      </c>
      <c r="C396" s="7">
        <v>0.67499999999999993</v>
      </c>
      <c r="D396" s="7">
        <f>(0.675-0.657638888888889)</f>
        <v>1.7361111111111049E-2</v>
      </c>
      <c r="E396" s="7">
        <f>ABS(0.017361111111111-0.023611111111111)</f>
        <v>6.2499999999999986E-3</v>
      </c>
      <c r="F396" s="1" t="s">
        <v>10</v>
      </c>
    </row>
    <row r="397" spans="1:6" x14ac:dyDescent="0.25">
      <c r="A397" s="11">
        <v>42125</v>
      </c>
      <c r="B397" s="7">
        <v>0.68333333333333324</v>
      </c>
      <c r="C397" s="7">
        <v>0.70694444444444438</v>
      </c>
      <c r="D397" s="7">
        <f>(0.706944444444444-0.683333333333333)</f>
        <v>2.3611111111111027E-2</v>
      </c>
      <c r="E397" s="7">
        <f>ABS(0.023611111111111-0.0166666666666661)</f>
        <v>6.9444444444448986E-3</v>
      </c>
      <c r="F397" s="1" t="s">
        <v>10</v>
      </c>
    </row>
    <row r="398" spans="1:6" x14ac:dyDescent="0.25">
      <c r="A398" s="11">
        <v>42125</v>
      </c>
      <c r="B398" s="7">
        <v>0.72430555555555554</v>
      </c>
      <c r="C398" s="7">
        <v>0.74097222222222225</v>
      </c>
      <c r="D398" s="7">
        <f>(0.740972222222222-0.724305555555556)</f>
        <v>1.6666666666666052E-2</v>
      </c>
      <c r="E398" s="7">
        <f>ABS(0.0166666666666661-0.013194444444445)</f>
        <v>3.4722222222211014E-3</v>
      </c>
      <c r="F398" s="1" t="s">
        <v>10</v>
      </c>
    </row>
    <row r="399" spans="1:6" x14ac:dyDescent="0.25">
      <c r="A399" s="11">
        <v>42125</v>
      </c>
      <c r="B399" s="7">
        <v>0.82986111111111116</v>
      </c>
      <c r="C399" s="7">
        <v>0.84305555555555556</v>
      </c>
      <c r="D399" s="7">
        <f>(0.843055555555556-0.829861111111111)</f>
        <v>1.3194444444444953E-2</v>
      </c>
      <c r="E399" s="7">
        <f>ABS(0.013194444444445-0.0145833333333331)</f>
        <v>1.3888888888880999E-3</v>
      </c>
      <c r="F399" s="1" t="s">
        <v>10</v>
      </c>
    </row>
    <row r="400" spans="1:6" x14ac:dyDescent="0.25">
      <c r="A400" s="11">
        <v>42125</v>
      </c>
      <c r="B400" s="7">
        <v>0.88194444444444453</v>
      </c>
      <c r="C400" s="7">
        <v>0.8965277777777777</v>
      </c>
      <c r="D400" s="7">
        <f>(0.896527777777778-0.881944444444445)</f>
        <v>1.4583333333333059E-2</v>
      </c>
      <c r="E400" s="7">
        <f>ABS(0.0145833333333331-0.010416666666669)</f>
        <v>4.1666666666641001E-3</v>
      </c>
      <c r="F400" s="1" t="s">
        <v>10</v>
      </c>
    </row>
    <row r="401" spans="1:6" x14ac:dyDescent="0.25">
      <c r="A401" s="11">
        <v>42125</v>
      </c>
      <c r="B401" s="7">
        <v>0.99236111111111114</v>
      </c>
      <c r="C401" s="7">
        <v>1.0027777777777778</v>
      </c>
      <c r="D401" s="7">
        <f>(1.00277777777778-0.992361111111111)</f>
        <v>1.0416666666668961E-2</v>
      </c>
      <c r="E401" s="7">
        <f>ABS(0.010416666666669-0.014583333333334)</f>
        <v>4.1666666666650004E-3</v>
      </c>
      <c r="F401" s="1" t="s">
        <v>10</v>
      </c>
    </row>
    <row r="402" spans="1:6" x14ac:dyDescent="0.25">
      <c r="A402" s="11">
        <v>42125</v>
      </c>
      <c r="B402" s="7">
        <v>0.11458333333333333</v>
      </c>
      <c r="C402" s="7">
        <v>0.12916666666666668</v>
      </c>
      <c r="D402" s="7">
        <f>(0.129166666666667-0.114583333333333)</f>
        <v>1.4583333333334017E-2</v>
      </c>
      <c r="E402" s="7">
        <f>ABS(0.014583333333334-0.014583333333334)</f>
        <v>0</v>
      </c>
      <c r="F402" s="1" t="s">
        <v>10</v>
      </c>
    </row>
    <row r="403" spans="1:6" x14ac:dyDescent="0.25">
      <c r="A403" s="11">
        <v>42125</v>
      </c>
      <c r="B403" s="7">
        <v>0.23958333333333334</v>
      </c>
      <c r="C403" s="7">
        <v>0.25416666666666665</v>
      </c>
      <c r="D403" s="7">
        <f>(0.254166666666667-0.239583333333333)</f>
        <v>1.4583333333333975E-2</v>
      </c>
      <c r="E403" s="7">
        <f>ABS(0.014583333333334-0.0145833333333329)</f>
        <v>1.0998146837692957E-15</v>
      </c>
      <c r="F403" s="1" t="s">
        <v>10</v>
      </c>
    </row>
    <row r="404" spans="1:6" x14ac:dyDescent="0.25">
      <c r="A404" s="11">
        <v>42125</v>
      </c>
      <c r="B404" s="7">
        <v>0.8979166666666667</v>
      </c>
      <c r="C404" s="7">
        <v>0.91249999999999998</v>
      </c>
      <c r="D404" s="7">
        <f>(0.9125-0.897916666666667)</f>
        <v>1.4583333333332948E-2</v>
      </c>
      <c r="E404" s="7">
        <f>ABS(0.0145833333333329-0.013888888888889)</f>
        <v>6.9444444444390074E-4</v>
      </c>
      <c r="F404" s="1" t="s">
        <v>10</v>
      </c>
    </row>
    <row r="405" spans="1:6" x14ac:dyDescent="0.25">
      <c r="A405" s="11">
        <v>42125</v>
      </c>
      <c r="B405" s="7">
        <v>0.9375</v>
      </c>
      <c r="C405" s="7">
        <v>0.95138888888888884</v>
      </c>
      <c r="D405" s="7">
        <f>(0.951388888888889-0.9375)</f>
        <v>1.3888888888888951E-2</v>
      </c>
      <c r="E405" s="7">
        <f>ABS(0.013888888888889-0.0166666666666667)</f>
        <v>2.777777777777702E-3</v>
      </c>
      <c r="F405" s="1" t="s">
        <v>10</v>
      </c>
    </row>
    <row r="406" spans="1:6" x14ac:dyDescent="0.25">
      <c r="A406" s="11">
        <v>42125</v>
      </c>
      <c r="B406" s="7">
        <v>3.3333333333333333E-2</v>
      </c>
      <c r="C406" s="7">
        <v>4.9999999999999996E-2</v>
      </c>
      <c r="D406" s="7">
        <f>(0.05-0.0333333333333333)</f>
        <v>1.6666666666666705E-2</v>
      </c>
      <c r="E406" s="7">
        <f>ABS(0.0166666666666667-0.016666666666667)</f>
        <v>2.9837243786801082E-16</v>
      </c>
      <c r="F406" s="1" t="s">
        <v>10</v>
      </c>
    </row>
    <row r="407" spans="1:6" x14ac:dyDescent="0.25">
      <c r="A407" s="11">
        <v>42125</v>
      </c>
      <c r="B407" s="7">
        <v>0.26874999999999999</v>
      </c>
      <c r="C407" s="7">
        <v>0.28541666666666665</v>
      </c>
      <c r="D407" s="7">
        <f>(0.285416666666667-0.26875)</f>
        <v>1.6666666666666996E-2</v>
      </c>
      <c r="E407" s="7">
        <f>ABS(0.016666666666667-0.020833333333333)</f>
        <v>4.1666666666659996E-3</v>
      </c>
      <c r="F407" s="1" t="s">
        <v>10</v>
      </c>
    </row>
    <row r="408" spans="1:6" x14ac:dyDescent="0.25">
      <c r="A408" s="11">
        <v>42125</v>
      </c>
      <c r="B408" s="7">
        <v>0.31041666666666667</v>
      </c>
      <c r="C408" s="7">
        <v>0.33124999999999999</v>
      </c>
      <c r="D408" s="7">
        <f>(0.33125-0.310416666666667)</f>
        <v>2.0833333333332982E-2</v>
      </c>
      <c r="E408" s="7">
        <f>ABS(0.020833333333333-0.014583333333333)</f>
        <v>6.2499999999999986E-3</v>
      </c>
      <c r="F408" s="1" t="s">
        <v>10</v>
      </c>
    </row>
    <row r="409" spans="1:6" x14ac:dyDescent="0.25">
      <c r="A409" s="11">
        <v>42125</v>
      </c>
      <c r="B409" s="7">
        <v>0.32500000000000001</v>
      </c>
      <c r="C409" s="7">
        <v>0.33958333333333335</v>
      </c>
      <c r="D409" s="7">
        <f>(0.339583333333333-0.325)</f>
        <v>1.4583333333333004E-2</v>
      </c>
      <c r="E409" s="7">
        <f>ABS(0.014583333333333-0.019444444444445)</f>
        <v>4.8611111111119994E-3</v>
      </c>
      <c r="F409" s="1" t="s">
        <v>10</v>
      </c>
    </row>
    <row r="410" spans="1:6" x14ac:dyDescent="0.25">
      <c r="A410" s="11">
        <v>42125</v>
      </c>
      <c r="B410" s="7">
        <v>0.63958333333333328</v>
      </c>
      <c r="C410" s="7">
        <v>0.65902777777777777</v>
      </c>
      <c r="D410" s="7">
        <f>(0.659027777777778-0.639583333333333)</f>
        <v>1.9444444444445041E-2</v>
      </c>
      <c r="E410" s="7">
        <f>ABS(0.019444444444445-0.00902777777777797)</f>
        <v>1.041666666666703E-2</v>
      </c>
      <c r="F410" s="1" t="s">
        <v>10</v>
      </c>
    </row>
    <row r="411" spans="1:6" x14ac:dyDescent="0.25">
      <c r="A411" s="11">
        <v>42125</v>
      </c>
      <c r="B411" s="7">
        <v>0.77708333333333324</v>
      </c>
      <c r="C411" s="7">
        <v>0.78611111111111109</v>
      </c>
      <c r="D411" s="7">
        <f>(0.786111111111111-0.777083333333333)</f>
        <v>9.0277777777779677E-3</v>
      </c>
      <c r="E411" s="7">
        <f>ABS(0.00902777777777797-0.0145833333333331)</f>
        <v>5.5555555555551299E-3</v>
      </c>
      <c r="F411" s="1" t="s">
        <v>10</v>
      </c>
    </row>
    <row r="412" spans="1:6" x14ac:dyDescent="0.25">
      <c r="A412" s="11">
        <v>42125</v>
      </c>
      <c r="B412" s="7">
        <v>0.8847222222222223</v>
      </c>
      <c r="C412" s="7">
        <v>0.89930555555555547</v>
      </c>
      <c r="D412" s="7">
        <f>(0.899305555555555-0.884722222222222)</f>
        <v>1.4583333333333059E-2</v>
      </c>
      <c r="E412" s="7">
        <f>ABS(0.0145833333333331-0.0125000000000001)</f>
        <v>2.0833333333329998E-3</v>
      </c>
      <c r="F412" s="1" t="s">
        <v>10</v>
      </c>
    </row>
    <row r="413" spans="1:6" x14ac:dyDescent="0.25">
      <c r="A413" s="11">
        <v>42125</v>
      </c>
      <c r="B413" s="7">
        <v>0.9194444444444444</v>
      </c>
      <c r="C413" s="7">
        <v>0.93194444444444446</v>
      </c>
      <c r="D413" s="7">
        <f>(0.931944444444444-0.919444444444444)</f>
        <v>1.2500000000000067E-2</v>
      </c>
      <c r="E413" s="7">
        <f>ABS(0.0125000000000001-0.0145833333333329)</f>
        <v>2.0833333333328003E-3</v>
      </c>
      <c r="F413" s="1" t="s">
        <v>10</v>
      </c>
    </row>
    <row r="414" spans="1:6" x14ac:dyDescent="0.25">
      <c r="A414" s="11">
        <v>42125</v>
      </c>
      <c r="B414" s="7">
        <v>0.92499999999999993</v>
      </c>
      <c r="C414" s="7">
        <v>0.93958333333333333</v>
      </c>
      <c r="D414" s="7">
        <f>(0.939583333333333-0.925)</f>
        <v>1.4583333333332948E-2</v>
      </c>
      <c r="E414" s="7">
        <f>ABS(0.0145833333333329-0.0145833333333331)</f>
        <v>1.9949319973733282E-16</v>
      </c>
      <c r="F414" s="1" t="s">
        <v>10</v>
      </c>
    </row>
    <row r="415" spans="1:6" x14ac:dyDescent="0.25">
      <c r="A415" s="11">
        <v>42125</v>
      </c>
      <c r="B415" s="7">
        <v>0.97777777777777775</v>
      </c>
      <c r="C415" s="7">
        <v>0.99236111111111114</v>
      </c>
      <c r="D415" s="7">
        <f>(0.992361111111111-0.977777777777778)</f>
        <v>1.4583333333333059E-2</v>
      </c>
      <c r="E415" s="7">
        <f>ABS(0.0145833333333331-0.0173611111111111)</f>
        <v>2.7777777777780021E-3</v>
      </c>
      <c r="F415" s="1" t="s">
        <v>10</v>
      </c>
    </row>
    <row r="416" spans="1:6" x14ac:dyDescent="0.25">
      <c r="A416" s="11">
        <v>42125</v>
      </c>
      <c r="B416" s="7">
        <v>4.5833333333333337E-2</v>
      </c>
      <c r="C416" s="7">
        <v>6.3194444444444442E-2</v>
      </c>
      <c r="D416" s="7">
        <f>(0.0631944444444444-0.0458333333333333)</f>
        <v>1.7361111111111098E-2</v>
      </c>
      <c r="E416" s="7">
        <f>ABS(0.0173611111111111-0.035416666666667)</f>
        <v>1.8055555555555897E-2</v>
      </c>
      <c r="F416" s="1" t="s">
        <v>10</v>
      </c>
    </row>
    <row r="417" spans="1:6" x14ac:dyDescent="0.25">
      <c r="A417" s="11">
        <v>42125</v>
      </c>
      <c r="B417" s="7">
        <v>9.375E-2</v>
      </c>
      <c r="C417" s="7">
        <v>0.12916666666666668</v>
      </c>
      <c r="D417" s="7">
        <f>(0.129166666666667-0.09375)</f>
        <v>3.5416666666667013E-2</v>
      </c>
      <c r="E417" s="7">
        <f>ABS(0.035416666666667-0.019444444444444)</f>
        <v>1.5972222222222998E-2</v>
      </c>
      <c r="F417" s="1" t="s">
        <v>10</v>
      </c>
    </row>
    <row r="418" spans="1:6" x14ac:dyDescent="0.25">
      <c r="A418" s="11">
        <v>42125</v>
      </c>
      <c r="B418" s="7">
        <v>0.15138888888888888</v>
      </c>
      <c r="C418" s="7">
        <v>0.17083333333333331</v>
      </c>
      <c r="D418" s="7">
        <f>(0.170833333333333-0.151388888888889)</f>
        <v>1.9444444444444015E-2</v>
      </c>
      <c r="E418" s="7">
        <f>ABS(0.019444444444444-0.015972222222222)</f>
        <v>3.4722222222220017E-3</v>
      </c>
      <c r="F418" s="1" t="s">
        <v>10</v>
      </c>
    </row>
    <row r="419" spans="1:6" x14ac:dyDescent="0.25">
      <c r="A419" s="11">
        <v>42125</v>
      </c>
      <c r="B419" s="7">
        <v>0.14652777777777778</v>
      </c>
      <c r="C419" s="7">
        <v>0.16250000000000001</v>
      </c>
      <c r="D419" s="7">
        <f>(0.1625-0.146527777777778)</f>
        <v>1.5972222222221999E-2</v>
      </c>
      <c r="E419" s="7">
        <f>ABS(0.015972222222222-0.247222222222222)</f>
        <v>0.23125000000000001</v>
      </c>
      <c r="F419" s="1" t="s">
        <v>10</v>
      </c>
    </row>
    <row r="420" spans="1:6" x14ac:dyDescent="0.25">
      <c r="A420" s="11">
        <v>42125</v>
      </c>
      <c r="B420" s="7">
        <v>0.27777777777777779</v>
      </c>
      <c r="C420" s="7">
        <v>0.52500000000000002</v>
      </c>
      <c r="D420" s="7">
        <f>(0.525-0.277777777777778)</f>
        <v>0.24722222222222201</v>
      </c>
      <c r="E420" s="7">
        <f>ABS(0.247222222222222-0.025)</f>
        <v>0.22222222222222202</v>
      </c>
      <c r="F420" s="1" t="s">
        <v>10</v>
      </c>
    </row>
    <row r="421" spans="1:6" x14ac:dyDescent="0.25">
      <c r="A421" s="11">
        <v>42125</v>
      </c>
      <c r="B421" s="7">
        <v>0.54027777777777775</v>
      </c>
      <c r="C421" s="7">
        <v>0.56527777777777777</v>
      </c>
      <c r="D421" s="7">
        <f>(0.565277777777778-0.540277777777778)</f>
        <v>2.5000000000000022E-2</v>
      </c>
      <c r="E421" s="7">
        <f>ABS(0.025-0.00347222222222199)</f>
        <v>2.152777777777801E-2</v>
      </c>
      <c r="F421" s="1" t="s">
        <v>10</v>
      </c>
    </row>
    <row r="422" spans="1:6" x14ac:dyDescent="0.25">
      <c r="A422" s="11">
        <v>42125</v>
      </c>
      <c r="B422" s="7">
        <v>0.62222222222222223</v>
      </c>
      <c r="C422" s="7">
        <v>0.62569444444444444</v>
      </c>
      <c r="D422" s="7">
        <f>(0.625694444444444-0.622222222222222)</f>
        <v>3.4722222222219878E-3</v>
      </c>
      <c r="E422" s="7">
        <f>ABS(0.00347222222222199-0.031944444444444)</f>
        <v>2.8472222222222007E-2</v>
      </c>
      <c r="F422" s="1" t="s">
        <v>10</v>
      </c>
    </row>
    <row r="423" spans="1:6" x14ac:dyDescent="0.25">
      <c r="A423" s="11">
        <v>42125</v>
      </c>
      <c r="B423" s="7">
        <v>0.70624999999999993</v>
      </c>
      <c r="C423" s="7">
        <v>0.73819444444444438</v>
      </c>
      <c r="D423" s="7">
        <f>(0.738194444444444-0.70625)</f>
        <v>3.1944444444443998E-2</v>
      </c>
      <c r="E423" s="7">
        <f>ABS(0.031944444444444-0.0145833333333331)</f>
        <v>1.7361111111110897E-2</v>
      </c>
      <c r="F423" s="1" t="s">
        <v>10</v>
      </c>
    </row>
    <row r="424" spans="1:6" x14ac:dyDescent="0.25">
      <c r="A424" s="11">
        <v>42125</v>
      </c>
      <c r="B424" s="7">
        <v>0.8222222222222223</v>
      </c>
      <c r="C424" s="7">
        <v>0.83680555555555547</v>
      </c>
      <c r="D424" s="7">
        <f>(0.836805555555555-0.822222222222222)</f>
        <v>1.4583333333333059E-2</v>
      </c>
      <c r="E424" s="7">
        <f>ABS(0.0145833333333331-0.023611111111111)</f>
        <v>9.0277777777779001E-3</v>
      </c>
      <c r="F424" s="1" t="s">
        <v>10</v>
      </c>
    </row>
    <row r="425" spans="1:6" x14ac:dyDescent="0.25">
      <c r="A425" s="11">
        <v>42125</v>
      </c>
      <c r="B425" s="7">
        <v>0.78402777777777777</v>
      </c>
      <c r="C425" s="7">
        <v>0.80763888888888891</v>
      </c>
      <c r="D425" s="7">
        <f>(0.807638888888889-0.784027777777778)</f>
        <v>2.3611111111111027E-2</v>
      </c>
      <c r="E425" s="7">
        <f>ABS(0.023611111111111-0.021527777777778)</f>
        <v>2.0833333333329998E-3</v>
      </c>
      <c r="F425" s="1" t="s">
        <v>10</v>
      </c>
    </row>
    <row r="426" spans="1:6" x14ac:dyDescent="0.25">
      <c r="A426" s="11">
        <v>42125</v>
      </c>
      <c r="B426" s="7">
        <v>0.95000000000000007</v>
      </c>
      <c r="C426" s="7">
        <v>0.97152777777777777</v>
      </c>
      <c r="D426" s="7">
        <f>(0.971527777777778-0.95)</f>
        <v>2.1527777777778034E-2</v>
      </c>
      <c r="E426" s="7">
        <f>ABS(0.021527777777778-0.017361111111111)</f>
        <v>4.1666666666669988E-3</v>
      </c>
      <c r="F426" s="1" t="s">
        <v>10</v>
      </c>
    </row>
    <row r="427" spans="1:6" x14ac:dyDescent="0.25">
      <c r="A427" s="11">
        <v>42125</v>
      </c>
      <c r="B427" s="7">
        <v>0.21736111111111112</v>
      </c>
      <c r="C427" s="7">
        <v>0.23472222222222219</v>
      </c>
      <c r="D427" s="7">
        <f>(0.234722222222222-0.217361111111111)</f>
        <v>1.7361111111110994E-2</v>
      </c>
      <c r="E427" s="7">
        <f>ABS(0.017361111111111-0.01875)</f>
        <v>1.3888888888889984E-3</v>
      </c>
      <c r="F427" s="1" t="s">
        <v>10</v>
      </c>
    </row>
    <row r="428" spans="1:6" x14ac:dyDescent="0.25">
      <c r="A428" s="11">
        <v>42125</v>
      </c>
      <c r="B428" s="7">
        <v>0.31597222222222221</v>
      </c>
      <c r="C428" s="7">
        <v>0.3347222222222222</v>
      </c>
      <c r="D428" s="7">
        <f>(0.334722222222222-0.315972222222222)</f>
        <v>1.8749999999999989E-2</v>
      </c>
      <c r="E428" s="7">
        <f>ABS(0.01875-0.0305555555555549)</f>
        <v>1.18055555555549E-2</v>
      </c>
      <c r="F428" s="1" t="s">
        <v>10</v>
      </c>
    </row>
    <row r="429" spans="1:6" x14ac:dyDescent="0.25">
      <c r="A429" s="11">
        <v>42125</v>
      </c>
      <c r="B429" s="7">
        <v>0.47916666666666669</v>
      </c>
      <c r="C429" s="7">
        <v>0.50972222222222219</v>
      </c>
      <c r="D429" s="7">
        <f>(0.509722222222222-0.479166666666667)</f>
        <v>3.0555555555554947E-2</v>
      </c>
      <c r="E429" s="7">
        <f>ABS(0.0305555555555549-0.0125)</f>
        <v>1.8055555555554898E-2</v>
      </c>
      <c r="F429" s="1" t="s">
        <v>10</v>
      </c>
    </row>
    <row r="430" spans="1:6" x14ac:dyDescent="0.25">
      <c r="A430" s="11">
        <v>42125</v>
      </c>
      <c r="B430" s="7">
        <v>0.35555555555555557</v>
      </c>
      <c r="C430" s="7">
        <v>0.36805555555555558</v>
      </c>
      <c r="D430" s="7">
        <f>(0.368055555555556-0.355555555555556)</f>
        <v>1.2500000000000011E-2</v>
      </c>
      <c r="E430" s="7">
        <f>ABS(0.0125-0.00763888888888903)</f>
        <v>4.8611111111109707E-3</v>
      </c>
      <c r="F430" s="1" t="s">
        <v>10</v>
      </c>
    </row>
    <row r="431" spans="1:6" x14ac:dyDescent="0.25">
      <c r="A431" s="11">
        <v>42125</v>
      </c>
      <c r="B431" s="7">
        <v>0.44027777777777777</v>
      </c>
      <c r="C431" s="7">
        <v>0.44791666666666669</v>
      </c>
      <c r="D431" s="7">
        <f>(0.447916666666667-0.440277777777778)</f>
        <v>7.6388888888890283E-3</v>
      </c>
      <c r="E431" s="7">
        <f>ABS(0.00763888888888903-0.022222222222222)</f>
        <v>1.4583333333332971E-2</v>
      </c>
      <c r="F431" s="1" t="s">
        <v>10</v>
      </c>
    </row>
    <row r="432" spans="1:6" x14ac:dyDescent="0.25">
      <c r="A432" s="11">
        <v>42125</v>
      </c>
      <c r="B432" s="7">
        <v>0.46527777777777773</v>
      </c>
      <c r="C432" s="7">
        <v>0.48749999999999999</v>
      </c>
      <c r="D432" s="7">
        <f>(0.4875-0.465277777777778)</f>
        <v>2.2222222222221977E-2</v>
      </c>
      <c r="E432" s="7">
        <f>ABS(0.022222222222222-0.032638888888889)</f>
        <v>1.0416666666667001E-2</v>
      </c>
      <c r="F432" s="1" t="s">
        <v>10</v>
      </c>
    </row>
    <row r="433" spans="1:6" x14ac:dyDescent="0.25">
      <c r="A433" s="11">
        <v>42125</v>
      </c>
      <c r="B433" s="7">
        <v>0.74513888888888891</v>
      </c>
      <c r="C433" s="7">
        <v>0.77777777777777779</v>
      </c>
      <c r="D433" s="7">
        <f>(0.777777777777778-0.745138888888889)</f>
        <v>3.2638888888888995E-2</v>
      </c>
      <c r="E433" s="7">
        <f>ABS(0.032638888888889-0.0222222222222224)</f>
        <v>1.0416666666666602E-2</v>
      </c>
      <c r="F433" s="1" t="s">
        <v>10</v>
      </c>
    </row>
    <row r="434" spans="1:6" x14ac:dyDescent="0.25">
      <c r="A434" s="11">
        <v>42125</v>
      </c>
      <c r="B434" s="7">
        <v>8.0555555555555561E-2</v>
      </c>
      <c r="C434" s="7">
        <v>0.10277777777777779</v>
      </c>
      <c r="D434" s="7">
        <f>(0.102777777777778-0.0805555555555556)</f>
        <v>2.2222222222222393E-2</v>
      </c>
      <c r="E434" s="7">
        <f>ABS(0.0222222222222224-0.0159722222222229)</f>
        <v>6.249999999999499E-3</v>
      </c>
      <c r="F434" s="1" t="s">
        <v>10</v>
      </c>
    </row>
    <row r="435" spans="1:6" x14ac:dyDescent="0.25">
      <c r="A435" s="11">
        <v>42125</v>
      </c>
      <c r="B435" s="7">
        <v>0.52569444444444446</v>
      </c>
      <c r="C435" s="7">
        <v>0.54166666666666663</v>
      </c>
      <c r="D435" s="7">
        <f>(0.541666666666667-0.525694444444444)</f>
        <v>1.5972222222222943E-2</v>
      </c>
      <c r="E435" s="7">
        <f>ABS(0.0159722222222229-0.021527777777777)</f>
        <v>5.5555555555540995E-3</v>
      </c>
      <c r="F435" s="1" t="s">
        <v>10</v>
      </c>
    </row>
    <row r="436" spans="1:6" x14ac:dyDescent="0.25">
      <c r="A436" s="11">
        <v>42125</v>
      </c>
      <c r="B436" s="7">
        <v>0.68680555555555556</v>
      </c>
      <c r="C436" s="7">
        <v>0.70833333333333337</v>
      </c>
      <c r="D436" s="7">
        <f>(0.708333333333333-0.686805555555556)</f>
        <v>2.1527777777777035E-2</v>
      </c>
      <c r="E436" s="7">
        <f>ABS(0.021527777777777-0.0194444444444449)</f>
        <v>2.0833333333321012E-3</v>
      </c>
      <c r="F436" s="1" t="s">
        <v>10</v>
      </c>
    </row>
    <row r="437" spans="1:6" x14ac:dyDescent="0.25">
      <c r="A437" s="11">
        <v>42125</v>
      </c>
      <c r="B437" s="7">
        <v>0.73611111111111116</v>
      </c>
      <c r="C437" s="7">
        <v>0.75555555555555554</v>
      </c>
      <c r="D437" s="7">
        <f>(0.755555555555556-0.736111111111111)</f>
        <v>1.944444444444493E-2</v>
      </c>
      <c r="E437" s="7">
        <f>ABS(0.0194444444444449-0.00763888888888897)</f>
        <v>1.180555555555593E-2</v>
      </c>
      <c r="F437" s="1" t="s">
        <v>10</v>
      </c>
    </row>
    <row r="438" spans="1:6" x14ac:dyDescent="0.25">
      <c r="A438" s="11">
        <v>42125</v>
      </c>
      <c r="B438" s="7">
        <v>0.71597222222222223</v>
      </c>
      <c r="C438" s="7">
        <v>0.72361111111111109</v>
      </c>
      <c r="D438" s="7">
        <f>(0.723611111111111-0.715972222222222)</f>
        <v>7.6388888888889728E-3</v>
      </c>
      <c r="E438" s="7">
        <f>ABS(0.00763888888888897-0.00833333333333297)</f>
        <v>6.9444444444400049E-4</v>
      </c>
      <c r="F438" s="1" t="s">
        <v>10</v>
      </c>
    </row>
    <row r="439" spans="1:6" x14ac:dyDescent="0.25">
      <c r="A439" s="11">
        <v>42125</v>
      </c>
      <c r="B439" s="7">
        <v>0.94166666666666676</v>
      </c>
      <c r="C439" s="7">
        <v>0.95000000000000007</v>
      </c>
      <c r="D439" s="7">
        <f>(0.95-0.941666666666667)</f>
        <v>8.3333333333329707E-3</v>
      </c>
      <c r="E439" s="7">
        <f>ABS(0.00833333333333297-0.015277777777778)</f>
        <v>6.9444444444450287E-3</v>
      </c>
      <c r="F439" s="1" t="s">
        <v>10</v>
      </c>
    </row>
    <row r="440" spans="1:6" x14ac:dyDescent="0.25">
      <c r="A440" s="11">
        <v>42125</v>
      </c>
      <c r="B440" s="7">
        <v>0.10902777777777778</v>
      </c>
      <c r="C440" s="7">
        <v>0.12430555555555556</v>
      </c>
      <c r="D440" s="7">
        <f>(0.124305555555556-0.109027777777778)</f>
        <v>1.5277777777778001E-2</v>
      </c>
      <c r="E440" s="7">
        <f>ABS(0.015277777777778-0.020138888888889)</f>
        <v>4.8611111111110019E-3</v>
      </c>
      <c r="F440" s="1" t="s">
        <v>10</v>
      </c>
    </row>
    <row r="441" spans="1:6" x14ac:dyDescent="0.25">
      <c r="A441" s="11">
        <v>42125</v>
      </c>
      <c r="B441" s="7">
        <v>0.48472222222222222</v>
      </c>
      <c r="C441" s="7">
        <v>0.50486111111111109</v>
      </c>
      <c r="D441" s="7">
        <f>(0.504861111111111-0.484722222222222)</f>
        <v>2.0138888888888984E-2</v>
      </c>
      <c r="E441" s="7">
        <f>ABS(0.020138888888889-0.0145833333333329)</f>
        <v>5.5555555555561013E-3</v>
      </c>
      <c r="F441" s="1" t="s">
        <v>10</v>
      </c>
    </row>
    <row r="442" spans="1:6" x14ac:dyDescent="0.25">
      <c r="A442" s="11">
        <v>42125</v>
      </c>
      <c r="B442" s="7">
        <v>0.55555555555555558</v>
      </c>
      <c r="C442" s="7">
        <v>0.57013888888888886</v>
      </c>
      <c r="D442" s="7">
        <f>(0.570138888888889-0.555555555555556)</f>
        <v>1.4583333333332948E-2</v>
      </c>
      <c r="E442" s="7">
        <f>ABS(0.0145833333333329-0.0152777777777779)</f>
        <v>6.9444444444500056E-4</v>
      </c>
      <c r="F442" s="1" t="s">
        <v>10</v>
      </c>
    </row>
    <row r="443" spans="1:6" x14ac:dyDescent="0.25">
      <c r="A443" s="11">
        <v>42125</v>
      </c>
      <c r="B443" s="7">
        <v>0.67222222222222217</v>
      </c>
      <c r="C443" s="7">
        <v>0.6875</v>
      </c>
      <c r="D443" s="7">
        <f>(0.6875-0.672222222222222)</f>
        <v>1.5277777777777946E-2</v>
      </c>
      <c r="E443" s="7">
        <f>ABS(0.0152777777777779-0.0166666666666671)</f>
        <v>1.3888888888891997E-3</v>
      </c>
      <c r="F443" s="1" t="s">
        <v>10</v>
      </c>
    </row>
    <row r="444" spans="1:6" x14ac:dyDescent="0.25">
      <c r="A444" s="11">
        <v>42125</v>
      </c>
      <c r="B444" s="7">
        <v>0.79513888888888884</v>
      </c>
      <c r="C444" s="7">
        <v>0.81180555555555556</v>
      </c>
      <c r="D444" s="7">
        <f>(0.811805555555556-0.795138888888889)</f>
        <v>1.6666666666667052E-2</v>
      </c>
      <c r="E444" s="7">
        <f>ABS(0.0166666666666671-0.013888888888889)</f>
        <v>2.777777777778101E-3</v>
      </c>
      <c r="F444" s="1" t="s">
        <v>10</v>
      </c>
    </row>
    <row r="445" spans="1:6" x14ac:dyDescent="0.25">
      <c r="A445" s="11">
        <v>42125</v>
      </c>
      <c r="B445" s="7">
        <v>0.82916666666666661</v>
      </c>
      <c r="C445" s="7">
        <v>0.84305555555555556</v>
      </c>
      <c r="D445" s="7">
        <f>(0.843055555555556-0.829166666666667)</f>
        <v>1.3888888888888951E-2</v>
      </c>
      <c r="E445" s="7">
        <f>ABS(0.013888888888889-0.00902777777777797)</f>
        <v>4.8611111111110297E-3</v>
      </c>
      <c r="F445" s="1" t="s">
        <v>10</v>
      </c>
    </row>
    <row r="446" spans="1:6" x14ac:dyDescent="0.25">
      <c r="A446" s="11">
        <v>42125</v>
      </c>
      <c r="B446" s="7">
        <v>0.84027777777777779</v>
      </c>
      <c r="C446" s="7">
        <v>0.84930555555555554</v>
      </c>
      <c r="D446" s="7">
        <f>(0.849305555555556-0.840277777777778)</f>
        <v>9.0277777777779677E-3</v>
      </c>
      <c r="E446" s="7">
        <f>ABS(0.00902777777777797-0.011111111111111)</f>
        <v>2.083333333333031E-3</v>
      </c>
      <c r="F446" s="1" t="s">
        <v>10</v>
      </c>
    </row>
    <row r="447" spans="1:6" x14ac:dyDescent="0.25">
      <c r="A447" s="11">
        <v>42125</v>
      </c>
      <c r="B447" s="7">
        <v>0.13749999999999998</v>
      </c>
      <c r="C447" s="7">
        <v>0.14861111111111111</v>
      </c>
      <c r="D447" s="7">
        <f>(0.148611111111111-0.1375)</f>
        <v>1.1111111111110988E-2</v>
      </c>
      <c r="E447" s="7">
        <f>ABS(0.011111111111111-0.00763888888888897)</f>
        <v>3.4722222222220303E-3</v>
      </c>
      <c r="F447" s="1" t="s">
        <v>10</v>
      </c>
    </row>
    <row r="448" spans="1:6" x14ac:dyDescent="0.25">
      <c r="A448" s="11">
        <v>42125</v>
      </c>
      <c r="B448" s="7">
        <v>0.30763888888888891</v>
      </c>
      <c r="C448" s="7">
        <v>0.31527777777777777</v>
      </c>
      <c r="D448" s="7">
        <f>(0.315277777777778-0.307638888888889)</f>
        <v>7.6388888888889728E-3</v>
      </c>
      <c r="E448" s="7">
        <f>ABS(0.00763888888888897-0.017361111111111)</f>
        <v>9.7222222222220316E-3</v>
      </c>
      <c r="F448" s="1" t="s">
        <v>10</v>
      </c>
    </row>
    <row r="449" spans="1:6" x14ac:dyDescent="0.25">
      <c r="A449" s="11">
        <v>42125</v>
      </c>
      <c r="B449" s="7">
        <v>0.375</v>
      </c>
      <c r="C449" s="7">
        <v>0.3923611111111111</v>
      </c>
      <c r="D449" s="7">
        <f>(0.392361111111111-0.375)</f>
        <v>1.7361111111110994E-2</v>
      </c>
      <c r="E449" s="7">
        <f>ABS(0.017361111111111-0.0180555555555559)</f>
        <v>6.9444444444489994E-4</v>
      </c>
      <c r="F449" s="1" t="s">
        <v>10</v>
      </c>
    </row>
    <row r="450" spans="1:6" x14ac:dyDescent="0.25">
      <c r="A450" s="11">
        <v>42125</v>
      </c>
      <c r="B450" s="7">
        <v>0.52361111111111114</v>
      </c>
      <c r="C450" s="7">
        <v>0.54166666666666663</v>
      </c>
      <c r="D450" s="7">
        <f>(0.541666666666667-0.523611111111111)</f>
        <v>1.8055555555555935E-2</v>
      </c>
      <c r="E450" s="7">
        <f>ABS(0.0180555555555559-0.0159722222222231)</f>
        <v>2.083333333332802E-3</v>
      </c>
      <c r="F450" s="1" t="s">
        <v>10</v>
      </c>
    </row>
    <row r="451" spans="1:6" x14ac:dyDescent="0.25">
      <c r="A451" s="11">
        <v>42125</v>
      </c>
      <c r="B451" s="7">
        <v>0.79583333333333339</v>
      </c>
      <c r="C451" s="7">
        <v>0.81180555555555556</v>
      </c>
      <c r="D451" s="7">
        <f>(0.811805555555556-0.795833333333333)</f>
        <v>1.5972222222223054E-2</v>
      </c>
      <c r="E451" s="7">
        <f>ABS(0.0159722222222231-0.0166666666666661)</f>
        <v>6.9444444444300216E-4</v>
      </c>
      <c r="F451" s="1" t="s">
        <v>10</v>
      </c>
    </row>
    <row r="452" spans="1:6" x14ac:dyDescent="0.25">
      <c r="A452" s="11">
        <v>42125</v>
      </c>
      <c r="B452" s="7">
        <v>0.79652777777777783</v>
      </c>
      <c r="C452" s="7">
        <v>0.81319444444444444</v>
      </c>
      <c r="D452" s="7">
        <f>(0.813194444444444-0.796527777777778)</f>
        <v>1.6666666666666052E-2</v>
      </c>
      <c r="E452" s="7">
        <f>ABS(0.0166666666666661-0.029166666666666)</f>
        <v>1.24999999999999E-2</v>
      </c>
      <c r="F452" s="1" t="s">
        <v>10</v>
      </c>
    </row>
    <row r="453" spans="1:6" x14ac:dyDescent="0.25">
      <c r="A453" s="11">
        <v>42125</v>
      </c>
      <c r="B453" s="7">
        <v>0.28402777777777777</v>
      </c>
      <c r="C453" s="7">
        <v>0.31319444444444444</v>
      </c>
      <c r="D453" s="7">
        <f>(0.313194444444444-0.284027777777778)</f>
        <v>2.9166666666666008E-2</v>
      </c>
      <c r="E453" s="7">
        <f>ABS(0.029166666666666-0.0208333333333339)</f>
        <v>8.3333333333320998E-3</v>
      </c>
      <c r="F453" s="1" t="s">
        <v>10</v>
      </c>
    </row>
    <row r="454" spans="1:6" x14ac:dyDescent="0.25">
      <c r="A454" s="11">
        <v>42125</v>
      </c>
      <c r="B454" s="7">
        <v>0.93055555555555547</v>
      </c>
      <c r="C454" s="7">
        <v>0.95138888888888884</v>
      </c>
      <c r="D454" s="7">
        <f>(0.951388888888889-0.930555555555555)</f>
        <v>2.0833333333333925E-2</v>
      </c>
      <c r="E454" s="7">
        <f>ABS(0.0208333333333339-0.0104166666666671)</f>
        <v>1.0416666666666801E-2</v>
      </c>
      <c r="F454" s="1" t="s">
        <v>10</v>
      </c>
    </row>
    <row r="455" spans="1:6" x14ac:dyDescent="0.25">
      <c r="A455" s="11">
        <v>42125</v>
      </c>
      <c r="B455" s="7">
        <v>0.94513888888888886</v>
      </c>
      <c r="C455" s="7">
        <v>0.9555555555555556</v>
      </c>
      <c r="D455" s="7">
        <f>(0.955555555555556-0.945138888888889)</f>
        <v>1.0416666666667074E-2</v>
      </c>
      <c r="E455" s="7">
        <f>ABS(0.0104166666666671-0.00763888888889008)</f>
        <v>2.7777777777770194E-3</v>
      </c>
      <c r="F455" s="1" t="s">
        <v>10</v>
      </c>
    </row>
    <row r="456" spans="1:6" x14ac:dyDescent="0.25">
      <c r="A456" s="11">
        <v>42125</v>
      </c>
      <c r="B456" s="7">
        <v>1.0291666666666666</v>
      </c>
      <c r="C456" s="7">
        <v>1.0368055555555555</v>
      </c>
      <c r="D456" s="7">
        <f>(1.03680555555556-1.02916666666667)</f>
        <v>7.638888888890083E-3</v>
      </c>
      <c r="E456" s="7">
        <f>ABS(0.00763888888889008-0.016666666666667)</f>
        <v>9.02777777777692E-3</v>
      </c>
      <c r="F456" s="1" t="s">
        <v>10</v>
      </c>
    </row>
    <row r="457" spans="1:6" x14ac:dyDescent="0.25">
      <c r="A457" s="11">
        <v>42125</v>
      </c>
      <c r="B457" s="7">
        <v>0.375</v>
      </c>
      <c r="C457" s="7">
        <v>0.39166666666666666</v>
      </c>
      <c r="D457" s="7">
        <f>(0.391666666666667-0.375)</f>
        <v>1.6666666666666996E-2</v>
      </c>
      <c r="E457" s="7">
        <f>ABS(0.016666666666667-0.00972222222222208)</f>
        <v>6.9444444444449194E-3</v>
      </c>
      <c r="F457" s="1" t="s">
        <v>10</v>
      </c>
    </row>
    <row r="458" spans="1:6" x14ac:dyDescent="0.25">
      <c r="A458" s="11">
        <v>42125</v>
      </c>
      <c r="B458" s="7">
        <v>0.70000000000000007</v>
      </c>
      <c r="C458" s="7">
        <v>0.70972222222222225</v>
      </c>
      <c r="D458" s="7">
        <f>(0.709722222222222-0.7)</f>
        <v>9.7222222222220767E-3</v>
      </c>
      <c r="E458" s="7">
        <f>ABS(0.00972222222222208-0.019444444444444)</f>
        <v>9.7222222222219205E-3</v>
      </c>
      <c r="F458" s="1" t="s">
        <v>10</v>
      </c>
    </row>
    <row r="459" spans="1:6" x14ac:dyDescent="0.25">
      <c r="A459" s="11">
        <v>42125</v>
      </c>
      <c r="B459" s="7">
        <v>0.78888888888888886</v>
      </c>
      <c r="C459" s="7">
        <v>0.80833333333333324</v>
      </c>
      <c r="D459" s="7">
        <f>(0.808333333333333-0.788888888888889)</f>
        <v>1.9444444444444042E-2</v>
      </c>
      <c r="E459" s="7">
        <f>ABS(0.019444444444444-0.0145833333333329)</f>
        <v>4.8611111111111008E-3</v>
      </c>
      <c r="F459" s="1" t="s">
        <v>10</v>
      </c>
    </row>
    <row r="460" spans="1:6" x14ac:dyDescent="0.25">
      <c r="A460" s="11">
        <v>42125</v>
      </c>
      <c r="B460" s="7">
        <v>0.9243055555555556</v>
      </c>
      <c r="C460" s="7">
        <v>0.93888888888888899</v>
      </c>
      <c r="D460" s="7">
        <f>(0.938888888888889-0.924305555555556)</f>
        <v>1.4583333333332948E-2</v>
      </c>
      <c r="E460" s="7">
        <f>ABS(0.0145833333333329-0.020833333333333)</f>
        <v>6.2500000000000992E-3</v>
      </c>
      <c r="F460" s="1" t="s">
        <v>10</v>
      </c>
    </row>
    <row r="461" spans="1:6" x14ac:dyDescent="0.25">
      <c r="A461" s="11">
        <v>42125</v>
      </c>
      <c r="B461" s="7">
        <v>0.40625</v>
      </c>
      <c r="C461" s="7">
        <v>0.42708333333333331</v>
      </c>
      <c r="D461" s="7">
        <f>(0.427083333333333-0.40625)</f>
        <v>2.0833333333332982E-2</v>
      </c>
      <c r="E461" s="7">
        <f>ABS(0.020833333333333-0.022222222222222)</f>
        <v>1.3888888888890019E-3</v>
      </c>
      <c r="F461" s="1" t="s">
        <v>10</v>
      </c>
    </row>
    <row r="462" spans="1:6" x14ac:dyDescent="0.25">
      <c r="A462" s="11">
        <v>42125</v>
      </c>
      <c r="B462" s="7">
        <v>0.53749999999999998</v>
      </c>
      <c r="C462" s="7">
        <v>0.55972222222222223</v>
      </c>
      <c r="D462" s="7">
        <f>(0.559722222222222-0.5375)</f>
        <v>2.2222222222222032E-2</v>
      </c>
      <c r="E462" s="7">
        <f>ABS(0.022222222222222-0.0465277777777779)</f>
        <v>2.4305555555555896E-2</v>
      </c>
      <c r="F462" s="1" t="s">
        <v>10</v>
      </c>
    </row>
    <row r="463" spans="1:6" x14ac:dyDescent="0.25">
      <c r="A463" s="11">
        <v>42125</v>
      </c>
      <c r="B463" s="7">
        <v>0.51874999999999993</v>
      </c>
      <c r="C463" s="7">
        <v>0.56527777777777777</v>
      </c>
      <c r="D463" s="7">
        <f>(0.565277777777778-0.51875)</f>
        <v>4.6527777777777946E-2</v>
      </c>
      <c r="E463" s="7">
        <f>ABS(0.0465277777777779-0.019444444444444)</f>
        <v>2.7083333333333896E-2</v>
      </c>
      <c r="F463" s="1" t="s">
        <v>10</v>
      </c>
    </row>
    <row r="464" spans="1:6" x14ac:dyDescent="0.25">
      <c r="A464" s="11">
        <v>42125</v>
      </c>
      <c r="B464" s="7">
        <v>0.56805555555555554</v>
      </c>
      <c r="C464" s="7">
        <v>0.58750000000000002</v>
      </c>
      <c r="D464" s="7">
        <f>(0.5875-0.568055555555556)</f>
        <v>1.9444444444444042E-2</v>
      </c>
      <c r="E464" s="7">
        <f>ABS(0.019444444444444-0.0166666666666671)</f>
        <v>2.7777777777769005E-3</v>
      </c>
      <c r="F464" s="1" t="s">
        <v>10</v>
      </c>
    </row>
    <row r="465" spans="1:6" x14ac:dyDescent="0.25">
      <c r="A465" s="11">
        <v>42125</v>
      </c>
      <c r="B465" s="7">
        <v>0.63124999999999998</v>
      </c>
      <c r="C465" s="7">
        <v>0.6479166666666667</v>
      </c>
      <c r="D465" s="7">
        <f>(0.647916666666667-0.63125)</f>
        <v>1.6666666666667052E-2</v>
      </c>
      <c r="E465" s="7">
        <f>ABS(0.0166666666666671-0.0159722222222229)</f>
        <v>6.9444444444419912E-4</v>
      </c>
      <c r="F465" s="1" t="s">
        <v>10</v>
      </c>
    </row>
    <row r="466" spans="1:6" x14ac:dyDescent="0.25">
      <c r="A466" s="11">
        <v>42125</v>
      </c>
      <c r="B466" s="7">
        <v>0.68055555555555547</v>
      </c>
      <c r="C466" s="7">
        <v>0.69652777777777775</v>
      </c>
      <c r="D466" s="7">
        <f>(0.696527777777778-0.680555555555555)</f>
        <v>1.5972222222222943E-2</v>
      </c>
      <c r="E466" s="7">
        <f>ABS(0.0159722222222229-0.01875)</f>
        <v>2.7777777777770983E-3</v>
      </c>
      <c r="F466" s="1" t="s">
        <v>10</v>
      </c>
    </row>
    <row r="467" spans="1:6" x14ac:dyDescent="0.25">
      <c r="A467" s="11">
        <v>42125</v>
      </c>
      <c r="B467" s="7">
        <v>0.69166666666666676</v>
      </c>
      <c r="C467" s="7">
        <v>0.7104166666666667</v>
      </c>
      <c r="D467" s="7">
        <f>(0.710416666666667-0.691666666666667)</f>
        <v>1.8750000000000044E-2</v>
      </c>
      <c r="E467" s="7">
        <f>ABS(0.01875-0.0159722222222221)</f>
        <v>2.7777777777778997E-3</v>
      </c>
      <c r="F467" s="1" t="s">
        <v>10</v>
      </c>
    </row>
    <row r="468" spans="1:6" x14ac:dyDescent="0.25">
      <c r="A468" s="11">
        <v>42125</v>
      </c>
      <c r="B468" s="7">
        <v>0.72013888888888899</v>
      </c>
      <c r="C468" s="7">
        <v>0.73611111111111116</v>
      </c>
      <c r="D468" s="7">
        <f>(0.736111111111111-0.720138888888889)</f>
        <v>1.5972222222222054E-2</v>
      </c>
      <c r="E468" s="7">
        <f>ABS(0.0159722222222221-0.0145833333333329)</f>
        <v>1.3888888888891997E-3</v>
      </c>
      <c r="F468" s="1" t="s">
        <v>10</v>
      </c>
    </row>
    <row r="469" spans="1:6" x14ac:dyDescent="0.25">
      <c r="A469" s="11">
        <v>42125</v>
      </c>
      <c r="B469" s="7">
        <v>0.8666666666666667</v>
      </c>
      <c r="C469" s="7">
        <v>0.88124999999999998</v>
      </c>
      <c r="D469" s="7">
        <f>(0.88125-0.866666666666667)</f>
        <v>1.4583333333332948E-2</v>
      </c>
      <c r="E469" s="7">
        <f>ABS(0.0145833333333329-0.021527777777778)</f>
        <v>6.9444444444450998E-3</v>
      </c>
      <c r="F469" s="1" t="s">
        <v>10</v>
      </c>
    </row>
    <row r="470" spans="1:6" x14ac:dyDescent="0.25">
      <c r="A470" s="11">
        <v>42125</v>
      </c>
      <c r="B470" s="7">
        <v>0.97013888888888899</v>
      </c>
      <c r="C470" s="7">
        <v>0.9916666666666667</v>
      </c>
      <c r="D470" s="7">
        <f>(0.991666666666667-0.970138888888889)</f>
        <v>2.1527777777778034E-2</v>
      </c>
      <c r="E470" s="7">
        <f>ABS(0.021527777777778-0.025)</f>
        <v>3.4722222222220017E-3</v>
      </c>
      <c r="F470" s="1" t="s">
        <v>10</v>
      </c>
    </row>
    <row r="471" spans="1:6" x14ac:dyDescent="0.25">
      <c r="A471" s="11">
        <v>42125</v>
      </c>
      <c r="B471" s="7">
        <v>7.013888888888889E-2</v>
      </c>
      <c r="C471" s="7">
        <v>9.5138888888888884E-2</v>
      </c>
      <c r="D471" s="7">
        <f>(0.0951388888888889-0.0701388888888889)</f>
        <v>2.4999999999999994E-2</v>
      </c>
      <c r="E471" s="7">
        <f>ABS(0.025-0.0173611111111111)</f>
        <v>7.6388888888888999E-3</v>
      </c>
      <c r="F471" s="1" t="s">
        <v>10</v>
      </c>
    </row>
    <row r="472" spans="1:6" x14ac:dyDescent="0.25">
      <c r="A472" s="11">
        <v>42125</v>
      </c>
      <c r="B472" s="7">
        <v>7.7777777777777779E-2</v>
      </c>
      <c r="C472" s="7">
        <v>9.5138888888888884E-2</v>
      </c>
      <c r="D472" s="7">
        <f>(0.0951388888888889-0.0777777777777778)</f>
        <v>1.7361111111111091E-2</v>
      </c>
      <c r="E472" s="7">
        <f>ABS(0.0173611111111111-0.018055555555556)</f>
        <v>6.9444444444489994E-4</v>
      </c>
      <c r="F472" s="1" t="s">
        <v>10</v>
      </c>
    </row>
    <row r="473" spans="1:6" x14ac:dyDescent="0.25">
      <c r="A473" s="11">
        <v>42125</v>
      </c>
      <c r="B473" s="7">
        <v>0.32847222222222222</v>
      </c>
      <c r="C473" s="7">
        <v>0.34652777777777777</v>
      </c>
      <c r="D473" s="7">
        <f>(0.346527777777778-0.328472222222222)</f>
        <v>1.8055555555555991E-2</v>
      </c>
      <c r="E473" s="7">
        <f>ABS(0.018055555555556-0.01875)</f>
        <v>6.9444444444399789E-4</v>
      </c>
      <c r="F473" s="1" t="s">
        <v>10</v>
      </c>
    </row>
    <row r="474" spans="1:6" x14ac:dyDescent="0.25">
      <c r="A474" s="11">
        <v>42125</v>
      </c>
      <c r="B474" s="7">
        <v>0.35069444444444442</v>
      </c>
      <c r="C474" s="7">
        <v>0.36944444444444446</v>
      </c>
      <c r="D474" s="7">
        <f>(0.369444444444444-0.350694444444444)</f>
        <v>1.8750000000000044E-2</v>
      </c>
      <c r="E474" s="7">
        <f>ABS(0.01875-0.019444444444444)</f>
        <v>6.9444444444400136E-4</v>
      </c>
      <c r="F474" s="1" t="s">
        <v>10</v>
      </c>
    </row>
    <row r="475" spans="1:6" x14ac:dyDescent="0.25">
      <c r="A475" s="11">
        <v>42125</v>
      </c>
      <c r="B475" s="7">
        <v>0.39999999999999997</v>
      </c>
      <c r="C475" s="7">
        <v>0.41944444444444445</v>
      </c>
      <c r="D475" s="7">
        <f>(0.419444444444444-0.4)</f>
        <v>1.9444444444443987E-2</v>
      </c>
      <c r="E475" s="7">
        <f>ABS(0.019444444444444-0.026388888888889)</f>
        <v>6.9444444444449992E-3</v>
      </c>
      <c r="F475" s="1" t="s">
        <v>10</v>
      </c>
    </row>
    <row r="476" spans="1:6" x14ac:dyDescent="0.25">
      <c r="A476" s="11">
        <v>42125</v>
      </c>
      <c r="B476" s="7">
        <v>0.44513888888888892</v>
      </c>
      <c r="C476" s="7">
        <v>0.47152777777777777</v>
      </c>
      <c r="D476" s="7">
        <f>(0.471527777777778-0.445138888888889)</f>
        <v>2.6388888888889017E-2</v>
      </c>
      <c r="E476" s="7">
        <f>ABS(0.026388888888889-0.041666666666666)</f>
        <v>1.5277777777776998E-2</v>
      </c>
      <c r="F476" s="1" t="s">
        <v>10</v>
      </c>
    </row>
    <row r="477" spans="1:6" x14ac:dyDescent="0.25">
      <c r="A477" s="11">
        <v>42125</v>
      </c>
      <c r="B477" s="7">
        <v>0.52430555555555558</v>
      </c>
      <c r="C477" s="7">
        <v>0.56597222222222221</v>
      </c>
      <c r="D477" s="7">
        <f>(0.565972222222222-0.524305555555556)</f>
        <v>4.1666666666665964E-2</v>
      </c>
      <c r="E477" s="7">
        <f>ABS(0.041666666666666-0.017361111111111)</f>
        <v>2.4305555555554997E-2</v>
      </c>
      <c r="F477" s="1" t="s">
        <v>10</v>
      </c>
    </row>
    <row r="478" spans="1:6" x14ac:dyDescent="0.25">
      <c r="A478" s="11">
        <v>42125</v>
      </c>
      <c r="B478" s="7">
        <v>0.60347222222222219</v>
      </c>
      <c r="C478" s="7">
        <v>0.62083333333333335</v>
      </c>
      <c r="D478" s="7">
        <f>(0.620833333333333-0.603472222222222)</f>
        <v>1.7361111111111049E-2</v>
      </c>
      <c r="E478" s="7">
        <f>ABS(0.017361111111111-0.0208333333333329)</f>
        <v>3.4722222222218976E-3</v>
      </c>
      <c r="F478" s="1" t="s">
        <v>10</v>
      </c>
    </row>
    <row r="479" spans="1:6" x14ac:dyDescent="0.25">
      <c r="A479" s="11">
        <v>42125</v>
      </c>
      <c r="B479" s="7">
        <v>0.61736111111111114</v>
      </c>
      <c r="C479" s="7">
        <v>0.6381944444444444</v>
      </c>
      <c r="D479" s="7">
        <f>(0.638194444444444-0.617361111111111)</f>
        <v>2.0833333333332926E-2</v>
      </c>
      <c r="E479" s="7">
        <f>ABS(0.0208333333333329-0.0124999999999991)</f>
        <v>8.3333333333337981E-3</v>
      </c>
      <c r="F479" s="1" t="s">
        <v>10</v>
      </c>
    </row>
    <row r="480" spans="1:6" x14ac:dyDescent="0.25">
      <c r="A480" s="11">
        <v>42125</v>
      </c>
      <c r="B480" s="7">
        <v>0.75694444444444453</v>
      </c>
      <c r="C480" s="7">
        <v>0.76944444444444438</v>
      </c>
      <c r="D480" s="7">
        <f>(0.769444444444444-0.756944444444445)</f>
        <v>1.2499999999999067E-2</v>
      </c>
      <c r="E480" s="7">
        <f>ABS(0.0124999999999991-0.00763888888888908)</f>
        <v>4.86111111111002E-3</v>
      </c>
      <c r="F480" s="1" t="s">
        <v>10</v>
      </c>
    </row>
    <row r="481" spans="1:6" x14ac:dyDescent="0.25">
      <c r="A481" s="11">
        <v>42125</v>
      </c>
      <c r="B481" s="7">
        <v>0.95000000000000007</v>
      </c>
      <c r="C481" s="7">
        <v>0.95763888888888893</v>
      </c>
      <c r="D481" s="7">
        <f>(0.957638888888889-0.95)</f>
        <v>7.6388888888890838E-3</v>
      </c>
      <c r="E481" s="7">
        <f>ABS(0.00763888888888908-0.0166666666666702)</f>
        <v>9.027777777781118E-3</v>
      </c>
      <c r="F481" s="1" t="s">
        <v>10</v>
      </c>
    </row>
    <row r="482" spans="1:6" x14ac:dyDescent="0.25">
      <c r="A482" s="11">
        <v>42125</v>
      </c>
      <c r="B482" s="7">
        <v>1.0138888888888888</v>
      </c>
      <c r="C482" s="7">
        <v>1.0305555555555557</v>
      </c>
      <c r="D482" s="7">
        <f>(1.03055555555556-1.01388888888889)</f>
        <v>1.666666666667016E-2</v>
      </c>
      <c r="E482" s="7">
        <f>ABS(0.0166666666666702-0.0166666666666699)</f>
        <v>2.9837243786801082E-16</v>
      </c>
      <c r="F482" s="7" t="s">
        <v>10</v>
      </c>
    </row>
    <row r="483" spans="1:6" x14ac:dyDescent="0.25">
      <c r="A483" s="11">
        <v>42125</v>
      </c>
      <c r="B483" s="7">
        <v>1.0145833333333334</v>
      </c>
      <c r="C483" s="7">
        <v>1.03125</v>
      </c>
      <c r="D483" s="7">
        <f>(1.03125-1.01458333333333)</f>
        <v>1.6666666666669938E-2</v>
      </c>
      <c r="E483" s="7">
        <f>ABS(0.0166666666666699-0.0166666666666667)</f>
        <v>3.1988300897012323E-15</v>
      </c>
      <c r="F483" s="1" t="s">
        <v>10</v>
      </c>
    </row>
    <row r="484" spans="1:6" x14ac:dyDescent="0.25">
      <c r="A484" s="11">
        <v>42125</v>
      </c>
      <c r="B484" s="7">
        <v>6.1111111111111116E-2</v>
      </c>
      <c r="C484" s="7">
        <v>7.7777777777777779E-2</v>
      </c>
      <c r="D484" s="7">
        <f>(0.0777777777777778-0.0611111111111111)</f>
        <v>1.6666666666666705E-2</v>
      </c>
      <c r="E484" s="7">
        <f>ABS(0.0166666666666667-0.014583333333333)</f>
        <v>2.0833333333337006E-3</v>
      </c>
      <c r="F484" s="1" t="s">
        <v>10</v>
      </c>
    </row>
    <row r="485" spans="1:6" x14ac:dyDescent="0.25">
      <c r="A485" s="11">
        <v>42125</v>
      </c>
      <c r="B485" s="7">
        <v>0.14375000000000002</v>
      </c>
      <c r="C485" s="7">
        <v>0.15833333333333333</v>
      </c>
      <c r="D485" s="7">
        <f>(0.158333333333333-0.14375)</f>
        <v>1.4583333333333004E-2</v>
      </c>
      <c r="E485" s="7">
        <f>ABS(0.014583333333333-0.033333333333333)</f>
        <v>1.8749999999999999E-2</v>
      </c>
      <c r="F485" s="1" t="s">
        <v>10</v>
      </c>
    </row>
    <row r="486" spans="1:6" x14ac:dyDescent="0.25">
      <c r="A486" s="11">
        <v>42125</v>
      </c>
      <c r="B486" s="7">
        <v>0.4548611111111111</v>
      </c>
      <c r="C486" s="7">
        <v>0.48819444444444443</v>
      </c>
      <c r="D486" s="7">
        <f>(0.488194444444444-0.454861111111111)</f>
        <v>3.3333333333332993E-2</v>
      </c>
      <c r="E486" s="7">
        <f>ABS(0.033333333333333-0.023611111111111)</f>
        <v>9.7222222222220003E-3</v>
      </c>
      <c r="F486" s="1" t="s">
        <v>10</v>
      </c>
    </row>
    <row r="487" spans="1:6" x14ac:dyDescent="0.25">
      <c r="A487" s="11">
        <v>42125</v>
      </c>
      <c r="B487" s="7">
        <v>0.72152777777777777</v>
      </c>
      <c r="C487" s="7">
        <v>0.74513888888888891</v>
      </c>
      <c r="D487" s="7">
        <f>(0.745138888888889-0.721527777777778)</f>
        <v>2.3611111111111027E-2</v>
      </c>
      <c r="E487" s="7">
        <f>ABS(0.023611111111111-0.0229166666666667)</f>
        <v>6.9444444444429973E-4</v>
      </c>
      <c r="F487" s="1" t="s">
        <v>10</v>
      </c>
    </row>
    <row r="488" spans="1:6" x14ac:dyDescent="0.25">
      <c r="A488" s="11">
        <v>42125</v>
      </c>
      <c r="B488" s="7">
        <v>3.9583333333333331E-2</v>
      </c>
      <c r="C488" s="7">
        <v>6.25E-2</v>
      </c>
      <c r="D488" s="7">
        <f>(0.0625-0.0395833333333333)</f>
        <v>2.2916666666666703E-2</v>
      </c>
      <c r="E488" s="7">
        <f>ABS(0.0229166666666667-0.020833333333334)</f>
        <v>2.0833333333327014E-3</v>
      </c>
      <c r="F488" s="1" t="s">
        <v>10</v>
      </c>
    </row>
    <row r="489" spans="1:6" x14ac:dyDescent="0.25">
      <c r="A489" s="11">
        <v>42125</v>
      </c>
      <c r="B489" s="7">
        <v>0.48819444444444443</v>
      </c>
      <c r="C489" s="7">
        <v>0.50902777777777775</v>
      </c>
      <c r="D489" s="7">
        <f>(0.509027777777778-0.488194444444444)</f>
        <v>2.0833333333333981E-2</v>
      </c>
      <c r="E489" s="7">
        <f>ABS(0.020833333333334-0.00763888888888897)</f>
        <v>1.3194444444445029E-2</v>
      </c>
      <c r="F489" s="1" t="s">
        <v>10</v>
      </c>
    </row>
    <row r="490" spans="1:6" x14ac:dyDescent="0.25">
      <c r="A490" s="11">
        <v>42125</v>
      </c>
      <c r="B490" s="7">
        <v>0.76874999999999993</v>
      </c>
      <c r="C490" s="7">
        <v>0.77638888888888891</v>
      </c>
      <c r="D490" s="7">
        <f>(0.776388888888889-0.76875)</f>
        <v>7.6388888888889728E-3</v>
      </c>
      <c r="E490" s="7">
        <f>ABS(0.00763888888888897-0.0152777777777781)</f>
        <v>7.6388888888891298E-3</v>
      </c>
      <c r="F490" s="1" t="s">
        <v>10</v>
      </c>
    </row>
    <row r="491" spans="1:6" x14ac:dyDescent="0.25">
      <c r="A491" s="11">
        <v>42125</v>
      </c>
      <c r="B491" s="7">
        <v>0.82708333333333339</v>
      </c>
      <c r="C491" s="7">
        <v>0.84236111111111101</v>
      </c>
      <c r="D491" s="7">
        <f>(0.842361111111111-0.827083333333333)</f>
        <v>1.5277777777778057E-2</v>
      </c>
      <c r="E491" s="7">
        <f>ABS(0.0152777777777781-0.0201388888888892)</f>
        <v>4.861111111111099E-3</v>
      </c>
      <c r="F491" s="1" t="s">
        <v>10</v>
      </c>
    </row>
    <row r="492" spans="1:6" x14ac:dyDescent="0.25">
      <c r="A492" s="11">
        <v>42125</v>
      </c>
      <c r="B492" s="7">
        <v>8.4027777777777771E-2</v>
      </c>
      <c r="C492" s="7">
        <v>0.10416666666666667</v>
      </c>
      <c r="D492" s="7">
        <f>(0.104166666666667-0.0840277777777778)</f>
        <v>2.0138888888889206E-2</v>
      </c>
      <c r="E492" s="7">
        <f>ABS(0.0201388888888892-0.018055555555555)</f>
        <v>2.0833333333342002E-3</v>
      </c>
      <c r="F492" s="1" t="s">
        <v>10</v>
      </c>
    </row>
    <row r="493" spans="1:6" x14ac:dyDescent="0.25">
      <c r="A493" s="11">
        <v>42125</v>
      </c>
      <c r="B493" s="7">
        <v>0.27291666666666664</v>
      </c>
      <c r="C493" s="7">
        <v>0.29097222222222224</v>
      </c>
      <c r="D493" s="7">
        <f>(0.290972222222222-0.272916666666667)</f>
        <v>1.8055555555555047E-2</v>
      </c>
      <c r="E493" s="7">
        <f>ABS(0.018055555555555-0.140972222222222)</f>
        <v>0.12291666666666701</v>
      </c>
      <c r="F493" s="1" t="s">
        <v>10</v>
      </c>
    </row>
    <row r="494" spans="1:6" x14ac:dyDescent="0.25">
      <c r="A494" s="11">
        <v>42125</v>
      </c>
      <c r="B494" s="7">
        <v>0.31527777777777777</v>
      </c>
      <c r="C494" s="7">
        <v>0.45624999999999999</v>
      </c>
      <c r="D494" s="7">
        <f>(0.45625-0.315277777777778)</f>
        <v>0.140972222222222</v>
      </c>
      <c r="E494" s="7">
        <f>ABS(0.140972222222222-0.022222222222222)</f>
        <v>0.11874999999999999</v>
      </c>
      <c r="F494" s="1" t="s">
        <v>10</v>
      </c>
    </row>
    <row r="495" spans="1:6" x14ac:dyDescent="0.25">
      <c r="A495" s="11">
        <v>42125</v>
      </c>
      <c r="B495" s="7">
        <v>0.44097222222222227</v>
      </c>
      <c r="C495" s="7">
        <v>0.46319444444444446</v>
      </c>
      <c r="D495" s="7">
        <f>(0.463194444444444-0.440972222222222)</f>
        <v>2.2222222222222032E-2</v>
      </c>
      <c r="E495" s="7">
        <f>ABS(0.022222222222222-0.019444444444444)</f>
        <v>2.7777777777780004E-3</v>
      </c>
      <c r="F495" s="1" t="s">
        <v>10</v>
      </c>
    </row>
    <row r="496" spans="1:6" x14ac:dyDescent="0.25">
      <c r="A496" s="11">
        <v>42125</v>
      </c>
      <c r="B496" s="7">
        <v>0.75</v>
      </c>
      <c r="C496" s="7">
        <v>0.76944444444444438</v>
      </c>
      <c r="D496" s="7">
        <f>(0.769444444444444-0.75)</f>
        <v>1.9444444444444042E-2</v>
      </c>
      <c r="E496" s="7">
        <f>ABS(0.019444444444444-0.00972222222222296)</f>
        <v>9.722222222221041E-3</v>
      </c>
      <c r="F496" s="1" t="s">
        <v>10</v>
      </c>
    </row>
    <row r="497" spans="1:6" x14ac:dyDescent="0.25">
      <c r="A497" s="11">
        <v>42125</v>
      </c>
      <c r="B497" s="7">
        <v>0.80833333333333324</v>
      </c>
      <c r="C497" s="7">
        <v>0.81805555555555554</v>
      </c>
      <c r="D497" s="7">
        <f>(0.818055555555556-0.808333333333333)</f>
        <v>9.7222222222229648E-3</v>
      </c>
      <c r="E497" s="7">
        <f>ABS(0.00972222222222296-0.023611111111111)</f>
        <v>1.388888888888804E-2</v>
      </c>
      <c r="F497" s="1" t="s">
        <v>10</v>
      </c>
    </row>
    <row r="498" spans="1:6" x14ac:dyDescent="0.25">
      <c r="A498" s="11">
        <v>42125</v>
      </c>
      <c r="B498" s="7">
        <v>0.75624999999999998</v>
      </c>
      <c r="C498" s="7">
        <v>0.77986111111111101</v>
      </c>
      <c r="D498" s="7">
        <f>(0.779861111111111-0.75625)</f>
        <v>2.3611111111111027E-2</v>
      </c>
      <c r="E498" s="7">
        <f>ABS(0.023611111111111-0.0180555555555559)</f>
        <v>5.5555555555550987E-3</v>
      </c>
      <c r="F498" s="1" t="s">
        <v>10</v>
      </c>
    </row>
    <row r="499" spans="1:6" x14ac:dyDescent="0.25">
      <c r="A499" s="11">
        <v>42125</v>
      </c>
      <c r="B499" s="7">
        <v>0.77013888888888893</v>
      </c>
      <c r="C499" s="7">
        <v>0.78819444444444453</v>
      </c>
      <c r="D499" s="7">
        <f>(0.788194444444445-0.770138888888889)</f>
        <v>1.8055555555555935E-2</v>
      </c>
      <c r="E499" s="7">
        <f>ABS(0.0180555555555559-0.015972222222222)</f>
        <v>2.0833333333339019E-3</v>
      </c>
      <c r="F499" s="1" t="s">
        <v>10</v>
      </c>
    </row>
    <row r="500" spans="1:6" x14ac:dyDescent="0.25">
      <c r="A500" s="11">
        <v>42125</v>
      </c>
      <c r="B500" s="7">
        <v>0.11666666666666665</v>
      </c>
      <c r="C500" s="7">
        <v>0.13263888888888889</v>
      </c>
      <c r="D500" s="7">
        <f>(0.132638888888889-0.116666666666667)</f>
        <v>1.5972222222221999E-2</v>
      </c>
      <c r="E500" s="7">
        <f>ABS(0.015972222222222-0.023611111111111)</f>
        <v>7.6388888888890005E-3</v>
      </c>
      <c r="F500" s="1" t="s">
        <v>10</v>
      </c>
    </row>
    <row r="501" spans="1:6" x14ac:dyDescent="0.25">
      <c r="A501" s="11">
        <v>42125</v>
      </c>
      <c r="B501" s="7">
        <v>0.16597222222222222</v>
      </c>
      <c r="C501" s="7">
        <v>0.18958333333333333</v>
      </c>
      <c r="D501" s="7">
        <f>(0.189583333333333-0.165972222222222)</f>
        <v>2.3611111111110999E-2</v>
      </c>
      <c r="E501" s="7">
        <f>ABS(0.023611111111111-0.03125)</f>
        <v>7.6388888888890005E-3</v>
      </c>
      <c r="F501" s="1" t="s">
        <v>10</v>
      </c>
    </row>
    <row r="502" spans="1:6" x14ac:dyDescent="0.25">
      <c r="A502" s="11">
        <v>42125</v>
      </c>
      <c r="B502" s="7">
        <v>0.14722222222222223</v>
      </c>
      <c r="C502" s="7">
        <v>0.17847222222222223</v>
      </c>
      <c r="D502" s="7">
        <f>(0.178472222222222-0.147222222222222)</f>
        <v>3.125E-2</v>
      </c>
      <c r="E502" s="7">
        <f>ABS(0.03125-0.014583333333333)</f>
        <v>1.6666666666667E-2</v>
      </c>
      <c r="F502" s="1" t="s">
        <v>10</v>
      </c>
    </row>
    <row r="503" spans="1:6" x14ac:dyDescent="0.25">
      <c r="A503" s="11">
        <v>42125</v>
      </c>
      <c r="B503" s="7">
        <v>0.43541666666666662</v>
      </c>
      <c r="C503" s="7">
        <v>0.45</v>
      </c>
      <c r="D503" s="7">
        <f>(0.45-0.435416666666667)</f>
        <v>1.4583333333333004E-2</v>
      </c>
      <c r="E503" s="7">
        <f>ABS(0.014583333333333-0.01875)</f>
        <v>4.1666666666669988E-3</v>
      </c>
      <c r="F503" s="1" t="s">
        <v>10</v>
      </c>
    </row>
    <row r="504" spans="1:6" x14ac:dyDescent="0.25">
      <c r="A504" s="11">
        <v>42125</v>
      </c>
      <c r="B504" s="7">
        <v>0.4236111111111111</v>
      </c>
      <c r="C504" s="7">
        <v>0.44236111111111115</v>
      </c>
      <c r="D504" s="7">
        <f>(0.442361111111111-0.423611111111111)</f>
        <v>1.8749999999999989E-2</v>
      </c>
      <c r="E504" s="7">
        <f>ABS(0.01875-0.00486111111111098)</f>
        <v>1.388888888888902E-2</v>
      </c>
      <c r="F504" s="1" t="s">
        <v>10</v>
      </c>
    </row>
    <row r="505" spans="1:6" x14ac:dyDescent="0.25">
      <c r="A505" s="11">
        <v>42125</v>
      </c>
      <c r="B505" s="7">
        <v>0.59861111111111109</v>
      </c>
      <c r="C505" s="7">
        <v>0.60347222222222219</v>
      </c>
      <c r="D505" s="7">
        <f>(0.603472222222222-0.598611111111111)</f>
        <v>4.8611111111109828E-3</v>
      </c>
      <c r="E505" s="7">
        <f>ABS(0.00486111111111098-0.017361111111112)</f>
        <v>1.2500000000001021E-2</v>
      </c>
      <c r="F505" s="1" t="s">
        <v>10</v>
      </c>
    </row>
    <row r="506" spans="1:6" x14ac:dyDescent="0.25">
      <c r="A506" s="11">
        <v>42125</v>
      </c>
      <c r="B506" s="7">
        <v>0.78194444444444444</v>
      </c>
      <c r="C506" s="7">
        <v>0.7993055555555556</v>
      </c>
      <c r="D506" s="7">
        <f>(0.799305555555556-0.781944444444444)</f>
        <v>1.7361111111112049E-2</v>
      </c>
      <c r="E506" s="7">
        <f>ABS(0.017361111111112-0.0159722222222221)</f>
        <v>1.3888888888899005E-3</v>
      </c>
      <c r="F506" s="1" t="s">
        <v>10</v>
      </c>
    </row>
    <row r="507" spans="1:6" x14ac:dyDescent="0.25">
      <c r="A507" s="11">
        <v>42125</v>
      </c>
      <c r="B507" s="7">
        <v>0.7284722222222223</v>
      </c>
      <c r="C507" s="7">
        <v>0.74444444444444446</v>
      </c>
      <c r="D507" s="7">
        <f>(0.744444444444444-0.728472222222222)</f>
        <v>1.5972222222222054E-2</v>
      </c>
      <c r="E507" s="7">
        <f>ABS(0.0159722222222221-0.0159722222222221)</f>
        <v>0</v>
      </c>
      <c r="F507" s="1" t="s">
        <v>10</v>
      </c>
    </row>
    <row r="508" spans="1:6" x14ac:dyDescent="0.25">
      <c r="A508" s="11">
        <v>42125</v>
      </c>
      <c r="B508" s="7">
        <v>0.75138888888888899</v>
      </c>
      <c r="C508" s="7">
        <v>0.76736111111111116</v>
      </c>
      <c r="D508" s="7">
        <f>(0.767361111111111-0.751388888888889)</f>
        <v>1.5972222222222054E-2</v>
      </c>
      <c r="E508" s="7">
        <f>ABS(0.0159722222222221-0.018055555555556)</f>
        <v>2.0833333333339019E-3</v>
      </c>
      <c r="F508" s="1" t="s">
        <v>10</v>
      </c>
    </row>
    <row r="509" spans="1:6" x14ac:dyDescent="0.25">
      <c r="A509" s="11">
        <v>42125</v>
      </c>
      <c r="B509" s="7">
        <v>0.8256944444444444</v>
      </c>
      <c r="C509" s="7">
        <v>0.84375</v>
      </c>
      <c r="D509" s="7">
        <f>(0.84375-0.825694444444444)</f>
        <v>1.8055555555556047E-2</v>
      </c>
      <c r="E509" s="7">
        <f>ABS(0.018055555555556-0.018055555555556)</f>
        <v>0</v>
      </c>
      <c r="F509" s="1" t="s">
        <v>10</v>
      </c>
    </row>
    <row r="510" spans="1:6" x14ac:dyDescent="0.25">
      <c r="A510" s="11">
        <v>42125</v>
      </c>
      <c r="B510" s="7">
        <v>0.90833333333333333</v>
      </c>
      <c r="C510" s="7">
        <v>0.92638888888888893</v>
      </c>
      <c r="D510" s="7">
        <f>(0.926388888888889-0.908333333333333)</f>
        <v>1.8055555555556047E-2</v>
      </c>
      <c r="E510" s="7">
        <f>ABS(0.018055555555556-0.0180555555555549)</f>
        <v>1.0998146837692957E-15</v>
      </c>
      <c r="F510" s="1" t="s">
        <v>10</v>
      </c>
    </row>
    <row r="511" spans="1:6" x14ac:dyDescent="0.25">
      <c r="A511" s="11">
        <v>42125</v>
      </c>
      <c r="B511" s="7">
        <v>0.9291666666666667</v>
      </c>
      <c r="C511" s="7">
        <v>0.9472222222222223</v>
      </c>
      <c r="D511" s="7">
        <f>(0.947222222222222-0.929166666666667)</f>
        <v>1.8055555555554936E-2</v>
      </c>
      <c r="E511" s="7">
        <f>ABS(0.0180555555555549-0.015972222222222)</f>
        <v>2.0833333333329027E-3</v>
      </c>
      <c r="F511" s="1" t="s">
        <v>10</v>
      </c>
    </row>
    <row r="512" spans="1:6" x14ac:dyDescent="0.25">
      <c r="A512" s="11">
        <v>42125</v>
      </c>
      <c r="B512" s="7">
        <v>0.41805555555555557</v>
      </c>
      <c r="C512" s="7">
        <v>0.43402777777777773</v>
      </c>
      <c r="D512" s="7">
        <f>(0.434027777777778-0.418055555555556)</f>
        <v>1.5972222222221999E-2</v>
      </c>
      <c r="E512" s="7">
        <f>ABS(0.015972222222222-0.018055555555556)</f>
        <v>2.0833333333340025E-3</v>
      </c>
      <c r="F512" s="1" t="s">
        <v>10</v>
      </c>
    </row>
    <row r="513" spans="1:6" x14ac:dyDescent="0.25">
      <c r="A513" s="11">
        <v>42125</v>
      </c>
      <c r="B513" s="7">
        <v>0.45069444444444445</v>
      </c>
      <c r="C513" s="7">
        <v>0.46875</v>
      </c>
      <c r="D513" s="7">
        <f>(0.46875-0.450694444444444)</f>
        <v>1.8055555555555991E-2</v>
      </c>
      <c r="E513" s="7">
        <f>ABS(0.018055555555556-0.0180555555555559)</f>
        <v>1.0061396160665481E-16</v>
      </c>
      <c r="F513" s="1" t="s">
        <v>10</v>
      </c>
    </row>
    <row r="514" spans="1:6" x14ac:dyDescent="0.25">
      <c r="A514" s="11">
        <v>42125</v>
      </c>
      <c r="B514" s="7">
        <v>0.58333333333333337</v>
      </c>
      <c r="C514" s="7">
        <v>0.60138888888888886</v>
      </c>
      <c r="D514" s="7">
        <f>(0.601388888888889-0.583333333333333)</f>
        <v>1.8055555555555935E-2</v>
      </c>
      <c r="E514" s="7">
        <f>ABS(0.0180555555555559-0.022916666666666)</f>
        <v>4.8611111111100981E-3</v>
      </c>
      <c r="F514" s="1" t="s">
        <v>10</v>
      </c>
    </row>
    <row r="515" spans="1:6" x14ac:dyDescent="0.25">
      <c r="A515" s="11">
        <v>42125</v>
      </c>
      <c r="B515" s="7">
        <v>0.66041666666666665</v>
      </c>
      <c r="C515" s="7">
        <v>0.68333333333333324</v>
      </c>
      <c r="D515" s="7">
        <f>(0.683333333333333-0.660416666666667)</f>
        <v>2.291666666666603E-2</v>
      </c>
      <c r="E515" s="7">
        <f>ABS(0.022916666666666-0.0173611111111119)</f>
        <v>5.5555555555540995E-3</v>
      </c>
      <c r="F515" s="1" t="s">
        <v>10</v>
      </c>
    </row>
    <row r="516" spans="1:6" x14ac:dyDescent="0.25">
      <c r="A516" s="11">
        <v>42125</v>
      </c>
      <c r="B516" s="7">
        <v>0.70694444444444438</v>
      </c>
      <c r="C516" s="7">
        <v>0.72430555555555554</v>
      </c>
      <c r="D516" s="7">
        <f>(0.724305555555556-0.706944444444444)</f>
        <v>1.7361111111111938E-2</v>
      </c>
      <c r="E516" s="7">
        <f>ABS(0.0173611111111119-0.0166666666666661)</f>
        <v>6.9444444444579853E-4</v>
      </c>
      <c r="F516" s="1" t="s">
        <v>10</v>
      </c>
    </row>
    <row r="517" spans="1:6" x14ac:dyDescent="0.25">
      <c r="A517" s="11">
        <v>42125</v>
      </c>
      <c r="B517" s="7">
        <v>0.72152777777777777</v>
      </c>
      <c r="C517" s="7">
        <v>0.73819444444444438</v>
      </c>
      <c r="D517" s="7">
        <f>(0.738194444444444-0.721527777777778)</f>
        <v>1.6666666666666052E-2</v>
      </c>
      <c r="E517" s="7">
        <f>ABS(0.0166666666666661-0.018055555555556)</f>
        <v>1.3888888888899005E-3</v>
      </c>
      <c r="F517" s="1" t="s">
        <v>10</v>
      </c>
    </row>
    <row r="518" spans="1:6" x14ac:dyDescent="0.25">
      <c r="A518" s="11">
        <v>42125</v>
      </c>
      <c r="B518" s="7">
        <v>0.7895833333333333</v>
      </c>
      <c r="C518" s="7">
        <v>0.80763888888888891</v>
      </c>
      <c r="D518" s="7">
        <f>(0.807638888888889-0.789583333333333)</f>
        <v>1.8055555555556047E-2</v>
      </c>
      <c r="E518" s="7">
        <f>ABS(0.018055555555556-0.0152777777777771)</f>
        <v>2.7777777777789007E-3</v>
      </c>
      <c r="F518" s="1" t="s">
        <v>10</v>
      </c>
    </row>
    <row r="519" spans="1:6" x14ac:dyDescent="0.25">
      <c r="A519" s="11">
        <v>42125</v>
      </c>
      <c r="B519" s="7">
        <v>0.81944444444444453</v>
      </c>
      <c r="C519" s="7">
        <v>0.83472222222222225</v>
      </c>
      <c r="D519" s="7">
        <f>(0.834722222222222-0.819444444444445)</f>
        <v>1.5277777777777057E-2</v>
      </c>
      <c r="E519" s="7">
        <f>ABS(0.0152777777777771-0.0166666666666689)</f>
        <v>1.3888888888918E-3</v>
      </c>
      <c r="F519" s="1" t="s">
        <v>10</v>
      </c>
    </row>
    <row r="520" spans="1:6" x14ac:dyDescent="0.25">
      <c r="A520" s="11">
        <v>42125</v>
      </c>
      <c r="B520" s="7">
        <v>0.98611111111111116</v>
      </c>
      <c r="C520" s="7">
        <v>1.0027777777777778</v>
      </c>
      <c r="D520" s="7">
        <f>(1.00277777777778-0.986111111111111)</f>
        <v>1.6666666666668939E-2</v>
      </c>
      <c r="E520" s="7">
        <f>ABS(0.0166666666666689-0.016666666666667)</f>
        <v>1.9012569296705806E-15</v>
      </c>
      <c r="F520" s="1" t="s">
        <v>10</v>
      </c>
    </row>
    <row r="521" spans="1:6" x14ac:dyDescent="0.25">
      <c r="A521" s="11">
        <v>42125</v>
      </c>
      <c r="B521" s="7">
        <v>0.1875</v>
      </c>
      <c r="C521" s="7">
        <v>0.20416666666666669</v>
      </c>
      <c r="D521" s="7">
        <f>(0.204166666666667-0.1875)</f>
        <v>1.6666666666666996E-2</v>
      </c>
      <c r="E521" s="7">
        <f>ABS(0.016666666666667-0.020138888888889)</f>
        <v>3.4722222222220017E-3</v>
      </c>
      <c r="F521" s="1" t="s">
        <v>10</v>
      </c>
    </row>
    <row r="522" spans="1:6" x14ac:dyDescent="0.25">
      <c r="A522" s="11">
        <v>42125</v>
      </c>
      <c r="B522" s="7">
        <v>0.45277777777777778</v>
      </c>
      <c r="C522" s="7">
        <v>0.47291666666666665</v>
      </c>
      <c r="D522" s="7">
        <f>(0.472916666666667-0.452777777777778)</f>
        <v>2.0138888888888984E-2</v>
      </c>
      <c r="E522" s="7">
        <f>ABS(0.020138888888889-0.017361111111112)</f>
        <v>2.7777777777770012E-3</v>
      </c>
      <c r="F522" s="1" t="s">
        <v>10</v>
      </c>
    </row>
    <row r="523" spans="1:6" x14ac:dyDescent="0.25">
      <c r="A523" s="11">
        <v>42125</v>
      </c>
      <c r="B523" s="7">
        <v>0.56319444444444444</v>
      </c>
      <c r="C523" s="7">
        <v>0.5805555555555556</v>
      </c>
      <c r="D523" s="7">
        <f>(0.580555555555556-0.563194444444444)</f>
        <v>1.7361111111112049E-2</v>
      </c>
      <c r="E523" s="7">
        <f>ABS(0.017361111111112-0.0173611111111109)</f>
        <v>1.0998146837692957E-15</v>
      </c>
      <c r="F523" s="1" t="s">
        <v>10</v>
      </c>
    </row>
    <row r="524" spans="1:6" x14ac:dyDescent="0.25">
      <c r="A524" s="11">
        <v>42125</v>
      </c>
      <c r="B524" s="7">
        <v>0.76666666666666661</v>
      </c>
      <c r="C524" s="7">
        <v>0.78402777777777777</v>
      </c>
      <c r="D524" s="7">
        <f>(0.784027777777778-0.766666666666667)</f>
        <v>1.7361111111110938E-2</v>
      </c>
      <c r="E524" s="7">
        <f>ABS(0.0173611111111109-0.0145833333333331)</f>
        <v>2.7777777777778009E-3</v>
      </c>
      <c r="F524" s="1" t="s">
        <v>10</v>
      </c>
    </row>
    <row r="525" spans="1:6" x14ac:dyDescent="0.25">
      <c r="A525" s="11">
        <v>42125</v>
      </c>
      <c r="B525" s="7">
        <v>0.81874999999999998</v>
      </c>
      <c r="C525" s="7">
        <v>0.83333333333333337</v>
      </c>
      <c r="D525" s="7">
        <f>(0.833333333333333-0.81875)</f>
        <v>1.4583333333333059E-2</v>
      </c>
      <c r="E525" s="7">
        <f>ABS(0.0145833333333331-0.0166666666666671)</f>
        <v>2.0833333333340007E-3</v>
      </c>
      <c r="F525" s="1" t="s">
        <v>10</v>
      </c>
    </row>
    <row r="526" spans="1:6" x14ac:dyDescent="0.25">
      <c r="A526" s="11">
        <v>42125</v>
      </c>
      <c r="B526" s="7">
        <v>0.90625</v>
      </c>
      <c r="C526" s="7">
        <v>0.92291666666666661</v>
      </c>
      <c r="D526" s="7">
        <f>(0.922916666666667-0.90625)</f>
        <v>1.6666666666667052E-2</v>
      </c>
      <c r="E526" s="7">
        <f>ABS(0.0166666666666671-0.0090277777777778)</f>
        <v>7.6388888888893006E-3</v>
      </c>
      <c r="F526" s="1" t="s">
        <v>10</v>
      </c>
    </row>
    <row r="527" spans="1:6" x14ac:dyDescent="0.25">
      <c r="A527" s="11">
        <v>42125</v>
      </c>
      <c r="B527" s="7">
        <v>7.2222222222222229E-2</v>
      </c>
      <c r="C527" s="7">
        <v>8.1250000000000003E-2</v>
      </c>
      <c r="D527" s="7">
        <f>(0.08125-0.0722222222222222)</f>
        <v>9.0277777777778012E-3</v>
      </c>
      <c r="E527" s="7">
        <f>ABS(0.0090277777777778-0.019444444444445)</f>
        <v>1.04166666666672E-2</v>
      </c>
      <c r="F527" s="1" t="s">
        <v>10</v>
      </c>
    </row>
    <row r="528" spans="1:6" x14ac:dyDescent="0.25">
      <c r="A528" s="11">
        <v>42125</v>
      </c>
      <c r="B528" s="7">
        <v>0.3520833333333333</v>
      </c>
      <c r="C528" s="7">
        <v>0.37152777777777773</v>
      </c>
      <c r="D528" s="7">
        <f>(0.371527777777778-0.352083333333333)</f>
        <v>1.9444444444444986E-2</v>
      </c>
      <c r="E528" s="7">
        <f>ABS(0.019444444444445-0.0145833333333331)</f>
        <v>4.8611111111119005E-3</v>
      </c>
      <c r="F528" s="1" t="s">
        <v>10</v>
      </c>
    </row>
    <row r="529" spans="1:6" x14ac:dyDescent="0.25">
      <c r="A529" s="11">
        <v>42125</v>
      </c>
      <c r="B529" s="7">
        <v>0.50902777777777775</v>
      </c>
      <c r="C529" s="7">
        <v>0.52361111111111114</v>
      </c>
      <c r="D529" s="7">
        <f>(0.523611111111111-0.509027777777778)</f>
        <v>1.4583333333333059E-2</v>
      </c>
      <c r="E529" s="7">
        <f>ABS(0.0145833333333331-0.0152777777777779)</f>
        <v>6.9444444444480107E-4</v>
      </c>
      <c r="F529" s="1" t="s">
        <v>10</v>
      </c>
    </row>
    <row r="530" spans="1:6" x14ac:dyDescent="0.25">
      <c r="A530" s="11">
        <v>42125</v>
      </c>
      <c r="B530" s="7">
        <v>0.86319444444444438</v>
      </c>
      <c r="C530" s="7">
        <v>0.87847222222222221</v>
      </c>
      <c r="D530" s="7">
        <f>(0.878472222222222-0.863194444444444)</f>
        <v>1.5277777777777946E-2</v>
      </c>
      <c r="E530" s="7">
        <f>ABS(0.0152777777777779-0.0104166666666661)</f>
        <v>4.8611111111117999E-3</v>
      </c>
      <c r="F530" s="1" t="s">
        <v>10</v>
      </c>
    </row>
    <row r="531" spans="1:6" x14ac:dyDescent="0.25">
      <c r="A531" s="11">
        <v>42125</v>
      </c>
      <c r="B531" s="7">
        <v>0.84930555555555554</v>
      </c>
      <c r="C531" s="7">
        <v>0.85972222222222217</v>
      </c>
      <c r="D531" s="7">
        <f>(0.859722222222222-0.849305555555556)</f>
        <v>1.0416666666666075E-2</v>
      </c>
      <c r="E531" s="7">
        <f>ABS(0.0104166666666661-0.022222222222222)</f>
        <v>1.18055555555559E-2</v>
      </c>
      <c r="F531" s="1" t="s">
        <v>10</v>
      </c>
    </row>
    <row r="532" spans="1:6" x14ac:dyDescent="0.25">
      <c r="A532" s="11">
        <v>42125</v>
      </c>
      <c r="B532" s="7">
        <v>0.16041666666666668</v>
      </c>
      <c r="C532" s="7">
        <v>0.18263888888888891</v>
      </c>
      <c r="D532" s="7">
        <f>(0.182638888888889-0.160416666666667)</f>
        <v>2.2222222222221977E-2</v>
      </c>
      <c r="E532" s="7">
        <f>ABS(0.022222222222222-0.018055555555556)</f>
        <v>4.1666666666659996E-3</v>
      </c>
      <c r="F532" s="1" t="s">
        <v>10</v>
      </c>
    </row>
    <row r="533" spans="1:6" x14ac:dyDescent="0.25">
      <c r="A533" s="11">
        <v>42125</v>
      </c>
      <c r="B533" s="7">
        <v>0.3520833333333333</v>
      </c>
      <c r="C533" s="7">
        <v>0.37013888888888885</v>
      </c>
      <c r="D533" s="7">
        <f>(0.370138888888889-0.352083333333333)</f>
        <v>1.8055555555555991E-2</v>
      </c>
      <c r="E533" s="7">
        <f>ABS(0.018055555555556-0.01875)</f>
        <v>6.9444444444399789E-4</v>
      </c>
      <c r="F533" s="1" t="s">
        <v>10</v>
      </c>
    </row>
    <row r="534" spans="1:6" x14ac:dyDescent="0.25">
      <c r="A534" s="11">
        <v>42125</v>
      </c>
      <c r="B534" s="7">
        <v>0.41666666666666669</v>
      </c>
      <c r="C534" s="7">
        <v>0.43541666666666662</v>
      </c>
      <c r="D534" s="7">
        <f>(0.435416666666667-0.416666666666667)</f>
        <v>1.8749999999999989E-2</v>
      </c>
      <c r="E534" s="7">
        <f>ABS(0.01875-0.032638888888889)</f>
        <v>1.3888888888889003E-2</v>
      </c>
      <c r="F534" s="1" t="s">
        <v>10</v>
      </c>
    </row>
    <row r="535" spans="1:6" x14ac:dyDescent="0.25">
      <c r="A535" s="11">
        <v>42125</v>
      </c>
      <c r="B535" s="7">
        <v>0.81597222222222221</v>
      </c>
      <c r="C535" s="7">
        <v>0.84861111111111109</v>
      </c>
      <c r="D535" s="7">
        <f>(0.848611111111111-0.815972222222222)</f>
        <v>3.2638888888888995E-2</v>
      </c>
      <c r="E535" s="7">
        <f>ABS(0.032638888888889-0.0159722222222219)</f>
        <v>1.6666666666667104E-2</v>
      </c>
      <c r="F535" s="1" t="s">
        <v>10</v>
      </c>
    </row>
    <row r="536" spans="1:6" x14ac:dyDescent="0.25">
      <c r="A536" s="11">
        <v>42125</v>
      </c>
      <c r="B536" s="7">
        <v>0.85972222222222217</v>
      </c>
      <c r="C536" s="7">
        <v>0.87569444444444444</v>
      </c>
      <c r="D536" s="7">
        <f>(0.875694444444444-0.859722222222222)</f>
        <v>1.5972222222221943E-2</v>
      </c>
      <c r="E536" s="7">
        <f>ABS(0.0159722222222219-0.0159722222222221)</f>
        <v>2.0122792321330962E-16</v>
      </c>
      <c r="F536" s="1" t="s">
        <v>10</v>
      </c>
    </row>
    <row r="537" spans="1:6" x14ac:dyDescent="0.25">
      <c r="A537" s="11">
        <v>42125</v>
      </c>
      <c r="B537" s="7">
        <v>0.94305555555555554</v>
      </c>
      <c r="C537" s="7">
        <v>0.9590277777777777</v>
      </c>
      <c r="D537" s="7">
        <f>(0.959027777777778-0.943055555555556)</f>
        <v>1.5972222222222054E-2</v>
      </c>
      <c r="E537" s="7">
        <f>ABS(0.0159722222222221-0.020138888888889)</f>
        <v>4.1666666666669017E-3</v>
      </c>
      <c r="F537" s="1" t="s">
        <v>10</v>
      </c>
    </row>
    <row r="538" spans="1:6" x14ac:dyDescent="0.25">
      <c r="A538" s="11">
        <v>42125</v>
      </c>
      <c r="B538" s="7">
        <v>0.33263888888888887</v>
      </c>
      <c r="C538" s="7">
        <v>0.3527777777777778</v>
      </c>
      <c r="D538" s="7">
        <f>(0.352777777777778-0.332638888888889)</f>
        <v>2.0138888888889039E-2</v>
      </c>
      <c r="E538" s="7">
        <f>ABS(0.020138888888889-0.001388888888888)</f>
        <v>1.8750000000001002E-2</v>
      </c>
      <c r="F538" s="1" t="s">
        <v>10</v>
      </c>
    </row>
    <row r="539" spans="1:6" x14ac:dyDescent="0.25">
      <c r="A539" s="11">
        <v>42125</v>
      </c>
      <c r="B539" s="7">
        <v>0.47430555555555554</v>
      </c>
      <c r="C539" s="7">
        <v>0.47569444444444442</v>
      </c>
      <c r="D539" s="7">
        <f>(0.475694444444444-0.474305555555556)</f>
        <v>1.3888888888879958E-3</v>
      </c>
      <c r="E539" s="7">
        <f>ABS(0.001388888888888-0.028472222222222)</f>
        <v>2.7083333333334E-2</v>
      </c>
      <c r="F539" s="1" t="s">
        <v>10</v>
      </c>
    </row>
    <row r="540" spans="1:6" x14ac:dyDescent="0.25">
      <c r="A540" s="11">
        <v>42125</v>
      </c>
      <c r="B540" s="7">
        <v>0.67499999999999993</v>
      </c>
      <c r="C540" s="7">
        <v>0.70347222222222217</v>
      </c>
      <c r="D540" s="7">
        <f>(0.703472222222222-0.675)</f>
        <v>2.847222222222201E-2</v>
      </c>
      <c r="E540" s="7">
        <f>ABS(0.028472222222222-0.018055555555555)</f>
        <v>1.0416666666667001E-2</v>
      </c>
      <c r="F540" s="1" t="s">
        <v>10</v>
      </c>
    </row>
    <row r="541" spans="1:6" x14ac:dyDescent="0.25">
      <c r="A541" s="11">
        <v>42125</v>
      </c>
      <c r="B541" s="7">
        <v>0.18541666666666667</v>
      </c>
      <c r="C541" s="7">
        <v>0.20347222222222219</v>
      </c>
      <c r="D541" s="7">
        <f>(0.203472222222222-0.185416666666667)</f>
        <v>1.8055555555554992E-2</v>
      </c>
      <c r="E541" s="7">
        <f>ABS(0.018055555555555-0.027083333333333)</f>
        <v>9.0277777777780024E-3</v>
      </c>
      <c r="F541" s="1" t="s">
        <v>10</v>
      </c>
    </row>
    <row r="542" spans="1:6" x14ac:dyDescent="0.25">
      <c r="A542" s="11">
        <v>42125</v>
      </c>
      <c r="B542" s="7">
        <v>0.68472222222222223</v>
      </c>
      <c r="C542" s="7">
        <v>0.71180555555555547</v>
      </c>
      <c r="D542" s="7">
        <f>(0.711805555555555-0.684722222222222)</f>
        <v>2.7083333333333015E-2</v>
      </c>
      <c r="E542" s="7">
        <f>ABS(0.027083333333333-0.00833333333333308)</f>
        <v>1.874999999999992E-2</v>
      </c>
      <c r="F542" s="1" t="s">
        <v>10</v>
      </c>
    </row>
    <row r="543" spans="1:6" x14ac:dyDescent="0.25">
      <c r="A543" s="11">
        <v>42125</v>
      </c>
      <c r="B543" s="7">
        <v>0.88263888888888886</v>
      </c>
      <c r="C543" s="7">
        <v>0.89097222222222217</v>
      </c>
      <c r="D543" s="7">
        <f>(0.890972222222222-0.882638888888889)</f>
        <v>8.3333333333330817E-3</v>
      </c>
      <c r="E543" s="7">
        <f>ABS(0.00833333333333308-0.00833333333333308)</f>
        <v>0</v>
      </c>
      <c r="F543" s="1" t="s">
        <v>10</v>
      </c>
    </row>
    <row r="544" spans="1:6" x14ac:dyDescent="0.25">
      <c r="A544" s="11">
        <v>42125</v>
      </c>
      <c r="B544" s="7">
        <v>0.91388888888888886</v>
      </c>
      <c r="C544" s="7">
        <v>0.92222222222222217</v>
      </c>
      <c r="D544" s="7">
        <f>(0.922222222222222-0.913888888888889)</f>
        <v>8.3333333333330817E-3</v>
      </c>
      <c r="E544" s="7">
        <f>ABS(0.00833333333333308-0.0159722222222221)</f>
        <v>7.6388888888890196E-3</v>
      </c>
      <c r="F544" s="1" t="s">
        <v>10</v>
      </c>
    </row>
    <row r="545" spans="1:6" x14ac:dyDescent="0.25">
      <c r="A545" s="11">
        <v>42125</v>
      </c>
      <c r="B545" s="7">
        <v>0.38263888888888892</v>
      </c>
      <c r="C545" s="7">
        <v>0.39861111111111108</v>
      </c>
      <c r="D545" s="7">
        <f>(0.398611111111111-0.382638888888889)</f>
        <v>1.5972222222222054E-2</v>
      </c>
      <c r="E545" s="7">
        <f>ABS(0.0159722222222221-0.020138888888889)</f>
        <v>4.1666666666669017E-3</v>
      </c>
      <c r="F545" s="1" t="s">
        <v>10</v>
      </c>
    </row>
    <row r="546" spans="1:6" x14ac:dyDescent="0.25">
      <c r="A546" s="11">
        <v>42125</v>
      </c>
      <c r="B546" s="7">
        <v>0.59097222222222223</v>
      </c>
      <c r="C546" s="7">
        <v>0.61111111111111105</v>
      </c>
      <c r="D546" s="7">
        <f>(0.611111111111111-0.590972222222222)</f>
        <v>2.0138888888889039E-2</v>
      </c>
      <c r="E546" s="7">
        <f>ABS(0.020138888888889-0.018055555555555)</f>
        <v>2.0833333333340025E-3</v>
      </c>
      <c r="F546" s="1" t="s">
        <v>10</v>
      </c>
    </row>
    <row r="547" spans="1:6" x14ac:dyDescent="0.25">
      <c r="A547" s="11">
        <v>42125</v>
      </c>
      <c r="B547" s="7">
        <v>0.63888888888888895</v>
      </c>
      <c r="C547" s="7">
        <v>0.65694444444444444</v>
      </c>
      <c r="D547" s="7">
        <f>(0.656944444444444-0.638888888888889)</f>
        <v>1.8055555555555047E-2</v>
      </c>
      <c r="E547" s="7">
        <f>ABS(0.018055555555555-0.0361111111111111)</f>
        <v>1.8055555555556102E-2</v>
      </c>
      <c r="F547" s="1" t="s">
        <v>10</v>
      </c>
    </row>
    <row r="548" spans="1:6" x14ac:dyDescent="0.25">
      <c r="A548" s="11">
        <v>42125</v>
      </c>
      <c r="B548" s="7">
        <v>0.66736111111111107</v>
      </c>
      <c r="C548" s="7">
        <v>0.70347222222222217</v>
      </c>
      <c r="D548" s="7">
        <f>(0.703472222222222-0.667361111111111)</f>
        <v>3.6111111111111094E-2</v>
      </c>
      <c r="E548" s="7">
        <f>ABS(0.0361111111111111-0.017361111111111)</f>
        <v>1.87500000000001E-2</v>
      </c>
      <c r="F548" s="1" t="s">
        <v>10</v>
      </c>
    </row>
    <row r="549" spans="1:6" x14ac:dyDescent="0.25">
      <c r="A549" s="11">
        <v>42125</v>
      </c>
      <c r="B549" s="7">
        <v>0.73402777777777783</v>
      </c>
      <c r="C549" s="7">
        <v>0.75138888888888899</v>
      </c>
      <c r="D549" s="7">
        <f>(0.751388888888889-0.734027777777778)</f>
        <v>1.7361111111111049E-2</v>
      </c>
      <c r="E549" s="7">
        <f>ABS(0.017361111111111-0.013888888888889)</f>
        <v>3.4722222222220017E-3</v>
      </c>
      <c r="F549" s="1" t="s">
        <v>10</v>
      </c>
    </row>
    <row r="550" spans="1:6" x14ac:dyDescent="0.25">
      <c r="A550" s="11">
        <v>42125</v>
      </c>
      <c r="B550" s="7">
        <v>0.86388888888888893</v>
      </c>
      <c r="C550" s="7">
        <v>0.87777777777777777</v>
      </c>
      <c r="D550" s="7">
        <f>(0.877777777777778-0.863888888888889)</f>
        <v>1.3888888888888951E-2</v>
      </c>
      <c r="E550" s="7">
        <f>ABS(0.013888888888889-0.00833333333333297)</f>
        <v>5.5555555555560285E-3</v>
      </c>
      <c r="F550" s="1" t="s">
        <v>10</v>
      </c>
    </row>
    <row r="551" spans="1:6" x14ac:dyDescent="0.25">
      <c r="A551" s="11">
        <v>42125</v>
      </c>
      <c r="B551" s="7">
        <v>0.90416666666666667</v>
      </c>
      <c r="C551" s="7">
        <v>0.91249999999999998</v>
      </c>
      <c r="D551" s="7">
        <f>(0.9125-0.904166666666667)</f>
        <v>8.3333333333329707E-3</v>
      </c>
      <c r="E551" s="7">
        <f>ABS(0.00833333333333297-0.0194444444444499)</f>
        <v>1.1111111111116928E-2</v>
      </c>
      <c r="F551" s="1" t="s">
        <v>10</v>
      </c>
    </row>
    <row r="552" spans="1:6" x14ac:dyDescent="0.25">
      <c r="A552" s="11">
        <v>42125</v>
      </c>
      <c r="B552" s="7">
        <v>1.0097222222222222</v>
      </c>
      <c r="C552" s="7">
        <v>1.0291666666666666</v>
      </c>
      <c r="D552" s="7">
        <f>(1.02916666666667-1.00972222222222)</f>
        <v>1.9444444444449926E-2</v>
      </c>
      <c r="E552" s="7">
        <f>ABS(0.0194444444444499-0.019444444444445)</f>
        <v>4.8988590961585032E-15</v>
      </c>
      <c r="F552" s="1" t="s">
        <v>10</v>
      </c>
    </row>
    <row r="553" spans="1:6" x14ac:dyDescent="0.25">
      <c r="A553" s="11">
        <v>42125</v>
      </c>
      <c r="B553" s="7">
        <v>0.4770833333333333</v>
      </c>
      <c r="C553" s="7">
        <v>0.49652777777777773</v>
      </c>
      <c r="D553" s="7">
        <f>(0.496527777777778-0.477083333333333)</f>
        <v>1.9444444444444986E-2</v>
      </c>
      <c r="E553" s="7">
        <f>ABS(0.019444444444445-0.0173611111111109)</f>
        <v>2.0833333333340996E-3</v>
      </c>
      <c r="F553" s="1" t="s">
        <v>10</v>
      </c>
    </row>
    <row r="554" spans="1:6" x14ac:dyDescent="0.25">
      <c r="A554" s="11">
        <v>42125</v>
      </c>
      <c r="B554" s="7">
        <v>0.58263888888888882</v>
      </c>
      <c r="C554" s="7">
        <v>0.6</v>
      </c>
      <c r="D554" s="7">
        <f>(0.6-0.582638888888889)</f>
        <v>1.7361111111110938E-2</v>
      </c>
      <c r="E554" s="7">
        <f>ABS(0.0173611111111109-0.01875)</f>
        <v>1.3888888888890991E-3</v>
      </c>
      <c r="F554" s="1" t="s">
        <v>10</v>
      </c>
    </row>
    <row r="555" spans="1:6" x14ac:dyDescent="0.25">
      <c r="A555" s="11">
        <v>42125</v>
      </c>
      <c r="B555" s="7">
        <v>0.62986111111111109</v>
      </c>
      <c r="C555" s="7">
        <v>0.64861111111111114</v>
      </c>
      <c r="D555" s="7">
        <f>(0.648611111111111-0.629861111111111)</f>
        <v>1.8750000000000044E-2</v>
      </c>
      <c r="E555" s="7">
        <f>ABS(0.01875-0.013888888888889)</f>
        <v>4.8611111111110002E-3</v>
      </c>
      <c r="F555" s="1" t="s">
        <v>10</v>
      </c>
    </row>
    <row r="556" spans="1:6" x14ac:dyDescent="0.25">
      <c r="A556" s="11">
        <v>42125</v>
      </c>
      <c r="B556" s="7">
        <v>0.84513888888888899</v>
      </c>
      <c r="C556" s="7">
        <v>0.85902777777777783</v>
      </c>
      <c r="D556" s="7">
        <f>(0.859027777777778-0.845138888888889)</f>
        <v>1.3888888888888951E-2</v>
      </c>
      <c r="E556" s="7">
        <f>ABS(0.013888888888889-0.00833333333333397)</f>
        <v>5.5555555555550293E-3</v>
      </c>
      <c r="F556" s="1" t="s">
        <v>10</v>
      </c>
    </row>
    <row r="557" spans="1:6" x14ac:dyDescent="0.25">
      <c r="A557" s="11">
        <v>42125</v>
      </c>
      <c r="B557" s="7">
        <v>0.78333333333333333</v>
      </c>
      <c r="C557" s="7">
        <v>0.79166666666666663</v>
      </c>
      <c r="D557" s="7">
        <f>(0.791666666666667-0.783333333333333)</f>
        <v>8.3333333333339699E-3</v>
      </c>
      <c r="E557" s="7"/>
      <c r="F557" s="1" t="s">
        <v>10</v>
      </c>
    </row>
    <row r="558" spans="1:6" x14ac:dyDescent="0.25">
      <c r="A558" s="11">
        <v>42125</v>
      </c>
      <c r="B558" s="7">
        <v>0.20972222222222223</v>
      </c>
      <c r="C558" s="7">
        <v>0.21944444444444444</v>
      </c>
      <c r="D558" s="7">
        <f>(0.219444444444444-0.209722222222222)</f>
        <v>9.7222222222219934E-3</v>
      </c>
      <c r="E558" s="7">
        <f>ABS(0.00972222222222199-0.010416666666666)</f>
        <v>6.9444444444401003E-4</v>
      </c>
      <c r="F558" s="1" t="s">
        <v>8</v>
      </c>
    </row>
    <row r="559" spans="1:6" x14ac:dyDescent="0.25">
      <c r="A559" s="11">
        <v>42125</v>
      </c>
      <c r="B559" s="7">
        <v>0.55902777777777779</v>
      </c>
      <c r="C559" s="7">
        <v>0.56944444444444442</v>
      </c>
      <c r="D559" s="7">
        <f>(0.569444444444444-0.559027777777778)</f>
        <v>1.0416666666665964E-2</v>
      </c>
      <c r="E559" s="7">
        <f>ABS(0.010416666666666-0.0131944444444441)</f>
        <v>2.7777777777780992E-3</v>
      </c>
      <c r="F559" s="1" t="s">
        <v>8</v>
      </c>
    </row>
    <row r="560" spans="1:6" x14ac:dyDescent="0.25">
      <c r="A560" s="11">
        <v>42125</v>
      </c>
      <c r="B560" s="7">
        <v>0.72638888888888886</v>
      </c>
      <c r="C560" s="7">
        <v>0.73958333333333337</v>
      </c>
      <c r="D560" s="7">
        <f>(0.739583333333333-0.726388888888889)</f>
        <v>1.3194444444444065E-2</v>
      </c>
      <c r="E560" s="7">
        <f>ABS(0.0131944444444441-0.029166666666667)</f>
        <v>1.5972222222222901E-2</v>
      </c>
      <c r="F560" s="1" t="s">
        <v>8</v>
      </c>
    </row>
    <row r="561" spans="1:6" x14ac:dyDescent="0.25">
      <c r="A561" s="11">
        <v>42125</v>
      </c>
      <c r="B561" s="7">
        <v>0.88263888888888886</v>
      </c>
      <c r="C561" s="7">
        <v>0.91180555555555554</v>
      </c>
      <c r="D561" s="7">
        <f>(0.911805555555556-0.882638888888889)</f>
        <v>2.9166666666667007E-2</v>
      </c>
      <c r="E561" s="7">
        <f>ABS(0.029166666666667-0.0277777777777776)</f>
        <v>1.3888888888894009E-3</v>
      </c>
      <c r="F561" s="1" t="s">
        <v>8</v>
      </c>
    </row>
    <row r="562" spans="1:6" x14ac:dyDescent="0.25">
      <c r="A562" s="11">
        <v>42125</v>
      </c>
      <c r="B562" s="7">
        <v>9.4444444444444442E-2</v>
      </c>
      <c r="C562" s="7">
        <v>0.12222222222222223</v>
      </c>
      <c r="D562" s="7">
        <f>(0.122222222222222-0.0944444444444444)</f>
        <v>2.7777777777777596E-2</v>
      </c>
      <c r="E562" s="7">
        <f>ABS(0.0277777777777776-0.0159722222222222)</f>
        <v>1.1805555555555399E-2</v>
      </c>
      <c r="F562" s="1" t="s">
        <v>8</v>
      </c>
    </row>
    <row r="563" spans="1:6" x14ac:dyDescent="0.25">
      <c r="A563" s="11">
        <v>42125</v>
      </c>
      <c r="B563" s="7">
        <v>5.9722222222222225E-2</v>
      </c>
      <c r="C563" s="7">
        <v>7.5694444444444439E-2</v>
      </c>
      <c r="D563" s="7">
        <f>(0.0756944444444444-0.0597222222222222)</f>
        <v>1.59722222222222E-2</v>
      </c>
      <c r="E563" s="7">
        <f>ABS(0.0159722222222222-0.00763888888888903)</f>
        <v>8.3333333333331702E-3</v>
      </c>
      <c r="F563" s="1" t="s">
        <v>8</v>
      </c>
    </row>
    <row r="564" spans="1:6" x14ac:dyDescent="0.25">
      <c r="A564" s="11">
        <v>42125</v>
      </c>
      <c r="B564" s="7">
        <v>0.44027777777777777</v>
      </c>
      <c r="C564" s="7">
        <v>0.44791666666666669</v>
      </c>
      <c r="D564" s="7">
        <f>(0.447916666666667-0.440277777777778)</f>
        <v>7.6388888888890283E-3</v>
      </c>
      <c r="E564" s="7">
        <f>ABS(0.00763888888888903-0.00833333333333297)</f>
        <v>6.9444444444394064E-4</v>
      </c>
      <c r="F564" s="1" t="s">
        <v>8</v>
      </c>
    </row>
    <row r="565" spans="1:6" x14ac:dyDescent="0.25">
      <c r="A565" s="11">
        <v>42125</v>
      </c>
      <c r="B565" s="7">
        <v>0.94166666666666676</v>
      </c>
      <c r="C565" s="7">
        <v>0.95000000000000007</v>
      </c>
      <c r="D565" s="7">
        <f>(0.95-0.941666666666667)</f>
        <v>8.3333333333329707E-3</v>
      </c>
      <c r="E565" s="7">
        <f>ABS(0.00833333333333297-0.0159722222222219)</f>
        <v>7.6388888888889277E-3</v>
      </c>
      <c r="F565" s="1" t="s">
        <v>8</v>
      </c>
    </row>
    <row r="566" spans="1:6" x14ac:dyDescent="0.25">
      <c r="A566" s="11">
        <v>42125</v>
      </c>
      <c r="B566" s="7">
        <v>0.52361111111111114</v>
      </c>
      <c r="C566" s="7">
        <v>0.5395833333333333</v>
      </c>
      <c r="D566" s="7">
        <f>(0.539583333333333-0.523611111111111)</f>
        <v>1.5972222222221943E-2</v>
      </c>
      <c r="E566" s="7">
        <f>ABS(0.0159722222222219-0.0104166666666661)</f>
        <v>5.5555555555557978E-3</v>
      </c>
      <c r="F566" s="1" t="s">
        <v>8</v>
      </c>
    </row>
    <row r="567" spans="1:6" x14ac:dyDescent="0.25">
      <c r="A567" s="11">
        <v>42125</v>
      </c>
      <c r="B567" s="7">
        <v>0.79652777777777783</v>
      </c>
      <c r="C567" s="7">
        <v>0.80694444444444446</v>
      </c>
      <c r="D567" s="7">
        <f>(0.806944444444444-0.796527777777778)</f>
        <v>1.0416666666666075E-2</v>
      </c>
      <c r="E567" s="7">
        <f>ABS(0.0104166666666661-0.029166666666666)</f>
        <v>1.8749999999999899E-2</v>
      </c>
      <c r="F567" s="1" t="s">
        <v>8</v>
      </c>
    </row>
    <row r="568" spans="1:6" x14ac:dyDescent="0.25">
      <c r="A568" s="11">
        <v>42125</v>
      </c>
      <c r="B568" s="7">
        <v>0.28402777777777777</v>
      </c>
      <c r="C568" s="7">
        <v>0.31319444444444444</v>
      </c>
      <c r="D568" s="7">
        <f>(0.313194444444444-0.284027777777778)</f>
        <v>2.9166666666666008E-2</v>
      </c>
      <c r="E568" s="7">
        <f>ABS(0.029166666666666-0.012500000000001)</f>
        <v>1.6666666666665001E-2</v>
      </c>
      <c r="F568" s="1" t="s">
        <v>8</v>
      </c>
    </row>
    <row r="569" spans="1:6" x14ac:dyDescent="0.25">
      <c r="A569" s="11">
        <v>42125</v>
      </c>
      <c r="B569" s="7">
        <v>0.68055555555555547</v>
      </c>
      <c r="C569" s="7">
        <v>0.69305555555555554</v>
      </c>
      <c r="D569" s="7">
        <f>(0.693055555555556-0.680555555555555)</f>
        <v>1.2500000000000955E-2</v>
      </c>
      <c r="E569" s="7">
        <f>ABS(0.012500000000001-0.0145833333333329)</f>
        <v>2.0833333333319E-3</v>
      </c>
      <c r="F569" s="1" t="s">
        <v>8</v>
      </c>
    </row>
    <row r="570" spans="1:6" x14ac:dyDescent="0.25">
      <c r="A570" s="11">
        <v>42125</v>
      </c>
      <c r="B570" s="7">
        <v>0.8666666666666667</v>
      </c>
      <c r="C570" s="7">
        <v>0.88124999999999998</v>
      </c>
      <c r="D570" s="7">
        <f>(0.88125-0.866666666666667)</f>
        <v>1.4583333333332948E-2</v>
      </c>
      <c r="E570" s="7">
        <f>ABS(0.0145833333333329-0.0215277777777778)</f>
        <v>6.9444444444448986E-3</v>
      </c>
      <c r="F570" s="1" t="s">
        <v>8</v>
      </c>
    </row>
    <row r="571" spans="1:6" x14ac:dyDescent="0.25">
      <c r="A571" s="11">
        <v>42125</v>
      </c>
      <c r="B571" s="7">
        <v>7.013888888888889E-2</v>
      </c>
      <c r="C571" s="7">
        <v>9.1666666666666674E-2</v>
      </c>
      <c r="D571" s="7">
        <f>(0.0916666666666667-0.0701388888888889)</f>
        <v>2.1527777777777798E-2</v>
      </c>
      <c r="E571" s="7">
        <f>ABS(0.0215277777777778-0.013888888888889)</f>
        <v>7.6388888888887993E-3</v>
      </c>
      <c r="F571" s="1" t="s">
        <v>8</v>
      </c>
    </row>
    <row r="572" spans="1:6" x14ac:dyDescent="0.25">
      <c r="A572" s="11">
        <v>42125</v>
      </c>
      <c r="B572" s="7">
        <v>0.30486111111111108</v>
      </c>
      <c r="C572" s="7">
        <v>0.31875000000000003</v>
      </c>
      <c r="D572" s="7">
        <f>(0.31875-0.304861111111111)</f>
        <v>1.3888888888888951E-2</v>
      </c>
      <c r="E572" s="7">
        <f>ABS(0.013888888888889-0.0152777777777781)</f>
        <v>1.3888888888891008E-3</v>
      </c>
      <c r="F572" s="1" t="s">
        <v>8</v>
      </c>
    </row>
    <row r="573" spans="1:6" x14ac:dyDescent="0.25">
      <c r="A573" s="11">
        <v>42125</v>
      </c>
      <c r="B573" s="7">
        <v>0.7284722222222223</v>
      </c>
      <c r="C573" s="7">
        <v>0.74375000000000002</v>
      </c>
      <c r="D573" s="7">
        <f>(0.74375-0.728472222222222)</f>
        <v>1.5277777777778057E-2</v>
      </c>
      <c r="E573" s="7">
        <f>ABS(0.0152777777777781-0.0152777777777781)</f>
        <v>0</v>
      </c>
      <c r="F573" s="1" t="s">
        <v>8</v>
      </c>
    </row>
    <row r="574" spans="1:6" x14ac:dyDescent="0.25">
      <c r="A574" s="11">
        <v>42125</v>
      </c>
      <c r="B574" s="7">
        <v>0.72152777777777777</v>
      </c>
      <c r="C574" s="7">
        <v>0.7368055555555556</v>
      </c>
      <c r="D574" s="7">
        <f>(0.736805555555556-0.721527777777778)</f>
        <v>1.5277777777778057E-2</v>
      </c>
      <c r="E574" s="7">
        <f>ABS(0.0152777777777781-0.013888888888889)</f>
        <v>1.3888888888891008E-3</v>
      </c>
      <c r="F574" s="1" t="s">
        <v>8</v>
      </c>
    </row>
    <row r="575" spans="1:6" x14ac:dyDescent="0.25">
      <c r="A575" s="11">
        <v>42125</v>
      </c>
      <c r="B575" s="7">
        <v>0.90625</v>
      </c>
      <c r="C575" s="7">
        <v>0.92013888888888884</v>
      </c>
      <c r="D575" s="7">
        <f>(0.920138888888889-0.90625)</f>
        <v>1.3888888888888951E-2</v>
      </c>
      <c r="E575" s="7">
        <f>ABS(0.013888888888889-0.0256944444444445)</f>
        <v>1.18055555555555E-2</v>
      </c>
      <c r="F575" s="1" t="s">
        <v>8</v>
      </c>
    </row>
    <row r="576" spans="1:6" x14ac:dyDescent="0.25">
      <c r="A576" s="11">
        <v>42125</v>
      </c>
      <c r="B576" s="7">
        <v>7.2222222222222229E-2</v>
      </c>
      <c r="C576" s="7">
        <v>9.7916666666666666E-2</v>
      </c>
      <c r="D576" s="7">
        <f>(0.0979166666666667-0.0722222222222222)</f>
        <v>2.5694444444444492E-2</v>
      </c>
      <c r="E576" s="7">
        <f>ABS(0.0256944444444445-0.00902777777777808)</f>
        <v>1.666666666666642E-2</v>
      </c>
      <c r="F576" s="1" t="s">
        <v>8</v>
      </c>
    </row>
    <row r="577" spans="1:6" x14ac:dyDescent="0.25">
      <c r="A577" s="11">
        <v>42125</v>
      </c>
      <c r="B577" s="7">
        <v>0.50902777777777775</v>
      </c>
      <c r="C577" s="7">
        <v>0.5180555555555556</v>
      </c>
      <c r="D577" s="7">
        <f>(0.518055555555556-0.509027777777778)</f>
        <v>9.0277777777780788E-3</v>
      </c>
      <c r="E577" s="7">
        <f>ABS(0.00902777777777808-0.00972222222222197)</f>
        <v>6.9444444444389034E-4</v>
      </c>
      <c r="F577" s="1" t="s">
        <v>8</v>
      </c>
    </row>
    <row r="578" spans="1:6" x14ac:dyDescent="0.25">
      <c r="A578" s="11">
        <v>42125</v>
      </c>
      <c r="B578" s="7">
        <v>0.84930555555555554</v>
      </c>
      <c r="C578" s="7">
        <v>0.85902777777777783</v>
      </c>
      <c r="D578" s="7">
        <f>(0.859027777777778-0.849305555555556)</f>
        <v>9.7222222222219656E-3</v>
      </c>
      <c r="E578" s="7">
        <f>ABS(0.00972222222222197-0.015972222222222)</f>
        <v>6.2500000000000281E-3</v>
      </c>
      <c r="F578" s="1" t="s">
        <v>8</v>
      </c>
    </row>
    <row r="579" spans="1:6" x14ac:dyDescent="0.25">
      <c r="A579" s="11">
        <v>42125</v>
      </c>
      <c r="B579" s="7">
        <v>0.31180555555555556</v>
      </c>
      <c r="C579" s="7">
        <v>0.32777777777777778</v>
      </c>
      <c r="D579" s="7">
        <f>(0.327777777777778-0.311805555555556)</f>
        <v>1.5972222222221999E-2</v>
      </c>
      <c r="E579" s="7">
        <f>ABS(0.015972222222222-0.013194444444445)</f>
        <v>2.7777777777769994E-3</v>
      </c>
      <c r="F579" s="1" t="s">
        <v>8</v>
      </c>
    </row>
    <row r="580" spans="1:6" x14ac:dyDescent="0.25">
      <c r="A580" s="11">
        <v>42125</v>
      </c>
      <c r="B580" s="7">
        <v>0.3520833333333333</v>
      </c>
      <c r="C580" s="7">
        <v>0.36527777777777781</v>
      </c>
      <c r="D580" s="7">
        <f>(0.365277777777778-0.352083333333333)</f>
        <v>1.3194444444444953E-2</v>
      </c>
      <c r="E580" s="7">
        <f>ABS(0.013194444444445-0.020138888888889)</f>
        <v>6.9444444444440017E-3</v>
      </c>
      <c r="F580" s="1" t="s">
        <v>8</v>
      </c>
    </row>
    <row r="581" spans="1:6" x14ac:dyDescent="0.25">
      <c r="A581" s="11">
        <v>42125</v>
      </c>
      <c r="B581" s="7">
        <v>0.33263888888888887</v>
      </c>
      <c r="C581" s="7">
        <v>0.3527777777777778</v>
      </c>
      <c r="D581" s="7">
        <f>(0.352777777777778-0.332638888888889)</f>
        <v>2.0138888888889039E-2</v>
      </c>
      <c r="E581" s="7">
        <f>ABS(0.020138888888889-0.010416666666667)</f>
        <v>9.7222222222220021E-3</v>
      </c>
      <c r="F581" s="1" t="s">
        <v>8</v>
      </c>
    </row>
    <row r="582" spans="1:6" x14ac:dyDescent="0.25">
      <c r="A582" s="11">
        <v>42125</v>
      </c>
      <c r="B582" s="7">
        <v>0.35069444444444442</v>
      </c>
      <c r="C582" s="7">
        <v>0.3611111111111111</v>
      </c>
      <c r="D582" s="7">
        <f>(0.361111111111111-0.350694444444444)</f>
        <v>1.0416666666667018E-2</v>
      </c>
      <c r="E582" s="7">
        <f>ABS(0.010416666666667-0.0125)</f>
        <v>2.0833333333330015E-3</v>
      </c>
      <c r="F582" s="1" t="s">
        <v>8</v>
      </c>
    </row>
    <row r="583" spans="1:6" x14ac:dyDescent="0.25">
      <c r="A583" s="11">
        <v>42125</v>
      </c>
      <c r="B583" s="7">
        <v>0.55763888888888891</v>
      </c>
      <c r="C583" s="7">
        <v>0.57013888888888886</v>
      </c>
      <c r="D583" s="7">
        <f>(0.570138888888889-0.557638888888889)</f>
        <v>1.2499999999999956E-2</v>
      </c>
      <c r="E583" s="7">
        <f>ABS(0.0125-0.00694444444444398)</f>
        <v>5.5555555555560207E-3</v>
      </c>
      <c r="F583" s="1" t="s">
        <v>8</v>
      </c>
    </row>
    <row r="584" spans="1:6" x14ac:dyDescent="0.25">
      <c r="A584" s="11">
        <v>42125</v>
      </c>
      <c r="B584" s="7">
        <v>0.87291666666666667</v>
      </c>
      <c r="C584" s="7">
        <v>0.87986111111111109</v>
      </c>
      <c r="D584" s="7">
        <f>(0.879861111111111-0.872916666666667)</f>
        <v>6.9444444444439757E-3</v>
      </c>
      <c r="E584" s="7"/>
      <c r="F584" s="1" t="s">
        <v>8</v>
      </c>
    </row>
    <row r="585" spans="1:6" x14ac:dyDescent="0.25">
      <c r="A585" s="11">
        <v>42125</v>
      </c>
      <c r="B585" s="7">
        <v>8.4722222222222213E-2</v>
      </c>
      <c r="C585" s="7">
        <v>0.10277777777777779</v>
      </c>
      <c r="D585" s="7">
        <f>(0.102777777777778-0.0847222222222222)</f>
        <v>1.8055555555555797E-2</v>
      </c>
      <c r="E585" s="7">
        <f>ABS(0.0180555555555558-0.020138888888889)</f>
        <v>2.083333333333201E-3</v>
      </c>
      <c r="F585" s="1" t="s">
        <v>11</v>
      </c>
    </row>
    <row r="586" spans="1:6" x14ac:dyDescent="0.25">
      <c r="A586" s="11">
        <v>42125</v>
      </c>
      <c r="B586" s="7">
        <v>0.3611111111111111</v>
      </c>
      <c r="C586" s="7">
        <v>0.38125000000000003</v>
      </c>
      <c r="D586" s="7">
        <f>(0.38125-0.361111111111111)</f>
        <v>2.0138888888888984E-2</v>
      </c>
      <c r="E586" s="7">
        <f>ABS(0.020138888888889-0.022222222222223)</f>
        <v>2.083333333333999E-3</v>
      </c>
      <c r="F586" s="1" t="s">
        <v>11</v>
      </c>
    </row>
    <row r="587" spans="1:6" x14ac:dyDescent="0.25">
      <c r="A587" s="11">
        <v>42125</v>
      </c>
      <c r="B587" s="7">
        <v>0.80833333333333324</v>
      </c>
      <c r="C587" s="7">
        <v>0.8305555555555556</v>
      </c>
      <c r="D587" s="7">
        <f>(0.830555555555556-0.808333333333333)</f>
        <v>2.2222222222223031E-2</v>
      </c>
      <c r="E587" s="7">
        <f>ABS(0.022222222222223-0.013888888888889)</f>
        <v>8.3333333333340011E-3</v>
      </c>
      <c r="F587" s="1" t="s">
        <v>11</v>
      </c>
    </row>
    <row r="588" spans="1:6" x14ac:dyDescent="0.25">
      <c r="A588" s="11">
        <v>42125</v>
      </c>
      <c r="B588" s="7">
        <v>0.86458333333333337</v>
      </c>
      <c r="C588" s="7">
        <v>0.87847222222222221</v>
      </c>
      <c r="D588" s="7">
        <f>(0.878472222222222-0.864583333333333)</f>
        <v>1.3888888888888951E-2</v>
      </c>
      <c r="E588" s="7">
        <f>ABS(0.013888888888889-0.021527777777777)</f>
        <v>7.6388888888880013E-3</v>
      </c>
      <c r="F588" s="1" t="s">
        <v>11</v>
      </c>
    </row>
    <row r="589" spans="1:6" x14ac:dyDescent="0.25">
      <c r="A589" s="11">
        <v>42125</v>
      </c>
      <c r="B589" s="7">
        <v>0.42291666666666666</v>
      </c>
      <c r="C589" s="7">
        <v>0.44444444444444442</v>
      </c>
      <c r="D589" s="7">
        <f>(0.444444444444444-0.422916666666667)</f>
        <v>2.152777777777698E-2</v>
      </c>
      <c r="E589" s="7">
        <f>ABS(0.021527777777777-0.020833333333333)</f>
        <v>6.9444444444400136E-4</v>
      </c>
      <c r="F589" s="1" t="s">
        <v>11</v>
      </c>
    </row>
    <row r="590" spans="1:6" x14ac:dyDescent="0.25">
      <c r="A590" s="11">
        <v>42125</v>
      </c>
      <c r="B590" s="7">
        <v>0.78819444444444453</v>
      </c>
      <c r="C590" s="7">
        <v>0.80902777777777779</v>
      </c>
      <c r="D590" s="7">
        <f>(0.809027777777778-0.788194444444445)</f>
        <v>2.0833333333333037E-2</v>
      </c>
      <c r="E590" s="7">
        <f>ABS(0.020833333333333-0.0187499999999999)</f>
        <v>2.0833333333331004E-3</v>
      </c>
      <c r="F590" s="1" t="s">
        <v>11</v>
      </c>
    </row>
    <row r="591" spans="1:6" x14ac:dyDescent="0.25">
      <c r="A591" s="11">
        <v>42125</v>
      </c>
      <c r="B591" s="7">
        <v>0.87013888888888891</v>
      </c>
      <c r="C591" s="7">
        <v>0.88888888888888884</v>
      </c>
      <c r="D591" s="7">
        <f>(0.888888888888889-0.870138888888889)</f>
        <v>1.8749999999999933E-2</v>
      </c>
      <c r="E591" s="7">
        <f>ABS(0.0187499999999999-0.01875)</f>
        <v>1.0061396160665481E-16</v>
      </c>
      <c r="F591" s="1" t="s">
        <v>11</v>
      </c>
    </row>
    <row r="592" spans="1:6" x14ac:dyDescent="0.25">
      <c r="A592" s="11">
        <v>42125</v>
      </c>
      <c r="B592" s="7">
        <v>0.57430555555555551</v>
      </c>
      <c r="C592" s="7">
        <v>0.59305555555555556</v>
      </c>
      <c r="D592" s="7">
        <f>(0.593055555555556-0.574305555555556)</f>
        <v>1.8750000000000044E-2</v>
      </c>
      <c r="E592" s="7">
        <f>ABS(0.01875-0.0194444444444449)</f>
        <v>6.9444444444489994E-4</v>
      </c>
      <c r="F592" s="1" t="s">
        <v>11</v>
      </c>
    </row>
    <row r="593" spans="1:6" x14ac:dyDescent="0.25">
      <c r="A593" s="11">
        <v>42125</v>
      </c>
      <c r="B593" s="7">
        <v>0.61111111111111105</v>
      </c>
      <c r="C593" s="7">
        <v>0.63055555555555554</v>
      </c>
      <c r="D593" s="7">
        <f>(0.630555555555556-0.611111111111111)</f>
        <v>1.944444444444493E-2</v>
      </c>
      <c r="E593" s="7">
        <f>ABS(0.0194444444444449-0.024305555555556)</f>
        <v>4.8611111111111008E-3</v>
      </c>
      <c r="F593" s="1" t="s">
        <v>11</v>
      </c>
    </row>
    <row r="594" spans="1:6" x14ac:dyDescent="0.25">
      <c r="A594" s="11">
        <v>42125</v>
      </c>
      <c r="B594" s="7">
        <v>0.75069444444444444</v>
      </c>
      <c r="C594" s="7">
        <v>0.77500000000000002</v>
      </c>
      <c r="D594" s="7">
        <f>(0.775-0.750694444444444)</f>
        <v>2.4305555555556024E-2</v>
      </c>
      <c r="E594" s="7">
        <f>ABS(0.024305555555556-0.0173611111111109)</f>
        <v>6.9444444444450998E-3</v>
      </c>
      <c r="F594" s="1" t="s">
        <v>11</v>
      </c>
    </row>
    <row r="595" spans="1:6" x14ac:dyDescent="0.25">
      <c r="A595" s="11">
        <v>42125</v>
      </c>
      <c r="B595" s="7">
        <v>0.9604166666666667</v>
      </c>
      <c r="C595" s="7">
        <v>0.97777777777777775</v>
      </c>
      <c r="D595" s="7">
        <f>(0.977777777777778-0.960416666666667)</f>
        <v>1.7361111111110938E-2</v>
      </c>
      <c r="E595" s="7">
        <f>ABS(0.0173611111111109-0.023611111111112)</f>
        <v>6.2500000000010984E-3</v>
      </c>
      <c r="F595" s="1" t="s">
        <v>11</v>
      </c>
    </row>
    <row r="596" spans="1:6" x14ac:dyDescent="0.25">
      <c r="A596" s="11">
        <v>42125</v>
      </c>
      <c r="B596" s="7">
        <v>0.43194444444444446</v>
      </c>
      <c r="C596" s="7">
        <v>0.45555555555555555</v>
      </c>
      <c r="D596" s="7">
        <f>(0.455555555555556-0.431944444444444)</f>
        <v>2.3611111111111971E-2</v>
      </c>
      <c r="E596" s="7">
        <f>ABS(0.023611111111112-0.0236111111111109)</f>
        <v>1.0998146837692957E-15</v>
      </c>
      <c r="F596" s="1" t="s">
        <v>11</v>
      </c>
    </row>
    <row r="597" spans="1:6" x14ac:dyDescent="0.25">
      <c r="A597" s="11">
        <v>42125</v>
      </c>
      <c r="B597" s="7">
        <v>0.67499999999999993</v>
      </c>
      <c r="C597" s="7">
        <v>0.69861111111111107</v>
      </c>
      <c r="D597" s="7">
        <f>(0.698611111111111-0.675)</f>
        <v>2.3611111111110916E-2</v>
      </c>
      <c r="E597" s="7">
        <f>ABS(0.0236111111111109-0.020833333333333)</f>
        <v>2.7777777777778997E-3</v>
      </c>
      <c r="F597" s="1" t="s">
        <v>11</v>
      </c>
    </row>
    <row r="598" spans="1:6" x14ac:dyDescent="0.25">
      <c r="A598" s="11">
        <v>42125</v>
      </c>
      <c r="B598" s="7">
        <v>0.71388888888888891</v>
      </c>
      <c r="C598" s="7">
        <v>0.73472222222222217</v>
      </c>
      <c r="D598" s="7">
        <f>(0.734722222222222-0.713888888888889)</f>
        <v>2.0833333333333037E-2</v>
      </c>
      <c r="E598" s="7">
        <f>ABS(0.020833333333333-0.018055555555556)</f>
        <v>2.7777777777769977E-3</v>
      </c>
      <c r="F598" s="1" t="s">
        <v>11</v>
      </c>
    </row>
    <row r="599" spans="1:6" x14ac:dyDescent="0.25">
      <c r="A599" s="11">
        <v>42125</v>
      </c>
      <c r="B599" s="7">
        <v>0.15625</v>
      </c>
      <c r="C599" s="7">
        <v>0.17430555555555557</v>
      </c>
      <c r="D599" s="7">
        <f>(0.174305555555556-0.15625)</f>
        <v>1.8055555555555991E-2</v>
      </c>
      <c r="E599" s="7">
        <f>ABS(0.018055555555556-0.027777777777778)</f>
        <v>9.7222222222219969E-3</v>
      </c>
      <c r="F599" s="1" t="s">
        <v>11</v>
      </c>
    </row>
    <row r="600" spans="1:6" x14ac:dyDescent="0.25">
      <c r="A600" s="11">
        <v>42125</v>
      </c>
      <c r="B600" s="7">
        <v>0.40069444444444446</v>
      </c>
      <c r="C600" s="7">
        <v>0.4284722222222222</v>
      </c>
      <c r="D600" s="7">
        <f>(0.428472222222222-0.400694444444444)</f>
        <v>2.7777777777777957E-2</v>
      </c>
      <c r="E600" s="7">
        <f>ABS(0.027777777777778-0.023611111111111)</f>
        <v>4.1666666666669988E-3</v>
      </c>
      <c r="F600" s="1" t="s">
        <v>11</v>
      </c>
    </row>
    <row r="601" spans="1:6" x14ac:dyDescent="0.25">
      <c r="A601" s="11">
        <v>42125</v>
      </c>
      <c r="B601" s="7">
        <v>0.64930555555555558</v>
      </c>
      <c r="C601" s="7">
        <v>0.67291666666666661</v>
      </c>
      <c r="D601" s="7">
        <f>(0.672916666666667-0.649305555555556)</f>
        <v>2.3611111111111027E-2</v>
      </c>
      <c r="E601" s="7">
        <f>ABS(0.023611111111111-0.022916666666667)</f>
        <v>6.9444444444399789E-4</v>
      </c>
      <c r="F601" s="1" t="s">
        <v>11</v>
      </c>
    </row>
    <row r="602" spans="1:6" x14ac:dyDescent="0.25">
      <c r="A602" s="11">
        <v>42125</v>
      </c>
      <c r="B602" s="7">
        <v>0.55763888888888891</v>
      </c>
      <c r="C602" s="7">
        <v>0.5805555555555556</v>
      </c>
      <c r="D602" s="7">
        <f>(0.580555555555556-0.557638888888889)</f>
        <v>2.2916666666667029E-2</v>
      </c>
      <c r="E602" s="7">
        <f>ABS(0.022916666666667-0.020833333333333)</f>
        <v>2.0833333333340025E-3</v>
      </c>
      <c r="F602" s="1" t="s">
        <v>11</v>
      </c>
    </row>
    <row r="603" spans="1:6" x14ac:dyDescent="0.25">
      <c r="A603" s="11">
        <v>42125</v>
      </c>
      <c r="B603" s="7">
        <v>0.62638888888888888</v>
      </c>
      <c r="C603" s="7">
        <v>0.64722222222222225</v>
      </c>
      <c r="D603" s="7">
        <f>(0.647222222222222-0.626388888888889)</f>
        <v>2.0833333333333037E-2</v>
      </c>
      <c r="E603" s="7">
        <f>ABS(0.020833333333333-0.022222222222223)</f>
        <v>1.3888888888900011E-3</v>
      </c>
      <c r="F603" s="1" t="s">
        <v>11</v>
      </c>
    </row>
    <row r="604" spans="1:6" x14ac:dyDescent="0.25">
      <c r="A604" s="11">
        <v>42125</v>
      </c>
      <c r="B604" s="7">
        <v>0.71458333333333324</v>
      </c>
      <c r="C604" s="7">
        <v>0.7368055555555556</v>
      </c>
      <c r="D604" s="7">
        <f>(0.736805555555556-0.714583333333333)</f>
        <v>2.2222222222223031E-2</v>
      </c>
      <c r="E604" s="7">
        <f>ABS(0.022222222222223-0.023611111111111)</f>
        <v>1.3888888888879992E-3</v>
      </c>
      <c r="F604" s="1" t="s">
        <v>11</v>
      </c>
    </row>
    <row r="605" spans="1:6" x14ac:dyDescent="0.25">
      <c r="A605" s="11">
        <v>42125</v>
      </c>
      <c r="B605" s="7">
        <v>0.87430555555555556</v>
      </c>
      <c r="C605" s="7">
        <v>0.8979166666666667</v>
      </c>
      <c r="D605" s="7">
        <f>(0.897916666666667-0.874305555555556)</f>
        <v>2.3611111111111027E-2</v>
      </c>
      <c r="E605" s="7">
        <f>ABS(0.023611111111111-0.01875)</f>
        <v>4.8611111111110002E-3</v>
      </c>
      <c r="F605" s="1" t="s">
        <v>11</v>
      </c>
    </row>
    <row r="606" spans="1:6" x14ac:dyDescent="0.25">
      <c r="A606" s="11">
        <v>42125</v>
      </c>
      <c r="B606" s="7">
        <v>0.4861111111111111</v>
      </c>
      <c r="C606" s="7">
        <v>0.50486111111111109</v>
      </c>
      <c r="D606" s="7">
        <f>(0.504861111111111-0.486111111111111)</f>
        <v>1.8749999999999989E-2</v>
      </c>
      <c r="E606" s="7">
        <f>ABS(0.01875-0.022222222222222)</f>
        <v>3.4722222222220017E-3</v>
      </c>
      <c r="F606" s="1" t="s">
        <v>11</v>
      </c>
    </row>
    <row r="607" spans="1:6" x14ac:dyDescent="0.25">
      <c r="A607" s="11">
        <v>42125</v>
      </c>
      <c r="B607" s="7">
        <v>0.72638888888888886</v>
      </c>
      <c r="C607" s="7">
        <v>0.74861111111111101</v>
      </c>
      <c r="D607" s="7">
        <f>(0.748611111111111-0.726388888888889)</f>
        <v>2.2222222222222032E-2</v>
      </c>
      <c r="E607" s="7">
        <f>ABS(0.022222222222222-0.0368055555555551)</f>
        <v>1.4583333333333098E-2</v>
      </c>
      <c r="F607" s="1" t="s">
        <v>11</v>
      </c>
    </row>
    <row r="608" spans="1:6" x14ac:dyDescent="0.25">
      <c r="A608" s="11">
        <v>42125</v>
      </c>
      <c r="B608" s="7">
        <v>0.79513888888888884</v>
      </c>
      <c r="C608" s="7">
        <v>0.83194444444444438</v>
      </c>
      <c r="D608" s="7">
        <f>(0.831944444444444-0.795138888888889)</f>
        <v>3.6805555555555092E-2</v>
      </c>
      <c r="E608" s="7">
        <f>ABS(0.0368055555555551-0.0201388888888889)</f>
        <v>1.6666666666666198E-2</v>
      </c>
      <c r="F608" s="1" t="s">
        <v>11</v>
      </c>
    </row>
    <row r="609" spans="1:6" x14ac:dyDescent="0.25">
      <c r="A609" s="11">
        <v>42125</v>
      </c>
      <c r="B609" s="7">
        <v>0.90069444444444446</v>
      </c>
      <c r="C609" s="7">
        <v>0.92083333333333339</v>
      </c>
      <c r="D609" s="7">
        <f>(0.920833333333333-0.900694444444444)</f>
        <v>2.0138888888888928E-2</v>
      </c>
      <c r="E609" s="7">
        <f>ABS(0.0201388888888889-0.0159722222222221)</f>
        <v>4.166666666666801E-3</v>
      </c>
      <c r="F609" s="5" t="s">
        <v>11</v>
      </c>
    </row>
    <row r="610" spans="1:6" x14ac:dyDescent="0.25">
      <c r="A610" s="11">
        <v>42125</v>
      </c>
      <c r="B610" s="7">
        <v>0.84722222222222221</v>
      </c>
      <c r="C610" s="7">
        <v>0.86319444444444438</v>
      </c>
      <c r="D610" s="7">
        <f>(0.863194444444444-0.847222222222222)</f>
        <v>1.5972222222222054E-2</v>
      </c>
      <c r="E610" s="7">
        <f>ABS(0.0159722222222221-0.0201388888888889)</f>
        <v>4.166666666666801E-3</v>
      </c>
      <c r="F610" s="1" t="s">
        <v>11</v>
      </c>
    </row>
    <row r="611" spans="1:6" x14ac:dyDescent="0.25">
      <c r="A611" s="11">
        <v>42125</v>
      </c>
      <c r="B611" s="7">
        <v>0.90069444444444446</v>
      </c>
      <c r="C611" s="7">
        <v>0.92083333333333339</v>
      </c>
      <c r="D611" s="7">
        <f>(0.920833333333333-0.900694444444444)</f>
        <v>2.0138888888888928E-2</v>
      </c>
      <c r="E611" s="7">
        <f>ABS(0.0201388888888889-0.0270833333333336)</f>
        <v>6.9444444444447008E-3</v>
      </c>
      <c r="F611" s="1" t="s">
        <v>11</v>
      </c>
    </row>
    <row r="612" spans="1:6" x14ac:dyDescent="0.25">
      <c r="A612" s="11">
        <v>42125</v>
      </c>
      <c r="B612" s="7">
        <v>9.4444444444444442E-2</v>
      </c>
      <c r="C612" s="7">
        <v>0.12152777777777778</v>
      </c>
      <c r="D612" s="7">
        <f>(0.121527777777778-0.0944444444444444)</f>
        <v>2.7083333333333598E-2</v>
      </c>
      <c r="E612" s="7">
        <f>ABS(0.0270833333333336-0.026388888888889)</f>
        <v>6.9444444444460157E-4</v>
      </c>
      <c r="F612" s="1" t="s">
        <v>11</v>
      </c>
    </row>
    <row r="613" spans="1:6" x14ac:dyDescent="0.25">
      <c r="A613" s="11">
        <v>42125</v>
      </c>
      <c r="B613" s="7">
        <v>0.52152777777777781</v>
      </c>
      <c r="C613" s="7">
        <v>0.54791666666666672</v>
      </c>
      <c r="D613" s="7">
        <f>(0.547916666666667-0.521527777777778)</f>
        <v>2.6388888888889017E-2</v>
      </c>
      <c r="E613" s="7">
        <f>ABS(0.026388888888889-0.022222222222222)</f>
        <v>4.1666666666669988E-3</v>
      </c>
      <c r="F613" s="1" t="s">
        <v>11</v>
      </c>
    </row>
    <row r="614" spans="1:6" x14ac:dyDescent="0.25">
      <c r="A614" s="11">
        <v>42125</v>
      </c>
      <c r="B614" s="7">
        <v>0.65833333333333333</v>
      </c>
      <c r="C614" s="7">
        <v>0.68055555555555547</v>
      </c>
      <c r="D614" s="7">
        <f>(0.680555555555555-0.658333333333333)</f>
        <v>2.2222222222222032E-2</v>
      </c>
      <c r="E614" s="7">
        <f>ABS(0.022222222222222-0.0159722222222221)</f>
        <v>6.2499999999999015E-3</v>
      </c>
      <c r="F614" s="1" t="s">
        <v>11</v>
      </c>
    </row>
    <row r="615" spans="1:6" x14ac:dyDescent="0.25">
      <c r="A615" s="11">
        <v>42125</v>
      </c>
      <c r="B615" s="7">
        <v>0.88194444444444453</v>
      </c>
      <c r="C615" s="7">
        <v>0.8979166666666667</v>
      </c>
      <c r="D615" s="7">
        <f>(0.897916666666667-0.881944444444445)</f>
        <v>1.5972222222222054E-2</v>
      </c>
      <c r="E615" s="7">
        <f>ABS(0.0159722222222221-0.014583333333329)</f>
        <v>1.3888888888930993E-3</v>
      </c>
      <c r="F615" s="1" t="s">
        <v>11</v>
      </c>
    </row>
    <row r="616" spans="1:6" x14ac:dyDescent="0.25">
      <c r="A616" s="11">
        <v>42125</v>
      </c>
      <c r="B616" s="7">
        <v>0.99236111111111114</v>
      </c>
      <c r="C616" s="7">
        <v>1.0069444444444444</v>
      </c>
      <c r="D616" s="7">
        <f>(1.00694444444444-0.992361111111111)</f>
        <v>1.4583333333328952E-2</v>
      </c>
      <c r="E616" s="7">
        <f>ABS(0.014583333333329-0.026388888888889)</f>
        <v>1.180555555556E-2</v>
      </c>
      <c r="F616" s="1" t="s">
        <v>11</v>
      </c>
    </row>
    <row r="617" spans="1:6" x14ac:dyDescent="0.25">
      <c r="A617" s="11">
        <v>42125</v>
      </c>
      <c r="B617" s="7">
        <v>0.31041666666666667</v>
      </c>
      <c r="C617" s="7">
        <v>0.33680555555555558</v>
      </c>
      <c r="D617" s="7">
        <f>(0.336805555555556-0.310416666666667)</f>
        <v>2.6388888888889017E-2</v>
      </c>
      <c r="E617" s="7">
        <f>ABS(0.026388888888889-0.0625)</f>
        <v>3.6111111111110997E-2</v>
      </c>
      <c r="F617" s="1" t="s">
        <v>11</v>
      </c>
    </row>
    <row r="618" spans="1:6" x14ac:dyDescent="0.25">
      <c r="A618" s="11">
        <v>42125</v>
      </c>
      <c r="B618" s="7">
        <v>0.54999999999999993</v>
      </c>
      <c r="C618" s="7">
        <v>0.61249999999999993</v>
      </c>
      <c r="D618" s="7">
        <f>(0.6125-0.55)</f>
        <v>6.25E-2</v>
      </c>
      <c r="E618" s="7">
        <f>ABS(0.0625-0.020138888888889)</f>
        <v>4.2361111111111002E-2</v>
      </c>
      <c r="F618" s="1" t="s">
        <v>11</v>
      </c>
    </row>
    <row r="619" spans="1:6" x14ac:dyDescent="0.25">
      <c r="A619" s="11">
        <v>42125</v>
      </c>
      <c r="B619" s="7">
        <v>0.63958333333333328</v>
      </c>
      <c r="C619" s="7">
        <v>0.65972222222222221</v>
      </c>
      <c r="D619" s="7">
        <f>(0.659722222222222-0.639583333333333)</f>
        <v>2.0138888888889039E-2</v>
      </c>
      <c r="E619" s="7">
        <f>ABS(0.020138888888889-0.026388888888888)</f>
        <v>6.2499999999989994E-3</v>
      </c>
      <c r="F619" s="1" t="s">
        <v>11</v>
      </c>
    </row>
    <row r="620" spans="1:6" x14ac:dyDescent="0.25">
      <c r="A620" s="11">
        <v>42125</v>
      </c>
      <c r="B620" s="7">
        <v>0.90416666666666667</v>
      </c>
      <c r="C620" s="7">
        <v>0.93055555555555547</v>
      </c>
      <c r="D620" s="7">
        <f>(0.930555555555555-0.904166666666667)</f>
        <v>2.6388888888888018E-2</v>
      </c>
      <c r="E620" s="7">
        <f>ABS(0.026388888888888-0.020833333333334)</f>
        <v>5.5555555555540023E-3</v>
      </c>
      <c r="F620" s="1" t="s">
        <v>11</v>
      </c>
    </row>
    <row r="621" spans="1:6" x14ac:dyDescent="0.25">
      <c r="A621" s="11">
        <v>42125</v>
      </c>
      <c r="B621" s="7">
        <v>0.16458333333333333</v>
      </c>
      <c r="C621" s="7">
        <v>0.18541666666666667</v>
      </c>
      <c r="D621" s="7">
        <f>(0.185416666666667-0.164583333333333)</f>
        <v>2.0833333333334009E-2</v>
      </c>
      <c r="E621" s="7">
        <f>ABS(0.020833333333334-0.0270833333333334)</f>
        <v>6.2499999999994019E-3</v>
      </c>
      <c r="F621" s="1" t="s">
        <v>11</v>
      </c>
    </row>
    <row r="622" spans="1:6" x14ac:dyDescent="0.25">
      <c r="A622" s="11">
        <v>42125</v>
      </c>
      <c r="B622" s="7">
        <v>4.5833333333333337E-2</v>
      </c>
      <c r="C622" s="7">
        <v>7.2916666666666671E-2</v>
      </c>
      <c r="D622" s="7">
        <f>(0.0729166666666667-0.0458333333333333)</f>
        <v>2.7083333333333397E-2</v>
      </c>
      <c r="E622" s="7">
        <f>ABS(0.0270833333333334-0.011805555555556)</f>
        <v>1.5277777777777401E-2</v>
      </c>
      <c r="F622" s="1" t="s">
        <v>11</v>
      </c>
    </row>
    <row r="623" spans="1:6" x14ac:dyDescent="0.25">
      <c r="A623" s="11">
        <v>42125</v>
      </c>
      <c r="B623" s="7">
        <v>0.16250000000000001</v>
      </c>
      <c r="C623" s="7">
        <v>0.17430555555555557</v>
      </c>
      <c r="D623" s="7">
        <f>(0.174305555555556-0.1625)</f>
        <v>1.1805555555555985E-2</v>
      </c>
      <c r="E623" s="7">
        <f>ABS(0.011805555555556-0.0125)</f>
        <v>6.9444444444400136E-4</v>
      </c>
      <c r="F623" s="1" t="s">
        <v>11</v>
      </c>
    </row>
    <row r="624" spans="1:6" x14ac:dyDescent="0.25">
      <c r="A624" s="11">
        <v>42125</v>
      </c>
      <c r="B624" s="7">
        <v>0.3743055555555555</v>
      </c>
      <c r="C624" s="7">
        <v>0.38680555555555557</v>
      </c>
      <c r="D624" s="7">
        <f>(0.386805555555556-0.374305555555556)</f>
        <v>1.2500000000000011E-2</v>
      </c>
      <c r="E624" s="7">
        <f>ABS(0.0125-0.025)</f>
        <v>1.2500000000000001E-2</v>
      </c>
      <c r="F624" s="1" t="s">
        <v>11</v>
      </c>
    </row>
    <row r="625" spans="1:6" x14ac:dyDescent="0.25">
      <c r="A625" s="11">
        <v>42125</v>
      </c>
      <c r="B625" s="7">
        <v>0.54027777777777775</v>
      </c>
      <c r="C625" s="7">
        <v>0.56527777777777777</v>
      </c>
      <c r="D625" s="7">
        <f>(0.565277777777778-0.540277777777778)</f>
        <v>2.5000000000000022E-2</v>
      </c>
      <c r="E625" s="7">
        <f>ABS(0.025-0.021527777777778)</f>
        <v>3.4722222222220017E-3</v>
      </c>
      <c r="F625" s="1" t="s">
        <v>11</v>
      </c>
    </row>
    <row r="626" spans="1:6" x14ac:dyDescent="0.25">
      <c r="A626" s="11">
        <v>42125</v>
      </c>
      <c r="B626" s="7">
        <v>0.61944444444444446</v>
      </c>
      <c r="C626" s="7">
        <v>0.64097222222222217</v>
      </c>
      <c r="D626" s="7">
        <f>(0.640972222222222-0.619444444444444)</f>
        <v>2.1527777777778034E-2</v>
      </c>
      <c r="E626" s="7">
        <f>ABS(0.021527777777778-0.025)</f>
        <v>3.4722222222220017E-3</v>
      </c>
      <c r="F626" s="1" t="s">
        <v>11</v>
      </c>
    </row>
    <row r="627" spans="1:6" x14ac:dyDescent="0.25">
      <c r="A627" s="11">
        <v>42125</v>
      </c>
      <c r="B627" s="7">
        <v>0.71527777777777779</v>
      </c>
      <c r="C627" s="7">
        <v>0.7402777777777777</v>
      </c>
      <c r="D627" s="7">
        <f>(0.740277777777778-0.715277777777778)</f>
        <v>2.5000000000000022E-2</v>
      </c>
      <c r="E627" s="7">
        <f>ABS(0.025-0.020138888888889)</f>
        <v>4.8611111111110002E-3</v>
      </c>
      <c r="F627" s="1" t="s">
        <v>11</v>
      </c>
    </row>
    <row r="628" spans="1:6" x14ac:dyDescent="0.25">
      <c r="A628" s="11">
        <v>42125</v>
      </c>
      <c r="B628" s="7">
        <v>0.72152777777777777</v>
      </c>
      <c r="C628" s="7">
        <v>0.7416666666666667</v>
      </c>
      <c r="D628" s="7">
        <f>(0.741666666666667-0.721527777777778)</f>
        <v>2.0138888888889039E-2</v>
      </c>
      <c r="E628" s="7">
        <f>ABS(0.020138888888889-0.017361111111111)</f>
        <v>2.7777777777780004E-3</v>
      </c>
      <c r="F628" s="1" t="s">
        <v>11</v>
      </c>
    </row>
    <row r="629" spans="1:6" x14ac:dyDescent="0.25">
      <c r="A629" s="11">
        <v>42125</v>
      </c>
      <c r="B629" s="7">
        <v>0.8222222222222223</v>
      </c>
      <c r="C629" s="7">
        <v>0.83958333333333324</v>
      </c>
      <c r="D629" s="7">
        <f>(0.839583333333333-0.822222222222222)</f>
        <v>1.7361111111111049E-2</v>
      </c>
      <c r="E629" s="7">
        <f>ABS(0.017361111111111-0.0180555555555559)</f>
        <v>6.9444444444489994E-4</v>
      </c>
      <c r="F629" s="1" t="s">
        <v>11</v>
      </c>
    </row>
    <row r="630" spans="1:6" x14ac:dyDescent="0.25">
      <c r="A630" s="11">
        <v>42125</v>
      </c>
      <c r="B630" s="7">
        <v>0.86388888888888893</v>
      </c>
      <c r="C630" s="7">
        <v>0.88194444444444453</v>
      </c>
      <c r="D630" s="7">
        <f>(0.881944444444445-0.863888888888889)</f>
        <v>1.8055555555555935E-2</v>
      </c>
      <c r="E630" s="7">
        <f>ABS(0.0180555555555559-0.018055555555556)</f>
        <v>1.0061396160665481E-16</v>
      </c>
      <c r="F630" s="1" t="s">
        <v>11</v>
      </c>
    </row>
    <row r="631" spans="1:6" x14ac:dyDescent="0.25">
      <c r="A631" s="11">
        <v>42125</v>
      </c>
      <c r="B631" s="7">
        <v>0.34236111111111112</v>
      </c>
      <c r="C631" s="7">
        <v>0.36041666666666666</v>
      </c>
      <c r="D631" s="7">
        <f>(0.360416666666667-0.342361111111111)</f>
        <v>1.8055555555555991E-2</v>
      </c>
      <c r="E631" s="7">
        <f>ABS(0.018055555555556-0.011805555555555)</f>
        <v>6.2500000000010013E-3</v>
      </c>
      <c r="F631" s="1" t="s">
        <v>11</v>
      </c>
    </row>
    <row r="632" spans="1:6" x14ac:dyDescent="0.25">
      <c r="A632" s="11">
        <v>42125</v>
      </c>
      <c r="B632" s="7">
        <v>0.44027777777777777</v>
      </c>
      <c r="C632" s="7">
        <v>0.45208333333333334</v>
      </c>
      <c r="D632" s="7">
        <f>(0.452083333333333-0.440277777777778)</f>
        <v>1.1805555555555014E-2</v>
      </c>
      <c r="E632" s="7">
        <f>ABS(0.011805555555555-0.029166666666666)</f>
        <v>1.7361111111111001E-2</v>
      </c>
      <c r="F632" s="1" t="s">
        <v>11</v>
      </c>
    </row>
    <row r="633" spans="1:6" x14ac:dyDescent="0.25">
      <c r="A633" s="11">
        <v>42125</v>
      </c>
      <c r="B633" s="7">
        <v>0.46527777777777773</v>
      </c>
      <c r="C633" s="7">
        <v>0.49444444444444446</v>
      </c>
      <c r="D633" s="7">
        <f>(0.494444444444444-0.465277777777778)</f>
        <v>2.9166666666666008E-2</v>
      </c>
      <c r="E633" s="7">
        <f>ABS(0.029166666666666-0.018055555555556)</f>
        <v>1.111111111111E-2</v>
      </c>
      <c r="F633" s="1" t="s">
        <v>11</v>
      </c>
    </row>
    <row r="634" spans="1:6" x14ac:dyDescent="0.25">
      <c r="A634" s="11">
        <v>42125</v>
      </c>
      <c r="B634" s="7">
        <v>0.50069444444444444</v>
      </c>
      <c r="C634" s="7">
        <v>0.51874999999999993</v>
      </c>
      <c r="D634" s="7">
        <f>(0.51875-0.500694444444444)</f>
        <v>1.8055555555556047E-2</v>
      </c>
      <c r="E634" s="7">
        <f>ABS(0.018055555555556-0.023611111111111)</f>
        <v>5.5555555555549981E-3</v>
      </c>
      <c r="F634" s="1" t="s">
        <v>11</v>
      </c>
    </row>
    <row r="635" spans="1:6" x14ac:dyDescent="0.25">
      <c r="A635" s="11">
        <v>42125</v>
      </c>
      <c r="B635" s="7">
        <v>0.8208333333333333</v>
      </c>
      <c r="C635" s="7">
        <v>0.84444444444444444</v>
      </c>
      <c r="D635" s="7">
        <f>(0.844444444444444-0.820833333333333)</f>
        <v>2.3611111111111027E-2</v>
      </c>
      <c r="E635" s="7">
        <f>ABS(0.023611111111111-0.0208333333333339)</f>
        <v>2.7777777777770983E-3</v>
      </c>
      <c r="F635" s="1" t="s">
        <v>11</v>
      </c>
    </row>
    <row r="636" spans="1:6" x14ac:dyDescent="0.25">
      <c r="A636" s="11">
        <v>42125</v>
      </c>
      <c r="B636" s="7">
        <v>0.52569444444444446</v>
      </c>
      <c r="C636" s="7">
        <v>0.54652777777777783</v>
      </c>
      <c r="D636" s="7">
        <f>(0.546527777777778-0.525694444444444)</f>
        <v>2.0833333333333925E-2</v>
      </c>
      <c r="E636" s="7">
        <f>ABS(0.0208333333333339-0.021527777777778)</f>
        <v>6.944444444440985E-4</v>
      </c>
      <c r="F636" s="1" t="s">
        <v>11</v>
      </c>
    </row>
    <row r="637" spans="1:6" x14ac:dyDescent="0.25">
      <c r="A637" s="11">
        <v>42125</v>
      </c>
      <c r="B637" s="7">
        <v>0.57638888888888895</v>
      </c>
      <c r="C637" s="7">
        <v>0.59791666666666665</v>
      </c>
      <c r="D637" s="7">
        <f>(0.597916666666667-0.576388888888889)</f>
        <v>2.1527777777778034E-2</v>
      </c>
      <c r="E637" s="7">
        <f>ABS(0.021527777777778-0.0222222222222219)</f>
        <v>6.9444444444390074E-4</v>
      </c>
      <c r="F637" s="1" t="s">
        <v>11</v>
      </c>
    </row>
    <row r="638" spans="1:6" x14ac:dyDescent="0.25">
      <c r="A638" s="11">
        <v>42125</v>
      </c>
      <c r="B638" s="7">
        <v>0.73611111111111116</v>
      </c>
      <c r="C638" s="7">
        <v>0.7583333333333333</v>
      </c>
      <c r="D638" s="7">
        <f>(0.758333333333333-0.736111111111111)</f>
        <v>2.2222222222221921E-2</v>
      </c>
      <c r="E638" s="7">
        <f>ABS(0.0222222222222219-0.023611111111111)</f>
        <v>1.3888888888890991E-3</v>
      </c>
      <c r="F638" s="1" t="s">
        <v>11</v>
      </c>
    </row>
    <row r="639" spans="1:6" x14ac:dyDescent="0.25">
      <c r="A639" s="11">
        <v>42125</v>
      </c>
      <c r="B639" s="7">
        <v>0.81319444444444444</v>
      </c>
      <c r="C639" s="7">
        <v>0.83680555555555547</v>
      </c>
      <c r="D639" s="7">
        <f>(0.836805555555555-0.813194444444444)</f>
        <v>2.3611111111111027E-2</v>
      </c>
      <c r="E639" s="7">
        <f>ABS(0.023611111111111-0.021527777777778)</f>
        <v>2.0833333333329998E-3</v>
      </c>
      <c r="F639" s="1" t="s">
        <v>11</v>
      </c>
    </row>
    <row r="640" spans="1:6" x14ac:dyDescent="0.25">
      <c r="A640" s="11">
        <v>42125</v>
      </c>
      <c r="B640" s="7">
        <v>0.48472222222222222</v>
      </c>
      <c r="C640" s="7">
        <v>0.50624999999999998</v>
      </c>
      <c r="D640" s="7">
        <f>(0.50625-0.484722222222222)</f>
        <v>2.1527777777777979E-2</v>
      </c>
      <c r="E640" s="7">
        <f>ABS(0.021527777777778-0.0145833333333329)</f>
        <v>6.9444444444450998E-3</v>
      </c>
      <c r="F640" s="1" t="s">
        <v>11</v>
      </c>
    </row>
    <row r="641" spans="1:6" x14ac:dyDescent="0.25">
      <c r="A641" s="11">
        <v>42125</v>
      </c>
      <c r="B641" s="7">
        <v>0.55555555555555558</v>
      </c>
      <c r="C641" s="7">
        <v>0.57013888888888886</v>
      </c>
      <c r="D641" s="7">
        <f>(0.570138888888889-0.555555555555556)</f>
        <v>1.4583333333332948E-2</v>
      </c>
      <c r="E641" s="7">
        <f>ABS(0.0145833333333329-0.0180555555555559)</f>
        <v>3.4722222222230009E-3</v>
      </c>
      <c r="F641" s="1" t="s">
        <v>11</v>
      </c>
    </row>
    <row r="642" spans="1:6" x14ac:dyDescent="0.25">
      <c r="A642" s="11">
        <v>42125</v>
      </c>
      <c r="B642" s="7">
        <v>0.58194444444444449</v>
      </c>
      <c r="C642" s="7">
        <v>0.6</v>
      </c>
      <c r="D642" s="7">
        <f>(0.6-0.581944444444444)</f>
        <v>1.8055555555555935E-2</v>
      </c>
      <c r="E642" s="7">
        <f>ABS(0.0180555555555559-0.022222222222222)</f>
        <v>4.1666666666661002E-3</v>
      </c>
      <c r="F642" s="1" t="s">
        <v>11</v>
      </c>
    </row>
    <row r="643" spans="1:6" x14ac:dyDescent="0.25">
      <c r="A643" s="11">
        <v>42125</v>
      </c>
      <c r="B643" s="7">
        <v>0.76041666666666663</v>
      </c>
      <c r="C643" s="7">
        <v>0.78263888888888899</v>
      </c>
      <c r="D643" s="7">
        <f>(0.782638888888889-0.760416666666667)</f>
        <v>2.2222222222222032E-2</v>
      </c>
      <c r="E643" s="7">
        <f>ABS(0.022222222222222-0.020138888888889)</f>
        <v>2.0833333333329998E-3</v>
      </c>
      <c r="F643" s="1" t="s">
        <v>11</v>
      </c>
    </row>
    <row r="644" spans="1:6" x14ac:dyDescent="0.25">
      <c r="A644" s="11">
        <v>42125</v>
      </c>
      <c r="B644" s="7">
        <v>0.83958333333333324</v>
      </c>
      <c r="C644" s="7">
        <v>0.85972222222222217</v>
      </c>
      <c r="D644" s="7">
        <f>(0.859722222222222-0.839583333333333)</f>
        <v>2.0138888888889039E-2</v>
      </c>
      <c r="E644" s="7">
        <f>ABS(0.020138888888889-0.0166666666666659)</f>
        <v>3.4722222222231015E-3</v>
      </c>
      <c r="F644" s="1" t="s">
        <v>11</v>
      </c>
    </row>
    <row r="645" spans="1:6" x14ac:dyDescent="0.25">
      <c r="A645" s="11">
        <v>42125</v>
      </c>
      <c r="B645" s="7">
        <v>0.82916666666666661</v>
      </c>
      <c r="C645" s="7">
        <v>0.84583333333333333</v>
      </c>
      <c r="D645" s="7">
        <f>(0.845833333333333-0.829166666666667)</f>
        <v>1.6666666666665941E-2</v>
      </c>
      <c r="E645" s="7">
        <f>ABS(0.0166666666666659-0.013888888888889)</f>
        <v>2.7777777777769005E-3</v>
      </c>
      <c r="F645" s="1" t="s">
        <v>11</v>
      </c>
    </row>
    <row r="646" spans="1:6" x14ac:dyDescent="0.25">
      <c r="A646" s="11">
        <v>42125</v>
      </c>
      <c r="B646" s="7">
        <v>0.84027777777777779</v>
      </c>
      <c r="C646" s="7">
        <v>0.85416666666666663</v>
      </c>
      <c r="D646" s="7">
        <f>(0.854166666666667-0.840277777777778)</f>
        <v>1.3888888888888951E-2</v>
      </c>
      <c r="E646" s="7">
        <f>ABS(0.013888888888889-0.013194444444444)</f>
        <v>6.9444444444499882E-4</v>
      </c>
      <c r="F646" s="1" t="s">
        <v>11</v>
      </c>
    </row>
    <row r="647" spans="1:6" x14ac:dyDescent="0.25">
      <c r="A647" s="11">
        <v>42125</v>
      </c>
      <c r="B647" s="7">
        <v>0.13749999999999998</v>
      </c>
      <c r="C647" s="7">
        <v>0.15069444444444444</v>
      </c>
      <c r="D647" s="7">
        <f>(0.150694444444444-0.1375)</f>
        <v>1.3194444444443981E-2</v>
      </c>
      <c r="E647" s="7">
        <f>ABS(0.013194444444444-0.022222222222222)</f>
        <v>9.0277777777780007E-3</v>
      </c>
      <c r="F647" s="1" t="s">
        <v>11</v>
      </c>
    </row>
    <row r="648" spans="1:6" x14ac:dyDescent="0.25">
      <c r="A648" s="11">
        <v>42125</v>
      </c>
      <c r="B648" s="7">
        <v>0.375</v>
      </c>
      <c r="C648" s="7">
        <v>0.3972222222222222</v>
      </c>
      <c r="D648" s="7">
        <f>(0.397222222222222-0.375)</f>
        <v>2.2222222222221977E-2</v>
      </c>
      <c r="E648" s="7">
        <f>ABS(0.022222222222222-0.0208333333333329)</f>
        <v>1.3888888888891025E-3</v>
      </c>
      <c r="F648" s="1" t="s">
        <v>11</v>
      </c>
    </row>
    <row r="649" spans="1:6" x14ac:dyDescent="0.25">
      <c r="A649" s="11">
        <v>42125</v>
      </c>
      <c r="B649" s="7">
        <v>0.52361111111111114</v>
      </c>
      <c r="C649" s="7">
        <v>0.5444444444444444</v>
      </c>
      <c r="D649" s="7">
        <f>(0.544444444444444-0.523611111111111)</f>
        <v>2.0833333333332926E-2</v>
      </c>
      <c r="E649" s="7">
        <f>ABS(0.0208333333333329-0.027083333333334)</f>
        <v>6.2500000000011019E-3</v>
      </c>
      <c r="F649" s="1" t="s">
        <v>11</v>
      </c>
    </row>
    <row r="650" spans="1:6" x14ac:dyDescent="0.25">
      <c r="A650" s="11">
        <v>42125</v>
      </c>
      <c r="B650" s="7">
        <v>0.77083333333333337</v>
      </c>
      <c r="C650" s="7">
        <v>0.79791666666666661</v>
      </c>
      <c r="D650" s="7">
        <f>(0.797916666666667-0.770833333333333)</f>
        <v>2.7083333333334014E-2</v>
      </c>
      <c r="E650" s="7">
        <f>ABS(0.027083333333334-0.026388888888889)</f>
        <v>6.9444444444500056E-4</v>
      </c>
      <c r="F650" s="1" t="s">
        <v>11</v>
      </c>
    </row>
    <row r="651" spans="1:6" x14ac:dyDescent="0.25">
      <c r="A651" s="11">
        <v>42125</v>
      </c>
      <c r="B651" s="7">
        <v>0.79583333333333339</v>
      </c>
      <c r="C651" s="7">
        <v>0.8222222222222223</v>
      </c>
      <c r="D651" s="7">
        <f>(0.822222222222222-0.795833333333333)</f>
        <v>2.6388888888889017E-2</v>
      </c>
      <c r="E651" s="7">
        <f>ABS(0.026388888888889-0.026388888888889)</f>
        <v>0</v>
      </c>
      <c r="F651" s="1" t="s">
        <v>11</v>
      </c>
    </row>
    <row r="652" spans="1:6" x14ac:dyDescent="0.25">
      <c r="A652" s="11">
        <v>42125</v>
      </c>
      <c r="B652" s="7">
        <v>0.79652777777777783</v>
      </c>
      <c r="C652" s="7">
        <v>0.82291666666666663</v>
      </c>
      <c r="D652" s="7">
        <f>(0.822916666666667-0.796527777777778)</f>
        <v>2.6388888888889017E-2</v>
      </c>
      <c r="E652" s="7">
        <f>ABS(0.026388888888889-0.020138888888889)</f>
        <v>6.2499999999999986E-3</v>
      </c>
      <c r="F652" s="1" t="s">
        <v>11</v>
      </c>
    </row>
    <row r="653" spans="1:6" x14ac:dyDescent="0.25">
      <c r="A653" s="11">
        <v>42125</v>
      </c>
      <c r="B653" s="7">
        <v>0.93958333333333333</v>
      </c>
      <c r="C653" s="7">
        <v>0.95972222222222225</v>
      </c>
      <c r="D653" s="7">
        <f>(0.959722222222222-0.939583333333333)</f>
        <v>2.0138888888889039E-2</v>
      </c>
      <c r="E653" s="7">
        <f>ABS(0.020138888888889-0.0145833333333331)</f>
        <v>5.5555555555559018E-3</v>
      </c>
      <c r="F653" s="1" t="s">
        <v>11</v>
      </c>
    </row>
    <row r="654" spans="1:6" x14ac:dyDescent="0.25">
      <c r="A654" s="11">
        <v>42125</v>
      </c>
      <c r="B654" s="7">
        <v>0.94513888888888886</v>
      </c>
      <c r="C654" s="7">
        <v>0.95972222222222225</v>
      </c>
      <c r="D654" s="7">
        <f>(0.959722222222222-0.945138888888889)</f>
        <v>1.4583333333333059E-2</v>
      </c>
      <c r="E654" s="7">
        <f>ABS(0.0145833333333331-0.0111111111111102)</f>
        <v>3.4722222222228986E-3</v>
      </c>
      <c r="F654" s="1" t="s">
        <v>11</v>
      </c>
    </row>
    <row r="655" spans="1:6" x14ac:dyDescent="0.25">
      <c r="A655" s="11">
        <v>42125</v>
      </c>
      <c r="B655" s="7">
        <v>1.0291666666666666</v>
      </c>
      <c r="C655" s="7">
        <v>1.0402777777777776</v>
      </c>
      <c r="D655" s="7">
        <f>(1.04027777777778-1.02916666666667)</f>
        <v>1.1111111111110183E-2</v>
      </c>
      <c r="E655" s="7">
        <f>ABS(0.0111111111111102-0.019444444444444)</f>
        <v>8.3333333333337999E-3</v>
      </c>
      <c r="F655" s="1" t="s">
        <v>11</v>
      </c>
    </row>
    <row r="656" spans="1:6" x14ac:dyDescent="0.25">
      <c r="A656" s="11">
        <v>42125</v>
      </c>
      <c r="B656" s="7">
        <v>0.375</v>
      </c>
      <c r="C656" s="7">
        <v>0.39444444444444443</v>
      </c>
      <c r="D656" s="7">
        <f>(0.394444444444444-0.375)</f>
        <v>1.9444444444443987E-2</v>
      </c>
      <c r="E656" s="7">
        <f>ABS(0.019444444444444-0.011805555555556)</f>
        <v>7.6388888888880013E-3</v>
      </c>
      <c r="F656" s="1" t="s">
        <v>11</v>
      </c>
    </row>
    <row r="657" spans="1:6" x14ac:dyDescent="0.25">
      <c r="A657" s="11">
        <v>42125</v>
      </c>
      <c r="B657" s="7">
        <v>0.92569444444444438</v>
      </c>
      <c r="C657" s="7">
        <v>0.9375</v>
      </c>
      <c r="D657" s="7">
        <f>(0.9375-0.925694444444444)</f>
        <v>1.1805555555555958E-2</v>
      </c>
      <c r="E657" s="7">
        <f>ABS(0.011805555555556-0.02847222222222)</f>
        <v>1.6666666666664002E-2</v>
      </c>
      <c r="F657" s="1" t="s">
        <v>11</v>
      </c>
    </row>
    <row r="658" spans="1:6" x14ac:dyDescent="0.25">
      <c r="A658" s="11">
        <v>42125</v>
      </c>
      <c r="B658" s="7">
        <v>1.0097222222222222</v>
      </c>
      <c r="C658" s="7">
        <v>1.0381944444444444</v>
      </c>
      <c r="D658" s="7">
        <f>(1.03819444444444-1.00972222222222)</f>
        <v>2.8472222222220012E-2</v>
      </c>
      <c r="E658" s="7">
        <f>ABS(0.02847222222222-0.01875)</f>
        <v>9.7222222222200019E-3</v>
      </c>
      <c r="F658" s="1" t="s">
        <v>11</v>
      </c>
    </row>
    <row r="659" spans="1:6" x14ac:dyDescent="0.25">
      <c r="A659" s="11">
        <v>42125</v>
      </c>
      <c r="B659" s="7">
        <v>0.17777777777777778</v>
      </c>
      <c r="C659" s="7">
        <v>0.19652777777777777</v>
      </c>
      <c r="D659" s="7">
        <f>(0.196527777777778-0.177777777777778)</f>
        <v>1.8749999999999989E-2</v>
      </c>
      <c r="E659" s="7">
        <f>ABS(0.01875-0.025694444444444)</f>
        <v>6.944444444444E-3</v>
      </c>
      <c r="F659" s="1" t="s">
        <v>11</v>
      </c>
    </row>
    <row r="660" spans="1:6" x14ac:dyDescent="0.25">
      <c r="A660" s="11">
        <v>42125</v>
      </c>
      <c r="B660" s="7">
        <v>0.40625</v>
      </c>
      <c r="C660" s="7">
        <v>0.43194444444444446</v>
      </c>
      <c r="D660" s="7">
        <f>(0.431944444444444-0.40625)</f>
        <v>2.569444444444402E-2</v>
      </c>
      <c r="E660" s="7">
        <f>ABS(0.025694444444444-0.025694444444444)</f>
        <v>0</v>
      </c>
      <c r="F660" s="1" t="s">
        <v>11</v>
      </c>
    </row>
    <row r="661" spans="1:6" x14ac:dyDescent="0.25">
      <c r="A661" s="11">
        <v>42125</v>
      </c>
      <c r="B661" s="7">
        <v>0.59375</v>
      </c>
      <c r="C661" s="7">
        <v>0.61944444444444446</v>
      </c>
      <c r="D661" s="7">
        <f>(0.619444444444444-0.59375)</f>
        <v>2.569444444444402E-2</v>
      </c>
      <c r="E661" s="7">
        <f>ABS(0.025694444444444-0.021527777777778)</f>
        <v>4.1666666666659996E-3</v>
      </c>
      <c r="F661" s="1" t="s">
        <v>11</v>
      </c>
    </row>
    <row r="662" spans="1:6" x14ac:dyDescent="0.25">
      <c r="A662" s="11">
        <v>42125</v>
      </c>
      <c r="B662" s="7">
        <v>0.62986111111111109</v>
      </c>
      <c r="C662" s="7">
        <v>0.65138888888888891</v>
      </c>
      <c r="D662" s="7">
        <f>(0.651388888888889-0.629861111111111)</f>
        <v>2.1527777777778034E-2</v>
      </c>
      <c r="E662" s="7">
        <f>ABS(0.021527777777778-0.028472222222222)</f>
        <v>6.944444444444E-3</v>
      </c>
      <c r="F662" s="1" t="s">
        <v>11</v>
      </c>
    </row>
    <row r="663" spans="1:6" x14ac:dyDescent="0.25">
      <c r="A663" s="11">
        <v>42125</v>
      </c>
      <c r="B663" s="7">
        <v>0.69166666666666676</v>
      </c>
      <c r="C663" s="7">
        <v>0.72013888888888899</v>
      </c>
      <c r="D663" s="7">
        <f>(0.720138888888889-0.691666666666667)</f>
        <v>2.847222222222201E-2</v>
      </c>
      <c r="E663" s="7">
        <f>ABS(0.028472222222222-0.011111111111111)</f>
        <v>1.7361111111111001E-2</v>
      </c>
      <c r="F663" s="1" t="s">
        <v>11</v>
      </c>
    </row>
    <row r="664" spans="1:6" x14ac:dyDescent="0.25">
      <c r="A664" s="11">
        <v>42125</v>
      </c>
      <c r="B664" s="7">
        <v>0.75347222222222221</v>
      </c>
      <c r="C664" s="7">
        <v>0.76458333333333339</v>
      </c>
      <c r="D664" s="7">
        <f>(0.764583333333333-0.753472222222222)</f>
        <v>1.1111111111110961E-2</v>
      </c>
      <c r="E664" s="7">
        <f>ABS(0.011111111111111-0.0284722222222223)</f>
        <v>1.7361111111111299E-2</v>
      </c>
      <c r="F664" s="1" t="s">
        <v>11</v>
      </c>
    </row>
    <row r="665" spans="1:6" x14ac:dyDescent="0.25">
      <c r="A665" s="11">
        <v>42125</v>
      </c>
      <c r="B665" s="7">
        <v>5.8333333333333327E-2</v>
      </c>
      <c r="C665" s="7">
        <v>8.6805555555555566E-2</v>
      </c>
      <c r="D665" s="7">
        <f>(0.0868055555555556-0.0583333333333333)</f>
        <v>2.8472222222222295E-2</v>
      </c>
      <c r="E665" s="7">
        <f>ABS(0.0284722222222223-0.0333333333333331)</f>
        <v>4.8611111111107955E-3</v>
      </c>
      <c r="F665" s="1" t="s">
        <v>11</v>
      </c>
    </row>
    <row r="666" spans="1:6" x14ac:dyDescent="0.25">
      <c r="A666" s="11">
        <v>42125</v>
      </c>
      <c r="B666" s="7">
        <v>7.013888888888889E-2</v>
      </c>
      <c r="C666" s="7">
        <v>0.10347222222222223</v>
      </c>
      <c r="D666" s="7">
        <f>(0.103472222222222-0.0701388888888889)</f>
        <v>3.333333333333309E-2</v>
      </c>
      <c r="E666" s="7">
        <f>ABS(0.0333333333333331-0.020138888888889)</f>
        <v>1.3194444444444096E-2</v>
      </c>
      <c r="F666" s="1" t="s">
        <v>11</v>
      </c>
    </row>
    <row r="667" spans="1:6" x14ac:dyDescent="0.25">
      <c r="A667" s="11">
        <v>42125</v>
      </c>
      <c r="B667" s="7">
        <v>0.32847222222222222</v>
      </c>
      <c r="C667" s="7">
        <v>0.34861111111111115</v>
      </c>
      <c r="D667" s="7">
        <f>(0.348611111111111-0.328472222222222)</f>
        <v>2.0138888888888984E-2</v>
      </c>
      <c r="E667" s="7">
        <f>ABS(0.020138888888889-0.023611111111111)</f>
        <v>3.4722222222219983E-3</v>
      </c>
      <c r="F667" s="1" t="s">
        <v>11</v>
      </c>
    </row>
    <row r="668" spans="1:6" x14ac:dyDescent="0.25">
      <c r="A668" s="11">
        <v>42125</v>
      </c>
      <c r="B668" s="7">
        <v>0.39999999999999997</v>
      </c>
      <c r="C668" s="7">
        <v>0.4236111111111111</v>
      </c>
      <c r="D668" s="7">
        <f>(0.423611111111111-0.4)</f>
        <v>2.3611111111110972E-2</v>
      </c>
      <c r="E668" s="7">
        <f>ABS(0.023611111111111-0.040972222222222)</f>
        <v>1.7361111111111001E-2</v>
      </c>
      <c r="F668" s="1" t="s">
        <v>11</v>
      </c>
    </row>
    <row r="669" spans="1:6" x14ac:dyDescent="0.25">
      <c r="A669" s="11">
        <v>42125</v>
      </c>
      <c r="B669" s="7">
        <v>0.52430555555555558</v>
      </c>
      <c r="C669" s="7">
        <v>0.56527777777777777</v>
      </c>
      <c r="D669" s="7">
        <f>(0.565277777777778-0.524305555555556)</f>
        <v>4.0972222222221966E-2</v>
      </c>
      <c r="E669" s="7">
        <f>ABS(0.040972222222222-0.025)</f>
        <v>1.5972222222221999E-2</v>
      </c>
      <c r="F669" s="1" t="s">
        <v>11</v>
      </c>
    </row>
    <row r="670" spans="1:6" x14ac:dyDescent="0.25">
      <c r="A670" s="11">
        <v>42125</v>
      </c>
      <c r="B670" s="7">
        <v>0.60347222222222219</v>
      </c>
      <c r="C670" s="7">
        <v>0.62847222222222221</v>
      </c>
      <c r="D670" s="7">
        <f>(0.628472222222222-0.603472222222222)</f>
        <v>2.5000000000000022E-2</v>
      </c>
      <c r="E670" s="7">
        <f>ABS(0.025-0.025)</f>
        <v>0</v>
      </c>
      <c r="F670" s="1" t="s">
        <v>11</v>
      </c>
    </row>
    <row r="671" spans="1:6" x14ac:dyDescent="0.25">
      <c r="A671" s="11">
        <v>42125</v>
      </c>
      <c r="B671" s="7">
        <v>0.61736111111111114</v>
      </c>
      <c r="C671" s="7">
        <v>0.64236111111111105</v>
      </c>
      <c r="D671" s="7">
        <f>(0.642361111111111-0.617361111111111)</f>
        <v>2.5000000000000022E-2</v>
      </c>
      <c r="E671" s="7">
        <f>ABS(0.025-0.025)</f>
        <v>0</v>
      </c>
      <c r="F671" s="1" t="s">
        <v>11</v>
      </c>
    </row>
    <row r="672" spans="1:6" x14ac:dyDescent="0.25">
      <c r="A672" s="11">
        <v>42125</v>
      </c>
      <c r="B672" s="7">
        <v>0.62777777777777777</v>
      </c>
      <c r="C672" s="7">
        <v>0.65277777777777779</v>
      </c>
      <c r="D672" s="7">
        <f>(0.652777777777778-0.627777777777778)</f>
        <v>2.5000000000000022E-2</v>
      </c>
      <c r="E672" s="7">
        <f>ABS(0.025-0.027083333333333)</f>
        <v>2.0833333333329998E-3</v>
      </c>
      <c r="F672" s="1" t="s">
        <v>11</v>
      </c>
    </row>
    <row r="673" spans="1:6" x14ac:dyDescent="0.25">
      <c r="A673" s="11">
        <v>42125</v>
      </c>
      <c r="B673" s="7">
        <v>0.65902777777777777</v>
      </c>
      <c r="C673" s="7">
        <v>0.68611111111111101</v>
      </c>
      <c r="D673" s="7">
        <f>(0.686111111111111-0.659027777777778)</f>
        <v>2.7083333333333015E-2</v>
      </c>
      <c r="E673" s="7">
        <f>ABS(0.027083333333333-0.011805555555555)</f>
        <v>1.5277777777778001E-2</v>
      </c>
      <c r="F673" s="1" t="s">
        <v>11</v>
      </c>
    </row>
    <row r="674" spans="1:6" x14ac:dyDescent="0.25">
      <c r="A674" s="11">
        <v>42125</v>
      </c>
      <c r="B674" s="7">
        <v>0.86388888888888893</v>
      </c>
      <c r="C674" s="7">
        <v>0.87569444444444444</v>
      </c>
      <c r="D674" s="7">
        <f>(0.875694444444444-0.863888888888889)</f>
        <v>1.1805555555554959E-2</v>
      </c>
      <c r="E674" s="7">
        <f>ABS(0.011805555555555-0.014583333333333)</f>
        <v>2.7777777777780004E-3</v>
      </c>
      <c r="F674" s="1" t="s">
        <v>11</v>
      </c>
    </row>
    <row r="675" spans="1:6" x14ac:dyDescent="0.25">
      <c r="A675" s="11">
        <v>42125</v>
      </c>
      <c r="B675" s="7">
        <v>0.19236111111111112</v>
      </c>
      <c r="C675" s="7">
        <v>0.20694444444444446</v>
      </c>
      <c r="D675" s="7">
        <f>(0.206944444444444-0.192361111111111)</f>
        <v>1.4583333333332976E-2</v>
      </c>
      <c r="E675" s="7">
        <f>ABS(0.014583333333333-0.0111111111111111)</f>
        <v>3.4722222222219011E-3</v>
      </c>
      <c r="F675" s="1" t="s">
        <v>11</v>
      </c>
    </row>
    <row r="676" spans="1:6" x14ac:dyDescent="0.25">
      <c r="A676" s="11">
        <v>42125</v>
      </c>
      <c r="B676" s="7">
        <v>0.95000000000000007</v>
      </c>
      <c r="C676" s="7">
        <v>0.96111111111111114</v>
      </c>
      <c r="D676" s="7">
        <f>(0.961111111111111-0.95)</f>
        <v>1.1111111111111072E-2</v>
      </c>
      <c r="E676" s="7">
        <f>ABS(0.0111111111111111-0.029861111111111)</f>
        <v>1.8749999999999902E-2</v>
      </c>
      <c r="F676" s="1" t="s">
        <v>11</v>
      </c>
    </row>
    <row r="677" spans="1:6" x14ac:dyDescent="0.25">
      <c r="A677" s="11">
        <v>42125</v>
      </c>
      <c r="B677" s="7">
        <v>0.72152777777777777</v>
      </c>
      <c r="C677" s="7">
        <v>0.75138888888888899</v>
      </c>
      <c r="D677" s="7">
        <f>(0.751388888888889-0.721527777777778)</f>
        <v>2.9861111111111005E-2</v>
      </c>
      <c r="E677" s="7">
        <f>ABS(0.029861111111111-0.0173611111111111)</f>
        <v>1.24999999999999E-2</v>
      </c>
      <c r="F677" s="1" t="s">
        <v>11</v>
      </c>
    </row>
    <row r="678" spans="1:6" x14ac:dyDescent="0.25">
      <c r="A678" s="11">
        <v>42125</v>
      </c>
      <c r="B678" s="7">
        <v>3.9583333333333331E-2</v>
      </c>
      <c r="C678" s="7">
        <v>5.6944444444444443E-2</v>
      </c>
      <c r="D678" s="7">
        <f>(0.0569444444444444-0.0395833333333333)</f>
        <v>1.7361111111111105E-2</v>
      </c>
      <c r="E678" s="7">
        <f>ABS(0.0173611111111111-0.029166666666667)</f>
        <v>1.1805555555555899E-2</v>
      </c>
      <c r="F678" s="1" t="s">
        <v>11</v>
      </c>
    </row>
    <row r="679" spans="1:6" x14ac:dyDescent="0.25">
      <c r="A679" s="11">
        <v>42125</v>
      </c>
      <c r="B679" s="7">
        <v>0.79027777777777775</v>
      </c>
      <c r="C679" s="7">
        <v>0.81944444444444453</v>
      </c>
      <c r="D679" s="7">
        <f>(0.819444444444445-0.790277777777778)</f>
        <v>2.9166666666667007E-2</v>
      </c>
      <c r="E679" s="7">
        <f>ABS(0.029166666666667-0.0347222222222222)</f>
        <v>5.5555555555552028E-3</v>
      </c>
      <c r="F679" s="1" t="s">
        <v>11</v>
      </c>
    </row>
    <row r="680" spans="1:6" x14ac:dyDescent="0.25">
      <c r="A680" s="11">
        <v>42125</v>
      </c>
      <c r="B680" s="7">
        <v>5.0694444444444452E-2</v>
      </c>
      <c r="C680" s="7">
        <v>8.5416666666666655E-2</v>
      </c>
      <c r="D680" s="7">
        <f>(0.0854166666666667-0.0506944444444445)</f>
        <v>3.4722222222222196E-2</v>
      </c>
      <c r="E680" s="7">
        <f>ABS(0.0347222222222222-0.020833333333334)</f>
        <v>1.3888888888888205E-2</v>
      </c>
      <c r="F680" s="1" t="s">
        <v>11</v>
      </c>
    </row>
    <row r="681" spans="1:6" x14ac:dyDescent="0.25">
      <c r="A681" s="11">
        <v>42125</v>
      </c>
      <c r="B681" s="7">
        <v>0.82708333333333339</v>
      </c>
      <c r="C681" s="7">
        <v>0.84791666666666676</v>
      </c>
      <c r="D681" s="7">
        <f>(0.847916666666667-0.827083333333333)</f>
        <v>2.0833333333334036E-2</v>
      </c>
      <c r="E681" s="7">
        <f>ABS(0.020833333333334-0.020833333333333)</f>
        <v>9.9920072216264089E-16</v>
      </c>
      <c r="F681" s="1" t="s">
        <v>11</v>
      </c>
    </row>
    <row r="682" spans="1:6" x14ac:dyDescent="0.25">
      <c r="A682" s="11">
        <v>42125</v>
      </c>
      <c r="B682" s="7">
        <v>8.1250000000000003E-2</v>
      </c>
      <c r="C682" s="7">
        <v>0.10208333333333335</v>
      </c>
      <c r="D682" s="7">
        <f>(0.102083333333333-0.08125)</f>
        <v>2.0833333333332996E-2</v>
      </c>
      <c r="E682" s="7">
        <f>ABS(0.020833333333333-0.030555555555555)</f>
        <v>9.7222222222220003E-3</v>
      </c>
      <c r="F682" s="1" t="s">
        <v>11</v>
      </c>
    </row>
    <row r="683" spans="1:6" x14ac:dyDescent="0.25">
      <c r="A683" s="11">
        <v>42125</v>
      </c>
      <c r="B683" s="7">
        <v>0.33402777777777781</v>
      </c>
      <c r="C683" s="7">
        <v>0.36458333333333331</v>
      </c>
      <c r="D683" s="7">
        <f>(0.364583333333333-0.334027777777778)</f>
        <v>3.0555555555555003E-2</v>
      </c>
      <c r="E683" s="7">
        <f>ABS(0.030555555555555-0.032638888888889)</f>
        <v>2.0833333333340025E-3</v>
      </c>
      <c r="F683" s="1" t="s">
        <v>11</v>
      </c>
    </row>
    <row r="684" spans="1:6" x14ac:dyDescent="0.25">
      <c r="A684" s="11">
        <v>42125</v>
      </c>
      <c r="B684" s="7">
        <v>0.75624999999999998</v>
      </c>
      <c r="C684" s="7">
        <v>0.78888888888888886</v>
      </c>
      <c r="D684" s="7">
        <f>(0.788888888888889-0.75625)</f>
        <v>3.2638888888888995E-2</v>
      </c>
      <c r="E684" s="7">
        <f>ABS(0.032638888888889-0.03125)</f>
        <v>1.3888888888890019E-3</v>
      </c>
      <c r="F684" s="1" t="s">
        <v>11</v>
      </c>
    </row>
    <row r="685" spans="1:6" x14ac:dyDescent="0.25">
      <c r="A685" s="11">
        <v>42125</v>
      </c>
      <c r="B685" s="7">
        <v>0.77013888888888893</v>
      </c>
      <c r="C685" s="7">
        <v>0.80138888888888893</v>
      </c>
      <c r="D685" s="7">
        <f>(0.801388888888889-0.770138888888889)</f>
        <v>3.125E-2</v>
      </c>
      <c r="E685" s="7">
        <f>ABS(0.03125-0.034027777777778)</f>
        <v>2.7777777777779969E-3</v>
      </c>
      <c r="F685" s="1" t="s">
        <v>11</v>
      </c>
    </row>
    <row r="686" spans="1:6" x14ac:dyDescent="0.25">
      <c r="A686" s="11">
        <v>42125</v>
      </c>
      <c r="B686" s="7">
        <v>0.14722222222222223</v>
      </c>
      <c r="C686" s="7">
        <v>0.18124999999999999</v>
      </c>
      <c r="D686" s="7">
        <f>(0.18125-0.147222222222222)</f>
        <v>3.402777777777799E-2</v>
      </c>
      <c r="E686" s="7">
        <f>ABS(0.034027777777778-0.018055555555556)</f>
        <v>1.5972222222221995E-2</v>
      </c>
      <c r="F686" s="1" t="s">
        <v>11</v>
      </c>
    </row>
    <row r="687" spans="1:6" x14ac:dyDescent="0.25">
      <c r="A687" s="11">
        <v>42125</v>
      </c>
      <c r="B687" s="7">
        <v>0.20833333333333334</v>
      </c>
      <c r="C687" s="7">
        <v>0.22638888888888889</v>
      </c>
      <c r="D687" s="7">
        <f>(0.226388888888889-0.208333333333333)</f>
        <v>1.8055555555555991E-2</v>
      </c>
      <c r="E687" s="7">
        <f>ABS(0.018055555555556-0.022222222222222)</f>
        <v>4.1666666666659996E-3</v>
      </c>
      <c r="F687" s="1" t="s">
        <v>11</v>
      </c>
    </row>
    <row r="688" spans="1:6" x14ac:dyDescent="0.25">
      <c r="A688" s="11">
        <v>42125</v>
      </c>
      <c r="B688" s="7">
        <v>0.75138888888888899</v>
      </c>
      <c r="C688" s="7">
        <v>0.77361111111111114</v>
      </c>
      <c r="D688" s="7">
        <f>(0.773611111111111-0.751388888888889)</f>
        <v>2.2222222222222032E-2</v>
      </c>
      <c r="E688" s="7">
        <f>ABS(0.022222222222222-0.018055555555556)</f>
        <v>4.1666666666659996E-3</v>
      </c>
      <c r="F688" s="1" t="s">
        <v>11</v>
      </c>
    </row>
    <row r="689" spans="1:6" x14ac:dyDescent="0.25">
      <c r="A689" s="11">
        <v>42125</v>
      </c>
      <c r="B689" s="7">
        <v>0.90833333333333333</v>
      </c>
      <c r="C689" s="7">
        <v>0.92638888888888893</v>
      </c>
      <c r="D689" s="7">
        <f>(0.926388888888889-0.908333333333333)</f>
        <v>1.8055555555556047E-2</v>
      </c>
      <c r="E689" s="7">
        <f>ABS(0.018055555555556-0.0222222222222219)</f>
        <v>4.166666666665899E-3</v>
      </c>
      <c r="F689" s="1" t="s">
        <v>11</v>
      </c>
    </row>
    <row r="690" spans="1:6" x14ac:dyDescent="0.25">
      <c r="A690" s="11">
        <v>42125</v>
      </c>
      <c r="B690" s="7">
        <v>0.9291666666666667</v>
      </c>
      <c r="C690" s="7">
        <v>0.95138888888888884</v>
      </c>
      <c r="D690" s="7">
        <f>(0.951388888888889-0.929166666666667)</f>
        <v>2.2222222222221921E-2</v>
      </c>
      <c r="E690" s="7">
        <f>ABS(0.0222222222222219-0.0208333333333339)</f>
        <v>1.3888888888879992E-3</v>
      </c>
      <c r="F690" s="1" t="s">
        <v>11</v>
      </c>
    </row>
    <row r="691" spans="1:6" x14ac:dyDescent="0.25">
      <c r="A691" s="11">
        <v>42125</v>
      </c>
      <c r="B691" s="7">
        <v>0.70694444444444438</v>
      </c>
      <c r="C691" s="7">
        <v>0.72777777777777775</v>
      </c>
      <c r="D691" s="7">
        <f>(0.727777777777778-0.706944444444444)</f>
        <v>2.0833333333333925E-2</v>
      </c>
      <c r="E691" s="7">
        <f>ABS(0.0208333333333339-0.022222222222223)</f>
        <v>1.3888888888890991E-3</v>
      </c>
      <c r="F691" s="1" t="s">
        <v>11</v>
      </c>
    </row>
    <row r="692" spans="1:6" x14ac:dyDescent="0.25">
      <c r="A692" s="11">
        <v>42125</v>
      </c>
      <c r="B692" s="7">
        <v>0.7895833333333333</v>
      </c>
      <c r="C692" s="7">
        <v>0.81180555555555556</v>
      </c>
      <c r="D692" s="7">
        <f>(0.811805555555556-0.789583333333333)</f>
        <v>2.2222222222223031E-2</v>
      </c>
      <c r="E692" s="7">
        <f>ABS(0.022222222222223-0.0201388888888889)</f>
        <v>2.0833333333340996E-3</v>
      </c>
      <c r="F692" s="1" t="s">
        <v>11</v>
      </c>
    </row>
    <row r="693" spans="1:6" x14ac:dyDescent="0.25">
      <c r="A693" s="11">
        <v>42125</v>
      </c>
      <c r="B693" s="7">
        <v>0.6791666666666667</v>
      </c>
      <c r="C693" s="7">
        <v>0.69930555555555562</v>
      </c>
      <c r="D693" s="7">
        <f>(0.699305555555556-0.679166666666667)</f>
        <v>2.0138888888888928E-2</v>
      </c>
      <c r="E693" s="7">
        <f>ABS(0.0201388888888889-0.019444444444444)</f>
        <v>6.9444444444489994E-4</v>
      </c>
      <c r="F693" s="1" t="s">
        <v>11</v>
      </c>
    </row>
    <row r="694" spans="1:6" x14ac:dyDescent="0.25">
      <c r="A694" s="11">
        <v>42125</v>
      </c>
      <c r="B694" s="7">
        <v>0.90625</v>
      </c>
      <c r="C694" s="7">
        <v>0.92569444444444438</v>
      </c>
      <c r="D694" s="7">
        <f>(0.925694444444444-0.90625)</f>
        <v>1.9444444444444042E-2</v>
      </c>
      <c r="E694" s="7">
        <f>ABS(0.019444444444444-0.026388888888889)</f>
        <v>6.9444444444449992E-3</v>
      </c>
      <c r="F694" s="1" t="s">
        <v>11</v>
      </c>
    </row>
    <row r="695" spans="1:6" x14ac:dyDescent="0.25">
      <c r="A695" s="11">
        <v>42125</v>
      </c>
      <c r="B695" s="7">
        <v>0.90625</v>
      </c>
      <c r="C695" s="7">
        <v>0.93263888888888891</v>
      </c>
      <c r="D695" s="7">
        <f>(0.932638888888889-0.90625)</f>
        <v>2.6388888888889017E-2</v>
      </c>
      <c r="E695" s="7">
        <f>ABS(0.026388888888889-0.0159722222222223)</f>
        <v>1.0416666666666699E-2</v>
      </c>
      <c r="F695" s="1" t="s">
        <v>11</v>
      </c>
    </row>
    <row r="696" spans="1:6" x14ac:dyDescent="0.25">
      <c r="A696" s="11">
        <v>42125</v>
      </c>
      <c r="B696" s="7">
        <v>4.5833333333333337E-2</v>
      </c>
      <c r="C696" s="7">
        <v>6.1805555555555558E-2</v>
      </c>
      <c r="D696" s="7">
        <f>(0.0618055555555556-0.0458333333333333)</f>
        <v>1.5972222222222297E-2</v>
      </c>
      <c r="E696" s="7">
        <f>ABS(0.0159722222222223-0.052083333333333)</f>
        <v>3.6111111111110705E-2</v>
      </c>
      <c r="F696" s="1" t="s">
        <v>11</v>
      </c>
    </row>
    <row r="697" spans="1:6" x14ac:dyDescent="0.25">
      <c r="A697" s="11">
        <v>42125</v>
      </c>
      <c r="B697" s="7">
        <v>0.15625</v>
      </c>
      <c r="C697" s="7">
        <v>0.20833333333333334</v>
      </c>
      <c r="D697" s="7">
        <f>(0.208333333333333-0.15625)</f>
        <v>5.208333333333301E-2</v>
      </c>
      <c r="E697" s="7">
        <f>ABS(0.052083333333333-0.025)</f>
        <v>2.7083333333333001E-2</v>
      </c>
      <c r="F697" s="1" t="s">
        <v>11</v>
      </c>
    </row>
    <row r="698" spans="1:6" x14ac:dyDescent="0.25">
      <c r="A698" s="11">
        <v>42125</v>
      </c>
      <c r="B698" s="7">
        <v>7.2222222222222229E-2</v>
      </c>
      <c r="C698" s="7">
        <v>9.7222222222222224E-2</v>
      </c>
      <c r="D698" s="7">
        <f>(0.0972222222222222-0.0722222222222222)</f>
        <v>2.4999999999999994E-2</v>
      </c>
      <c r="E698" s="7">
        <f>ABS(0.025-0.035416666666667)</f>
        <v>1.0416666666666997E-2</v>
      </c>
      <c r="F698" s="1" t="s">
        <v>11</v>
      </c>
    </row>
    <row r="699" spans="1:6" x14ac:dyDescent="0.25">
      <c r="A699" s="11">
        <v>42125</v>
      </c>
      <c r="B699" s="7">
        <v>0.31944444444444448</v>
      </c>
      <c r="C699" s="7">
        <v>0.35486111111111113</v>
      </c>
      <c r="D699" s="7">
        <f>(0.354861111111111-0.319444444444444)</f>
        <v>3.541666666666704E-2</v>
      </c>
      <c r="E699" s="7">
        <f>ABS(0.035416666666667-0.03125)</f>
        <v>4.1666666666669988E-3</v>
      </c>
      <c r="F699" s="1" t="s">
        <v>11</v>
      </c>
    </row>
    <row r="700" spans="1:6" x14ac:dyDescent="0.25">
      <c r="A700" s="11">
        <v>42125</v>
      </c>
      <c r="B700" s="7">
        <v>0.56458333333333333</v>
      </c>
      <c r="C700" s="7">
        <v>0.59583333333333333</v>
      </c>
      <c r="D700" s="7">
        <f>(0.595833333333333-0.564583333333333)</f>
        <v>3.125E-2</v>
      </c>
      <c r="E700" s="7">
        <f>ABS(0.03125-0.021527777777778)</f>
        <v>9.7222222222220003E-3</v>
      </c>
      <c r="F700" s="1" t="s">
        <v>11</v>
      </c>
    </row>
    <row r="701" spans="1:6" x14ac:dyDescent="0.25">
      <c r="A701" s="11">
        <v>42125</v>
      </c>
      <c r="B701" s="7">
        <v>0.3520833333333333</v>
      </c>
      <c r="C701" s="7">
        <v>0.37361111111111112</v>
      </c>
      <c r="D701" s="7">
        <f>(0.373611111111111-0.352083333333333)</f>
        <v>2.1527777777777979E-2</v>
      </c>
      <c r="E701" s="7">
        <f>ABS(0.021527777777778-0.022222222222222)</f>
        <v>6.9444444444400136E-4</v>
      </c>
      <c r="F701" s="1" t="s">
        <v>11</v>
      </c>
    </row>
    <row r="702" spans="1:6" x14ac:dyDescent="0.25">
      <c r="A702" s="11">
        <v>42125</v>
      </c>
      <c r="B702" s="7">
        <v>0.35972222222222222</v>
      </c>
      <c r="C702" s="7">
        <v>0.38194444444444442</v>
      </c>
      <c r="D702" s="7">
        <f>(0.381944444444444-0.359722222222222)</f>
        <v>2.2222222222221977E-2</v>
      </c>
      <c r="E702" s="7">
        <f>ABS(0.022222222222222-0.020138888888888)</f>
        <v>2.0833333333340025E-3</v>
      </c>
      <c r="F702" s="1" t="s">
        <v>11</v>
      </c>
    </row>
    <row r="703" spans="1:6" x14ac:dyDescent="0.25">
      <c r="A703" s="11">
        <v>42125</v>
      </c>
      <c r="B703" s="7">
        <v>0.75694444444444453</v>
      </c>
      <c r="C703" s="7">
        <v>0.77708333333333324</v>
      </c>
      <c r="D703" s="7">
        <f>(0.777083333333333-0.756944444444445)</f>
        <v>2.013888888888804E-2</v>
      </c>
      <c r="E703" s="7">
        <f>ABS(0.020138888888888-0.011805555555555)</f>
        <v>8.3333333333329984E-3</v>
      </c>
      <c r="F703" s="1" t="s">
        <v>11</v>
      </c>
    </row>
    <row r="704" spans="1:6" x14ac:dyDescent="0.25">
      <c r="A704" s="11">
        <v>42125</v>
      </c>
      <c r="B704" s="7">
        <v>0.84513888888888899</v>
      </c>
      <c r="C704" s="7">
        <v>0.8569444444444444</v>
      </c>
      <c r="D704" s="7">
        <f>(0.856944444444444-0.845138888888889)</f>
        <v>1.1805555555554959E-2</v>
      </c>
      <c r="E704" s="7">
        <f>ABS(0.011805555555555-0.0111111111111111)</f>
        <v>6.9444444444390074E-4</v>
      </c>
      <c r="F704" s="1" t="s">
        <v>11</v>
      </c>
    </row>
    <row r="705" spans="1:8" x14ac:dyDescent="0.25">
      <c r="A705" s="11">
        <v>42125</v>
      </c>
      <c r="B705" s="7">
        <v>0.92152777777777783</v>
      </c>
      <c r="C705" s="7">
        <v>0.93263888888888891</v>
      </c>
      <c r="D705" s="7">
        <f>(0.932638888888889-0.921527777777778)</f>
        <v>1.1111111111111072E-2</v>
      </c>
      <c r="E705" s="7">
        <f>ABS(0.0111111111111111-0.0243055555555549)</f>
        <v>1.3194444444443801E-2</v>
      </c>
      <c r="F705" s="1" t="s">
        <v>11</v>
      </c>
    </row>
    <row r="706" spans="1:8" x14ac:dyDescent="0.25">
      <c r="A706" s="11">
        <v>42125</v>
      </c>
      <c r="B706" s="7">
        <v>0.52152777777777781</v>
      </c>
      <c r="C706" s="7">
        <v>0.54583333333333328</v>
      </c>
      <c r="D706" s="7">
        <f>(0.545833333333333-0.521527777777778)</f>
        <v>2.4305555555554914E-2</v>
      </c>
      <c r="E706" s="7">
        <f>ABS(0.0243055555555549-0.0159722222222229)</f>
        <v>8.3333333333319992E-3</v>
      </c>
      <c r="F706" s="1" t="s">
        <v>11</v>
      </c>
    </row>
    <row r="707" spans="1:8" x14ac:dyDescent="0.25">
      <c r="A707" s="11">
        <v>42125</v>
      </c>
      <c r="B707" s="7">
        <v>0.55833333333333335</v>
      </c>
      <c r="C707" s="7">
        <v>0.57430555555555551</v>
      </c>
      <c r="D707" s="7">
        <f>(0.574305555555556-0.558333333333333)</f>
        <v>1.5972222222222943E-2</v>
      </c>
      <c r="E707" s="7">
        <f>ABS(0.0159722222222229-0.021527777777777)</f>
        <v>5.5555555555540995E-3</v>
      </c>
      <c r="F707" s="1" t="s">
        <v>11</v>
      </c>
    </row>
    <row r="708" spans="1:8" x14ac:dyDescent="0.25">
      <c r="A708" s="11">
        <v>42125</v>
      </c>
      <c r="B708" s="7">
        <v>0.57291666666666663</v>
      </c>
      <c r="C708" s="7">
        <v>0.59444444444444444</v>
      </c>
      <c r="D708" s="7">
        <f>(0.594444444444444-0.572916666666667)</f>
        <v>2.1527777777777035E-2</v>
      </c>
      <c r="E708" s="7">
        <f>ABS(0.021527777777777-0.027777777777778)</f>
        <v>6.2500000000009978E-3</v>
      </c>
      <c r="F708" s="1" t="s">
        <v>11</v>
      </c>
    </row>
    <row r="709" spans="1:8" x14ac:dyDescent="0.25">
      <c r="A709" s="11">
        <v>42125</v>
      </c>
      <c r="B709" s="7">
        <v>0.7944444444444444</v>
      </c>
      <c r="C709" s="7">
        <v>0.8222222222222223</v>
      </c>
      <c r="D709" s="7">
        <f>(0.822222222222222-0.794444444444444)</f>
        <v>2.7777777777778012E-2</v>
      </c>
      <c r="E709" s="7">
        <f>ABS(0.027777777777778-0.022916666666667)</f>
        <v>4.8611111111109967E-3</v>
      </c>
      <c r="F709" s="1" t="s">
        <v>11</v>
      </c>
    </row>
    <row r="710" spans="1:8" x14ac:dyDescent="0.25">
      <c r="A710" s="11">
        <v>42125</v>
      </c>
      <c r="B710" s="7">
        <v>0.37847222222222227</v>
      </c>
      <c r="C710" s="7">
        <v>0.40138888888888885</v>
      </c>
      <c r="D710" s="7">
        <f>(0.401388888888889-0.378472222222222)</f>
        <v>2.2916666666667029E-2</v>
      </c>
      <c r="E710" s="7">
        <f>ABS(0.022916666666667-0.0187499999999999)</f>
        <v>4.1666666666671029E-3</v>
      </c>
      <c r="F710" s="1" t="s">
        <v>11</v>
      </c>
    </row>
    <row r="711" spans="1:8" x14ac:dyDescent="0.25">
      <c r="A711" s="11">
        <v>42125</v>
      </c>
      <c r="B711" s="7">
        <v>0.85972222222222217</v>
      </c>
      <c r="C711" s="7">
        <v>0.87847222222222221</v>
      </c>
      <c r="D711" s="7">
        <f>(0.878472222222222-0.859722222222222)</f>
        <v>1.8749999999999933E-2</v>
      </c>
      <c r="E711" s="7">
        <f>ABS(0.0187499999999999-0.0020833333333331)</f>
        <v>1.6666666666666798E-2</v>
      </c>
      <c r="F711" s="1" t="s">
        <v>11</v>
      </c>
    </row>
    <row r="712" spans="1:8" x14ac:dyDescent="0.25">
      <c r="A712" s="11">
        <v>42125</v>
      </c>
      <c r="B712" s="7">
        <v>0.85902777777777783</v>
      </c>
      <c r="C712" s="7">
        <v>0.86111111111111116</v>
      </c>
      <c r="D712" s="7">
        <f>(0.861111111111111-0.859027777777778)</f>
        <v>2.0833333333331039E-3</v>
      </c>
      <c r="E712" s="7">
        <f>ABS(0.0020833333333331-0.029166666666667)</f>
        <v>2.70833333333339E-2</v>
      </c>
      <c r="F712" s="1" t="s">
        <v>11</v>
      </c>
    </row>
    <row r="713" spans="1:8" x14ac:dyDescent="0.25">
      <c r="A713" s="11">
        <v>42125</v>
      </c>
      <c r="B713" s="7">
        <v>0.67499999999999993</v>
      </c>
      <c r="C713" s="7">
        <v>0.70416666666666661</v>
      </c>
      <c r="D713" s="7">
        <f>(0.704166666666667-0.675)</f>
        <v>2.9166666666667007E-2</v>
      </c>
      <c r="E713" s="7">
        <f>ABS(0.029166666666667-0.054166666666667)</f>
        <v>2.5000000000000001E-2</v>
      </c>
      <c r="F713" s="1" t="s">
        <v>11</v>
      </c>
    </row>
    <row r="714" spans="1:8" x14ac:dyDescent="0.25">
      <c r="A714" s="11">
        <v>42125</v>
      </c>
      <c r="B714" s="7">
        <v>0.68472222222222223</v>
      </c>
      <c r="C714" s="7">
        <v>0.73888888888888893</v>
      </c>
      <c r="D714" s="7">
        <f>(0.738888888888889-0.684722222222222)</f>
        <v>5.4166666666667029E-2</v>
      </c>
      <c r="E714" s="7">
        <f>ABS(0.054166666666667-0.0131944444444441)</f>
        <v>4.0972222222222902E-2</v>
      </c>
      <c r="F714" s="1" t="s">
        <v>11</v>
      </c>
    </row>
    <row r="715" spans="1:8" x14ac:dyDescent="0.25">
      <c r="A715" s="11">
        <v>42125</v>
      </c>
      <c r="B715" s="7">
        <v>0.91388888888888886</v>
      </c>
      <c r="C715" s="7">
        <v>0.92708333333333337</v>
      </c>
      <c r="D715" s="7">
        <f>(0.927083333333333-0.913888888888889)</f>
        <v>1.3194444444444065E-2</v>
      </c>
      <c r="E715" s="7">
        <f>ABS(0.0131944444444441-0.021527777777778)</f>
        <v>8.3333333333339005E-3</v>
      </c>
      <c r="F715" s="1" t="s">
        <v>11</v>
      </c>
    </row>
    <row r="716" spans="1:8" x14ac:dyDescent="0.25">
      <c r="A716" s="11">
        <v>42125</v>
      </c>
      <c r="B716" s="7">
        <v>0.18888888888888888</v>
      </c>
      <c r="C716" s="7">
        <v>0.21041666666666667</v>
      </c>
      <c r="D716" s="7">
        <f>(0.210416666666667-0.188888888888889)</f>
        <v>2.1527777777778007E-2</v>
      </c>
      <c r="E716" s="7">
        <f>ABS(0.021527777777778-0.027777777777778)</f>
        <v>6.2499999999999986E-3</v>
      </c>
      <c r="F716" s="1" t="s">
        <v>11</v>
      </c>
      <c r="H716" s="1"/>
    </row>
    <row r="717" spans="1:8" x14ac:dyDescent="0.25">
      <c r="A717" s="11">
        <v>42125</v>
      </c>
      <c r="B717" s="7">
        <v>0.46527777777777773</v>
      </c>
      <c r="C717" s="7">
        <v>0.49305555555555558</v>
      </c>
      <c r="D717" s="7">
        <f>(0.493055555555556-0.465277777777778)</f>
        <v>2.7777777777778012E-2</v>
      </c>
      <c r="E717" s="7">
        <f>ABS(0.027777777777778-0.0201388888888889)</f>
        <v>7.6388888888890977E-3</v>
      </c>
      <c r="F717" s="1" t="s">
        <v>11</v>
      </c>
    </row>
    <row r="718" spans="1:8" x14ac:dyDescent="0.25">
      <c r="A718" s="11">
        <v>42125</v>
      </c>
      <c r="B718" s="7">
        <v>0.55763888888888891</v>
      </c>
      <c r="C718" s="7">
        <v>0.57777777777777783</v>
      </c>
      <c r="D718" s="7">
        <f>(0.577777777777778-0.557638888888889)</f>
        <v>2.0138888888888928E-2</v>
      </c>
      <c r="E718" s="7">
        <f>ABS(0.0201388888888889-0.0180555555555559)</f>
        <v>2.0833333333329998E-3</v>
      </c>
      <c r="F718" s="1" t="s">
        <v>11</v>
      </c>
    </row>
    <row r="719" spans="1:8" x14ac:dyDescent="0.25">
      <c r="A719" s="11">
        <v>42125</v>
      </c>
      <c r="B719" s="7">
        <v>0.86388888888888893</v>
      </c>
      <c r="C719" s="7">
        <v>0.88194444444444453</v>
      </c>
      <c r="D719" s="7">
        <f>(0.881944444444445-0.863888888888889)</f>
        <v>1.8055555555555935E-2</v>
      </c>
      <c r="E719" s="7">
        <f>ABS(0.0180555555555559-0.021527777777778)</f>
        <v>3.4722222222220989E-3</v>
      </c>
      <c r="F719" s="1" t="s">
        <v>11</v>
      </c>
    </row>
    <row r="720" spans="1:8" x14ac:dyDescent="0.25">
      <c r="A720" s="11">
        <v>42125</v>
      </c>
      <c r="B720" s="7">
        <v>0.4770833333333333</v>
      </c>
      <c r="C720" s="7">
        <v>0.49861111111111112</v>
      </c>
      <c r="D720" s="7">
        <f>(0.498611111111111-0.477083333333333)</f>
        <v>2.1527777777777979E-2</v>
      </c>
      <c r="E720" s="7">
        <f>ABS(0.021527777777778-0.011111111111111)</f>
        <v>1.0416666666666999E-2</v>
      </c>
      <c r="F720" s="1" t="s">
        <v>11</v>
      </c>
    </row>
    <row r="721" spans="1:6" x14ac:dyDescent="0.25">
      <c r="A721" s="11">
        <v>42125</v>
      </c>
      <c r="B721" s="7">
        <v>0.78333333333333333</v>
      </c>
      <c r="C721" s="7">
        <v>0.7944444444444444</v>
      </c>
      <c r="D721" s="7">
        <f>(0.794444444444444-0.783333333333333)</f>
        <v>1.1111111111110961E-2</v>
      </c>
      <c r="E721" s="7">
        <f>ABS(0.011111111111111-0.0131944444444451)</f>
        <v>2.0833333333340996E-3</v>
      </c>
      <c r="F721" s="1" t="s">
        <v>11</v>
      </c>
    </row>
    <row r="722" spans="1:6" x14ac:dyDescent="0.25">
      <c r="A722" s="11">
        <v>42125</v>
      </c>
      <c r="B722" s="7">
        <v>0.85833333333333339</v>
      </c>
      <c r="C722" s="7">
        <v>0.87152777777777779</v>
      </c>
      <c r="D722" s="7">
        <f>(0.871527777777778-0.858333333333333)</f>
        <v>1.3194444444445064E-2</v>
      </c>
      <c r="E722" s="7"/>
      <c r="F722" s="1" t="s">
        <v>11</v>
      </c>
    </row>
  </sheetData>
  <sortState ref="B3:H722">
    <sortCondition ref="F3:F72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685"/>
  <sheetViews>
    <sheetView topLeftCell="F1" workbookViewId="0">
      <selection activeCell="H4" sqref="H4:M8"/>
    </sheetView>
  </sheetViews>
  <sheetFormatPr defaultRowHeight="15" x14ac:dyDescent="0.25"/>
  <cols>
    <col min="1" max="1" width="15.7109375" customWidth="1"/>
    <col min="2" max="5" width="15.7109375" style="2" customWidth="1"/>
    <col min="6" max="6" width="15.7109375" style="1" customWidth="1"/>
    <col min="12" max="12" width="12" bestFit="1" customWidth="1"/>
    <col min="13" max="14" width="17" bestFit="1" customWidth="1"/>
  </cols>
  <sheetData>
    <row r="1" spans="1:14" s="1" customFormat="1" x14ac:dyDescent="0.25">
      <c r="A1" s="1" t="s">
        <v>12</v>
      </c>
      <c r="B1" s="2" t="s">
        <v>0</v>
      </c>
      <c r="C1" s="2" t="s">
        <v>1</v>
      </c>
      <c r="D1" s="2" t="s">
        <v>13</v>
      </c>
      <c r="E1" s="2" t="s">
        <v>18</v>
      </c>
      <c r="F1" s="1" t="s">
        <v>2</v>
      </c>
    </row>
    <row r="3" spans="1:14" x14ac:dyDescent="0.25">
      <c r="A3" s="12">
        <v>42156</v>
      </c>
      <c r="B3" s="7">
        <v>0.28055555555555556</v>
      </c>
      <c r="C3" s="7">
        <v>0.30277777777777776</v>
      </c>
      <c r="D3" s="7">
        <f>(0.302777777777778-0.280555555555556)</f>
        <v>2.2222222222221977E-2</v>
      </c>
      <c r="E3" s="7">
        <f>ABS(0.022222222222222-0.0180555555555559)</f>
        <v>4.1666666666661002E-3</v>
      </c>
      <c r="F3" s="1" t="s">
        <v>9</v>
      </c>
      <c r="J3" s="1" t="s">
        <v>7</v>
      </c>
      <c r="K3" s="1" t="s">
        <v>15</v>
      </c>
      <c r="L3" s="1" t="s">
        <v>17</v>
      </c>
      <c r="M3" s="1" t="s">
        <v>16</v>
      </c>
      <c r="N3" s="1"/>
    </row>
    <row r="4" spans="1:14" x14ac:dyDescent="0.25">
      <c r="A4" s="12">
        <v>42156</v>
      </c>
      <c r="B4" s="7">
        <v>0.64444444444444449</v>
      </c>
      <c r="C4" s="7">
        <v>0.66249999999999998</v>
      </c>
      <c r="D4" s="7">
        <f>(0.6625-0.644444444444444)</f>
        <v>1.8055555555555935E-2</v>
      </c>
      <c r="E4" s="7">
        <f>ABS(0.0180555555555559-0.0145833333333329)</f>
        <v>3.4722222222230009E-3</v>
      </c>
      <c r="F4" s="1" t="s">
        <v>9</v>
      </c>
      <c r="H4" s="14">
        <v>42156</v>
      </c>
      <c r="I4" s="14" t="s">
        <v>19</v>
      </c>
      <c r="J4" t="s">
        <v>9</v>
      </c>
      <c r="K4">
        <v>56</v>
      </c>
      <c r="L4" s="3">
        <f>AVERAGE(D3:D58)</f>
        <v>1.5500992063492149E-2</v>
      </c>
      <c r="M4" s="3">
        <f>AVERAGE(E3:E57)</f>
        <v>6.1868686868685593E-3</v>
      </c>
      <c r="N4" s="3"/>
    </row>
    <row r="5" spans="1:14" x14ac:dyDescent="0.25">
      <c r="A5" s="12">
        <v>42156</v>
      </c>
      <c r="B5" s="7">
        <v>0.6479166666666667</v>
      </c>
      <c r="C5" s="7">
        <v>0.66249999999999998</v>
      </c>
      <c r="D5" s="7">
        <f>(0.6625-0.647916666666667)</f>
        <v>1.4583333333332948E-2</v>
      </c>
      <c r="E5" s="7">
        <f>ABS(0.0145833333333329-0.025694444444445)</f>
        <v>1.1111111111112099E-2</v>
      </c>
      <c r="F5" s="1" t="s">
        <v>9</v>
      </c>
      <c r="H5" s="14">
        <v>42156</v>
      </c>
      <c r="I5" s="14" t="s">
        <v>19</v>
      </c>
      <c r="J5" t="s">
        <v>3</v>
      </c>
      <c r="K5">
        <v>279</v>
      </c>
      <c r="L5" s="3">
        <f>AVERAGE(D59:D337)</f>
        <v>1.2283452807646348E-2</v>
      </c>
      <c r="M5" s="3">
        <f>AVERAGE(E59:E336)</f>
        <v>1.0091926458833021E-2</v>
      </c>
      <c r="N5" s="3"/>
    </row>
    <row r="6" spans="1:14" x14ac:dyDescent="0.25">
      <c r="A6" s="12">
        <v>42156</v>
      </c>
      <c r="B6" s="7">
        <v>0.8222222222222223</v>
      </c>
      <c r="C6" s="7">
        <v>0.84791666666666676</v>
      </c>
      <c r="D6" s="7">
        <f>(0.847916666666667-0.822222222222222)</f>
        <v>2.5694444444445019E-2</v>
      </c>
      <c r="E6" s="7">
        <f>ABS(0.025694444444445-0.015277777777778)</f>
        <v>1.0416666666666999E-2</v>
      </c>
      <c r="F6" s="1" t="s">
        <v>9</v>
      </c>
      <c r="H6" s="14">
        <v>42156</v>
      </c>
      <c r="I6" s="14" t="s">
        <v>19</v>
      </c>
      <c r="J6" t="s">
        <v>10</v>
      </c>
      <c r="K6">
        <v>226</v>
      </c>
      <c r="L6" s="3">
        <f>AVERAGE(D338:D563)</f>
        <v>1.9456735496558474E-2</v>
      </c>
      <c r="M6" s="3">
        <f>AVERAGE(E338:E562)</f>
        <v>5.395061728395001E-3</v>
      </c>
      <c r="N6" s="3"/>
    </row>
    <row r="7" spans="1:14" x14ac:dyDescent="0.25">
      <c r="A7" s="12">
        <v>42156</v>
      </c>
      <c r="B7" s="7">
        <v>0.41388888888888892</v>
      </c>
      <c r="C7" s="7">
        <v>0.4291666666666667</v>
      </c>
      <c r="D7" s="7">
        <f>(0.429166666666667-0.413888888888889)</f>
        <v>1.5277777777778001E-2</v>
      </c>
      <c r="E7" s="7">
        <f>ABS(0.015277777777778-0.017361111111111)</f>
        <v>2.0833333333330015E-3</v>
      </c>
      <c r="F7" s="1" t="s">
        <v>9</v>
      </c>
      <c r="H7" s="14">
        <v>42156</v>
      </c>
      <c r="I7" s="14" t="s">
        <v>19</v>
      </c>
      <c r="J7" t="s">
        <v>8</v>
      </c>
      <c r="K7">
        <v>15</v>
      </c>
      <c r="L7" s="3">
        <f>AVERAGE(D564:D578)</f>
        <v>1.495370370370374E-2</v>
      </c>
      <c r="M7" s="3">
        <f>AVERAGE(E564:E577)</f>
        <v>4.6130952380951957E-3</v>
      </c>
      <c r="N7" s="3"/>
    </row>
    <row r="8" spans="1:14" x14ac:dyDescent="0.25">
      <c r="A8" s="12">
        <v>42156</v>
      </c>
      <c r="B8" s="7">
        <v>0.29166666666666669</v>
      </c>
      <c r="C8" s="7">
        <v>0.30902777777777779</v>
      </c>
      <c r="D8" s="7">
        <f>(0.309027777777778-0.291666666666667)</f>
        <v>1.7361111111110994E-2</v>
      </c>
      <c r="E8" s="7">
        <f>ABS(0.017361111111111-0.0125)</f>
        <v>4.8611111111110002E-3</v>
      </c>
      <c r="F8" s="1" t="s">
        <v>9</v>
      </c>
      <c r="H8" s="14">
        <v>42156</v>
      </c>
      <c r="I8" s="14" t="s">
        <v>19</v>
      </c>
      <c r="J8" t="s">
        <v>11</v>
      </c>
      <c r="K8">
        <v>107</v>
      </c>
      <c r="L8" s="3">
        <f>AVERAGE(D579:D685)</f>
        <v>2.491562824506751E-2</v>
      </c>
      <c r="M8" s="3">
        <f>AVERAGE(E579:E684)</f>
        <v>8.2481656184486829E-3</v>
      </c>
      <c r="N8" s="3"/>
    </row>
    <row r="9" spans="1:14" x14ac:dyDescent="0.25">
      <c r="A9" s="12">
        <v>42156</v>
      </c>
      <c r="B9" s="7">
        <v>0.87777777777777777</v>
      </c>
      <c r="C9" s="7">
        <v>0.89027777777777783</v>
      </c>
      <c r="D9" s="7">
        <f>(0.890277777777778-0.877777777777778)</f>
        <v>1.2499999999999956E-2</v>
      </c>
      <c r="E9" s="7">
        <f>ABS(0.0125-0.0194444444444449)</f>
        <v>6.9444444444448986E-3</v>
      </c>
      <c r="F9" s="1" t="s">
        <v>9</v>
      </c>
    </row>
    <row r="10" spans="1:14" x14ac:dyDescent="0.25">
      <c r="A10" s="12">
        <v>42156</v>
      </c>
      <c r="B10" s="7">
        <v>0.96319444444444446</v>
      </c>
      <c r="C10" s="7">
        <v>0.98263888888888884</v>
      </c>
      <c r="D10" s="7">
        <f>(0.982638888888889-0.963194444444444)</f>
        <v>1.944444444444493E-2</v>
      </c>
      <c r="E10" s="7">
        <f>ABS(0.0194444444444449-0.013888888888889)</f>
        <v>5.5555555555559001E-3</v>
      </c>
      <c r="F10" s="1" t="s">
        <v>9</v>
      </c>
    </row>
    <row r="11" spans="1:14" x14ac:dyDescent="0.25">
      <c r="A11" s="12">
        <v>42156</v>
      </c>
      <c r="B11" s="7">
        <v>0.92222222222222217</v>
      </c>
      <c r="C11" s="7">
        <v>0.93611111111111101</v>
      </c>
      <c r="D11" s="7">
        <f>(0.936111111111111-0.922222222222222)</f>
        <v>1.3888888888888951E-2</v>
      </c>
      <c r="E11" s="7">
        <f>ABS(0.013888888888889-0.015277777777778)</f>
        <v>1.3888888888890002E-3</v>
      </c>
      <c r="F11" s="1" t="s">
        <v>9</v>
      </c>
    </row>
    <row r="12" spans="1:14" x14ac:dyDescent="0.25">
      <c r="A12" s="12">
        <v>42156</v>
      </c>
      <c r="B12" s="7">
        <v>0.34027777777777773</v>
      </c>
      <c r="C12" s="7">
        <v>0.35555555555555557</v>
      </c>
      <c r="D12" s="7">
        <f>(0.355555555555556-0.340277777777778)</f>
        <v>1.5277777777778001E-2</v>
      </c>
      <c r="E12" s="7">
        <f>ABS(0.015277777777778-0.0152777777777779)</f>
        <v>9.8879238130678004E-17</v>
      </c>
      <c r="F12" s="1" t="s">
        <v>9</v>
      </c>
    </row>
    <row r="13" spans="1:14" x14ac:dyDescent="0.25">
      <c r="A13" s="12">
        <v>42156</v>
      </c>
      <c r="B13" s="7">
        <v>0.64097222222222217</v>
      </c>
      <c r="C13" s="7">
        <v>0.65625</v>
      </c>
      <c r="D13" s="7">
        <f>(0.65625-0.640972222222222)</f>
        <v>1.5277777777777946E-2</v>
      </c>
      <c r="E13" s="7">
        <f>ABS(0.0152777777777779-0.0083333333333333)</f>
        <v>6.9444444444446002E-3</v>
      </c>
      <c r="F13" s="1" t="s">
        <v>9</v>
      </c>
    </row>
    <row r="14" spans="1:14" x14ac:dyDescent="0.25">
      <c r="A14" s="12">
        <v>42156</v>
      </c>
      <c r="B14" s="7">
        <v>5.9027777777777783E-2</v>
      </c>
      <c r="C14" s="7">
        <v>6.7361111111111108E-2</v>
      </c>
      <c r="D14" s="7">
        <f>(0.0673611111111111-0.0590277777777778)</f>
        <v>8.3333333333332968E-3</v>
      </c>
      <c r="E14" s="7">
        <f>ABS(0.0083333333333333-0.011805555555556)</f>
        <v>3.4722222222226991E-3</v>
      </c>
      <c r="F14" s="1" t="s">
        <v>9</v>
      </c>
    </row>
    <row r="15" spans="1:14" x14ac:dyDescent="0.25">
      <c r="A15" s="12">
        <v>42156</v>
      </c>
      <c r="B15" s="7">
        <v>0.29236111111111113</v>
      </c>
      <c r="C15" s="7">
        <v>0.30416666666666664</v>
      </c>
      <c r="D15" s="7">
        <f>(0.304166666666667-0.292361111111111)</f>
        <v>1.1805555555555958E-2</v>
      </c>
      <c r="E15" s="7">
        <f>ABS(0.011805555555556-0.023611111111111)</f>
        <v>1.1805555555555E-2</v>
      </c>
      <c r="F15" s="1" t="s">
        <v>9</v>
      </c>
    </row>
    <row r="16" spans="1:14" x14ac:dyDescent="0.25">
      <c r="A16" s="12">
        <v>42156</v>
      </c>
      <c r="B16" s="7">
        <v>0.28055555555555556</v>
      </c>
      <c r="C16" s="7">
        <v>0.30416666666666664</v>
      </c>
      <c r="D16" s="7">
        <f>(0.304166666666667-0.280555555555556)</f>
        <v>2.3611111111110972E-2</v>
      </c>
      <c r="E16" s="7">
        <f>ABS(0.023611111111111-0.0152777777777781)</f>
        <v>8.3333333333328995E-3</v>
      </c>
      <c r="F16" s="1" t="s">
        <v>9</v>
      </c>
    </row>
    <row r="17" spans="1:6" x14ac:dyDescent="0.25">
      <c r="A17" s="12">
        <v>42156</v>
      </c>
      <c r="B17" s="7">
        <v>0.54097222222222219</v>
      </c>
      <c r="C17" s="7">
        <v>0.55625000000000002</v>
      </c>
      <c r="D17" s="7">
        <f>(0.55625-0.540972222222222)</f>
        <v>1.5277777777778057E-2</v>
      </c>
      <c r="E17" s="7">
        <f>ABS(0.0152777777777781-0.0041666666666671)</f>
        <v>1.1111111111110999E-2</v>
      </c>
      <c r="F17" s="1" t="s">
        <v>9</v>
      </c>
    </row>
    <row r="18" spans="1:6" x14ac:dyDescent="0.25">
      <c r="A18" s="12">
        <v>42156</v>
      </c>
      <c r="B18" s="7">
        <v>0.88750000000000007</v>
      </c>
      <c r="C18" s="7">
        <v>0.89166666666666661</v>
      </c>
      <c r="D18" s="7">
        <f>(0.891666666666667-0.8875)</f>
        <v>4.166666666667096E-3</v>
      </c>
      <c r="E18" s="7">
        <f>ABS(0.0041666666666671-0.011805555555555)</f>
        <v>7.6388888888878998E-3</v>
      </c>
      <c r="F18" s="1" t="s">
        <v>9</v>
      </c>
    </row>
    <row r="19" spans="1:6" x14ac:dyDescent="0.25">
      <c r="A19" s="12">
        <v>42156</v>
      </c>
      <c r="B19" s="7">
        <v>0.12291666666666667</v>
      </c>
      <c r="C19" s="7">
        <v>0.13472222222222222</v>
      </c>
      <c r="D19" s="7">
        <f>(0.134722222222222-0.122916666666667)</f>
        <v>1.1805555555555E-2</v>
      </c>
      <c r="E19" s="7">
        <f>ABS(0.011805555555555-0.016666666666666)</f>
        <v>4.8611111111110002E-3</v>
      </c>
      <c r="F19" s="1" t="s">
        <v>9</v>
      </c>
    </row>
    <row r="20" spans="1:6" x14ac:dyDescent="0.25">
      <c r="A20" s="12">
        <v>42156</v>
      </c>
      <c r="B20" s="7">
        <v>0.44791666666666669</v>
      </c>
      <c r="C20" s="7">
        <v>0.46458333333333335</v>
      </c>
      <c r="D20" s="7">
        <f>(0.464583333333333-0.447916666666667)</f>
        <v>1.6666666666665997E-2</v>
      </c>
      <c r="E20" s="7">
        <f>ABS(0.016666666666666-0.010416666666667)</f>
        <v>6.2499999999990011E-3</v>
      </c>
      <c r="F20" s="1" t="s">
        <v>9</v>
      </c>
    </row>
    <row r="21" spans="1:6" x14ac:dyDescent="0.25">
      <c r="A21" s="12">
        <v>42156</v>
      </c>
      <c r="B21" s="7">
        <v>0.67361111111111116</v>
      </c>
      <c r="C21" s="7">
        <v>0.68402777777777779</v>
      </c>
      <c r="D21" s="7">
        <f>(0.684027777777778-0.673611111111111)</f>
        <v>1.0416666666666963E-2</v>
      </c>
      <c r="E21" s="7">
        <f>ABS(0.010416666666667-0.015277777777778)</f>
        <v>4.8611111111110002E-3</v>
      </c>
      <c r="F21" s="1" t="s">
        <v>9</v>
      </c>
    </row>
    <row r="22" spans="1:6" x14ac:dyDescent="0.25">
      <c r="A22" s="12">
        <v>42156</v>
      </c>
      <c r="B22" s="7">
        <v>0.33888888888888885</v>
      </c>
      <c r="C22" s="7">
        <v>0.35416666666666669</v>
      </c>
      <c r="D22" s="7">
        <f>(0.354166666666667-0.338888888888889)</f>
        <v>1.5277777777778001E-2</v>
      </c>
      <c r="E22" s="7">
        <f>ABS(0.015277777777778-0.00694444444444398)</f>
        <v>8.3333333333340184E-3</v>
      </c>
      <c r="F22" s="1" t="s">
        <v>9</v>
      </c>
    </row>
    <row r="23" spans="1:6" x14ac:dyDescent="0.25">
      <c r="A23" s="12">
        <v>42156</v>
      </c>
      <c r="B23" s="7">
        <v>0.625</v>
      </c>
      <c r="C23" s="7">
        <v>0.63194444444444442</v>
      </c>
      <c r="D23" s="7">
        <f>(0.631944444444444-0.625)</f>
        <v>6.9444444444439757E-3</v>
      </c>
      <c r="E23" s="7">
        <f>ABS(0.00694444444444398-0.0145833333333329)</f>
        <v>7.6388888888889199E-3</v>
      </c>
      <c r="F23" s="1" t="s">
        <v>9</v>
      </c>
    </row>
    <row r="24" spans="1:6" x14ac:dyDescent="0.25">
      <c r="A24" s="12">
        <v>42156</v>
      </c>
      <c r="B24" s="7">
        <v>0.64166666666666672</v>
      </c>
      <c r="C24" s="7">
        <v>0.65625</v>
      </c>
      <c r="D24" s="7">
        <f>(0.65625-0.641666666666667)</f>
        <v>1.4583333333332948E-2</v>
      </c>
      <c r="E24" s="7">
        <f>ABS(0.0145833333333329-0.023611111111111)</f>
        <v>9.0277777777780996E-3</v>
      </c>
      <c r="F24" s="1" t="s">
        <v>9</v>
      </c>
    </row>
    <row r="25" spans="1:6" x14ac:dyDescent="0.25">
      <c r="A25" s="12">
        <v>42156</v>
      </c>
      <c r="B25" s="7">
        <v>0.47430555555555554</v>
      </c>
      <c r="C25" s="7">
        <v>0.49791666666666662</v>
      </c>
      <c r="D25" s="7">
        <f>(0.497916666666667-0.474305555555556)</f>
        <v>2.3611111111111027E-2</v>
      </c>
      <c r="E25" s="7">
        <f>ABS(0.023611111111111-0.0152777777777781)</f>
        <v>8.3333333333328995E-3</v>
      </c>
      <c r="F25" s="1" t="s">
        <v>9</v>
      </c>
    </row>
    <row r="26" spans="1:6" x14ac:dyDescent="0.25">
      <c r="A26" s="12">
        <v>42156</v>
      </c>
      <c r="B26" s="7">
        <v>0.50208333333333333</v>
      </c>
      <c r="C26" s="7">
        <v>0.51736111111111105</v>
      </c>
      <c r="D26" s="7">
        <f>(0.517361111111111-0.502083333333333)</f>
        <v>1.5277777777778057E-2</v>
      </c>
      <c r="E26" s="7">
        <f>ABS(0.0152777777777781-0.00694444444444509)</f>
        <v>8.3333333333330088E-3</v>
      </c>
      <c r="F26" s="1" t="s">
        <v>9</v>
      </c>
    </row>
    <row r="27" spans="1:6" x14ac:dyDescent="0.25">
      <c r="A27" s="12">
        <v>42156</v>
      </c>
      <c r="B27" s="7">
        <v>0.60486111111111118</v>
      </c>
      <c r="C27" s="7">
        <v>0.6118055555555556</v>
      </c>
      <c r="D27" s="7">
        <f>(0.611805555555556-0.604861111111111)</f>
        <v>6.9444444444450859E-3</v>
      </c>
      <c r="E27" s="7">
        <f>ABS(0.00694444444444509-0.013194444444445)</f>
        <v>6.2499999999999093E-3</v>
      </c>
      <c r="F27" s="1" t="s">
        <v>9</v>
      </c>
    </row>
    <row r="28" spans="1:6" x14ac:dyDescent="0.25">
      <c r="A28" s="12">
        <v>42156</v>
      </c>
      <c r="B28" s="7">
        <v>0.29097222222222224</v>
      </c>
      <c r="C28" s="7">
        <v>0.30416666666666664</v>
      </c>
      <c r="D28" s="7">
        <f>(0.304166666666667-0.290972222222222)</f>
        <v>1.3194444444444953E-2</v>
      </c>
      <c r="E28" s="7">
        <f>ABS(0.013194444444445-0.0111111111111111)</f>
        <v>2.0833333333339001E-3</v>
      </c>
      <c r="F28" s="1" t="s">
        <v>9</v>
      </c>
    </row>
    <row r="29" spans="1:6" x14ac:dyDescent="0.25">
      <c r="A29" s="12">
        <v>42156</v>
      </c>
      <c r="B29" s="7">
        <v>0.63472222222222219</v>
      </c>
      <c r="C29" s="7">
        <v>0.64583333333333337</v>
      </c>
      <c r="D29" s="7">
        <f>(0.645833333333333-0.634722222222222)</f>
        <v>1.1111111111111072E-2</v>
      </c>
      <c r="E29" s="7">
        <f>ABS(0.0111111111111111-0.0201388888888889)</f>
        <v>9.0277777777778012E-3</v>
      </c>
      <c r="F29" s="1" t="s">
        <v>9</v>
      </c>
    </row>
    <row r="30" spans="1:6" x14ac:dyDescent="0.25">
      <c r="A30" s="12">
        <v>42156</v>
      </c>
      <c r="B30" s="7">
        <v>0.6743055555555556</v>
      </c>
      <c r="C30" s="7">
        <v>0.69444444444444453</v>
      </c>
      <c r="D30" s="7">
        <f>(0.694444444444445-0.674305555555556)</f>
        <v>2.0138888888888928E-2</v>
      </c>
      <c r="E30" s="7">
        <f>ABS(0.0201388888888889-0.0152777777777779)</f>
        <v>4.8611111111110002E-3</v>
      </c>
      <c r="F30" s="1" t="s">
        <v>9</v>
      </c>
    </row>
    <row r="31" spans="1:6" x14ac:dyDescent="0.25">
      <c r="A31" s="12">
        <v>42156</v>
      </c>
      <c r="B31" s="7">
        <v>0.6791666666666667</v>
      </c>
      <c r="C31" s="7">
        <v>0.69444444444444453</v>
      </c>
      <c r="D31" s="7">
        <f>(0.694444444444445-0.679166666666667)</f>
        <v>1.5277777777777946E-2</v>
      </c>
      <c r="E31" s="7">
        <f>ABS(0.0152777777777779-0.0166666666666671)</f>
        <v>1.3888888888891997E-3</v>
      </c>
      <c r="F31" s="1" t="s">
        <v>9</v>
      </c>
    </row>
    <row r="32" spans="1:6" x14ac:dyDescent="0.25">
      <c r="A32" s="12">
        <v>42156</v>
      </c>
      <c r="B32" s="7">
        <v>0.41319444444444442</v>
      </c>
      <c r="C32" s="7">
        <v>0.42986111111111108</v>
      </c>
      <c r="D32" s="7">
        <f>(0.429861111111111-0.413194444444444)</f>
        <v>1.6666666666667052E-2</v>
      </c>
      <c r="E32" s="7">
        <f>ABS(0.0166666666666671-0.011805555555556)</f>
        <v>4.8611111111111008E-3</v>
      </c>
      <c r="F32" s="1" t="s">
        <v>9</v>
      </c>
    </row>
    <row r="33" spans="1:6" x14ac:dyDescent="0.25">
      <c r="A33" s="12">
        <v>42156</v>
      </c>
      <c r="B33" s="7">
        <v>0.375</v>
      </c>
      <c r="C33" s="7">
        <v>0.38680555555555557</v>
      </c>
      <c r="D33" s="7">
        <f>(0.386805555555556-0.375)</f>
        <v>1.1805555555556013E-2</v>
      </c>
      <c r="E33" s="7">
        <f>ABS(0.011805555555556-0.0111111111111111)</f>
        <v>6.9444444444489994E-4</v>
      </c>
      <c r="F33" s="1" t="s">
        <v>9</v>
      </c>
    </row>
    <row r="34" spans="1:6" x14ac:dyDescent="0.25">
      <c r="A34" s="12">
        <v>42156</v>
      </c>
      <c r="B34" s="7">
        <v>0.88541666666666663</v>
      </c>
      <c r="C34" s="7">
        <v>0.8965277777777777</v>
      </c>
      <c r="D34" s="7">
        <f>(0.896527777777778-0.885416666666667)</f>
        <v>1.1111111111111072E-2</v>
      </c>
      <c r="E34" s="7">
        <f>ABS(0.0111111111111111-0.0222222222222199)</f>
        <v>1.1111111111108799E-2</v>
      </c>
      <c r="F34" s="1" t="s">
        <v>9</v>
      </c>
    </row>
    <row r="35" spans="1:6" x14ac:dyDescent="0.25">
      <c r="A35" s="12">
        <v>42156</v>
      </c>
      <c r="B35" s="7">
        <v>1.0027777777777778</v>
      </c>
      <c r="C35" s="7">
        <v>1.0250000000000001</v>
      </c>
      <c r="D35" s="7">
        <f>(1.025-1.00277777777778)</f>
        <v>2.2222222222219923E-2</v>
      </c>
      <c r="E35" s="7">
        <f>ABS(0.0222222222222199-0.0118055555555551)</f>
        <v>1.0416666666664798E-2</v>
      </c>
      <c r="F35" s="1" t="s">
        <v>9</v>
      </c>
    </row>
    <row r="36" spans="1:6" x14ac:dyDescent="0.25">
      <c r="A36" s="12">
        <v>42156</v>
      </c>
      <c r="B36" s="7">
        <v>0.89027777777777783</v>
      </c>
      <c r="C36" s="7">
        <v>0.90208333333333324</v>
      </c>
      <c r="D36" s="7">
        <f>(0.902083333333333-0.890277777777778)</f>
        <v>1.180555555555507E-2</v>
      </c>
      <c r="E36" s="7">
        <f>ABS(0.0118055555555551-0.0152777777777781)</f>
        <v>3.4722222222229992E-3</v>
      </c>
      <c r="F36" s="1" t="s">
        <v>9</v>
      </c>
    </row>
    <row r="37" spans="1:6" x14ac:dyDescent="0.25">
      <c r="A37" s="12">
        <v>42156</v>
      </c>
      <c r="B37" s="7">
        <v>0.93819444444444444</v>
      </c>
      <c r="C37" s="7">
        <v>0.95347222222222217</v>
      </c>
      <c r="D37" s="7">
        <f>(0.953472222222222-0.938194444444444)</f>
        <v>1.5277777777778057E-2</v>
      </c>
      <c r="E37" s="7">
        <f>ABS(0.0152777777777781-0.0166666666666661)</f>
        <v>1.388888888888001E-3</v>
      </c>
      <c r="F37" s="1" t="s">
        <v>9</v>
      </c>
    </row>
    <row r="38" spans="1:6" x14ac:dyDescent="0.25">
      <c r="A38" s="12">
        <v>42156</v>
      </c>
      <c r="B38" s="7">
        <v>0.30416666666666664</v>
      </c>
      <c r="C38" s="7">
        <v>0.32083333333333336</v>
      </c>
      <c r="D38" s="7">
        <f>(0.320833333333333-0.304166666666667)</f>
        <v>1.6666666666666052E-2</v>
      </c>
      <c r="E38" s="7">
        <f>ABS(0.0166666666666661-0.016666666666666)</f>
        <v>1.0061396160665481E-16</v>
      </c>
      <c r="F38" s="1" t="s">
        <v>9</v>
      </c>
    </row>
    <row r="39" spans="1:6" x14ac:dyDescent="0.25">
      <c r="A39" s="12">
        <v>42156</v>
      </c>
      <c r="B39" s="7">
        <v>0.38055555555555554</v>
      </c>
      <c r="C39" s="7">
        <v>0.3972222222222222</v>
      </c>
      <c r="D39" s="7">
        <f>(0.397222222222222-0.380555555555556)</f>
        <v>1.6666666666665997E-2</v>
      </c>
      <c r="E39" s="7">
        <f>ABS(0.016666666666666-0.0125)</f>
        <v>4.1666666666659996E-3</v>
      </c>
      <c r="F39" s="1" t="s">
        <v>9</v>
      </c>
    </row>
    <row r="40" spans="1:6" x14ac:dyDescent="0.25">
      <c r="A40" s="12">
        <v>42156</v>
      </c>
      <c r="B40" s="7">
        <v>0.49861111111111112</v>
      </c>
      <c r="C40" s="7">
        <v>0.51111111111111118</v>
      </c>
      <c r="D40" s="7">
        <f>(0.511111111111111-0.498611111111111)</f>
        <v>1.2499999999999956E-2</v>
      </c>
      <c r="E40" s="7">
        <f>ABS(0.0125-0.013888888888889)</f>
        <v>1.3888888888889984E-3</v>
      </c>
      <c r="F40" s="1" t="s">
        <v>9</v>
      </c>
    </row>
    <row r="41" spans="1:6" x14ac:dyDescent="0.25">
      <c r="A41" s="12">
        <v>42156</v>
      </c>
      <c r="B41" s="7">
        <v>0.89583333333333337</v>
      </c>
      <c r="C41" s="7">
        <v>0.90972222222222221</v>
      </c>
      <c r="D41" s="7">
        <f>(0.909722222222222-0.895833333333333)</f>
        <v>1.3888888888888951E-2</v>
      </c>
      <c r="E41" s="7">
        <f>ABS(0.013888888888889-0.0125)</f>
        <v>1.3888888888889984E-3</v>
      </c>
      <c r="F41" s="1" t="s">
        <v>9</v>
      </c>
    </row>
    <row r="42" spans="1:6" x14ac:dyDescent="0.25">
      <c r="A42" s="12">
        <v>42156</v>
      </c>
      <c r="B42" s="7">
        <v>0.13680555555555554</v>
      </c>
      <c r="C42" s="7">
        <v>0.14930555555555555</v>
      </c>
      <c r="D42" s="7">
        <f>(0.149305555555556-0.136805555555556)</f>
        <v>1.2499999999999983E-2</v>
      </c>
      <c r="E42" s="7">
        <f>ABS(0.0125-0.0166666666666671)</f>
        <v>4.1666666666670994E-3</v>
      </c>
      <c r="F42" s="1" t="s">
        <v>9</v>
      </c>
    </row>
    <row r="43" spans="1:6" x14ac:dyDescent="0.25">
      <c r="A43" s="12">
        <v>42156</v>
      </c>
      <c r="B43" s="7">
        <v>0.62708333333333333</v>
      </c>
      <c r="C43" s="7">
        <v>0.64374999999999993</v>
      </c>
      <c r="D43" s="7">
        <f>(0.64375-0.627083333333333)</f>
        <v>1.6666666666667052E-2</v>
      </c>
      <c r="E43" s="7">
        <f>ABS(0.0166666666666671-0.0131944444444441)</f>
        <v>3.4722222222230009E-3</v>
      </c>
      <c r="F43" s="1" t="s">
        <v>9</v>
      </c>
    </row>
    <row r="44" spans="1:6" x14ac:dyDescent="0.25">
      <c r="A44" s="12">
        <v>42156</v>
      </c>
      <c r="B44" s="7">
        <v>0.73402777777777783</v>
      </c>
      <c r="C44" s="7">
        <v>0.74722222222222223</v>
      </c>
      <c r="D44" s="7">
        <f>(0.747222222222222-0.734027777777778)</f>
        <v>1.3194444444444065E-2</v>
      </c>
      <c r="E44" s="7">
        <f>ABS(0.0131944444444441-0.00902777777777808)</f>
        <v>4.1666666666660187E-3</v>
      </c>
      <c r="F44" s="1" t="s">
        <v>9</v>
      </c>
    </row>
    <row r="45" spans="1:6" x14ac:dyDescent="0.25">
      <c r="A45" s="12">
        <v>42156</v>
      </c>
      <c r="B45" s="7">
        <v>0.82638888888888884</v>
      </c>
      <c r="C45" s="7">
        <v>0.8354166666666667</v>
      </c>
      <c r="D45" s="7">
        <f>(0.835416666666667-0.826388888888889)</f>
        <v>9.0277777777780788E-3</v>
      </c>
      <c r="E45" s="7">
        <f>ABS(0.00902777777777808-0.019444444444445)</f>
        <v>1.0416666666666919E-2</v>
      </c>
      <c r="F45" s="1" t="s">
        <v>9</v>
      </c>
    </row>
    <row r="46" spans="1:6" x14ac:dyDescent="0.25">
      <c r="A46" s="12">
        <v>42156</v>
      </c>
      <c r="B46" s="7">
        <v>0.94097222222222221</v>
      </c>
      <c r="C46" s="7">
        <v>0.9604166666666667</v>
      </c>
      <c r="D46" s="7">
        <f>(0.960416666666667-0.940972222222222)</f>
        <v>1.9444444444445041E-2</v>
      </c>
      <c r="E46" s="7">
        <f>ABS(0.019444444444445-0.025)</f>
        <v>5.5555555555550015E-3</v>
      </c>
      <c r="F46" s="1" t="s">
        <v>9</v>
      </c>
    </row>
    <row r="47" spans="1:6" x14ac:dyDescent="0.25">
      <c r="A47" s="12">
        <v>42156</v>
      </c>
      <c r="B47" s="7">
        <v>0.49444444444444446</v>
      </c>
      <c r="C47" s="7">
        <v>0.51944444444444449</v>
      </c>
      <c r="D47" s="7">
        <f>(0.519444444444444-0.494444444444444)</f>
        <v>2.5000000000000022E-2</v>
      </c>
      <c r="E47" s="7">
        <f>ABS(0.025-0.0152777777777769)</f>
        <v>9.7222222222231019E-3</v>
      </c>
      <c r="F47" s="1" t="s">
        <v>9</v>
      </c>
    </row>
    <row r="48" spans="1:6" x14ac:dyDescent="0.25">
      <c r="A48" s="12">
        <v>42156</v>
      </c>
      <c r="B48" s="7">
        <v>0.71666666666666667</v>
      </c>
      <c r="C48" s="7">
        <v>0.7319444444444444</v>
      </c>
      <c r="D48" s="7">
        <f>(0.731944444444444-0.716666666666667)</f>
        <v>1.5277777777776946E-2</v>
      </c>
      <c r="E48" s="7">
        <f>ABS(0.0152777777777769-0.022222222222224)</f>
        <v>6.9444444444470999E-3</v>
      </c>
      <c r="F48" s="1" t="s">
        <v>9</v>
      </c>
    </row>
    <row r="49" spans="1:6" x14ac:dyDescent="0.25">
      <c r="A49" s="12">
        <v>42156</v>
      </c>
      <c r="B49" s="7">
        <v>0.98055555555555562</v>
      </c>
      <c r="C49" s="7">
        <v>1.0027777777777778</v>
      </c>
      <c r="D49" s="7">
        <f>(1.00277777777778-0.980555555555556)</f>
        <v>2.2222222222224031E-2</v>
      </c>
      <c r="E49" s="7">
        <f>ABS(0.022222222222224-0.013194444444447)</f>
        <v>9.0277777777769998E-3</v>
      </c>
      <c r="F49" s="1" t="s">
        <v>9</v>
      </c>
    </row>
    <row r="50" spans="1:6" x14ac:dyDescent="0.25">
      <c r="A50" s="12">
        <v>42156</v>
      </c>
      <c r="B50" s="7">
        <v>0.98958333333333337</v>
      </c>
      <c r="C50" s="7">
        <v>1.0027777777777778</v>
      </c>
      <c r="D50" s="7">
        <f>(1.00277777777778-0.989583333333333)</f>
        <v>1.3194444444446951E-2</v>
      </c>
      <c r="E50" s="7">
        <f>ABS(0.013194444444447-0.0145833333333379)</f>
        <v>1.3888888888908997E-3</v>
      </c>
      <c r="F50" s="1" t="s">
        <v>9</v>
      </c>
    </row>
    <row r="51" spans="1:6" x14ac:dyDescent="0.25">
      <c r="A51" s="12">
        <v>42156</v>
      </c>
      <c r="B51" s="7">
        <v>0.99097222222222225</v>
      </c>
      <c r="C51" s="7">
        <v>1.0055555555555555</v>
      </c>
      <c r="D51" s="7">
        <f>(1.00555555555556-0.990972222222222)</f>
        <v>1.4583333333337944E-2</v>
      </c>
      <c r="E51" s="7">
        <f>ABS(0.0145833333333379-0.013888888888889)</f>
        <v>6.9444444444890022E-4</v>
      </c>
      <c r="F51" s="1" t="s">
        <v>9</v>
      </c>
    </row>
    <row r="52" spans="1:6" x14ac:dyDescent="0.25">
      <c r="A52" s="12">
        <v>42156</v>
      </c>
      <c r="B52" s="7">
        <v>0.27291666666666664</v>
      </c>
      <c r="C52" s="7">
        <v>0.28680555555555554</v>
      </c>
      <c r="D52" s="7">
        <f>(0.286805555555556-0.272916666666667)</f>
        <v>1.3888888888889006E-2</v>
      </c>
      <c r="E52" s="7">
        <f>ABS(0.013888888888889-0.011111111111112)</f>
        <v>2.7777777777769994E-3</v>
      </c>
      <c r="F52" s="1" t="s">
        <v>9</v>
      </c>
    </row>
    <row r="53" spans="1:6" x14ac:dyDescent="0.25">
      <c r="A53" s="12">
        <v>42156</v>
      </c>
      <c r="B53" s="7">
        <v>0.89930555555555547</v>
      </c>
      <c r="C53" s="7">
        <v>0.91041666666666676</v>
      </c>
      <c r="D53" s="7">
        <f>(0.910416666666667-0.899305555555555)</f>
        <v>1.111111111111196E-2</v>
      </c>
      <c r="E53" s="7">
        <f>ABS(0.011111111111112-0.0256944444444439)</f>
        <v>1.4583333333331899E-2</v>
      </c>
      <c r="F53" s="1" t="s">
        <v>9</v>
      </c>
    </row>
    <row r="54" spans="1:6" x14ac:dyDescent="0.25">
      <c r="A54" s="12">
        <v>42156</v>
      </c>
      <c r="B54" s="7">
        <v>0.9868055555555556</v>
      </c>
      <c r="C54" s="7">
        <v>1.0125</v>
      </c>
      <c r="D54" s="7">
        <f>(1.0125-0.986805555555556)</f>
        <v>2.5694444444443909E-2</v>
      </c>
      <c r="E54" s="7">
        <f>ABS(0.0256944444444439-0.0118055555555561)</f>
        <v>1.3888888888887799E-2</v>
      </c>
      <c r="F54" s="1" t="s">
        <v>9</v>
      </c>
    </row>
    <row r="55" spans="1:6" x14ac:dyDescent="0.25">
      <c r="A55" s="12">
        <v>42156</v>
      </c>
      <c r="B55" s="7">
        <v>0.75486111111111109</v>
      </c>
      <c r="C55" s="7">
        <v>0.76666666666666661</v>
      </c>
      <c r="D55" s="7">
        <f>(0.766666666666667-0.754861111111111)</f>
        <v>1.1805555555556069E-2</v>
      </c>
      <c r="E55" s="7">
        <f>ABS(0.0118055555555561-0.011805555555556)</f>
        <v>1.0061396160665481E-16</v>
      </c>
      <c r="F55" s="1" t="s">
        <v>9</v>
      </c>
    </row>
    <row r="56" spans="1:6" x14ac:dyDescent="0.25">
      <c r="A56" s="12">
        <v>42156</v>
      </c>
      <c r="B56" s="7">
        <v>0.31944444444444448</v>
      </c>
      <c r="C56" s="7">
        <v>0.33124999999999999</v>
      </c>
      <c r="D56" s="7">
        <f>(0.33125-0.319444444444444)</f>
        <v>1.1805555555556013E-2</v>
      </c>
      <c r="E56" s="7">
        <f>ABS(0.011805555555556-0.0319444444444399)</f>
        <v>2.0138888888883898E-2</v>
      </c>
      <c r="F56" s="1" t="s">
        <v>9</v>
      </c>
    </row>
    <row r="57" spans="1:6" x14ac:dyDescent="0.25">
      <c r="A57" s="12">
        <v>42156</v>
      </c>
      <c r="B57" s="7">
        <v>0.98749999999999993</v>
      </c>
      <c r="C57" s="7">
        <v>1.0194444444444444</v>
      </c>
      <c r="D57" s="7">
        <f>(1.01944444444444-0.9875)</f>
        <v>3.194444444443989E-2</v>
      </c>
      <c r="E57" s="7">
        <f>ABS(0.0319444444444399-0.0180555555555554)</f>
        <v>1.3888888888884496E-2</v>
      </c>
      <c r="F57" s="1" t="s">
        <v>9</v>
      </c>
    </row>
    <row r="58" spans="1:6" x14ac:dyDescent="0.25">
      <c r="A58" s="12">
        <v>42156</v>
      </c>
      <c r="B58" s="7">
        <v>8.6805555555555566E-2</v>
      </c>
      <c r="C58" s="7">
        <v>0.10486111111111111</v>
      </c>
      <c r="D58" s="7">
        <f>(0.104861111111111-0.0868055555555556)</f>
        <v>1.8055555555555408E-2</v>
      </c>
      <c r="E58" s="7"/>
      <c r="F58" s="1" t="s">
        <v>9</v>
      </c>
    </row>
    <row r="59" spans="1:6" x14ac:dyDescent="0.25">
      <c r="A59" s="12">
        <v>42156</v>
      </c>
      <c r="B59" s="7">
        <v>0.49444444444444446</v>
      </c>
      <c r="C59" s="7">
        <v>0.51458333333333328</v>
      </c>
      <c r="D59" s="7">
        <f>(0.514583333333333-0.494444444444444)</f>
        <v>2.0138888888888928E-2</v>
      </c>
      <c r="E59" s="7">
        <f>ABS(0.0201388888888889-0.00902777777777797)</f>
        <v>1.1111111111110931E-2</v>
      </c>
      <c r="F59" s="1" t="s">
        <v>3</v>
      </c>
    </row>
    <row r="60" spans="1:6" x14ac:dyDescent="0.25">
      <c r="A60" s="12">
        <v>42156</v>
      </c>
      <c r="B60" s="7">
        <v>0.51874999999999993</v>
      </c>
      <c r="C60" s="7">
        <v>0.52777777777777779</v>
      </c>
      <c r="D60" s="7">
        <f>(0.527777777777778-0.51875)</f>
        <v>9.0277777777779677E-3</v>
      </c>
      <c r="E60" s="7">
        <f>ABS(0.00902777777777797-0.018055555555556)</f>
        <v>9.0277777777780319E-3</v>
      </c>
      <c r="F60" s="1" t="s">
        <v>3</v>
      </c>
    </row>
    <row r="61" spans="1:6" x14ac:dyDescent="0.25">
      <c r="A61" s="12">
        <v>42156</v>
      </c>
      <c r="B61" s="7">
        <v>0.59444444444444444</v>
      </c>
      <c r="C61" s="7">
        <v>0.61249999999999993</v>
      </c>
      <c r="D61" s="7">
        <f>(0.6125-0.594444444444444)</f>
        <v>1.8055555555556047E-2</v>
      </c>
      <c r="E61" s="7">
        <f>ABS(0.018055555555556-0.00972222222222296)</f>
        <v>8.3333333333330418E-3</v>
      </c>
      <c r="F61" s="1" t="s">
        <v>3</v>
      </c>
    </row>
    <row r="62" spans="1:6" x14ac:dyDescent="0.25">
      <c r="A62" s="12">
        <v>42156</v>
      </c>
      <c r="B62" s="7">
        <v>0.64444444444444449</v>
      </c>
      <c r="C62" s="7">
        <v>0.65416666666666667</v>
      </c>
      <c r="D62" s="7">
        <f>(0.654166666666667-0.644444444444444)</f>
        <v>9.7222222222229648E-3</v>
      </c>
      <c r="E62" s="7">
        <f>ABS(0.00972222222222296-0.00902777777777797)</f>
        <v>6.9444444444499015E-4</v>
      </c>
      <c r="F62" s="1" t="s">
        <v>3</v>
      </c>
    </row>
    <row r="63" spans="1:6" x14ac:dyDescent="0.25">
      <c r="A63" s="12">
        <v>42156</v>
      </c>
      <c r="B63" s="7">
        <v>0.68333333333333324</v>
      </c>
      <c r="C63" s="7">
        <v>0.69236111111111109</v>
      </c>
      <c r="D63" s="7">
        <f>(0.692361111111111-0.683333333333333)</f>
        <v>9.0277777777779677E-3</v>
      </c>
      <c r="E63" s="7">
        <f>ABS(0.00902777777777797-0.010416666666667)</f>
        <v>1.3888888888890297E-3</v>
      </c>
      <c r="F63" s="1" t="s">
        <v>3</v>
      </c>
    </row>
    <row r="64" spans="1:6" x14ac:dyDescent="0.25">
      <c r="A64" s="12">
        <v>42156</v>
      </c>
      <c r="B64" s="7">
        <v>0.84236111111111101</v>
      </c>
      <c r="C64" s="7">
        <v>0.85277777777777775</v>
      </c>
      <c r="D64" s="7">
        <f>(0.852777777777778-0.842361111111111)</f>
        <v>1.0416666666666963E-2</v>
      </c>
      <c r="E64" s="7">
        <f>ABS(0.010416666666667-0.0125000000000001)</f>
        <v>2.0833333333331004E-3</v>
      </c>
      <c r="F64" s="1" t="s">
        <v>3</v>
      </c>
    </row>
    <row r="65" spans="1:6" x14ac:dyDescent="0.25">
      <c r="A65" s="12">
        <v>42156</v>
      </c>
      <c r="B65" s="7">
        <v>0.87916666666666676</v>
      </c>
      <c r="C65" s="7">
        <v>0.89166666666666661</v>
      </c>
      <c r="D65" s="7">
        <f>(0.891666666666667-0.879166666666667)</f>
        <v>1.2500000000000067E-2</v>
      </c>
      <c r="E65" s="7">
        <f>ABS(0.0125000000000001-0.228472222222223)</f>
        <v>0.2159722222222229</v>
      </c>
      <c r="F65" s="1" t="s">
        <v>3</v>
      </c>
    </row>
    <row r="66" spans="1:6" x14ac:dyDescent="0.25">
      <c r="A66" s="12">
        <v>42156</v>
      </c>
      <c r="B66" s="7">
        <v>0.9291666666666667</v>
      </c>
      <c r="C66" s="7">
        <v>1.1576388888888889</v>
      </c>
      <c r="D66" s="7">
        <f>(1.15763888888889-0.929166666666667)</f>
        <v>0.22847222222222296</v>
      </c>
      <c r="E66" s="7">
        <f>ABS(0.228472222222223-0.00763888888888709)</f>
        <v>0.22083333333333591</v>
      </c>
      <c r="F66" s="1" t="s">
        <v>3</v>
      </c>
    </row>
    <row r="67" spans="1:6" x14ac:dyDescent="0.25">
      <c r="A67" s="12">
        <v>42156</v>
      </c>
      <c r="B67" s="7">
        <v>0.99583333333333324</v>
      </c>
      <c r="C67" s="7">
        <v>1.0034722222222221</v>
      </c>
      <c r="D67" s="7">
        <f>(1.00347222222222-0.995833333333333)</f>
        <v>7.6388888888870854E-3</v>
      </c>
      <c r="E67" s="7">
        <f>ABS(0.00763888888888709-0.00347222222222202)</f>
        <v>4.1666666666650698E-3</v>
      </c>
      <c r="F67" s="1" t="s">
        <v>3</v>
      </c>
    </row>
    <row r="68" spans="1:6" x14ac:dyDescent="0.25">
      <c r="A68" s="12">
        <v>42156</v>
      </c>
      <c r="B68" s="7">
        <v>0.12638888888888888</v>
      </c>
      <c r="C68" s="7">
        <v>0.12986111111111112</v>
      </c>
      <c r="D68" s="7">
        <f>(0.129861111111111-0.126388888888889)</f>
        <v>3.4722222222220156E-3</v>
      </c>
      <c r="E68" s="7">
        <f>ABS(0.00347222222222202-0.031944444444445)</f>
        <v>2.8472222222222978E-2</v>
      </c>
      <c r="F68" s="1" t="s">
        <v>3</v>
      </c>
    </row>
    <row r="69" spans="1:6" x14ac:dyDescent="0.25">
      <c r="A69" s="12">
        <v>42156</v>
      </c>
      <c r="B69" s="7">
        <v>0.43333333333333335</v>
      </c>
      <c r="C69" s="7">
        <v>0.46527777777777773</v>
      </c>
      <c r="D69" s="7">
        <f>(0.465277777777778-0.433333333333333)</f>
        <v>3.1944444444444997E-2</v>
      </c>
      <c r="E69" s="7">
        <f>ABS(0.031944444444445-0.021527777777778)</f>
        <v>1.0416666666666997E-2</v>
      </c>
      <c r="F69" s="1" t="s">
        <v>3</v>
      </c>
    </row>
    <row r="70" spans="1:6" x14ac:dyDescent="0.25">
      <c r="A70" s="12">
        <v>42156</v>
      </c>
      <c r="B70" s="7">
        <v>0.45069444444444445</v>
      </c>
      <c r="C70" s="7">
        <v>0.47222222222222227</v>
      </c>
      <c r="D70" s="7">
        <f>(0.472222222222222-0.450694444444444)</f>
        <v>2.1527777777777979E-2</v>
      </c>
      <c r="E70" s="7">
        <f>ABS(0.021527777777778-0.013888888888888)</f>
        <v>7.6388888888899997E-3</v>
      </c>
      <c r="F70" s="1" t="s">
        <v>3</v>
      </c>
    </row>
    <row r="71" spans="1:6" x14ac:dyDescent="0.25">
      <c r="A71" s="12">
        <v>42156</v>
      </c>
      <c r="B71" s="7">
        <v>0.52430555555555558</v>
      </c>
      <c r="C71" s="7">
        <v>0.53819444444444442</v>
      </c>
      <c r="D71" s="7">
        <f>(0.538194444444444-0.524305555555556)</f>
        <v>1.3888888888887951E-2</v>
      </c>
      <c r="E71" s="7">
        <f>ABS(0.013888888888888-0.011111111111111)</f>
        <v>2.7777777777769994E-3</v>
      </c>
      <c r="F71" s="1" t="s">
        <v>3</v>
      </c>
    </row>
    <row r="72" spans="1:6" x14ac:dyDescent="0.25">
      <c r="A72" s="12">
        <v>42156</v>
      </c>
      <c r="B72" s="7">
        <v>0.29166666666666669</v>
      </c>
      <c r="C72" s="7">
        <v>0.30277777777777776</v>
      </c>
      <c r="D72" s="7">
        <f>(0.302777777777778-0.291666666666667)</f>
        <v>1.1111111111110961E-2</v>
      </c>
      <c r="E72" s="7">
        <f>ABS(0.011111111111111-0.00486111111111109)</f>
        <v>6.2499999999999101E-3</v>
      </c>
      <c r="F72" s="1" t="s">
        <v>3</v>
      </c>
    </row>
    <row r="73" spans="1:6" x14ac:dyDescent="0.25">
      <c r="A73" s="12">
        <v>42156</v>
      </c>
      <c r="B73" s="7">
        <v>0.67013888888888884</v>
      </c>
      <c r="C73" s="7">
        <v>0.67499999999999993</v>
      </c>
      <c r="D73" s="7">
        <f>(0.675-0.670138888888889)</f>
        <v>4.8611111111110938E-3</v>
      </c>
      <c r="E73" s="7">
        <f>ABS(0.00486111111111109-0.00902777777777808)</f>
        <v>4.1666666666669901E-3</v>
      </c>
      <c r="F73" s="1" t="s">
        <v>3</v>
      </c>
    </row>
    <row r="74" spans="1:6" x14ac:dyDescent="0.25">
      <c r="A74" s="12">
        <v>42156</v>
      </c>
      <c r="B74" s="7">
        <v>0.76388888888888884</v>
      </c>
      <c r="C74" s="7">
        <v>0.7729166666666667</v>
      </c>
      <c r="D74" s="7">
        <f>(0.772916666666667-0.763888888888889)</f>
        <v>9.0277777777780788E-3</v>
      </c>
      <c r="E74" s="7">
        <f>ABS(0.00902777777777808-0.00763888888888897)</f>
        <v>1.3888888888891103E-3</v>
      </c>
      <c r="F74" s="1" t="s">
        <v>3</v>
      </c>
    </row>
    <row r="75" spans="1:6" x14ac:dyDescent="0.25">
      <c r="A75" s="12">
        <v>42156</v>
      </c>
      <c r="B75" s="7">
        <v>0.87777777777777777</v>
      </c>
      <c r="C75" s="7">
        <v>0.88541666666666663</v>
      </c>
      <c r="D75" s="7">
        <f>(0.885416666666667-0.877777777777778)</f>
        <v>7.6388888888889728E-3</v>
      </c>
      <c r="E75" s="7">
        <f>ABS(0.00763888888888897-0.00624999999999998)</f>
        <v>1.3888888888889898E-3</v>
      </c>
      <c r="F75" s="1" t="s">
        <v>3</v>
      </c>
    </row>
    <row r="76" spans="1:6" x14ac:dyDescent="0.25">
      <c r="A76" s="12">
        <v>42156</v>
      </c>
      <c r="B76" s="7">
        <v>0.96319444444444446</v>
      </c>
      <c r="C76" s="7">
        <v>0.96944444444444444</v>
      </c>
      <c r="D76" s="7">
        <f>(0.969444444444444-0.963194444444444)</f>
        <v>6.2499999999999778E-3</v>
      </c>
      <c r="E76" s="7">
        <f>ABS(0.00624999999999998-0.00694444444444403)</f>
        <v>6.9444444444404993E-4</v>
      </c>
      <c r="F76" s="1" t="s">
        <v>3</v>
      </c>
    </row>
    <row r="77" spans="1:6" x14ac:dyDescent="0.25">
      <c r="A77" s="12">
        <v>42156</v>
      </c>
      <c r="B77" s="7">
        <v>0.26666666666666666</v>
      </c>
      <c r="C77" s="7">
        <v>0.27361111111111108</v>
      </c>
      <c r="D77" s="7">
        <f>(0.273611111111111-0.266666666666667)</f>
        <v>6.9444444444440312E-3</v>
      </c>
      <c r="E77" s="7">
        <f>ABS(0.00694444444444403-0.00416666666666698)</f>
        <v>2.7777777777770506E-3</v>
      </c>
      <c r="F77" s="1" t="s">
        <v>3</v>
      </c>
    </row>
    <row r="78" spans="1:6" x14ac:dyDescent="0.25">
      <c r="A78" s="12">
        <v>42156</v>
      </c>
      <c r="B78" s="7">
        <v>0.43194444444444446</v>
      </c>
      <c r="C78" s="7">
        <v>0.43611111111111112</v>
      </c>
      <c r="D78" s="7">
        <f>(0.436111111111111-0.431944444444444)</f>
        <v>4.1666666666669849E-3</v>
      </c>
      <c r="E78" s="7">
        <f>ABS(0.00416666666666698-0.035416666666667)</f>
        <v>3.1250000000000021E-2</v>
      </c>
      <c r="F78" s="1" t="s">
        <v>3</v>
      </c>
    </row>
    <row r="79" spans="1:6" x14ac:dyDescent="0.25">
      <c r="A79" s="12">
        <v>42156</v>
      </c>
      <c r="B79" s="7">
        <v>0.44513888888888892</v>
      </c>
      <c r="C79" s="7">
        <v>0.48055555555555557</v>
      </c>
      <c r="D79" s="7">
        <f>(0.480555555555556-0.445138888888889)</f>
        <v>3.541666666666704E-2</v>
      </c>
      <c r="E79" s="7">
        <f>ABS(0.035416666666667-0.0472222222222221)</f>
        <v>1.1805555555555104E-2</v>
      </c>
      <c r="F79" s="1" t="s">
        <v>3</v>
      </c>
    </row>
    <row r="80" spans="1:6" x14ac:dyDescent="0.25">
      <c r="A80" s="12">
        <v>42156</v>
      </c>
      <c r="B80" s="7">
        <v>0.65625</v>
      </c>
      <c r="C80" s="7">
        <v>0.70347222222222217</v>
      </c>
      <c r="D80" s="7">
        <f>(0.703472222222222-0.65625)</f>
        <v>4.7222222222222054E-2</v>
      </c>
      <c r="E80" s="7">
        <f>ABS(0.0472222222222221-0.00763888888888897)</f>
        <v>3.958333333333313E-2</v>
      </c>
      <c r="F80" s="1" t="s">
        <v>3</v>
      </c>
    </row>
    <row r="81" spans="1:6" x14ac:dyDescent="0.25">
      <c r="A81" s="12">
        <v>42156</v>
      </c>
      <c r="B81" s="7">
        <v>0.68333333333333324</v>
      </c>
      <c r="C81" s="7">
        <v>0.69097222222222221</v>
      </c>
      <c r="D81" s="7">
        <f>(0.690972222222222-0.683333333333333)</f>
        <v>7.6388888888889728E-3</v>
      </c>
      <c r="E81" s="7">
        <f>ABS(0.00763888888888897-0.011805555555556)</f>
        <v>4.1666666666670292E-3</v>
      </c>
      <c r="F81" s="1" t="s">
        <v>3</v>
      </c>
    </row>
    <row r="82" spans="1:6" x14ac:dyDescent="0.25">
      <c r="A82" s="12">
        <v>42156</v>
      </c>
      <c r="B82" s="7">
        <v>0.92222222222222217</v>
      </c>
      <c r="C82" s="7">
        <v>0.93402777777777779</v>
      </c>
      <c r="D82" s="7">
        <f>(0.934027777777778-0.922222222222222)</f>
        <v>1.1805555555555958E-2</v>
      </c>
      <c r="E82" s="7">
        <f>ABS(0.011805555555556-0.00625000000000098)</f>
        <v>5.5555555555550197E-3</v>
      </c>
      <c r="F82" s="1" t="s">
        <v>3</v>
      </c>
    </row>
    <row r="83" spans="1:6" x14ac:dyDescent="0.25">
      <c r="A83" s="12">
        <v>42156</v>
      </c>
      <c r="B83" s="7">
        <v>0.99513888888888891</v>
      </c>
      <c r="C83" s="7">
        <v>1.0013888888888889</v>
      </c>
      <c r="D83" s="7">
        <f>(1.00138888888889-0.995138888888889)</f>
        <v>6.250000000000977E-3</v>
      </c>
      <c r="E83" s="7">
        <f>ABS(0.00625000000000098-0.00694444444444398)</f>
        <v>6.9444444444300042E-4</v>
      </c>
      <c r="F83" s="1" t="s">
        <v>3</v>
      </c>
    </row>
    <row r="84" spans="1:6" x14ac:dyDescent="0.25">
      <c r="A84" s="12">
        <v>42156</v>
      </c>
      <c r="B84" s="7">
        <v>0.34027777777777773</v>
      </c>
      <c r="C84" s="7">
        <v>0.34722222222222227</v>
      </c>
      <c r="D84" s="7">
        <f>(0.347222222222222-0.340277777777778)</f>
        <v>6.9444444444439757E-3</v>
      </c>
      <c r="E84" s="7">
        <f>ABS(0.00694444444444398-0.00416666666666698)</f>
        <v>2.7777777777770003E-3</v>
      </c>
      <c r="F84" s="1" t="s">
        <v>3</v>
      </c>
    </row>
    <row r="85" spans="1:6" x14ac:dyDescent="0.25">
      <c r="A85" s="12">
        <v>42156</v>
      </c>
      <c r="B85" s="7">
        <v>0.35694444444444445</v>
      </c>
      <c r="C85" s="7">
        <v>0.3611111111111111</v>
      </c>
      <c r="D85" s="7">
        <f>(0.361111111111111-0.356944444444444)</f>
        <v>4.1666666666669849E-3</v>
      </c>
      <c r="E85" s="7">
        <f>ABS(0.00416666666666698-0.011805555555556)</f>
        <v>7.6388888888890196E-3</v>
      </c>
      <c r="F85" s="1" t="s">
        <v>3</v>
      </c>
    </row>
    <row r="86" spans="1:6" x14ac:dyDescent="0.25">
      <c r="A86" s="12">
        <v>42156</v>
      </c>
      <c r="B86" s="7">
        <v>0.61944444444444446</v>
      </c>
      <c r="C86" s="7">
        <v>0.63124999999999998</v>
      </c>
      <c r="D86" s="7">
        <f>(0.63125-0.619444444444444)</f>
        <v>1.1805555555555958E-2</v>
      </c>
      <c r="E86" s="7">
        <f>ABS(0.011805555555556-0.0166666666666671)</f>
        <v>4.8611111111111008E-3</v>
      </c>
      <c r="F86" s="1" t="s">
        <v>3</v>
      </c>
    </row>
    <row r="87" spans="1:6" x14ac:dyDescent="0.25">
      <c r="A87" s="12">
        <v>42156</v>
      </c>
      <c r="B87" s="7">
        <v>0.60625000000000007</v>
      </c>
      <c r="C87" s="7">
        <v>0.62291666666666667</v>
      </c>
      <c r="D87" s="7">
        <f>(0.622916666666667-0.60625)</f>
        <v>1.6666666666667052E-2</v>
      </c>
      <c r="E87" s="7">
        <f>ABS(0.0166666666666671-0.00902777777777808)</f>
        <v>7.6388888888890196E-3</v>
      </c>
      <c r="F87" s="1" t="s">
        <v>3</v>
      </c>
    </row>
    <row r="88" spans="1:6" x14ac:dyDescent="0.25">
      <c r="A88" s="12">
        <v>42156</v>
      </c>
      <c r="B88" s="7">
        <v>0.78888888888888886</v>
      </c>
      <c r="C88" s="7">
        <v>0.79791666666666661</v>
      </c>
      <c r="D88" s="7">
        <f>(0.797916666666667-0.788888888888889)</f>
        <v>9.0277777777780788E-3</v>
      </c>
      <c r="E88" s="7">
        <f>ABS(0.00902777777777808-0.018055555555555)</f>
        <v>9.0277777777769182E-3</v>
      </c>
      <c r="F88" s="1" t="s">
        <v>3</v>
      </c>
    </row>
    <row r="89" spans="1:6" x14ac:dyDescent="0.25">
      <c r="A89" s="12">
        <v>42156</v>
      </c>
      <c r="B89" s="7">
        <v>0.97013888888888899</v>
      </c>
      <c r="C89" s="7">
        <v>0.98819444444444438</v>
      </c>
      <c r="D89" s="7">
        <f>(0.988194444444444-0.970138888888889)</f>
        <v>1.8055555555555047E-2</v>
      </c>
      <c r="E89" s="7">
        <f>ABS(0.018055555555555-0.16875)</f>
        <v>0.15069444444444502</v>
      </c>
      <c r="F89" s="1" t="s">
        <v>3</v>
      </c>
    </row>
    <row r="90" spans="1:6" x14ac:dyDescent="0.25">
      <c r="A90" s="12">
        <v>42156</v>
      </c>
      <c r="B90" s="7">
        <v>0.49583333333333335</v>
      </c>
      <c r="C90" s="7">
        <v>0.6645833333333333</v>
      </c>
      <c r="D90" s="7">
        <f>(0.664583333333333-0.495833333333333)</f>
        <v>0.16874999999999996</v>
      </c>
      <c r="E90" s="7">
        <f>ABS(0.16875-0.00694444444444497)</f>
        <v>0.16180555555555504</v>
      </c>
      <c r="F90" s="1" t="s">
        <v>3</v>
      </c>
    </row>
    <row r="91" spans="1:6" x14ac:dyDescent="0.25">
      <c r="A91" s="12">
        <v>42156</v>
      </c>
      <c r="B91" s="7">
        <v>0.54861111111111105</v>
      </c>
      <c r="C91" s="7">
        <v>0.55555555555555558</v>
      </c>
      <c r="D91" s="7">
        <f>(0.555555555555556-0.548611111111111)</f>
        <v>6.9444444444449749E-3</v>
      </c>
      <c r="E91" s="7">
        <f>ABS(0.00694444444444497-0.00555555555555509)</f>
        <v>1.3888888888898797E-3</v>
      </c>
      <c r="F91" s="1" t="s">
        <v>3</v>
      </c>
    </row>
    <row r="92" spans="1:6" x14ac:dyDescent="0.25">
      <c r="A92" s="12">
        <v>42156</v>
      </c>
      <c r="B92" s="7">
        <v>0.66666666666666663</v>
      </c>
      <c r="C92" s="7">
        <v>0.67222222222222217</v>
      </c>
      <c r="D92" s="7">
        <f>(0.672222222222222-0.666666666666667)</f>
        <v>5.5555555555550917E-3</v>
      </c>
      <c r="E92" s="7">
        <f>ABS(0.00555555555555509-0.010416666666667)</f>
        <v>4.8611111111119092E-3</v>
      </c>
      <c r="F92" s="1" t="s">
        <v>3</v>
      </c>
    </row>
    <row r="93" spans="1:6" x14ac:dyDescent="0.25">
      <c r="A93" s="12">
        <v>42156</v>
      </c>
      <c r="B93" s="7">
        <v>0.89583333333333337</v>
      </c>
      <c r="C93" s="7">
        <v>0.90625</v>
      </c>
      <c r="D93" s="7">
        <f>(0.90625-0.895833333333333)</f>
        <v>1.0416666666666963E-2</v>
      </c>
      <c r="E93" s="7">
        <f>ABS(0.010416666666667-0.0125000000000001)</f>
        <v>2.0833333333331004E-3</v>
      </c>
      <c r="F93" s="1" t="s">
        <v>3</v>
      </c>
    </row>
    <row r="94" spans="1:6" x14ac:dyDescent="0.25">
      <c r="A94" s="12">
        <v>42156</v>
      </c>
      <c r="B94" s="7">
        <v>0.94374999999999998</v>
      </c>
      <c r="C94" s="7">
        <v>0.95624999999999993</v>
      </c>
      <c r="D94" s="7">
        <f>(0.95625-0.94375)</f>
        <v>1.2500000000000067E-2</v>
      </c>
      <c r="E94" s="7">
        <f>ABS(0.0125000000000001-0.025)</f>
        <v>1.2499999999999902E-2</v>
      </c>
      <c r="F94" s="1" t="s">
        <v>3</v>
      </c>
    </row>
    <row r="95" spans="1:6" x14ac:dyDescent="0.25">
      <c r="A95" s="12">
        <v>42156</v>
      </c>
      <c r="B95" s="7">
        <v>0.28055555555555556</v>
      </c>
      <c r="C95" s="7">
        <v>0.30555555555555552</v>
      </c>
      <c r="D95" s="7">
        <f>(0.305555555555556-0.280555555555556)</f>
        <v>2.5000000000000022E-2</v>
      </c>
      <c r="E95" s="7">
        <f>ABS(0.025-0.011805555555555)</f>
        <v>1.3194444444445001E-2</v>
      </c>
      <c r="F95" s="1" t="s">
        <v>3</v>
      </c>
    </row>
    <row r="96" spans="1:6" x14ac:dyDescent="0.25">
      <c r="A96" s="12">
        <v>42156</v>
      </c>
      <c r="B96" s="7">
        <v>0.26180555555555557</v>
      </c>
      <c r="C96" s="7">
        <v>0.27361111111111108</v>
      </c>
      <c r="D96" s="7">
        <f>(0.273611111111111-0.261805555555556)</f>
        <v>1.1805555555555014E-2</v>
      </c>
      <c r="E96" s="7">
        <f>ABS(0.011805555555555-0.00833333333333403)</f>
        <v>3.4722222222209696E-3</v>
      </c>
      <c r="F96" s="1" t="s">
        <v>3</v>
      </c>
    </row>
    <row r="97" spans="1:6" x14ac:dyDescent="0.25">
      <c r="A97" s="12">
        <v>42156</v>
      </c>
      <c r="B97" s="7">
        <v>0.47222222222222227</v>
      </c>
      <c r="C97" s="7">
        <v>0.48055555555555557</v>
      </c>
      <c r="D97" s="7">
        <f>(0.480555555555556-0.472222222222222)</f>
        <v>8.3333333333340254E-3</v>
      </c>
      <c r="E97" s="7">
        <f>ABS(0.00833333333333403-0.00833333333333408)</f>
        <v>4.8572257327350599E-17</v>
      </c>
      <c r="F97" s="1" t="s">
        <v>3</v>
      </c>
    </row>
    <row r="98" spans="1:6" x14ac:dyDescent="0.25">
      <c r="A98" s="12">
        <v>42156</v>
      </c>
      <c r="B98" s="7">
        <v>0.54097222222222219</v>
      </c>
      <c r="C98" s="7">
        <v>0.5493055555555556</v>
      </c>
      <c r="D98" s="7">
        <f>(0.549305555555556-0.540972222222222)</f>
        <v>8.3333333333340809E-3</v>
      </c>
      <c r="E98" s="7">
        <f>ABS(0.00833333333333408-0.010416666666667)</f>
        <v>2.08333333333292E-3</v>
      </c>
      <c r="F98" s="1" t="s">
        <v>3</v>
      </c>
    </row>
    <row r="99" spans="1:6" x14ac:dyDescent="0.25">
      <c r="A99" s="12">
        <v>42156</v>
      </c>
      <c r="B99" s="7">
        <v>0.97222222222222221</v>
      </c>
      <c r="C99" s="7">
        <v>0.98263888888888884</v>
      </c>
      <c r="D99" s="7">
        <f>(0.982638888888889-0.972222222222222)</f>
        <v>1.0416666666666963E-2</v>
      </c>
      <c r="E99" s="7">
        <f>ABS(0.010416666666667-0.004861111111111)</f>
        <v>5.555555555555999E-3</v>
      </c>
      <c r="F99" s="1" t="s">
        <v>3</v>
      </c>
    </row>
    <row r="100" spans="1:6" x14ac:dyDescent="0.25">
      <c r="A100" s="12">
        <v>42156</v>
      </c>
      <c r="B100" s="7">
        <v>0.12291666666666667</v>
      </c>
      <c r="C100" s="7">
        <v>0.1277777777777778</v>
      </c>
      <c r="D100" s="7">
        <f>(0.127777777777778-0.122916666666667)</f>
        <v>4.8611111111109967E-3</v>
      </c>
      <c r="E100" s="7">
        <f>ABS(0.004861111111111-0.00347222222222199)</f>
        <v>1.3888888888890102E-3</v>
      </c>
      <c r="F100" s="1" t="s">
        <v>3</v>
      </c>
    </row>
    <row r="101" spans="1:6" x14ac:dyDescent="0.25">
      <c r="A101" s="12">
        <v>42156</v>
      </c>
      <c r="B101" s="7">
        <v>0.44791666666666669</v>
      </c>
      <c r="C101" s="7">
        <v>0.4513888888888889</v>
      </c>
      <c r="D101" s="7">
        <f>(0.451388888888889-0.447916666666667)</f>
        <v>3.4722222222219878E-3</v>
      </c>
      <c r="E101" s="7">
        <f>ABS(0.00347222222222199-0.00347222222222299)</f>
        <v>1.0000680839006293E-15</v>
      </c>
      <c r="F101" s="1" t="s">
        <v>3</v>
      </c>
    </row>
    <row r="102" spans="1:6" x14ac:dyDescent="0.25">
      <c r="A102" s="12">
        <v>42156</v>
      </c>
      <c r="B102" s="7">
        <v>0.59444444444444444</v>
      </c>
      <c r="C102" s="7">
        <v>0.59791666666666665</v>
      </c>
      <c r="D102" s="7">
        <f>(0.597916666666667-0.594444444444444)</f>
        <v>3.472222222222987E-3</v>
      </c>
      <c r="E102" s="7">
        <f>ABS(0.00347222222222299-0.00347222222222199)</f>
        <v>1.0000680839006293E-15</v>
      </c>
      <c r="F102" s="1" t="s">
        <v>3</v>
      </c>
    </row>
    <row r="103" spans="1:6" x14ac:dyDescent="0.25">
      <c r="A103" s="12">
        <v>42156</v>
      </c>
      <c r="B103" s="7">
        <v>0.67361111111111116</v>
      </c>
      <c r="C103" s="7">
        <v>0.67708333333333337</v>
      </c>
      <c r="D103" s="7">
        <f>(0.677083333333333-0.673611111111111)</f>
        <v>3.4722222222219878E-3</v>
      </c>
      <c r="E103" s="7">
        <f>ABS(0.00347222222222199-0.00624999999999998)</f>
        <v>2.7777777777779904E-3</v>
      </c>
      <c r="F103" s="1" t="s">
        <v>3</v>
      </c>
    </row>
    <row r="104" spans="1:6" x14ac:dyDescent="0.25">
      <c r="A104" s="12">
        <v>42156</v>
      </c>
      <c r="B104" s="7">
        <v>0.7090277777777777</v>
      </c>
      <c r="C104" s="7">
        <v>0.71527777777777779</v>
      </c>
      <c r="D104" s="7">
        <f>(0.715277777777778-0.709027777777778)</f>
        <v>6.2499999999999778E-3</v>
      </c>
      <c r="E104" s="7">
        <f>ABS(0.00624999999999998-0.00416666666666599)</f>
        <v>2.0833333333339903E-3</v>
      </c>
      <c r="F104" s="1" t="s">
        <v>3</v>
      </c>
    </row>
    <row r="105" spans="1:6" x14ac:dyDescent="0.25">
      <c r="A105" s="12">
        <v>42156</v>
      </c>
      <c r="B105" s="7">
        <v>0.72777777777777775</v>
      </c>
      <c r="C105" s="7">
        <v>0.7319444444444444</v>
      </c>
      <c r="D105" s="7">
        <f>(0.731944444444444-0.727777777777778)</f>
        <v>4.1666666666659857E-3</v>
      </c>
      <c r="E105" s="7">
        <f>ABS(0.00416666666666599-0.0118055555555561)</f>
        <v>7.6388888888901099E-3</v>
      </c>
      <c r="F105" s="1" t="s">
        <v>3</v>
      </c>
    </row>
    <row r="106" spans="1:6" x14ac:dyDescent="0.25">
      <c r="A106" s="12">
        <v>42156</v>
      </c>
      <c r="B106" s="7">
        <v>0.75486111111111109</v>
      </c>
      <c r="C106" s="7">
        <v>0.76666666666666661</v>
      </c>
      <c r="D106" s="7">
        <f>(0.766666666666667-0.754861111111111)</f>
        <v>1.1805555555556069E-2</v>
      </c>
      <c r="E106" s="7">
        <f>ABS(0.0118055555555561-0.00555555555555509)</f>
        <v>6.25000000000101E-3</v>
      </c>
      <c r="F106" s="1" t="s">
        <v>3</v>
      </c>
    </row>
    <row r="107" spans="1:6" x14ac:dyDescent="0.25">
      <c r="A107" s="12">
        <v>42156</v>
      </c>
      <c r="B107" s="7">
        <v>0.95138888888888884</v>
      </c>
      <c r="C107" s="7">
        <v>0.95694444444444438</v>
      </c>
      <c r="D107" s="7">
        <f>(0.956944444444444-0.951388888888889)</f>
        <v>5.5555555555550917E-3</v>
      </c>
      <c r="E107" s="7">
        <f>ABS(0.00555555555555509-0.0083333333333333)</f>
        <v>2.7777777777782103E-3</v>
      </c>
      <c r="F107" s="1" t="s">
        <v>3</v>
      </c>
    </row>
    <row r="108" spans="1:6" x14ac:dyDescent="0.25">
      <c r="A108" s="12">
        <v>42156</v>
      </c>
      <c r="B108" s="7">
        <v>3.7499999999999999E-2</v>
      </c>
      <c r="C108" s="7">
        <v>4.5833333333333337E-2</v>
      </c>
      <c r="D108" s="7">
        <f>(0.0458333333333333-0.0375)</f>
        <v>8.3333333333333037E-3</v>
      </c>
      <c r="E108" s="7">
        <f>ABS(0.0083333333333333-0.00486111111111101)</f>
        <v>3.4722222222222906E-3</v>
      </c>
      <c r="F108" s="1" t="s">
        <v>3</v>
      </c>
    </row>
    <row r="109" spans="1:6" x14ac:dyDescent="0.25">
      <c r="A109" s="12">
        <v>42156</v>
      </c>
      <c r="B109" s="7">
        <v>0.1423611111111111</v>
      </c>
      <c r="C109" s="7">
        <v>0.14722222222222223</v>
      </c>
      <c r="D109" s="7">
        <f>(0.147222222222222-0.142361111111111)</f>
        <v>4.8611111111110106E-3</v>
      </c>
      <c r="E109" s="7">
        <f>ABS(0.00486111111111101-0.029166666666667)</f>
        <v>2.430555555555599E-2</v>
      </c>
      <c r="F109" s="1" t="s">
        <v>3</v>
      </c>
    </row>
    <row r="110" spans="1:6" x14ac:dyDescent="0.25">
      <c r="A110" s="12">
        <v>42156</v>
      </c>
      <c r="B110" s="7">
        <v>0.33194444444444443</v>
      </c>
      <c r="C110" s="7">
        <v>0.3611111111111111</v>
      </c>
      <c r="D110" s="7">
        <f>(0.361111111111111-0.331944444444444)</f>
        <v>2.9166666666667007E-2</v>
      </c>
      <c r="E110" s="7">
        <f>ABS(0.029166666666667-0.00972222222222202)</f>
        <v>1.9444444444444979E-2</v>
      </c>
      <c r="F110" s="1" t="s">
        <v>3</v>
      </c>
    </row>
    <row r="111" spans="1:6" x14ac:dyDescent="0.25">
      <c r="A111" s="12">
        <v>42156</v>
      </c>
      <c r="B111" s="7">
        <v>0.37916666666666665</v>
      </c>
      <c r="C111" s="7">
        <v>0.3888888888888889</v>
      </c>
      <c r="D111" s="7">
        <f>(0.388888888888889-0.379166666666667)</f>
        <v>9.7222222222220211E-3</v>
      </c>
      <c r="E111" s="7">
        <f>ABS(0.00972222222222202-0.013888888888889)</f>
        <v>4.1666666666669797E-3</v>
      </c>
      <c r="F111" s="1" t="s">
        <v>3</v>
      </c>
    </row>
    <row r="112" spans="1:6" x14ac:dyDescent="0.25">
      <c r="A112" s="12">
        <v>42156</v>
      </c>
      <c r="B112" s="7">
        <v>0.33888888888888885</v>
      </c>
      <c r="C112" s="7">
        <v>0.3527777777777778</v>
      </c>
      <c r="D112" s="7">
        <f>(0.352777777777778-0.338888888888889)</f>
        <v>1.3888888888889006E-2</v>
      </c>
      <c r="E112" s="7">
        <f>ABS(0.013888888888889-0.017361111111111)</f>
        <v>3.4722222222220017E-3</v>
      </c>
      <c r="F112" s="1" t="s">
        <v>3</v>
      </c>
    </row>
    <row r="113" spans="1:6" x14ac:dyDescent="0.25">
      <c r="A113" s="12">
        <v>42156</v>
      </c>
      <c r="B113" s="7">
        <v>0.57500000000000007</v>
      </c>
      <c r="C113" s="7">
        <v>0.59236111111111112</v>
      </c>
      <c r="D113" s="7">
        <f>(0.592361111111111-0.575)</f>
        <v>1.7361111111111049E-2</v>
      </c>
      <c r="E113" s="7">
        <f>ABS(0.017361111111111-0.0194444444444449)</f>
        <v>2.0833333333338984E-3</v>
      </c>
      <c r="F113" s="1" t="s">
        <v>3</v>
      </c>
    </row>
    <row r="114" spans="1:6" x14ac:dyDescent="0.25">
      <c r="A114" s="12">
        <v>42156</v>
      </c>
      <c r="B114" s="7">
        <v>0.61319444444444449</v>
      </c>
      <c r="C114" s="7">
        <v>0.63263888888888886</v>
      </c>
      <c r="D114" s="7">
        <f>(0.632638888888889-0.613194444444444)</f>
        <v>1.944444444444493E-2</v>
      </c>
      <c r="E114" s="7">
        <f>ABS(0.0194444444444449-0.00555555555555498)</f>
        <v>1.3888888888889919E-2</v>
      </c>
      <c r="F114" s="1" t="s">
        <v>3</v>
      </c>
    </row>
    <row r="115" spans="1:6" x14ac:dyDescent="0.25">
      <c r="A115" s="12">
        <v>42156</v>
      </c>
      <c r="B115" s="7">
        <v>0.64166666666666672</v>
      </c>
      <c r="C115" s="7">
        <v>0.64722222222222225</v>
      </c>
      <c r="D115" s="7">
        <f>(0.647222222222222-0.641666666666667)</f>
        <v>5.5555555555549807E-3</v>
      </c>
      <c r="E115" s="7">
        <f>ABS(0.00555555555555498-0.109722222222223)</f>
        <v>0.10416666666666802</v>
      </c>
      <c r="F115" s="1" t="s">
        <v>3</v>
      </c>
    </row>
    <row r="116" spans="1:6" x14ac:dyDescent="0.25">
      <c r="A116" s="12">
        <v>42156</v>
      </c>
      <c r="B116" s="7">
        <v>0.67847222222222225</v>
      </c>
      <c r="C116" s="7">
        <v>0.78819444444444453</v>
      </c>
      <c r="D116" s="7">
        <f>(0.788194444444445-0.678472222222222)</f>
        <v>0.10972222222222294</v>
      </c>
      <c r="E116" s="7">
        <f>ABS(0.109722222222223-0.00624999999999998)</f>
        <v>0.10347222222222302</v>
      </c>
      <c r="F116" s="1" t="s">
        <v>3</v>
      </c>
    </row>
    <row r="117" spans="1:6" x14ac:dyDescent="0.25">
      <c r="A117" s="12">
        <v>42156</v>
      </c>
      <c r="B117" s="7">
        <v>0.78125</v>
      </c>
      <c r="C117" s="7">
        <v>0.78749999999999998</v>
      </c>
      <c r="D117" s="7">
        <f>(0.7875-0.78125)</f>
        <v>6.2499999999999778E-3</v>
      </c>
      <c r="E117" s="7">
        <f>ABS(0.00624999999999998-0.0152777777777778)</f>
        <v>9.0277777777778186E-3</v>
      </c>
      <c r="F117" s="1" t="s">
        <v>3</v>
      </c>
    </row>
    <row r="118" spans="1:6" x14ac:dyDescent="0.25">
      <c r="A118" s="12">
        <v>42156</v>
      </c>
      <c r="B118" s="7">
        <v>3.8194444444444441E-2</v>
      </c>
      <c r="C118" s="7">
        <v>5.347222222222222E-2</v>
      </c>
      <c r="D118" s="7">
        <f>(0.0534722222222222-0.0381944444444444)</f>
        <v>1.52777777777778E-2</v>
      </c>
      <c r="E118" s="7">
        <f>ABS(0.0152777777777778-0.013888888888889)</f>
        <v>1.3888888888888007E-3</v>
      </c>
      <c r="F118" s="1" t="s">
        <v>3</v>
      </c>
    </row>
    <row r="119" spans="1:6" x14ac:dyDescent="0.25">
      <c r="A119" s="12">
        <v>42156</v>
      </c>
      <c r="B119" s="7">
        <v>0.16319444444444445</v>
      </c>
      <c r="C119" s="7">
        <v>0.17708333333333334</v>
      </c>
      <c r="D119" s="7">
        <f>(0.177083333333333-0.163194444444444)</f>
        <v>1.3888888888889006E-2</v>
      </c>
      <c r="E119" s="7">
        <f>ABS(0.013888888888889-0.00555555555555498)</f>
        <v>8.3333333333340184E-3</v>
      </c>
      <c r="F119" s="1" t="s">
        <v>3</v>
      </c>
    </row>
    <row r="120" spans="1:6" x14ac:dyDescent="0.25">
      <c r="A120" s="12">
        <v>42156</v>
      </c>
      <c r="B120" s="7">
        <v>0.34166666666666662</v>
      </c>
      <c r="C120" s="7">
        <v>0.34722222222222227</v>
      </c>
      <c r="D120" s="7">
        <f>(0.347222222222222-0.341666666666667)</f>
        <v>5.5555555555549807E-3</v>
      </c>
      <c r="E120" s="7">
        <f>ABS(0.00555555555555498-0.00486111111111098)</f>
        <v>6.9444444444399962E-4</v>
      </c>
      <c r="F120" s="1" t="s">
        <v>3</v>
      </c>
    </row>
    <row r="121" spans="1:6" x14ac:dyDescent="0.25">
      <c r="A121" s="12">
        <v>42156</v>
      </c>
      <c r="B121" s="7">
        <v>0.36874999999999997</v>
      </c>
      <c r="C121" s="7">
        <v>0.37361111111111112</v>
      </c>
      <c r="D121" s="7">
        <f>(0.373611111111111-0.36875)</f>
        <v>4.8611111111109828E-3</v>
      </c>
      <c r="E121" s="7">
        <f>ABS(0.00486111111111098-0.016666666666667)</f>
        <v>1.180555555555602E-2</v>
      </c>
      <c r="F121" s="1" t="s">
        <v>3</v>
      </c>
    </row>
    <row r="122" spans="1:6" x14ac:dyDescent="0.25">
      <c r="A122" s="12">
        <v>42156</v>
      </c>
      <c r="B122" s="7">
        <v>0.41597222222222219</v>
      </c>
      <c r="C122" s="7">
        <v>0.43263888888888885</v>
      </c>
      <c r="D122" s="7">
        <f>(0.432638888888889-0.415972222222222)</f>
        <v>1.6666666666666996E-2</v>
      </c>
      <c r="E122" s="7">
        <f>ABS(0.016666666666667-0.0166666666666671)</f>
        <v>1.0061396160665481E-16</v>
      </c>
      <c r="F122" s="1" t="s">
        <v>3</v>
      </c>
    </row>
    <row r="123" spans="1:6" x14ac:dyDescent="0.25">
      <c r="A123" s="12">
        <v>42156</v>
      </c>
      <c r="B123" s="7">
        <v>0.63194444444444442</v>
      </c>
      <c r="C123" s="7">
        <v>0.64861111111111114</v>
      </c>
      <c r="D123" s="7">
        <f>(0.648611111111111-0.631944444444444)</f>
        <v>1.6666666666667052E-2</v>
      </c>
      <c r="E123" s="7">
        <f>ABS(0.0166666666666671-0.00486111111111098)</f>
        <v>1.1805555555556121E-2</v>
      </c>
      <c r="F123" s="1" t="s">
        <v>3</v>
      </c>
    </row>
    <row r="124" spans="1:6" x14ac:dyDescent="0.25">
      <c r="A124" s="12">
        <v>42156</v>
      </c>
      <c r="B124" s="7">
        <v>0.71875</v>
      </c>
      <c r="C124" s="7">
        <v>0.72361111111111109</v>
      </c>
      <c r="D124" s="7">
        <f>(0.723611111111111-0.71875)</f>
        <v>4.8611111111109828E-3</v>
      </c>
      <c r="E124" s="7">
        <f>ABS(0.00486111111111098-0.013888888888889)</f>
        <v>9.0277777777780198E-3</v>
      </c>
      <c r="F124" s="1" t="s">
        <v>3</v>
      </c>
    </row>
    <row r="125" spans="1:6" x14ac:dyDescent="0.25">
      <c r="A125" s="12">
        <v>42156</v>
      </c>
      <c r="B125" s="7">
        <v>0.81041666666666667</v>
      </c>
      <c r="C125" s="7">
        <v>0.82430555555555562</v>
      </c>
      <c r="D125" s="7">
        <f>(0.824305555555556-0.810416666666667)</f>
        <v>1.3888888888888951E-2</v>
      </c>
      <c r="E125" s="7">
        <f>ABS(0.013888888888889-0.029861111111111)</f>
        <v>1.5972222222222002E-2</v>
      </c>
      <c r="F125" s="1" t="s">
        <v>3</v>
      </c>
    </row>
    <row r="126" spans="1:6" x14ac:dyDescent="0.25">
      <c r="A126" s="12">
        <v>42156</v>
      </c>
      <c r="B126" s="7">
        <v>0.82500000000000007</v>
      </c>
      <c r="C126" s="7">
        <v>0.85486111111111107</v>
      </c>
      <c r="D126" s="7">
        <f>(0.854861111111111-0.825)</f>
        <v>2.9861111111111005E-2</v>
      </c>
      <c r="E126" s="7">
        <f>ABS(0.029861111111111-0.022916666666666)</f>
        <v>6.9444444444450026E-3</v>
      </c>
      <c r="F126" s="1" t="s">
        <v>3</v>
      </c>
    </row>
    <row r="127" spans="1:6" x14ac:dyDescent="0.25">
      <c r="A127" s="12">
        <v>42156</v>
      </c>
      <c r="B127" s="7">
        <v>0.53055555555555556</v>
      </c>
      <c r="C127" s="7">
        <v>0.55347222222222225</v>
      </c>
      <c r="D127" s="7">
        <f>(0.553472222222222-0.530555555555556)</f>
        <v>2.291666666666603E-2</v>
      </c>
      <c r="E127" s="7">
        <f>ABS(0.022916666666666-0.00555555555555501)</f>
        <v>1.7361111111110987E-2</v>
      </c>
      <c r="F127" s="1" t="s">
        <v>3</v>
      </c>
    </row>
    <row r="128" spans="1:6" x14ac:dyDescent="0.25">
      <c r="A128" s="12">
        <v>42156</v>
      </c>
      <c r="B128" s="7">
        <v>0.17152777777777775</v>
      </c>
      <c r="C128" s="7">
        <v>0.17708333333333334</v>
      </c>
      <c r="D128" s="7">
        <f>(0.177083333333333-0.171527777777778)</f>
        <v>5.5555555555550085E-3</v>
      </c>
      <c r="E128" s="7">
        <f>ABS(0.00555555555555501-0.00138888888888899)</f>
        <v>4.1666666666660204E-3</v>
      </c>
      <c r="F128" s="1" t="s">
        <v>3</v>
      </c>
    </row>
    <row r="129" spans="1:6" x14ac:dyDescent="0.25">
      <c r="A129" s="12">
        <v>42156</v>
      </c>
      <c r="B129" s="7">
        <v>0.43611111111111112</v>
      </c>
      <c r="C129" s="7">
        <v>0.4375</v>
      </c>
      <c r="D129" s="7">
        <f>(0.4375-0.436111111111111)</f>
        <v>1.388888888888995E-3</v>
      </c>
      <c r="E129" s="7">
        <f>ABS(0.00138888888888899-0.010416666666666)</f>
        <v>9.0277777777770102E-3</v>
      </c>
      <c r="F129" s="1" t="s">
        <v>3</v>
      </c>
    </row>
    <row r="130" spans="1:6" x14ac:dyDescent="0.25">
      <c r="A130" s="12">
        <v>42156</v>
      </c>
      <c r="B130" s="7">
        <v>0.47430555555555554</v>
      </c>
      <c r="C130" s="7">
        <v>0.48472222222222222</v>
      </c>
      <c r="D130" s="7">
        <f>(0.484722222222222-0.474305555555556)</f>
        <v>1.0416666666666019E-2</v>
      </c>
      <c r="E130" s="7">
        <f>ABS(0.010416666666666-0.00416666666666698)</f>
        <v>6.2499999999990202E-3</v>
      </c>
      <c r="F130" s="1" t="s">
        <v>3</v>
      </c>
    </row>
    <row r="131" spans="1:6" x14ac:dyDescent="0.25">
      <c r="A131" s="12">
        <v>42156</v>
      </c>
      <c r="B131" s="7">
        <v>0.50208333333333333</v>
      </c>
      <c r="C131" s="7">
        <v>0.50624999999999998</v>
      </c>
      <c r="D131" s="7">
        <f>(0.50625-0.502083333333333)</f>
        <v>4.1666666666669849E-3</v>
      </c>
      <c r="E131" s="7">
        <f>ABS(0.00416666666666698-0.0465277777777781)</f>
        <v>4.236111111111112E-2</v>
      </c>
      <c r="F131" s="1" t="s">
        <v>3</v>
      </c>
    </row>
    <row r="132" spans="1:6" x14ac:dyDescent="0.25">
      <c r="A132" s="12">
        <v>42156</v>
      </c>
      <c r="B132" s="7">
        <v>0.59444444444444444</v>
      </c>
      <c r="C132" s="7">
        <v>0.64097222222222217</v>
      </c>
      <c r="D132" s="7">
        <f>(0.640972222222222-0.594444444444444)</f>
        <v>4.6527777777778057E-2</v>
      </c>
      <c r="E132" s="7">
        <f>ABS(0.0465277777777781-0.00416666666666698)</f>
        <v>4.236111111111112E-2</v>
      </c>
      <c r="F132" s="1" t="s">
        <v>3</v>
      </c>
    </row>
    <row r="133" spans="1:6" x14ac:dyDescent="0.25">
      <c r="A133" s="12">
        <v>42156</v>
      </c>
      <c r="B133" s="7">
        <v>0.63472222222222219</v>
      </c>
      <c r="C133" s="7">
        <v>0.63888888888888895</v>
      </c>
      <c r="D133" s="7">
        <f>(0.638888888888889-0.634722222222222)</f>
        <v>4.1666666666669849E-3</v>
      </c>
      <c r="E133" s="7">
        <f>ABS(0.00416666666666698-0.00972222222222197)</f>
        <v>5.5555555555549911E-3</v>
      </c>
      <c r="F133" s="1" t="s">
        <v>3</v>
      </c>
    </row>
    <row r="134" spans="1:6" x14ac:dyDescent="0.25">
      <c r="A134" s="12">
        <v>42156</v>
      </c>
      <c r="B134" s="7">
        <v>0.6743055555555556</v>
      </c>
      <c r="C134" s="7">
        <v>0.68402777777777779</v>
      </c>
      <c r="D134" s="7">
        <f>(0.684027777777778-0.674305555555556)</f>
        <v>9.7222222222219656E-3</v>
      </c>
      <c r="E134" s="7">
        <f>ABS(0.00972222222222197-0.00624999999999998)</f>
        <v>3.4722222222219904E-3</v>
      </c>
      <c r="F134" s="1" t="s">
        <v>3</v>
      </c>
    </row>
    <row r="135" spans="1:6" x14ac:dyDescent="0.25">
      <c r="A135" s="12">
        <v>42156</v>
      </c>
      <c r="B135" s="7">
        <v>0.6791666666666667</v>
      </c>
      <c r="C135" s="7">
        <v>0.68541666666666667</v>
      </c>
      <c r="D135" s="7">
        <f>(0.685416666666667-0.679166666666667)</f>
        <v>6.2499999999999778E-3</v>
      </c>
      <c r="E135" s="7">
        <f>ABS(0.00624999999999998-0.0145833333333329)</f>
        <v>8.3333333333329186E-3</v>
      </c>
      <c r="F135" s="1" t="s">
        <v>3</v>
      </c>
    </row>
    <row r="136" spans="1:6" x14ac:dyDescent="0.25">
      <c r="A136" s="12">
        <v>42156</v>
      </c>
      <c r="B136" s="7">
        <v>0.90486111111111101</v>
      </c>
      <c r="C136" s="7">
        <v>0.9194444444444444</v>
      </c>
      <c r="D136" s="7">
        <f>(0.919444444444444-0.904861111111111)</f>
        <v>1.4583333333332948E-2</v>
      </c>
      <c r="E136" s="7">
        <f>ABS(0.0145833333333329-0.00624999999999998)</f>
        <v>8.3333333333329186E-3</v>
      </c>
      <c r="F136" s="1" t="s">
        <v>3</v>
      </c>
    </row>
    <row r="137" spans="1:6" x14ac:dyDescent="0.25">
      <c r="A137" s="12">
        <v>42156</v>
      </c>
      <c r="B137" s="7">
        <v>0.95416666666666661</v>
      </c>
      <c r="C137" s="7">
        <v>0.9604166666666667</v>
      </c>
      <c r="D137" s="7">
        <f>(0.960416666666667-0.954166666666667)</f>
        <v>6.2499999999999778E-3</v>
      </c>
      <c r="E137" s="7">
        <f>ABS(0.00624999999999998-0.00416666666666704)</f>
        <v>2.0833333333329408E-3</v>
      </c>
      <c r="F137" s="1" t="s">
        <v>3</v>
      </c>
    </row>
    <row r="138" spans="1:6" x14ac:dyDescent="0.25">
      <c r="A138" s="12">
        <v>42156</v>
      </c>
      <c r="B138" s="7">
        <v>0.39444444444444443</v>
      </c>
      <c r="C138" s="7">
        <v>0.39861111111111108</v>
      </c>
      <c r="D138" s="7">
        <f>(0.398611111111111-0.394444444444444)</f>
        <v>4.1666666666670404E-3</v>
      </c>
      <c r="E138" s="7">
        <f>ABS(0.00416666666666704-0.00833333333333403)</f>
        <v>4.166666666666991E-3</v>
      </c>
      <c r="F138" s="1" t="s">
        <v>3</v>
      </c>
    </row>
    <row r="139" spans="1:6" x14ac:dyDescent="0.25">
      <c r="A139" s="12">
        <v>42156</v>
      </c>
      <c r="B139" s="7">
        <v>0.41319444444444442</v>
      </c>
      <c r="C139" s="7">
        <v>0.42152777777777778</v>
      </c>
      <c r="D139" s="7">
        <f>(0.421527777777778-0.413194444444444)</f>
        <v>8.3333333333340254E-3</v>
      </c>
      <c r="E139" s="7">
        <f>ABS(0.00833333333333403-0.020833333333333)</f>
        <v>1.2499999999998969E-2</v>
      </c>
      <c r="F139" s="1" t="s">
        <v>3</v>
      </c>
    </row>
    <row r="140" spans="1:6" x14ac:dyDescent="0.25">
      <c r="A140" s="12">
        <v>42156</v>
      </c>
      <c r="B140" s="7">
        <v>0.43055555555555558</v>
      </c>
      <c r="C140" s="7">
        <v>0.4513888888888889</v>
      </c>
      <c r="D140" s="7">
        <f>(0.451388888888889-0.430555555555556)</f>
        <v>2.0833333333332982E-2</v>
      </c>
      <c r="E140" s="7">
        <f>ABS(0.020833333333333-0.015972222222223)</f>
        <v>4.8611111111099975E-3</v>
      </c>
      <c r="F140" s="1" t="s">
        <v>3</v>
      </c>
    </row>
    <row r="141" spans="1:6" x14ac:dyDescent="0.25">
      <c r="A141" s="12">
        <v>42156</v>
      </c>
      <c r="B141" s="7">
        <v>0.46319444444444446</v>
      </c>
      <c r="C141" s="7">
        <v>0.47916666666666669</v>
      </c>
      <c r="D141" s="7">
        <f>(0.479166666666667-0.463194444444444)</f>
        <v>1.5972222222222998E-2</v>
      </c>
      <c r="E141" s="7">
        <f>ABS(0.015972222222223-0.020833333333333)</f>
        <v>4.8611111111099975E-3</v>
      </c>
      <c r="F141" s="1" t="s">
        <v>3</v>
      </c>
    </row>
    <row r="142" spans="1:6" x14ac:dyDescent="0.25">
      <c r="A142" s="12">
        <v>42156</v>
      </c>
      <c r="B142" s="7">
        <v>0.49791666666666662</v>
      </c>
      <c r="C142" s="7">
        <v>0.51874999999999993</v>
      </c>
      <c r="D142" s="7">
        <f>(0.51875-0.497916666666667)</f>
        <v>2.0833333333333037E-2</v>
      </c>
      <c r="E142" s="7">
        <f>ABS(0.020833333333333-0.00902777777777797)</f>
        <v>1.180555555555503E-2</v>
      </c>
      <c r="F142" s="1" t="s">
        <v>3</v>
      </c>
    </row>
    <row r="143" spans="1:6" x14ac:dyDescent="0.25">
      <c r="A143" s="12">
        <v>42156</v>
      </c>
      <c r="B143" s="7">
        <v>0.51874999999999993</v>
      </c>
      <c r="C143" s="7">
        <v>0.52777777777777779</v>
      </c>
      <c r="D143" s="7">
        <f>(0.527777777777778-0.51875)</f>
        <v>9.0277777777779677E-3</v>
      </c>
      <c r="E143" s="7">
        <f>ABS(0.00902777777777797-0.021527777777777)</f>
        <v>1.2499999999999031E-2</v>
      </c>
      <c r="F143" s="1" t="s">
        <v>3</v>
      </c>
    </row>
    <row r="144" spans="1:6" x14ac:dyDescent="0.25">
      <c r="A144" s="12">
        <v>42156</v>
      </c>
      <c r="B144" s="7">
        <v>0.49791666666666662</v>
      </c>
      <c r="C144" s="7">
        <v>0.51944444444444449</v>
      </c>
      <c r="D144" s="7">
        <f>(0.519444444444444-0.497916666666667)</f>
        <v>2.1527777777777035E-2</v>
      </c>
      <c r="E144" s="7">
        <f>ABS(0.021527777777777-0.00416666666666698)</f>
        <v>1.7361111111110022E-2</v>
      </c>
      <c r="F144" s="1" t="s">
        <v>3</v>
      </c>
    </row>
    <row r="145" spans="1:6" x14ac:dyDescent="0.25">
      <c r="A145" s="12">
        <v>42156</v>
      </c>
      <c r="B145" s="7">
        <v>0.56597222222222221</v>
      </c>
      <c r="C145" s="7">
        <v>0.57013888888888886</v>
      </c>
      <c r="D145" s="7">
        <f>(0.570138888888889-0.565972222222222)</f>
        <v>4.1666666666669849E-3</v>
      </c>
      <c r="E145" s="7">
        <f>ABS(0.00416666666666698-0.00972222222222197)</f>
        <v>5.5555555555549911E-3</v>
      </c>
      <c r="F145" s="1" t="s">
        <v>3</v>
      </c>
    </row>
    <row r="146" spans="1:6" x14ac:dyDescent="0.25">
      <c r="A146" s="12">
        <v>42156</v>
      </c>
      <c r="B146" s="7">
        <v>0.55972222222222223</v>
      </c>
      <c r="C146" s="7">
        <v>0.56944444444444442</v>
      </c>
      <c r="D146" s="7">
        <f>(0.569444444444444-0.559722222222222)</f>
        <v>9.7222222222219656E-3</v>
      </c>
      <c r="E146" s="7">
        <f>ABS(0.00972222222222197-0.00555555555555598)</f>
        <v>4.1666666666659909E-3</v>
      </c>
      <c r="F146" s="1" t="s">
        <v>3</v>
      </c>
    </row>
    <row r="147" spans="1:6" x14ac:dyDescent="0.25">
      <c r="A147" s="12">
        <v>42156</v>
      </c>
      <c r="B147" s="7">
        <v>0.59583333333333333</v>
      </c>
      <c r="C147" s="7">
        <v>0.60138888888888886</v>
      </c>
      <c r="D147" s="7">
        <f>(0.601388888888889-0.595833333333333)</f>
        <v>5.5555555555559799E-3</v>
      </c>
      <c r="E147" s="7">
        <f>ABS(0.00555555555555598-0.00486111111111098)</f>
        <v>6.9444444444499969E-4</v>
      </c>
      <c r="F147" s="1" t="s">
        <v>3</v>
      </c>
    </row>
    <row r="148" spans="1:6" x14ac:dyDescent="0.25">
      <c r="A148" s="12">
        <v>42156</v>
      </c>
      <c r="B148" s="7">
        <v>0.65277777777777779</v>
      </c>
      <c r="C148" s="7">
        <v>0.65763888888888888</v>
      </c>
      <c r="D148" s="7">
        <f>(0.657638888888889-0.652777777777778)</f>
        <v>4.8611111111109828E-3</v>
      </c>
      <c r="E148" s="7">
        <f>ABS(0.00486111111111098-0.010416666666667)</f>
        <v>5.5555555555560189E-3</v>
      </c>
      <c r="F148" s="1" t="s">
        <v>3</v>
      </c>
    </row>
    <row r="149" spans="1:6" x14ac:dyDescent="0.25">
      <c r="A149" s="12">
        <v>42156</v>
      </c>
      <c r="B149" s="7">
        <v>0.68333333333333324</v>
      </c>
      <c r="C149" s="7">
        <v>0.69374999999999998</v>
      </c>
      <c r="D149" s="7">
        <f>(0.69375-0.683333333333333)</f>
        <v>1.0416666666666963E-2</v>
      </c>
      <c r="E149" s="7">
        <f>ABS(0.010416666666667-0.011805555555556)</f>
        <v>1.3888888888890002E-3</v>
      </c>
      <c r="F149" s="1" t="s">
        <v>3</v>
      </c>
    </row>
    <row r="150" spans="1:6" x14ac:dyDescent="0.25">
      <c r="A150" s="12">
        <v>42156</v>
      </c>
      <c r="B150" s="7">
        <v>0.70972222222222225</v>
      </c>
      <c r="C150" s="7">
        <v>0.72152777777777777</v>
      </c>
      <c r="D150" s="7">
        <f>(0.721527777777778-0.709722222222222)</f>
        <v>1.1805555555555958E-2</v>
      </c>
      <c r="E150" s="7">
        <f>ABS(0.011805555555556-0.00763888888888908)</f>
        <v>4.166666666666919E-3</v>
      </c>
      <c r="F150" s="1" t="s">
        <v>3</v>
      </c>
    </row>
    <row r="151" spans="1:6" x14ac:dyDescent="0.25">
      <c r="A151" s="12">
        <v>42156</v>
      </c>
      <c r="B151" s="7">
        <v>0.88541666666666663</v>
      </c>
      <c r="C151" s="7">
        <v>0.8930555555555556</v>
      </c>
      <c r="D151" s="7">
        <f>(0.893055555555556-0.885416666666667)</f>
        <v>7.6388888888890838E-3</v>
      </c>
      <c r="E151" s="7">
        <f>ABS(0.00763888888888908-0.0104166666666666)</f>
        <v>2.7777777777775198E-3</v>
      </c>
      <c r="F151" s="1" t="s">
        <v>3</v>
      </c>
    </row>
    <row r="152" spans="1:6" x14ac:dyDescent="0.25">
      <c r="A152" s="12">
        <v>42156</v>
      </c>
      <c r="B152" s="7">
        <v>5.9027777777777783E-2</v>
      </c>
      <c r="C152" s="7">
        <v>6.9444444444444434E-2</v>
      </c>
      <c r="D152" s="7">
        <f>(0.0694444444444444-0.0590277777777778)</f>
        <v>1.0416666666666609E-2</v>
      </c>
      <c r="E152" s="7">
        <f>ABS(0.0104166666666666-0.00486111111111104)</f>
        <v>5.5555555555555601E-3</v>
      </c>
      <c r="F152" s="1" t="s">
        <v>3</v>
      </c>
    </row>
    <row r="153" spans="1:6" x14ac:dyDescent="0.25">
      <c r="A153" s="12">
        <v>42156</v>
      </c>
      <c r="B153" s="7">
        <v>0.39652777777777781</v>
      </c>
      <c r="C153" s="7">
        <v>0.40138888888888885</v>
      </c>
      <c r="D153" s="7">
        <f>(0.401388888888889-0.396527777777778)</f>
        <v>4.8611111111110383E-3</v>
      </c>
      <c r="E153" s="7">
        <f>ABS(0.00486111111111104-0.00694444444444398)</f>
        <v>2.08333333333294E-3</v>
      </c>
      <c r="F153" s="1" t="s">
        <v>3</v>
      </c>
    </row>
    <row r="154" spans="1:6" x14ac:dyDescent="0.25">
      <c r="A154" s="12">
        <v>42156</v>
      </c>
      <c r="B154" s="7">
        <v>0.49374999999999997</v>
      </c>
      <c r="C154" s="7">
        <v>0.50069444444444444</v>
      </c>
      <c r="D154" s="7">
        <f>(0.500694444444444-0.49375)</f>
        <v>6.9444444444439757E-3</v>
      </c>
      <c r="E154" s="7">
        <f>ABS(0.00694444444444398-0.00694444444444497)</f>
        <v>9.8965974304476845E-16</v>
      </c>
      <c r="F154" s="1" t="s">
        <v>3</v>
      </c>
    </row>
    <row r="155" spans="1:6" x14ac:dyDescent="0.25">
      <c r="A155" s="12">
        <v>42156</v>
      </c>
      <c r="B155" s="7">
        <v>0.5708333333333333</v>
      </c>
      <c r="C155" s="7">
        <v>0.57777777777777783</v>
      </c>
      <c r="D155" s="7">
        <f>(0.577777777777778-0.570833333333333)</f>
        <v>6.9444444444449749E-3</v>
      </c>
      <c r="E155" s="7">
        <f>ABS(0.00694444444444497-0.00694444444444497)</f>
        <v>0</v>
      </c>
      <c r="F155" s="1" t="s">
        <v>3</v>
      </c>
    </row>
    <row r="156" spans="1:6" x14ac:dyDescent="0.25">
      <c r="A156" s="12">
        <v>42156</v>
      </c>
      <c r="B156" s="7">
        <v>0.64861111111111114</v>
      </c>
      <c r="C156" s="7">
        <v>0.65555555555555556</v>
      </c>
      <c r="D156" s="7">
        <f>(0.655555555555556-0.648611111111111)</f>
        <v>6.9444444444449749E-3</v>
      </c>
      <c r="E156" s="7">
        <f>ABS(0.00694444444444497-0.011805555555556)</f>
        <v>4.8611111111110297E-3</v>
      </c>
      <c r="F156" s="1" t="s">
        <v>3</v>
      </c>
    </row>
    <row r="157" spans="1:6" x14ac:dyDescent="0.25">
      <c r="A157" s="12">
        <v>42156</v>
      </c>
      <c r="B157" s="7">
        <v>0.77708333333333324</v>
      </c>
      <c r="C157" s="7">
        <v>0.78888888888888886</v>
      </c>
      <c r="D157" s="7">
        <f>(0.788888888888889-0.777083333333333)</f>
        <v>1.1805555555555958E-2</v>
      </c>
      <c r="E157" s="7">
        <f>ABS(0.011805555555556-0.00763888888888797)</f>
        <v>4.1666666666680292E-3</v>
      </c>
      <c r="F157" s="1" t="s">
        <v>3</v>
      </c>
    </row>
    <row r="158" spans="1:6" x14ac:dyDescent="0.25">
      <c r="A158" s="12">
        <v>42156</v>
      </c>
      <c r="B158" s="7">
        <v>0.88194444444444453</v>
      </c>
      <c r="C158" s="7">
        <v>0.88958333333333339</v>
      </c>
      <c r="D158" s="7">
        <f>(0.889583333333333-0.881944444444445)</f>
        <v>7.6388888888879736E-3</v>
      </c>
      <c r="E158" s="7">
        <f>ABS(0.00763888888888797-0.00624999999999998)</f>
        <v>1.3888888888879897E-3</v>
      </c>
      <c r="F158" s="1" t="s">
        <v>3</v>
      </c>
    </row>
    <row r="159" spans="1:6" x14ac:dyDescent="0.25">
      <c r="A159" s="12">
        <v>42156</v>
      </c>
      <c r="B159" s="7">
        <v>0.90972222222222221</v>
      </c>
      <c r="C159" s="7">
        <v>0.9159722222222223</v>
      </c>
      <c r="D159" s="7">
        <f>(0.915972222222222-0.909722222222222)</f>
        <v>6.2499999999999778E-3</v>
      </c>
      <c r="E159" s="7">
        <f>ABS(0.00624999999999998-0.0125)</f>
        <v>6.2500000000000203E-3</v>
      </c>
      <c r="F159" s="1" t="s">
        <v>3</v>
      </c>
    </row>
    <row r="160" spans="1:6" x14ac:dyDescent="0.25">
      <c r="A160" s="12">
        <v>42156</v>
      </c>
      <c r="B160" s="7">
        <v>7.9861111111111105E-2</v>
      </c>
      <c r="C160" s="7">
        <v>9.2361111111111116E-2</v>
      </c>
      <c r="D160" s="7">
        <f>(0.0923611111111111-0.0798611111111111)</f>
        <v>1.2499999999999997E-2</v>
      </c>
      <c r="E160" s="7">
        <f>ABS(0.0125-0.017361111111111)</f>
        <v>4.8611111111110002E-3</v>
      </c>
      <c r="F160" s="1" t="s">
        <v>3</v>
      </c>
    </row>
    <row r="161" spans="1:6" x14ac:dyDescent="0.25">
      <c r="A161" s="12">
        <v>42156</v>
      </c>
      <c r="B161" s="7">
        <v>0.16666666666666666</v>
      </c>
      <c r="C161" s="7">
        <v>0.18402777777777779</v>
      </c>
      <c r="D161" s="7">
        <f>(0.184027777777778-0.166666666666667)</f>
        <v>1.7361111111111022E-2</v>
      </c>
      <c r="E161" s="7">
        <f>ABS(0.017361111111111-0.016666666666667)</f>
        <v>6.9444444444400136E-4</v>
      </c>
      <c r="F161" s="1" t="s">
        <v>3</v>
      </c>
    </row>
    <row r="162" spans="1:6" x14ac:dyDescent="0.25">
      <c r="A162" s="12">
        <v>42156</v>
      </c>
      <c r="B162" s="7">
        <v>0.29722222222222222</v>
      </c>
      <c r="C162" s="7">
        <v>0.31388888888888888</v>
      </c>
      <c r="D162" s="7">
        <f>(0.313888888888889-0.297222222222222)</f>
        <v>1.6666666666666996E-2</v>
      </c>
      <c r="E162" s="7">
        <f>ABS(0.016666666666667-0.011805555555556)</f>
        <v>4.8611111111110002E-3</v>
      </c>
      <c r="F162" s="1" t="s">
        <v>3</v>
      </c>
    </row>
    <row r="163" spans="1:6" x14ac:dyDescent="0.25">
      <c r="A163" s="12">
        <v>42156</v>
      </c>
      <c r="B163" s="7">
        <v>0.35833333333333334</v>
      </c>
      <c r="C163" s="7">
        <v>0.37013888888888885</v>
      </c>
      <c r="D163" s="7">
        <f>(0.370138888888889-0.358333333333333)</f>
        <v>1.1805555555556013E-2</v>
      </c>
      <c r="E163" s="7">
        <f>ABS(0.011805555555556-0.00277777777777799)</f>
        <v>9.0277777777780094E-3</v>
      </c>
      <c r="F163" s="1" t="s">
        <v>3</v>
      </c>
    </row>
    <row r="164" spans="1:6" x14ac:dyDescent="0.25">
      <c r="A164" s="12">
        <v>42156</v>
      </c>
      <c r="B164" s="7">
        <v>0.46527777777777773</v>
      </c>
      <c r="C164" s="7">
        <v>0.4680555555555555</v>
      </c>
      <c r="D164" s="7">
        <f>(0.468055555555556-0.465277777777778)</f>
        <v>2.77777777777799E-3</v>
      </c>
      <c r="E164" s="7">
        <f>ABS(0.00277777777777799-0.00902777777777802)</f>
        <v>6.2500000000000298E-3</v>
      </c>
      <c r="F164" s="1" t="s">
        <v>3</v>
      </c>
    </row>
    <row r="165" spans="1:6" x14ac:dyDescent="0.25">
      <c r="A165" s="12">
        <v>42156</v>
      </c>
      <c r="B165" s="7">
        <v>0.47569444444444442</v>
      </c>
      <c r="C165" s="7">
        <v>0.48472222222222222</v>
      </c>
      <c r="D165" s="7">
        <f>(0.484722222222222-0.475694444444444)</f>
        <v>9.0277777777780233E-3</v>
      </c>
      <c r="E165" s="7">
        <f>ABS(0.00902777777777802-0.00486111111111098)</f>
        <v>4.1666666666670396E-3</v>
      </c>
      <c r="F165" s="1" t="s">
        <v>3</v>
      </c>
    </row>
    <row r="166" spans="1:6" x14ac:dyDescent="0.25">
      <c r="A166" s="12">
        <v>42156</v>
      </c>
      <c r="B166" s="7">
        <v>0.63402777777777775</v>
      </c>
      <c r="C166" s="7">
        <v>0.63888888888888895</v>
      </c>
      <c r="D166" s="7">
        <f>(0.638888888888889-0.634027777777778)</f>
        <v>4.8611111111109828E-3</v>
      </c>
      <c r="E166" s="7">
        <f>ABS(0.00486111111111098-0.0145833333333341)</f>
        <v>9.722222222223121E-3</v>
      </c>
      <c r="F166" s="1" t="s">
        <v>3</v>
      </c>
    </row>
    <row r="167" spans="1:6" x14ac:dyDescent="0.25">
      <c r="A167" s="12">
        <v>42156</v>
      </c>
      <c r="B167" s="7">
        <v>0.6333333333333333</v>
      </c>
      <c r="C167" s="7">
        <v>0.6479166666666667</v>
      </c>
      <c r="D167" s="7">
        <f>(0.647916666666667-0.633333333333333)</f>
        <v>1.4583333333334059E-2</v>
      </c>
      <c r="E167" s="7">
        <f>ABS(0.0145833333333341-0.00486111111111098)</f>
        <v>9.722222222223121E-3</v>
      </c>
      <c r="F167" s="1" t="s">
        <v>3</v>
      </c>
    </row>
    <row r="168" spans="1:6" x14ac:dyDescent="0.25">
      <c r="A168" s="12">
        <v>42156</v>
      </c>
      <c r="B168" s="7">
        <v>0.72152777777777777</v>
      </c>
      <c r="C168" s="7">
        <v>0.72638888888888886</v>
      </c>
      <c r="D168" s="7">
        <f>(0.726388888888889-0.721527777777778)</f>
        <v>4.8611111111109828E-3</v>
      </c>
      <c r="E168" s="7">
        <f>ABS(0.00486111111111098-0.00833333333333308)</f>
        <v>3.4722222222220997E-3</v>
      </c>
      <c r="F168" s="1" t="s">
        <v>3</v>
      </c>
    </row>
    <row r="169" spans="1:6" x14ac:dyDescent="0.25">
      <c r="A169" s="12">
        <v>42156</v>
      </c>
      <c r="B169" s="7">
        <v>0.82291666666666663</v>
      </c>
      <c r="C169" s="7">
        <v>0.83124999999999993</v>
      </c>
      <c r="D169" s="7">
        <f>(0.83125-0.822916666666667)</f>
        <v>8.3333333333330817E-3</v>
      </c>
      <c r="E169" s="7">
        <f>ABS(0.00833333333333308-0.017361111111111)</f>
        <v>9.0277777777779209E-3</v>
      </c>
      <c r="F169" s="1" t="s">
        <v>3</v>
      </c>
    </row>
    <row r="170" spans="1:6" x14ac:dyDescent="0.25">
      <c r="A170" s="12">
        <v>42156</v>
      </c>
      <c r="B170" s="7">
        <v>0.88680555555555562</v>
      </c>
      <c r="C170" s="7">
        <v>0.90416666666666667</v>
      </c>
      <c r="D170" s="7">
        <f>(0.904166666666667-0.886805555555556)</f>
        <v>1.7361111111111049E-2</v>
      </c>
      <c r="E170" s="7">
        <f>ABS(0.017361111111111-0.00555555555554998)</f>
        <v>1.180555555556102E-2</v>
      </c>
      <c r="F170" s="1" t="s">
        <v>3</v>
      </c>
    </row>
    <row r="171" spans="1:6" x14ac:dyDescent="0.25">
      <c r="A171" s="12">
        <v>42156</v>
      </c>
      <c r="B171" s="7">
        <v>1.0027777777777778</v>
      </c>
      <c r="C171" s="7">
        <v>1.0083333333333333</v>
      </c>
      <c r="D171" s="7">
        <f>(1.00833333333333-1.00277777777778)</f>
        <v>5.5555555555499847E-3</v>
      </c>
      <c r="E171" s="7">
        <f>ABS(0.00555555555554998-0.010416666666666)</f>
        <v>4.8611111111160196E-3</v>
      </c>
      <c r="F171" s="1" t="s">
        <v>3</v>
      </c>
    </row>
    <row r="172" spans="1:6" x14ac:dyDescent="0.25">
      <c r="A172" s="12">
        <v>42156</v>
      </c>
      <c r="B172" s="7">
        <v>0.17430555555555557</v>
      </c>
      <c r="C172" s="7">
        <v>0.18472222222222223</v>
      </c>
      <c r="D172" s="7">
        <f>(0.184722222222222-0.174305555555556)</f>
        <v>1.0416666666666019E-2</v>
      </c>
      <c r="E172" s="7">
        <f>ABS(0.010416666666666-0.00624999999999998)</f>
        <v>4.1666666666660196E-3</v>
      </c>
      <c r="F172" s="1" t="s">
        <v>3</v>
      </c>
    </row>
    <row r="173" spans="1:6" x14ac:dyDescent="0.25">
      <c r="A173" s="12">
        <v>42156</v>
      </c>
      <c r="B173" s="7">
        <v>0.35416666666666669</v>
      </c>
      <c r="C173" s="7">
        <v>0.36041666666666666</v>
      </c>
      <c r="D173" s="7">
        <f>(0.360416666666667-0.354166666666667)</f>
        <v>6.2499999999999778E-3</v>
      </c>
      <c r="E173" s="7">
        <f>ABS(0.00624999999999998-0.010416666666667)</f>
        <v>4.1666666666670188E-3</v>
      </c>
      <c r="F173" s="1" t="s">
        <v>3</v>
      </c>
    </row>
    <row r="174" spans="1:6" x14ac:dyDescent="0.25">
      <c r="A174" s="12">
        <v>42156</v>
      </c>
      <c r="B174" s="7">
        <v>0.3298611111111111</v>
      </c>
      <c r="C174" s="7">
        <v>0.34027777777777773</v>
      </c>
      <c r="D174" s="7">
        <f>(0.340277777777778-0.329861111111111)</f>
        <v>1.0416666666667018E-2</v>
      </c>
      <c r="E174" s="7">
        <f>ABS(0.010416666666667-0.00555555555555498)</f>
        <v>4.8611111111120193E-3</v>
      </c>
      <c r="F174" s="1" t="s">
        <v>3</v>
      </c>
    </row>
    <row r="175" spans="1:6" x14ac:dyDescent="0.25">
      <c r="A175" s="12">
        <v>42156</v>
      </c>
      <c r="B175" s="7">
        <v>0.49513888888888885</v>
      </c>
      <c r="C175" s="7">
        <v>0.50069444444444444</v>
      </c>
      <c r="D175" s="7">
        <f>(0.500694444444444-0.495138888888889)</f>
        <v>5.5555555555549807E-3</v>
      </c>
      <c r="E175" s="7">
        <f>ABS(0.00555555555555498-0.00555555555555598)</f>
        <v>1.0000680839006293E-15</v>
      </c>
      <c r="F175" s="1" t="s">
        <v>3</v>
      </c>
    </row>
    <row r="176" spans="1:6" x14ac:dyDescent="0.25">
      <c r="A176" s="12">
        <v>42156</v>
      </c>
      <c r="B176" s="7">
        <v>0.56944444444444442</v>
      </c>
      <c r="C176" s="7">
        <v>0.57500000000000007</v>
      </c>
      <c r="D176" s="7">
        <f>(0.575-0.569444444444444)</f>
        <v>5.5555555555559799E-3</v>
      </c>
      <c r="E176" s="7">
        <f>ABS(0.00555555555555598-0.0041666666666671)</f>
        <v>1.3888888888888796E-3</v>
      </c>
      <c r="F176" s="1" t="s">
        <v>3</v>
      </c>
    </row>
    <row r="177" spans="1:6" x14ac:dyDescent="0.25">
      <c r="A177" s="12">
        <v>42156</v>
      </c>
      <c r="B177" s="7">
        <v>0.57500000000000007</v>
      </c>
      <c r="C177" s="7">
        <v>0.57916666666666672</v>
      </c>
      <c r="D177" s="7">
        <f>(0.579166666666667-0.575)</f>
        <v>4.166666666667096E-3</v>
      </c>
      <c r="E177" s="7">
        <f>ABS(0.0041666666666671-0.00902777777777808)</f>
        <v>4.8611111111109802E-3</v>
      </c>
      <c r="F177" s="1" t="s">
        <v>3</v>
      </c>
    </row>
    <row r="178" spans="1:6" x14ac:dyDescent="0.25">
      <c r="A178" s="12">
        <v>42156</v>
      </c>
      <c r="B178" s="7">
        <v>0.7006944444444444</v>
      </c>
      <c r="C178" s="7">
        <v>0.70972222222222225</v>
      </c>
      <c r="D178" s="7">
        <f>(0.709722222222222-0.700694444444444)</f>
        <v>9.0277777777780788E-3</v>
      </c>
      <c r="E178" s="7">
        <f>ABS(0.00902777777777808-0.00416666666666698)</f>
        <v>4.8611111111111008E-3</v>
      </c>
      <c r="F178" s="1" t="s">
        <v>3</v>
      </c>
    </row>
    <row r="179" spans="1:6" x14ac:dyDescent="0.25">
      <c r="A179" s="12">
        <v>42156</v>
      </c>
      <c r="B179" s="7">
        <v>0.73958333333333337</v>
      </c>
      <c r="C179" s="7">
        <v>0.74375000000000002</v>
      </c>
      <c r="D179" s="7">
        <f>(0.74375-0.739583333333333)</f>
        <v>4.1666666666669849E-3</v>
      </c>
      <c r="E179" s="7">
        <f>ABS(0.00416666666666698-0.00694444444444497)</f>
        <v>2.77777777777799E-3</v>
      </c>
      <c r="F179" s="1" t="s">
        <v>3</v>
      </c>
    </row>
    <row r="180" spans="1:6" x14ac:dyDescent="0.25">
      <c r="A180" s="12">
        <v>42156</v>
      </c>
      <c r="B180" s="7">
        <v>0.7583333333333333</v>
      </c>
      <c r="C180" s="7">
        <v>0.76527777777777783</v>
      </c>
      <c r="D180" s="7">
        <f>(0.765277777777778-0.758333333333333)</f>
        <v>6.9444444444449749E-3</v>
      </c>
      <c r="E180" s="7">
        <f>ABS(0.00694444444444497-0.00972222222222197)</f>
        <v>2.7777777777770012E-3</v>
      </c>
      <c r="F180" s="1" t="s">
        <v>3</v>
      </c>
    </row>
    <row r="181" spans="1:6" x14ac:dyDescent="0.25">
      <c r="A181" s="12">
        <v>42156</v>
      </c>
      <c r="B181" s="7">
        <v>0.79722222222222217</v>
      </c>
      <c r="C181" s="7">
        <v>0.80694444444444446</v>
      </c>
      <c r="D181" s="7">
        <f>(0.806944444444444-0.797222222222222)</f>
        <v>9.7222222222219656E-3</v>
      </c>
      <c r="E181" s="7">
        <f>ABS(0.00972222222222197-0.00833333333333308)</f>
        <v>1.3888888888888909E-3</v>
      </c>
      <c r="F181" s="1" t="s">
        <v>3</v>
      </c>
    </row>
    <row r="182" spans="1:6" x14ac:dyDescent="0.25">
      <c r="A182" s="12">
        <v>42156</v>
      </c>
      <c r="B182" s="7">
        <v>0.82013888888888886</v>
      </c>
      <c r="C182" s="7">
        <v>0.82847222222222217</v>
      </c>
      <c r="D182" s="7">
        <f>(0.828472222222222-0.820138888888889)</f>
        <v>8.3333333333330817E-3</v>
      </c>
      <c r="E182" s="7">
        <f>ABS(0.00833333333333308-0.00624999999999998)</f>
        <v>2.0833333333330996E-3</v>
      </c>
      <c r="F182" s="1" t="s">
        <v>3</v>
      </c>
    </row>
    <row r="183" spans="1:6" x14ac:dyDescent="0.25">
      <c r="A183" s="12">
        <v>42156</v>
      </c>
      <c r="B183" s="7">
        <v>0.84930555555555554</v>
      </c>
      <c r="C183" s="7">
        <v>0.85555555555555562</v>
      </c>
      <c r="D183" s="7">
        <f>(0.855555555555556-0.849305555555556)</f>
        <v>6.2499999999999778E-3</v>
      </c>
      <c r="E183" s="7">
        <f>ABS(0.00624999999999998-0.00486111111111109)</f>
        <v>1.38888888888889E-3</v>
      </c>
      <c r="F183" s="1" t="s">
        <v>3</v>
      </c>
    </row>
    <row r="184" spans="1:6" x14ac:dyDescent="0.25">
      <c r="A184" s="12">
        <v>42156</v>
      </c>
      <c r="B184" s="7">
        <v>0.89027777777777783</v>
      </c>
      <c r="C184" s="7">
        <v>0.89513888888888893</v>
      </c>
      <c r="D184" s="7">
        <f>(0.895138888888889-0.890277777777778)</f>
        <v>4.8611111111110938E-3</v>
      </c>
      <c r="E184" s="7">
        <f>ABS(0.00486111111111109-0.0048611111111111)</f>
        <v>9.540979117872439E-18</v>
      </c>
      <c r="F184" s="1" t="s">
        <v>3</v>
      </c>
    </row>
    <row r="185" spans="1:6" x14ac:dyDescent="0.25">
      <c r="A185" s="12">
        <v>42156</v>
      </c>
      <c r="B185" s="7">
        <v>4.9305555555555554E-2</v>
      </c>
      <c r="C185" s="7">
        <v>5.4166666666666669E-2</v>
      </c>
      <c r="D185" s="7">
        <f>(0.0541666666666667-0.0493055555555556)</f>
        <v>4.8611111111111008E-3</v>
      </c>
      <c r="E185" s="7">
        <f>ABS(0.0048611111111111-0.00624999999999999)</f>
        <v>1.38888888888889E-3</v>
      </c>
      <c r="F185" s="1" t="s">
        <v>3</v>
      </c>
    </row>
    <row r="186" spans="1:6" x14ac:dyDescent="0.25">
      <c r="A186" s="12">
        <v>42156</v>
      </c>
      <c r="B186" s="7">
        <v>8.8888888888888892E-2</v>
      </c>
      <c r="C186" s="7">
        <v>9.5138888888888884E-2</v>
      </c>
      <c r="D186" s="7">
        <f>(0.0951388888888889-0.0888888888888889)</f>
        <v>6.2499999999999917E-3</v>
      </c>
      <c r="E186" s="7">
        <f>ABS(0.00624999999999999-0.029166666666666)</f>
        <v>2.2916666666666009E-2</v>
      </c>
      <c r="F186" s="1" t="s">
        <v>3</v>
      </c>
    </row>
    <row r="187" spans="1:6" x14ac:dyDescent="0.25">
      <c r="A187" s="12">
        <v>42156</v>
      </c>
      <c r="B187" s="7">
        <v>0.13402777777777777</v>
      </c>
      <c r="C187" s="7">
        <v>0.16319444444444445</v>
      </c>
      <c r="D187" s="7">
        <f>(0.163194444444444-0.134027777777778)</f>
        <v>2.9166666666666008E-2</v>
      </c>
      <c r="E187" s="7">
        <f>ABS(0.029166666666666-0.00972222222222197)</f>
        <v>1.9444444444444028E-2</v>
      </c>
      <c r="F187" s="1" t="s">
        <v>3</v>
      </c>
    </row>
    <row r="188" spans="1:6" x14ac:dyDescent="0.25">
      <c r="A188" s="12">
        <v>42156</v>
      </c>
      <c r="B188" s="7">
        <v>0.37152777777777773</v>
      </c>
      <c r="C188" s="7">
        <v>0.38125000000000003</v>
      </c>
      <c r="D188" s="7">
        <f>(0.38125-0.371527777777778)</f>
        <v>9.7222222222219656E-3</v>
      </c>
      <c r="E188" s="7">
        <f>ABS(0.00972222222222197-0.00763888888888903)</f>
        <v>2.0833333333329408E-3</v>
      </c>
      <c r="F188" s="1" t="s">
        <v>3</v>
      </c>
    </row>
    <row r="189" spans="1:6" x14ac:dyDescent="0.25">
      <c r="A189" s="12">
        <v>42156</v>
      </c>
      <c r="B189" s="7">
        <v>0.4236111111111111</v>
      </c>
      <c r="C189" s="7">
        <v>0.43124999999999997</v>
      </c>
      <c r="D189" s="7">
        <f>(0.43125-0.423611111111111)</f>
        <v>7.6388888888890283E-3</v>
      </c>
      <c r="E189" s="7">
        <f>ABS(0.00763888888888903-0.00416666666666698)</f>
        <v>3.4722222222220503E-3</v>
      </c>
      <c r="F189" s="1" t="s">
        <v>3</v>
      </c>
    </row>
    <row r="190" spans="1:6" x14ac:dyDescent="0.25">
      <c r="A190" s="12">
        <v>42156</v>
      </c>
      <c r="B190" s="7">
        <v>0.45208333333333334</v>
      </c>
      <c r="C190" s="7">
        <v>0.45624999999999999</v>
      </c>
      <c r="D190" s="7">
        <f>(0.45625-0.452083333333333)</f>
        <v>4.1666666666669849E-3</v>
      </c>
      <c r="E190" s="7">
        <f>ABS(0.00416666666666698-0.00624999999999998)</f>
        <v>2.0833333333330007E-3</v>
      </c>
      <c r="F190" s="1" t="s">
        <v>3</v>
      </c>
    </row>
    <row r="191" spans="1:6" x14ac:dyDescent="0.25">
      <c r="A191" s="12">
        <v>42156</v>
      </c>
      <c r="B191" s="7">
        <v>0.50555555555555554</v>
      </c>
      <c r="C191" s="7">
        <v>0.51180555555555551</v>
      </c>
      <c r="D191" s="7">
        <f>(0.511805555555556-0.505555555555556)</f>
        <v>6.2499999999999778E-3</v>
      </c>
      <c r="E191" s="7">
        <f>ABS(0.00624999999999998-0.00555555555555598)</f>
        <v>6.9444444444400049E-4</v>
      </c>
      <c r="F191" s="1" t="s">
        <v>3</v>
      </c>
    </row>
    <row r="192" spans="1:6" x14ac:dyDescent="0.25">
      <c r="A192" s="12">
        <v>42156</v>
      </c>
      <c r="B192" s="7">
        <v>0.58194444444444449</v>
      </c>
      <c r="C192" s="7">
        <v>0.58750000000000002</v>
      </c>
      <c r="D192" s="7">
        <f>(0.5875-0.581944444444444)</f>
        <v>5.5555555555559799E-3</v>
      </c>
      <c r="E192" s="7">
        <f>ABS(0.00555555555555598-0.011805555555556)</f>
        <v>6.2500000000000194E-3</v>
      </c>
      <c r="F192" s="1" t="s">
        <v>3</v>
      </c>
    </row>
    <row r="193" spans="1:6" x14ac:dyDescent="0.25">
      <c r="A193" s="12">
        <v>42156</v>
      </c>
      <c r="B193" s="7">
        <v>0.68194444444444446</v>
      </c>
      <c r="C193" s="7">
        <v>0.69374999999999998</v>
      </c>
      <c r="D193" s="7">
        <f>(0.69375-0.681944444444444)</f>
        <v>1.1805555555555958E-2</v>
      </c>
      <c r="E193" s="7">
        <f>ABS(0.011805555555556-0.00694444444444497)</f>
        <v>4.8611111111110297E-3</v>
      </c>
      <c r="F193" s="1" t="s">
        <v>3</v>
      </c>
    </row>
    <row r="194" spans="1:6" x14ac:dyDescent="0.25">
      <c r="A194" s="12">
        <v>42156</v>
      </c>
      <c r="B194" s="7">
        <v>0.68194444444444446</v>
      </c>
      <c r="C194" s="7">
        <v>0.68888888888888899</v>
      </c>
      <c r="D194" s="7">
        <f>(0.688888888888889-0.681944444444444)</f>
        <v>6.9444444444449749E-3</v>
      </c>
      <c r="E194" s="7">
        <f>ABS(0.00694444444444497-0.011111111111111)</f>
        <v>4.1666666666660308E-3</v>
      </c>
      <c r="F194" s="1" t="s">
        <v>3</v>
      </c>
    </row>
    <row r="195" spans="1:6" x14ac:dyDescent="0.25">
      <c r="A195" s="12">
        <v>42156</v>
      </c>
      <c r="B195" s="7">
        <v>0.78125</v>
      </c>
      <c r="C195" s="7">
        <v>0.79236111111111107</v>
      </c>
      <c r="D195" s="7">
        <f>(0.792361111111111-0.78125)</f>
        <v>1.1111111111110961E-2</v>
      </c>
      <c r="E195" s="7">
        <f>ABS(0.011111111111111-0.00763888888888897)</f>
        <v>3.4722222222220303E-3</v>
      </c>
      <c r="F195" s="1" t="s">
        <v>3</v>
      </c>
    </row>
    <row r="196" spans="1:6" x14ac:dyDescent="0.25">
      <c r="A196" s="12">
        <v>42156</v>
      </c>
      <c r="B196" s="7">
        <v>0.87777777777777777</v>
      </c>
      <c r="C196" s="7">
        <v>0.88541666666666663</v>
      </c>
      <c r="D196" s="7">
        <f>(0.885416666666667-0.877777777777778)</f>
        <v>7.6388888888889728E-3</v>
      </c>
      <c r="E196" s="7">
        <f>ABS(0.00763888888888897-0.010416666666667)</f>
        <v>2.777777777778029E-3</v>
      </c>
      <c r="F196" s="1" t="s">
        <v>3</v>
      </c>
    </row>
    <row r="197" spans="1:6" x14ac:dyDescent="0.25">
      <c r="A197" s="12">
        <v>42156</v>
      </c>
      <c r="B197" s="7">
        <v>0.87708333333333333</v>
      </c>
      <c r="C197" s="7">
        <v>0.88750000000000007</v>
      </c>
      <c r="D197" s="7">
        <f>(0.8875-0.877083333333333)</f>
        <v>1.0416666666666963E-2</v>
      </c>
      <c r="E197" s="7">
        <f>ABS(0.010416666666667-0.00555555555555509)</f>
        <v>4.8611111111119092E-3</v>
      </c>
      <c r="F197" s="1" t="s">
        <v>3</v>
      </c>
    </row>
    <row r="198" spans="1:6" x14ac:dyDescent="0.25">
      <c r="A198" s="12">
        <v>42156</v>
      </c>
      <c r="B198" s="7">
        <v>0.89027777777777783</v>
      </c>
      <c r="C198" s="7">
        <v>0.89583333333333337</v>
      </c>
      <c r="D198" s="7">
        <f>(0.895833333333333-0.890277777777778)</f>
        <v>5.5555555555550917E-3</v>
      </c>
      <c r="E198" s="7">
        <f>ABS(0.00555555555555509-0.018055555555556)</f>
        <v>1.2500000000000911E-2</v>
      </c>
      <c r="F198" s="1" t="s">
        <v>3</v>
      </c>
    </row>
    <row r="199" spans="1:6" x14ac:dyDescent="0.25">
      <c r="A199" s="12">
        <v>42156</v>
      </c>
      <c r="B199" s="7">
        <v>0.93819444444444444</v>
      </c>
      <c r="C199" s="7">
        <v>0.95624999999999993</v>
      </c>
      <c r="D199" s="7">
        <f>(0.95625-0.938194444444444)</f>
        <v>1.8055555555556047E-2</v>
      </c>
      <c r="E199" s="7">
        <f>ABS(0.018055555555556-0.019444444444445)</f>
        <v>1.3888888888889984E-3</v>
      </c>
      <c r="F199" s="1" t="s">
        <v>3</v>
      </c>
    </row>
    <row r="200" spans="1:6" x14ac:dyDescent="0.25">
      <c r="A200" s="12">
        <v>42156</v>
      </c>
      <c r="B200" s="7">
        <v>0.40972222222222227</v>
      </c>
      <c r="C200" s="7">
        <v>0.4291666666666667</v>
      </c>
      <c r="D200" s="7">
        <f>(0.429166666666667-0.409722222222222)</f>
        <v>1.9444444444444986E-2</v>
      </c>
      <c r="E200" s="7">
        <f>ABS(0.019444444444445-0.019444444444445)</f>
        <v>0</v>
      </c>
      <c r="F200" s="1" t="s">
        <v>3</v>
      </c>
    </row>
    <row r="201" spans="1:6" x14ac:dyDescent="0.25">
      <c r="A201" s="12">
        <v>42156</v>
      </c>
      <c r="B201" s="7">
        <v>0.54097222222222219</v>
      </c>
      <c r="C201" s="7">
        <v>0.56041666666666667</v>
      </c>
      <c r="D201" s="7">
        <f>(0.560416666666667-0.540972222222222)</f>
        <v>1.9444444444445041E-2</v>
      </c>
      <c r="E201" s="7">
        <f>ABS(0.019444444444445-0.010416666666667)</f>
        <v>9.0277777777780007E-3</v>
      </c>
      <c r="F201" s="1" t="s">
        <v>3</v>
      </c>
    </row>
    <row r="202" spans="1:6" x14ac:dyDescent="0.25">
      <c r="A202" s="12">
        <v>42156</v>
      </c>
      <c r="B202" s="7">
        <v>0.68611111111111101</v>
      </c>
      <c r="C202" s="7">
        <v>0.69652777777777775</v>
      </c>
      <c r="D202" s="7">
        <f>(0.696527777777778-0.686111111111111)</f>
        <v>1.0416666666666963E-2</v>
      </c>
      <c r="E202" s="7">
        <f>ABS(0.010416666666667-0.00833333333333408)</f>
        <v>2.08333333333292E-3</v>
      </c>
      <c r="F202" s="1" t="s">
        <v>3</v>
      </c>
    </row>
    <row r="203" spans="1:6" x14ac:dyDescent="0.25">
      <c r="A203" s="12">
        <v>42156</v>
      </c>
      <c r="B203" s="7">
        <v>0.7270833333333333</v>
      </c>
      <c r="C203" s="7">
        <v>0.73541666666666661</v>
      </c>
      <c r="D203" s="7">
        <f>(0.735416666666667-0.727083333333333)</f>
        <v>8.3333333333340809E-3</v>
      </c>
      <c r="E203" s="7">
        <f>ABS(0.00833333333333408-0.0222222222222229)</f>
        <v>1.388888888888882E-2</v>
      </c>
      <c r="F203" s="1" t="s">
        <v>3</v>
      </c>
    </row>
    <row r="204" spans="1:6" x14ac:dyDescent="0.25">
      <c r="A204" s="12">
        <v>42156</v>
      </c>
      <c r="B204" s="7">
        <v>0.73958333333333337</v>
      </c>
      <c r="C204" s="7">
        <v>0.76180555555555562</v>
      </c>
      <c r="D204" s="7">
        <f>(0.761805555555556-0.739583333333333)</f>
        <v>2.222222222222292E-2</v>
      </c>
      <c r="E204" s="7">
        <f>ABS(0.0222222222222229-0.0125)</f>
        <v>9.7222222222228989E-3</v>
      </c>
      <c r="F204" s="1" t="s">
        <v>3</v>
      </c>
    </row>
    <row r="205" spans="1:6" x14ac:dyDescent="0.25">
      <c r="A205" s="12">
        <v>42156</v>
      </c>
      <c r="B205" s="7">
        <v>0.77777777777777779</v>
      </c>
      <c r="C205" s="7">
        <v>0.79027777777777775</v>
      </c>
      <c r="D205" s="7">
        <f>(0.790277777777778-0.777777777777778)</f>
        <v>1.2499999999999956E-2</v>
      </c>
      <c r="E205" s="7">
        <f>ABS(0.0125-0.0173611111111109)</f>
        <v>4.8611111111108996E-3</v>
      </c>
      <c r="F205" s="1" t="s">
        <v>3</v>
      </c>
    </row>
    <row r="206" spans="1:6" x14ac:dyDescent="0.25">
      <c r="A206" s="12">
        <v>42156</v>
      </c>
      <c r="B206" s="7">
        <v>0.89097222222222217</v>
      </c>
      <c r="C206" s="7">
        <v>0.90833333333333333</v>
      </c>
      <c r="D206" s="7">
        <f>(0.908333333333333-0.890972222222222)</f>
        <v>1.7361111111110938E-2</v>
      </c>
      <c r="E206" s="7">
        <f>ABS(0.0173611111111109-0.00902777777777797)</f>
        <v>8.3333333333329308E-3</v>
      </c>
      <c r="F206" s="1" t="s">
        <v>3</v>
      </c>
    </row>
    <row r="207" spans="1:6" x14ac:dyDescent="0.25">
      <c r="A207" s="12">
        <v>42156</v>
      </c>
      <c r="B207" s="7">
        <v>0.96527777777777779</v>
      </c>
      <c r="C207" s="7">
        <v>0.97430555555555554</v>
      </c>
      <c r="D207" s="7">
        <f>(0.974305555555556-0.965277777777778)</f>
        <v>9.0277777777779677E-3</v>
      </c>
      <c r="E207" s="7">
        <f>ABS(0.00902777777777797-0.00555555555554998)</f>
        <v>3.4722222222279891E-3</v>
      </c>
      <c r="F207" s="1" t="s">
        <v>3</v>
      </c>
    </row>
    <row r="208" spans="1:6" x14ac:dyDescent="0.25">
      <c r="A208" s="12">
        <v>42156</v>
      </c>
      <c r="B208" s="7">
        <v>1.0090277777777776</v>
      </c>
      <c r="C208" s="7">
        <v>1.0145833333333334</v>
      </c>
      <c r="D208" s="7">
        <f>(1.01458333333333-1.00902777777778)</f>
        <v>5.5555555555499847E-3</v>
      </c>
      <c r="E208" s="7">
        <f>ABS(0.00555555555554998-0.04375)</f>
        <v>3.8194444444450019E-2</v>
      </c>
      <c r="F208" s="1" t="s">
        <v>3</v>
      </c>
    </row>
    <row r="209" spans="1:6" x14ac:dyDescent="0.25">
      <c r="A209" s="12">
        <v>42156</v>
      </c>
      <c r="B209" s="7">
        <v>0.15555555555555556</v>
      </c>
      <c r="C209" s="7">
        <v>0.19930555555555554</v>
      </c>
      <c r="D209" s="7">
        <f>(0.199305555555556-0.155555555555556)</f>
        <v>4.3750000000000011E-2</v>
      </c>
      <c r="E209" s="7">
        <f>ABS(0.04375-0.00833333333333297)</f>
        <v>3.5416666666667027E-2</v>
      </c>
      <c r="F209" s="1" t="s">
        <v>3</v>
      </c>
    </row>
    <row r="210" spans="1:6" x14ac:dyDescent="0.25">
      <c r="A210" s="12">
        <v>42156</v>
      </c>
      <c r="B210" s="7">
        <v>0.32291666666666669</v>
      </c>
      <c r="C210" s="7">
        <v>0.33124999999999999</v>
      </c>
      <c r="D210" s="7">
        <f>(0.33125-0.322916666666667)</f>
        <v>8.3333333333329707E-3</v>
      </c>
      <c r="E210" s="7">
        <f>ABS(0.00833333333333297-0.00763888888888897)</f>
        <v>6.9444444444400049E-4</v>
      </c>
      <c r="F210" s="1" t="s">
        <v>3</v>
      </c>
    </row>
    <row r="211" spans="1:6" x14ac:dyDescent="0.25">
      <c r="A211" s="12">
        <v>42156</v>
      </c>
      <c r="B211" s="7">
        <v>0.48402777777777778</v>
      </c>
      <c r="C211" s="7">
        <v>0.4916666666666667</v>
      </c>
      <c r="D211" s="7">
        <f>(0.491666666666667-0.484027777777778)</f>
        <v>7.6388888888889728E-3</v>
      </c>
      <c r="E211" s="7">
        <f>ABS(0.00763888888888897-0.00347222222222199)</f>
        <v>4.1666666666669797E-3</v>
      </c>
      <c r="F211" s="1" t="s">
        <v>3</v>
      </c>
    </row>
    <row r="212" spans="1:6" x14ac:dyDescent="0.25">
      <c r="A212" s="12">
        <v>42156</v>
      </c>
      <c r="B212" s="7">
        <v>0.4993055555555555</v>
      </c>
      <c r="C212" s="7">
        <v>0.50277777777777777</v>
      </c>
      <c r="D212" s="7">
        <f>(0.502777777777778-0.499305555555556)</f>
        <v>3.4722222222219878E-3</v>
      </c>
      <c r="E212" s="7">
        <f>ABS(0.00347222222222199-0.00972222222222296)</f>
        <v>6.2500000000009701E-3</v>
      </c>
      <c r="F212" s="1" t="s">
        <v>3</v>
      </c>
    </row>
    <row r="213" spans="1:6" x14ac:dyDescent="0.25">
      <c r="A213" s="12">
        <v>42156</v>
      </c>
      <c r="B213" s="7">
        <v>0.62083333333333335</v>
      </c>
      <c r="C213" s="7">
        <v>0.63055555555555554</v>
      </c>
      <c r="D213" s="7">
        <f>(0.630555555555556-0.620833333333333)</f>
        <v>9.7222222222229648E-3</v>
      </c>
      <c r="E213" s="7">
        <f>ABS(0.00972222222222296-0.011111111111111)</f>
        <v>1.3888888888880409E-3</v>
      </c>
      <c r="F213" s="1" t="s">
        <v>3</v>
      </c>
    </row>
    <row r="214" spans="1:6" x14ac:dyDescent="0.25">
      <c r="A214" s="12">
        <v>42156</v>
      </c>
      <c r="B214" s="7">
        <v>0.70416666666666661</v>
      </c>
      <c r="C214" s="7">
        <v>0.71527777777777779</v>
      </c>
      <c r="D214" s="7">
        <f>(0.715277777777778-0.704166666666667)</f>
        <v>1.1111111111110961E-2</v>
      </c>
      <c r="E214" s="7">
        <f>ABS(0.011111111111111-0.013888888888889)</f>
        <v>2.7777777777779986E-3</v>
      </c>
      <c r="F214" s="1" t="s">
        <v>3</v>
      </c>
    </row>
    <row r="215" spans="1:6" x14ac:dyDescent="0.25">
      <c r="A215" s="12">
        <v>42156</v>
      </c>
      <c r="B215" s="7">
        <v>0.84027777777777779</v>
      </c>
      <c r="C215" s="7">
        <v>0.85416666666666663</v>
      </c>
      <c r="D215" s="7">
        <f>(0.854166666666667-0.840277777777778)</f>
        <v>1.3888888888888951E-2</v>
      </c>
      <c r="E215" s="7">
        <f>ABS(0.013888888888889-0.024305555555555)</f>
        <v>1.0416666666666002E-2</v>
      </c>
      <c r="F215" s="1" t="s">
        <v>3</v>
      </c>
    </row>
    <row r="216" spans="1:6" x14ac:dyDescent="0.25">
      <c r="A216" s="12">
        <v>42156</v>
      </c>
      <c r="B216" s="7">
        <v>0.88194444444444453</v>
      </c>
      <c r="C216" s="7">
        <v>0.90625</v>
      </c>
      <c r="D216" s="7">
        <f>(0.90625-0.881944444444445)</f>
        <v>2.4305555555555025E-2</v>
      </c>
      <c r="E216" s="7">
        <f>ABS(0.024305555555555-0.030555555555556)</f>
        <v>6.2500000000009978E-3</v>
      </c>
      <c r="F216" s="1" t="s">
        <v>3</v>
      </c>
    </row>
    <row r="217" spans="1:6" x14ac:dyDescent="0.25">
      <c r="A217" s="12">
        <v>42156</v>
      </c>
      <c r="B217" s="7">
        <v>0.50972222222222219</v>
      </c>
      <c r="C217" s="7">
        <v>0.54027777777777775</v>
      </c>
      <c r="D217" s="7">
        <f>(0.540277777777778-0.509722222222222)</f>
        <v>3.0555555555556002E-2</v>
      </c>
      <c r="E217" s="7">
        <f>ABS(0.030555555555556-0.00486111111111098)</f>
        <v>2.5694444444445019E-2</v>
      </c>
      <c r="F217" s="1" t="s">
        <v>3</v>
      </c>
    </row>
    <row r="218" spans="1:6" x14ac:dyDescent="0.25">
      <c r="A218" s="12">
        <v>42156</v>
      </c>
      <c r="B218" s="7">
        <v>0.60138888888888886</v>
      </c>
      <c r="C218" s="7">
        <v>0.60625000000000007</v>
      </c>
      <c r="D218" s="7">
        <f>(0.60625-0.601388888888889)</f>
        <v>4.8611111111109828E-3</v>
      </c>
      <c r="E218" s="7">
        <f>ABS(0.00486111111111098-0.00486111111111198)</f>
        <v>1.0000680839006293E-15</v>
      </c>
      <c r="F218" s="1" t="s">
        <v>3</v>
      </c>
    </row>
    <row r="219" spans="1:6" x14ac:dyDescent="0.25">
      <c r="A219" s="12">
        <v>42156</v>
      </c>
      <c r="B219" s="7">
        <v>0.72083333333333333</v>
      </c>
      <c r="C219" s="7">
        <v>0.72569444444444453</v>
      </c>
      <c r="D219" s="7">
        <f>(0.725694444444445-0.720833333333333)</f>
        <v>4.861111111111982E-3</v>
      </c>
      <c r="E219" s="7">
        <f>ABS(0.00486111111111198-0.00486111111111098)</f>
        <v>1.0000680839006293E-15</v>
      </c>
      <c r="F219" s="1" t="s">
        <v>3</v>
      </c>
    </row>
    <row r="220" spans="1:6" x14ac:dyDescent="0.25">
      <c r="A220" s="12">
        <v>42156</v>
      </c>
      <c r="B220" s="7">
        <v>0.80763888888888891</v>
      </c>
      <c r="C220" s="7">
        <v>0.8125</v>
      </c>
      <c r="D220" s="7">
        <f>(0.8125-0.807638888888889)</f>
        <v>4.8611111111109828E-3</v>
      </c>
      <c r="E220" s="7">
        <f>ABS(0.00486111111111098-0.00416666666666599)</f>
        <v>6.9444444444499015E-4</v>
      </c>
      <c r="F220" s="1" t="s">
        <v>3</v>
      </c>
    </row>
    <row r="221" spans="1:6" x14ac:dyDescent="0.25">
      <c r="A221" s="12">
        <v>42156</v>
      </c>
      <c r="B221" s="7">
        <v>0.8652777777777777</v>
      </c>
      <c r="C221" s="7">
        <v>0.86944444444444446</v>
      </c>
      <c r="D221" s="7">
        <f>(0.869444444444444-0.865277777777778)</f>
        <v>4.1666666666659857E-3</v>
      </c>
      <c r="E221" s="7">
        <f>ABS(0.00416666666666599-0.00625000000000009)</f>
        <v>2.0833333333340996E-3</v>
      </c>
      <c r="F221" s="1" t="s">
        <v>3</v>
      </c>
    </row>
    <row r="222" spans="1:6" x14ac:dyDescent="0.25">
      <c r="A222" s="12">
        <v>42156</v>
      </c>
      <c r="B222" s="7">
        <v>0.8881944444444444</v>
      </c>
      <c r="C222" s="7">
        <v>0.89444444444444438</v>
      </c>
      <c r="D222" s="7">
        <f>(0.894444444444444-0.888194444444444)</f>
        <v>6.2500000000000888E-3</v>
      </c>
      <c r="E222" s="7">
        <f>ABS(0.00625000000000009-0.013194444444445)</f>
        <v>6.9444444444449098E-3</v>
      </c>
      <c r="F222" s="1" t="s">
        <v>3</v>
      </c>
    </row>
    <row r="223" spans="1:6" x14ac:dyDescent="0.25">
      <c r="A223" s="12">
        <v>42156</v>
      </c>
      <c r="B223" s="7">
        <v>0.90069444444444446</v>
      </c>
      <c r="C223" s="7">
        <v>0.91388888888888886</v>
      </c>
      <c r="D223" s="7">
        <f>(0.913888888888889-0.900694444444444)</f>
        <v>1.3194444444444953E-2</v>
      </c>
      <c r="E223" s="7">
        <f>ABS(0.013194444444445-0.00833333333333308)</f>
        <v>4.8611111111119196E-3</v>
      </c>
      <c r="F223" s="1" t="s">
        <v>3</v>
      </c>
    </row>
    <row r="224" spans="1:6" x14ac:dyDescent="0.25">
      <c r="A224" s="12">
        <v>42156</v>
      </c>
      <c r="B224" s="7">
        <v>0.94791666666666663</v>
      </c>
      <c r="C224" s="7">
        <v>0.95624999999999993</v>
      </c>
      <c r="D224" s="7">
        <f>(0.95625-0.947916666666667)</f>
        <v>8.3333333333330817E-3</v>
      </c>
      <c r="E224" s="7">
        <f>ABS(0.00833333333333308-0.00416666666666698)</f>
        <v>4.1666666666661002E-3</v>
      </c>
      <c r="F224" s="1" t="s">
        <v>3</v>
      </c>
    </row>
    <row r="225" spans="1:6" x14ac:dyDescent="0.25">
      <c r="A225" s="12">
        <v>42156</v>
      </c>
      <c r="B225" s="7">
        <v>0.97013888888888899</v>
      </c>
      <c r="C225" s="7">
        <v>0.97430555555555554</v>
      </c>
      <c r="D225" s="7">
        <f>(0.974305555555556-0.970138888888889)</f>
        <v>4.1666666666669849E-3</v>
      </c>
      <c r="E225" s="7">
        <f>ABS(0.00416666666666698-0.0118055555555556)</f>
        <v>7.6388888888886206E-3</v>
      </c>
      <c r="F225" s="1" t="s">
        <v>3</v>
      </c>
    </row>
    <row r="226" spans="1:6" x14ac:dyDescent="0.25">
      <c r="A226" s="12">
        <v>42156</v>
      </c>
      <c r="B226" s="7">
        <v>3.9583333333333331E-2</v>
      </c>
      <c r="C226" s="7">
        <v>5.1388888888888894E-2</v>
      </c>
      <c r="D226" s="7">
        <f>(0.0513888888888889-0.0395833333333333)</f>
        <v>1.1805555555555604E-2</v>
      </c>
      <c r="E226" s="7">
        <f>ABS(0.0118055555555556-0.00694444444444398)</f>
        <v>4.8611111111116203E-3</v>
      </c>
      <c r="F226" s="1" t="s">
        <v>3</v>
      </c>
    </row>
    <row r="227" spans="1:6" x14ac:dyDescent="0.25">
      <c r="A227" s="12">
        <v>42156</v>
      </c>
      <c r="B227" s="7">
        <v>0.26041666666666669</v>
      </c>
      <c r="C227" s="7">
        <v>0.2673611111111111</v>
      </c>
      <c r="D227" s="7">
        <f>(0.267361111111111-0.260416666666667)</f>
        <v>6.9444444444439757E-3</v>
      </c>
      <c r="E227" s="7">
        <f>ABS(0.00694444444444398-0.00486111111111104)</f>
        <v>2.08333333333294E-3</v>
      </c>
      <c r="F227" s="1" t="s">
        <v>3</v>
      </c>
    </row>
    <row r="228" spans="1:6" x14ac:dyDescent="0.25">
      <c r="A228" s="12">
        <v>42156</v>
      </c>
      <c r="B228" s="7">
        <v>0.38055555555555554</v>
      </c>
      <c r="C228" s="7">
        <v>0.38541666666666669</v>
      </c>
      <c r="D228" s="7">
        <f>(0.385416666666667-0.380555555555556)</f>
        <v>4.8611111111110383E-3</v>
      </c>
      <c r="E228" s="7">
        <f>ABS(0.00486111111111104-0.00694444444444503)</f>
        <v>2.0833333333339903E-3</v>
      </c>
      <c r="F228" s="1" t="s">
        <v>3</v>
      </c>
    </row>
    <row r="229" spans="1:6" x14ac:dyDescent="0.25">
      <c r="A229" s="12">
        <v>42156</v>
      </c>
      <c r="B229" s="7">
        <v>0.4861111111111111</v>
      </c>
      <c r="C229" s="7">
        <v>0.49305555555555558</v>
      </c>
      <c r="D229" s="7">
        <f>(0.493055555555556-0.486111111111111)</f>
        <v>6.9444444444450304E-3</v>
      </c>
      <c r="E229" s="7">
        <f>ABS(0.00694444444444503-0.022222222222222)</f>
        <v>1.5277777777776971E-2</v>
      </c>
      <c r="F229" s="1" t="s">
        <v>3</v>
      </c>
    </row>
    <row r="230" spans="1:6" x14ac:dyDescent="0.25">
      <c r="A230" s="12">
        <v>42156</v>
      </c>
      <c r="B230" s="7">
        <v>0.55902777777777779</v>
      </c>
      <c r="C230" s="7">
        <v>0.58124999999999993</v>
      </c>
      <c r="D230" s="7">
        <f>(0.58125-0.559027777777778)</f>
        <v>2.2222222222222032E-2</v>
      </c>
      <c r="E230" s="7">
        <f>ABS(0.022222222222222-0.0027777777777781)</f>
        <v>1.94444444444439E-2</v>
      </c>
      <c r="F230" s="1" t="s">
        <v>3</v>
      </c>
    </row>
    <row r="231" spans="1:6" x14ac:dyDescent="0.25">
      <c r="A231" s="12">
        <v>42156</v>
      </c>
      <c r="B231" s="7">
        <v>0.7319444444444444</v>
      </c>
      <c r="C231" s="7">
        <v>0.73472222222222217</v>
      </c>
      <c r="D231" s="7">
        <f>(0.734722222222222-0.731944444444444)</f>
        <v>2.777777777778101E-3</v>
      </c>
      <c r="E231" s="7">
        <f>ABS(0.0027777777777781-0.00763888888888908)</f>
        <v>4.8611111111109802E-3</v>
      </c>
      <c r="F231" s="1" t="s">
        <v>3</v>
      </c>
    </row>
    <row r="232" spans="1:6" x14ac:dyDescent="0.25">
      <c r="A232" s="12">
        <v>42156</v>
      </c>
      <c r="B232" s="7">
        <v>0.8833333333333333</v>
      </c>
      <c r="C232" s="7">
        <v>0.89097222222222217</v>
      </c>
      <c r="D232" s="7">
        <f>(0.890972222222222-0.883333333333333)</f>
        <v>7.6388888888890838E-3</v>
      </c>
      <c r="E232" s="7">
        <f>ABS(0.00763888888888908-0.00486111111111098)</f>
        <v>2.7777777777781001E-3</v>
      </c>
      <c r="F232" s="1" t="s">
        <v>3</v>
      </c>
    </row>
    <row r="233" spans="1:6" x14ac:dyDescent="0.25">
      <c r="A233" s="12">
        <v>42156</v>
      </c>
      <c r="B233" s="7">
        <v>0.99097222222222225</v>
      </c>
      <c r="C233" s="7">
        <v>0.99583333333333324</v>
      </c>
      <c r="D233" s="7">
        <f>(0.995833333333333-0.990972222222222)</f>
        <v>4.8611111111109828E-3</v>
      </c>
      <c r="E233" s="7">
        <f>ABS(0.00486111111111098-0.0131944444444441)</f>
        <v>8.3333333333331198E-3</v>
      </c>
      <c r="F233" s="1" t="s">
        <v>3</v>
      </c>
    </row>
    <row r="234" spans="1:6" x14ac:dyDescent="0.25">
      <c r="A234" s="12">
        <v>42156</v>
      </c>
      <c r="B234" s="7">
        <v>0.98263888888888884</v>
      </c>
      <c r="C234" s="7">
        <v>0.99583333333333324</v>
      </c>
      <c r="D234" s="7">
        <f>(0.995833333333333-0.982638888888889)</f>
        <v>1.3194444444444065E-2</v>
      </c>
      <c r="E234" s="7">
        <f>ABS(0.0131944444444441-0.0097222222222222)</f>
        <v>3.4722222222218994E-3</v>
      </c>
      <c r="F234" s="1" t="s">
        <v>3</v>
      </c>
    </row>
    <row r="235" spans="1:6" x14ac:dyDescent="0.25">
      <c r="A235" s="12">
        <v>42156</v>
      </c>
      <c r="B235" s="7">
        <v>4.7916666666666663E-2</v>
      </c>
      <c r="C235" s="7">
        <v>5.7638888888888885E-2</v>
      </c>
      <c r="D235" s="7">
        <f>(0.0576388888888889-0.0479166666666667)</f>
        <v>9.7222222222222016E-3</v>
      </c>
      <c r="E235" s="7">
        <f>ABS(0.0097222222222222-0.00625000000000001)</f>
        <v>3.4722222222221899E-3</v>
      </c>
      <c r="F235" s="1" t="s">
        <v>3</v>
      </c>
    </row>
    <row r="236" spans="1:6" x14ac:dyDescent="0.25">
      <c r="A236" s="12">
        <v>42156</v>
      </c>
      <c r="B236" s="7">
        <v>0.19097222222222221</v>
      </c>
      <c r="C236" s="7">
        <v>0.19722222222222222</v>
      </c>
      <c r="D236" s="7">
        <f>(0.197222222222222-0.190972222222222)</f>
        <v>6.2500000000000056E-3</v>
      </c>
      <c r="E236" s="7">
        <f>ABS(0.00625000000000001-0.010416666666667)</f>
        <v>4.1666666666669893E-3</v>
      </c>
      <c r="F236" s="1" t="s">
        <v>3</v>
      </c>
    </row>
    <row r="237" spans="1:6" x14ac:dyDescent="0.25">
      <c r="A237" s="12">
        <v>42156</v>
      </c>
      <c r="B237" s="7">
        <v>0.45763888888888887</v>
      </c>
      <c r="C237" s="7">
        <v>0.4680555555555555</v>
      </c>
      <c r="D237" s="7">
        <f>(0.468055555555556-0.457638888888889)</f>
        <v>1.0416666666667018E-2</v>
      </c>
      <c r="E237" s="7">
        <f>ABS(0.010416666666667-0.010416666666667)</f>
        <v>0</v>
      </c>
      <c r="F237" s="1" t="s">
        <v>3</v>
      </c>
    </row>
    <row r="238" spans="1:6" x14ac:dyDescent="0.25">
      <c r="A238" s="12">
        <v>42156</v>
      </c>
      <c r="B238" s="7">
        <v>0.76736111111111116</v>
      </c>
      <c r="C238" s="7">
        <v>0.77777777777777779</v>
      </c>
      <c r="D238" s="7">
        <f>(0.777777777777778-0.767361111111111)</f>
        <v>1.0416666666666963E-2</v>
      </c>
      <c r="E238" s="7">
        <f>ABS(0.010416666666667-0.0173611111111109)</f>
        <v>6.9444444444439011E-3</v>
      </c>
      <c r="F238" s="1" t="s">
        <v>3</v>
      </c>
    </row>
    <row r="239" spans="1:6" x14ac:dyDescent="0.25">
      <c r="A239" s="12">
        <v>42156</v>
      </c>
      <c r="B239" s="7">
        <v>0.76597222222222217</v>
      </c>
      <c r="C239" s="7">
        <v>0.78333333333333333</v>
      </c>
      <c r="D239" s="7">
        <f>(0.783333333333333-0.765972222222222)</f>
        <v>1.7361111111110938E-2</v>
      </c>
      <c r="E239" s="7">
        <f>ABS(0.0173611111111109-0.00833333333333297)</f>
        <v>9.0277777777779296E-3</v>
      </c>
      <c r="F239" s="1" t="s">
        <v>3</v>
      </c>
    </row>
    <row r="240" spans="1:6" x14ac:dyDescent="0.25">
      <c r="A240" s="12">
        <v>42156</v>
      </c>
      <c r="B240" s="7">
        <v>0.8666666666666667</v>
      </c>
      <c r="C240" s="7">
        <v>0.875</v>
      </c>
      <c r="D240" s="7">
        <f>(0.875-0.866666666666667)</f>
        <v>8.3333333333329707E-3</v>
      </c>
      <c r="E240" s="7">
        <f>ABS(0.00833333333333297-0.011111111111111)</f>
        <v>2.7777777777780299E-3</v>
      </c>
      <c r="F240" s="1" t="s">
        <v>3</v>
      </c>
    </row>
    <row r="241" spans="1:6" x14ac:dyDescent="0.25">
      <c r="A241" s="12">
        <v>42156</v>
      </c>
      <c r="B241" s="7">
        <v>0.93402777777777779</v>
      </c>
      <c r="C241" s="7">
        <v>0.94513888888888886</v>
      </c>
      <c r="D241" s="7">
        <f>(0.945138888888889-0.934027777777778)</f>
        <v>1.1111111111110961E-2</v>
      </c>
      <c r="E241" s="7">
        <f>ABS(0.011111111111111-0.0111111111111111)</f>
        <v>9.8879238130678004E-17</v>
      </c>
      <c r="F241" s="1" t="s">
        <v>3</v>
      </c>
    </row>
    <row r="242" spans="1:6" x14ac:dyDescent="0.25">
      <c r="A242" s="12">
        <v>42156</v>
      </c>
      <c r="B242" s="7">
        <v>0.95000000000000007</v>
      </c>
      <c r="C242" s="7">
        <v>0.96111111111111114</v>
      </c>
      <c r="D242" s="7">
        <f>(0.961111111111111-0.95)</f>
        <v>1.1111111111111072E-2</v>
      </c>
      <c r="E242" s="7">
        <f>ABS(0.0111111111111111-0.0041666666666666)</f>
        <v>6.9444444444444996E-3</v>
      </c>
      <c r="F242" s="1" t="s">
        <v>3</v>
      </c>
    </row>
    <row r="243" spans="1:6" x14ac:dyDescent="0.25">
      <c r="A243" s="12">
        <v>42156</v>
      </c>
      <c r="B243" s="7">
        <v>5.4166666666666669E-2</v>
      </c>
      <c r="C243" s="7">
        <v>5.8333333333333327E-2</v>
      </c>
      <c r="D243" s="7">
        <f>(0.0583333333333333-0.0541666666666667)</f>
        <v>4.1666666666665964E-3</v>
      </c>
      <c r="E243" s="7">
        <f>ABS(0.0041666666666666-0.00833333333333303)</f>
        <v>4.1666666666664298E-3</v>
      </c>
      <c r="F243" s="1" t="s">
        <v>3</v>
      </c>
    </row>
    <row r="244" spans="1:6" x14ac:dyDescent="0.25">
      <c r="A244" s="12">
        <v>42156</v>
      </c>
      <c r="B244" s="7">
        <v>0.34375</v>
      </c>
      <c r="C244" s="7">
        <v>0.3520833333333333</v>
      </c>
      <c r="D244" s="7">
        <f>(0.352083333333333-0.34375)</f>
        <v>8.3333333333330262E-3</v>
      </c>
      <c r="E244" s="7">
        <f>ABS(0.00833333333333303-0.00416666666666698)</f>
        <v>4.1666666666660499E-3</v>
      </c>
      <c r="F244" s="1" t="s">
        <v>3</v>
      </c>
    </row>
    <row r="245" spans="1:6" x14ac:dyDescent="0.25">
      <c r="A245" s="12">
        <v>42156</v>
      </c>
      <c r="B245" s="7">
        <v>0.37361111111111112</v>
      </c>
      <c r="C245" s="7">
        <v>0.37777777777777777</v>
      </c>
      <c r="D245" s="7">
        <f>(0.377777777777778-0.373611111111111)</f>
        <v>4.1666666666669849E-3</v>
      </c>
      <c r="E245" s="7">
        <f>ABS(0.00416666666666698-0.00972222222222202)</f>
        <v>5.5555555555550397E-3</v>
      </c>
      <c r="F245" s="1" t="s">
        <v>3</v>
      </c>
    </row>
    <row r="246" spans="1:6" x14ac:dyDescent="0.25">
      <c r="A246" s="12">
        <v>42156</v>
      </c>
      <c r="B246" s="7">
        <v>0.46875</v>
      </c>
      <c r="C246" s="7">
        <v>0.47847222222222219</v>
      </c>
      <c r="D246" s="7">
        <f>(0.478472222222222-0.46875)</f>
        <v>9.7222222222220211E-3</v>
      </c>
      <c r="E246" s="7">
        <f>ABS(0.00972222222222202-0.00763888888888908)</f>
        <v>2.0833333333329391E-3</v>
      </c>
      <c r="F246" s="1" t="s">
        <v>3</v>
      </c>
    </row>
    <row r="247" spans="1:6" x14ac:dyDescent="0.25">
      <c r="A247" s="12">
        <v>42156</v>
      </c>
      <c r="B247" s="7">
        <v>0.5131944444444444</v>
      </c>
      <c r="C247" s="7">
        <v>0.52083333333333337</v>
      </c>
      <c r="D247" s="7">
        <f>(0.520833333333333-0.513194444444444)</f>
        <v>7.6388888888890838E-3</v>
      </c>
      <c r="E247" s="7">
        <f>ABS(0.00763888888888908-0.00486111111111098)</f>
        <v>2.7777777777781001E-3</v>
      </c>
      <c r="F247" s="1" t="s">
        <v>3</v>
      </c>
    </row>
    <row r="248" spans="1:6" x14ac:dyDescent="0.25">
      <c r="A248" s="12">
        <v>42156</v>
      </c>
      <c r="B248" s="7">
        <v>0.5229166666666667</v>
      </c>
      <c r="C248" s="7">
        <v>0.52777777777777779</v>
      </c>
      <c r="D248" s="7">
        <f>(0.527777777777778-0.522916666666667)</f>
        <v>4.8611111111109828E-3</v>
      </c>
      <c r="E248" s="7">
        <f>ABS(0.00486111111111098-0.00694444444444497)</f>
        <v>2.0833333333339895E-3</v>
      </c>
      <c r="F248" s="1" t="s">
        <v>3</v>
      </c>
    </row>
    <row r="249" spans="1:6" x14ac:dyDescent="0.25">
      <c r="A249" s="12">
        <v>42156</v>
      </c>
      <c r="B249" s="7">
        <v>0.56458333333333333</v>
      </c>
      <c r="C249" s="7">
        <v>0.57152777777777775</v>
      </c>
      <c r="D249" s="7">
        <f>(0.571527777777778-0.564583333333333)</f>
        <v>6.9444444444449749E-3</v>
      </c>
      <c r="E249" s="7">
        <f>ABS(0.00694444444444497-0.0041666666666671)</f>
        <v>2.7777777777778694E-3</v>
      </c>
      <c r="F249" s="1" t="s">
        <v>3</v>
      </c>
    </row>
    <row r="250" spans="1:6" x14ac:dyDescent="0.25">
      <c r="A250" s="12">
        <v>42156</v>
      </c>
      <c r="B250" s="7">
        <v>0.60625000000000007</v>
      </c>
      <c r="C250" s="7">
        <v>0.61041666666666672</v>
      </c>
      <c r="D250" s="7">
        <f>(0.610416666666667-0.60625)</f>
        <v>4.166666666667096E-3</v>
      </c>
      <c r="E250" s="7">
        <f>ABS(0.0041666666666671-0.00625000000000009)</f>
        <v>2.0833333333329894E-3</v>
      </c>
      <c r="F250" s="1" t="s">
        <v>3</v>
      </c>
    </row>
    <row r="251" spans="1:6" x14ac:dyDescent="0.25">
      <c r="A251" s="12">
        <v>42156</v>
      </c>
      <c r="B251" s="7">
        <v>0.66875000000000007</v>
      </c>
      <c r="C251" s="7">
        <v>0.67499999999999993</v>
      </c>
      <c r="D251" s="7">
        <f>(0.675-0.66875)</f>
        <v>6.2500000000000888E-3</v>
      </c>
      <c r="E251" s="7">
        <f>ABS(0.00625000000000009-0.00972222222222296)</f>
        <v>3.4722222222228699E-3</v>
      </c>
      <c r="F251" s="1" t="s">
        <v>3</v>
      </c>
    </row>
    <row r="252" spans="1:6" x14ac:dyDescent="0.25">
      <c r="A252" s="12">
        <v>42156</v>
      </c>
      <c r="B252" s="7">
        <v>0.89583333333333337</v>
      </c>
      <c r="C252" s="7">
        <v>0.90555555555555556</v>
      </c>
      <c r="D252" s="7">
        <f>(0.905555555555556-0.895833333333333)</f>
        <v>9.7222222222229648E-3</v>
      </c>
      <c r="E252" s="7">
        <f>ABS(0.00972222222222296-0.00486111111111098)</f>
        <v>4.8611111111119794E-3</v>
      </c>
      <c r="F252" s="1" t="s">
        <v>3</v>
      </c>
    </row>
    <row r="253" spans="1:6" x14ac:dyDescent="0.25">
      <c r="A253" s="12">
        <v>42156</v>
      </c>
      <c r="B253" s="7">
        <v>0.13680555555555554</v>
      </c>
      <c r="C253" s="7">
        <v>0.14166666666666666</v>
      </c>
      <c r="D253" s="7">
        <f>(0.141666666666667-0.136805555555556)</f>
        <v>4.8611111111109828E-3</v>
      </c>
      <c r="E253" s="7">
        <f>ABS(0.00486111111111098-0.0152777777777781)</f>
        <v>1.0416666666667119E-2</v>
      </c>
      <c r="F253" s="1" t="s">
        <v>3</v>
      </c>
    </row>
    <row r="254" spans="1:6" x14ac:dyDescent="0.25">
      <c r="A254" s="12">
        <v>42156</v>
      </c>
      <c r="B254" s="7">
        <v>0.7284722222222223</v>
      </c>
      <c r="C254" s="7">
        <v>0.74375000000000002</v>
      </c>
      <c r="D254" s="7">
        <f>(0.74375-0.728472222222222)</f>
        <v>1.5277777777778057E-2</v>
      </c>
      <c r="E254" s="7">
        <f>ABS(0.0152777777777781-0.00833333333333397)</f>
        <v>6.9444444444441301E-3</v>
      </c>
      <c r="F254" s="1" t="s">
        <v>3</v>
      </c>
    </row>
    <row r="255" spans="1:6" x14ac:dyDescent="0.25">
      <c r="A255" s="12">
        <v>42156</v>
      </c>
      <c r="B255" s="7">
        <v>0.53472222222222221</v>
      </c>
      <c r="C255" s="7">
        <v>0.54305555555555551</v>
      </c>
      <c r="D255" s="7">
        <f>(0.543055555555556-0.534722222222222)</f>
        <v>8.3333333333339699E-3</v>
      </c>
      <c r="E255" s="7">
        <f>ABS(0.00833333333333397-0.020833333333333)</f>
        <v>1.2499999999999029E-2</v>
      </c>
      <c r="F255" s="1" t="s">
        <v>3</v>
      </c>
    </row>
    <row r="256" spans="1:6" x14ac:dyDescent="0.25">
      <c r="A256" s="12">
        <v>42156</v>
      </c>
      <c r="B256" s="7">
        <v>0.53611111111111109</v>
      </c>
      <c r="C256" s="7">
        <v>0.55694444444444446</v>
      </c>
      <c r="D256" s="7">
        <f>(0.556944444444444-0.536111111111111)</f>
        <v>2.0833333333333037E-2</v>
      </c>
      <c r="E256" s="7">
        <f>ABS(0.020833333333333-0.00486111111111098)</f>
        <v>1.597222222222202E-2</v>
      </c>
      <c r="F256" s="1" t="s">
        <v>3</v>
      </c>
    </row>
    <row r="257" spans="1:6" x14ac:dyDescent="0.25">
      <c r="A257" s="12">
        <v>42156</v>
      </c>
      <c r="B257" s="7">
        <v>0.62708333333333333</v>
      </c>
      <c r="C257" s="7">
        <v>0.63194444444444442</v>
      </c>
      <c r="D257" s="7">
        <f>(0.631944444444444-0.627083333333333)</f>
        <v>4.8611111111109828E-3</v>
      </c>
      <c r="E257" s="7">
        <f>ABS(0.00486111111111098-0.00972222222222197)</f>
        <v>4.8611111111109906E-3</v>
      </c>
      <c r="F257" s="1" t="s">
        <v>3</v>
      </c>
    </row>
    <row r="258" spans="1:6" x14ac:dyDescent="0.25">
      <c r="A258" s="12">
        <v>42156</v>
      </c>
      <c r="B258" s="7">
        <v>0.70486111111111116</v>
      </c>
      <c r="C258" s="7">
        <v>0.71458333333333324</v>
      </c>
      <c r="D258" s="7">
        <f>(0.714583333333333-0.704861111111111)</f>
        <v>9.7222222222219656E-3</v>
      </c>
      <c r="E258" s="7">
        <f>ABS(0.00972222222222197-0.0145833333333331)</f>
        <v>4.8611111111111285E-3</v>
      </c>
      <c r="F258" s="1" t="s">
        <v>3</v>
      </c>
    </row>
    <row r="259" spans="1:6" x14ac:dyDescent="0.25">
      <c r="A259" s="12">
        <v>42156</v>
      </c>
      <c r="B259" s="7">
        <v>0.73402777777777783</v>
      </c>
      <c r="C259" s="7">
        <v>0.74861111111111101</v>
      </c>
      <c r="D259" s="7">
        <f>(0.748611111111111-0.734027777777778)</f>
        <v>1.4583333333333059E-2</v>
      </c>
      <c r="E259" s="7">
        <f>ABS(0.0145833333333331-0.01875)</f>
        <v>4.1666666666668999E-3</v>
      </c>
      <c r="F259" s="1" t="s">
        <v>3</v>
      </c>
    </row>
    <row r="260" spans="1:6" x14ac:dyDescent="0.25">
      <c r="A260" s="12">
        <v>42156</v>
      </c>
      <c r="B260" s="7">
        <v>0.76180555555555562</v>
      </c>
      <c r="C260" s="7">
        <v>0.78055555555555556</v>
      </c>
      <c r="D260" s="7">
        <f>(0.780555555555556-0.761805555555556)</f>
        <v>1.8750000000000044E-2</v>
      </c>
      <c r="E260" s="7">
        <f>ABS(0.01875-0.0375000000000001)</f>
        <v>1.8750000000000103E-2</v>
      </c>
      <c r="F260" s="1" t="s">
        <v>3</v>
      </c>
    </row>
    <row r="261" spans="1:6" x14ac:dyDescent="0.25">
      <c r="A261" s="12">
        <v>42156</v>
      </c>
      <c r="B261" s="7">
        <v>0.82638888888888884</v>
      </c>
      <c r="C261" s="7">
        <v>0.86388888888888893</v>
      </c>
      <c r="D261" s="7">
        <f>(0.863888888888889-0.826388888888889)</f>
        <v>3.7500000000000089E-2</v>
      </c>
      <c r="E261" s="7">
        <f>ABS(0.0375000000000001-0.00486111111111098)</f>
        <v>3.263888888888912E-2</v>
      </c>
      <c r="F261" s="1" t="s">
        <v>3</v>
      </c>
    </row>
    <row r="262" spans="1:6" x14ac:dyDescent="0.25">
      <c r="A262" s="12">
        <v>42156</v>
      </c>
      <c r="B262" s="7">
        <v>0.89374999999999993</v>
      </c>
      <c r="C262" s="7">
        <v>0.89861111111111114</v>
      </c>
      <c r="D262" s="7">
        <f>(0.898611111111111-0.89375)</f>
        <v>4.8611111111109828E-3</v>
      </c>
      <c r="E262" s="7">
        <f>ABS(0.00486111111111098-0.00486111111111098)</f>
        <v>0</v>
      </c>
      <c r="F262" s="1" t="s">
        <v>3</v>
      </c>
    </row>
    <row r="263" spans="1:6" x14ac:dyDescent="0.25">
      <c r="A263" s="12">
        <v>42156</v>
      </c>
      <c r="B263" s="7">
        <v>0.9291666666666667</v>
      </c>
      <c r="C263" s="7">
        <v>0.93402777777777779</v>
      </c>
      <c r="D263" s="7">
        <f>(0.934027777777778-0.929166666666667)</f>
        <v>4.8611111111109828E-3</v>
      </c>
      <c r="E263" s="7">
        <f>ABS(0.00486111111111098-0.017361111111111)</f>
        <v>1.2500000000000022E-2</v>
      </c>
      <c r="F263" s="1" t="s">
        <v>3</v>
      </c>
    </row>
    <row r="264" spans="1:6" x14ac:dyDescent="0.25">
      <c r="A264" s="12">
        <v>42156</v>
      </c>
      <c r="B264" s="7">
        <v>0.94374999999999998</v>
      </c>
      <c r="C264" s="7">
        <v>0.96111111111111114</v>
      </c>
      <c r="D264" s="7">
        <f>(0.961111111111111-0.94375)</f>
        <v>1.7361111111111049E-2</v>
      </c>
      <c r="E264" s="7">
        <f>ABS(0.017361111111111-0.0048611111111111)</f>
        <v>1.24999999999999E-2</v>
      </c>
      <c r="F264" s="1" t="s">
        <v>3</v>
      </c>
    </row>
    <row r="265" spans="1:6" x14ac:dyDescent="0.25">
      <c r="A265" s="12">
        <v>42156</v>
      </c>
      <c r="B265" s="7">
        <v>5.0694444444444452E-2</v>
      </c>
      <c r="C265" s="7">
        <v>5.5555555555555552E-2</v>
      </c>
      <c r="D265" s="7">
        <f>(0.0555555555555556-0.0506944444444445)</f>
        <v>4.8611111111111008E-3</v>
      </c>
      <c r="E265" s="7">
        <f>ABS(0.0048611111111111-0.00555555555555504)</f>
        <v>6.9444444444393977E-4</v>
      </c>
      <c r="F265" s="1" t="s">
        <v>3</v>
      </c>
    </row>
    <row r="266" spans="1:6" x14ac:dyDescent="0.25">
      <c r="A266" s="12">
        <v>42156</v>
      </c>
      <c r="B266" s="7">
        <v>0.3354166666666667</v>
      </c>
      <c r="C266" s="7">
        <v>0.34097222222222223</v>
      </c>
      <c r="D266" s="7">
        <f>(0.340972222222222-0.335416666666667)</f>
        <v>5.5555555555550362E-3</v>
      </c>
      <c r="E266" s="7">
        <f>ABS(0.00555555555555504-0.014583333333334)</f>
        <v>9.02777777777896E-3</v>
      </c>
      <c r="F266" s="1" t="s">
        <v>3</v>
      </c>
    </row>
    <row r="267" spans="1:6" x14ac:dyDescent="0.25">
      <c r="A267" s="12">
        <v>42156</v>
      </c>
      <c r="B267" s="7">
        <v>0.38819444444444445</v>
      </c>
      <c r="C267" s="7">
        <v>0.40277777777777773</v>
      </c>
      <c r="D267" s="7">
        <f>(0.402777777777778-0.388194444444444)</f>
        <v>1.4583333333334003E-2</v>
      </c>
      <c r="E267" s="7">
        <f>ABS(0.014583333333334-0.011805555555556)</f>
        <v>2.7777777777780004E-3</v>
      </c>
      <c r="F267" s="1" t="s">
        <v>3</v>
      </c>
    </row>
    <row r="268" spans="1:6" x14ac:dyDescent="0.25">
      <c r="A268" s="12">
        <v>42156</v>
      </c>
      <c r="B268" s="7">
        <v>0.43472222222222223</v>
      </c>
      <c r="C268" s="7">
        <v>0.4465277777777778</v>
      </c>
      <c r="D268" s="7">
        <f>(0.446527777777778-0.434722222222222)</f>
        <v>1.1805555555556013E-2</v>
      </c>
      <c r="E268" s="7">
        <f>ABS(0.011805555555556-0.00347222222222304)</f>
        <v>8.3333333333329603E-3</v>
      </c>
      <c r="F268" s="1" t="s">
        <v>3</v>
      </c>
    </row>
    <row r="269" spans="1:6" x14ac:dyDescent="0.25">
      <c r="A269" s="12">
        <v>42156</v>
      </c>
      <c r="B269" s="7">
        <v>0.48958333333333331</v>
      </c>
      <c r="C269" s="7">
        <v>0.49305555555555558</v>
      </c>
      <c r="D269" s="7">
        <f>(0.493055555555556-0.489583333333333)</f>
        <v>3.4722222222230426E-3</v>
      </c>
      <c r="E269" s="7">
        <f>ABS(0.00347222222222304-0.00902777777777808)</f>
        <v>5.5555555555550406E-3</v>
      </c>
      <c r="F269" s="1" t="s">
        <v>3</v>
      </c>
    </row>
    <row r="270" spans="1:6" x14ac:dyDescent="0.25">
      <c r="A270" s="12">
        <v>42156</v>
      </c>
      <c r="B270" s="7">
        <v>0.5444444444444444</v>
      </c>
      <c r="C270" s="7">
        <v>0.55347222222222225</v>
      </c>
      <c r="D270" s="7">
        <f>(0.553472222222222-0.544444444444444)</f>
        <v>9.0277777777780788E-3</v>
      </c>
      <c r="E270" s="7">
        <f>ABS(0.00902777777777808-0.00486111111111098)</f>
        <v>4.1666666666671003E-3</v>
      </c>
      <c r="F270" s="1" t="s">
        <v>3</v>
      </c>
    </row>
    <row r="271" spans="1:6" x14ac:dyDescent="0.25">
      <c r="A271" s="12">
        <v>42156</v>
      </c>
      <c r="B271" s="7">
        <v>0.69444444444444453</v>
      </c>
      <c r="C271" s="7">
        <v>0.69930555555555562</v>
      </c>
      <c r="D271" s="7">
        <f>(0.699305555555556-0.694444444444445)</f>
        <v>4.8611111111109828E-3</v>
      </c>
      <c r="E271" s="7">
        <f>ABS(0.00486111111111098-0.011111111111111)</f>
        <v>6.2500000000000203E-3</v>
      </c>
      <c r="F271" s="1" t="s">
        <v>3</v>
      </c>
    </row>
    <row r="272" spans="1:6" x14ac:dyDescent="0.25">
      <c r="A272" s="12">
        <v>42156</v>
      </c>
      <c r="B272" s="7">
        <v>0.8027777777777777</v>
      </c>
      <c r="C272" s="7">
        <v>0.81388888888888899</v>
      </c>
      <c r="D272" s="7">
        <f>(0.813888888888889-0.802777777777778)</f>
        <v>1.1111111111110961E-2</v>
      </c>
      <c r="E272" s="7">
        <f>ABS(0.011111111111111-0.0166666666666659)</f>
        <v>5.5555555555548992E-3</v>
      </c>
      <c r="F272" s="1" t="s">
        <v>3</v>
      </c>
    </row>
    <row r="273" spans="1:6" x14ac:dyDescent="0.25">
      <c r="A273" s="12">
        <v>42156</v>
      </c>
      <c r="B273" s="7">
        <v>0.90277777777777779</v>
      </c>
      <c r="C273" s="7">
        <v>0.9194444444444444</v>
      </c>
      <c r="D273" s="7">
        <f>(0.919444444444444-0.902777777777778)</f>
        <v>1.6666666666665941E-2</v>
      </c>
      <c r="E273" s="7">
        <f>ABS(0.0166666666666659-0.013194444444445)</f>
        <v>3.4722222222209002E-3</v>
      </c>
      <c r="F273" s="1" t="s">
        <v>3</v>
      </c>
    </row>
    <row r="274" spans="1:6" x14ac:dyDescent="0.25">
      <c r="A274" s="12">
        <v>42156</v>
      </c>
      <c r="B274" s="7">
        <v>0.95694444444444438</v>
      </c>
      <c r="C274" s="7">
        <v>0.97013888888888899</v>
      </c>
      <c r="D274" s="7">
        <f>(0.970138888888889-0.956944444444444)</f>
        <v>1.3194444444444953E-2</v>
      </c>
      <c r="E274" s="7">
        <f>ABS(0.013194444444445-0.0041666666666671)</f>
        <v>9.0277777777778984E-3</v>
      </c>
      <c r="F274" s="1" t="s">
        <v>3</v>
      </c>
    </row>
    <row r="275" spans="1:6" x14ac:dyDescent="0.25">
      <c r="A275" s="12">
        <v>42156</v>
      </c>
      <c r="B275" s="7">
        <v>0.51250000000000007</v>
      </c>
      <c r="C275" s="7">
        <v>0.51666666666666672</v>
      </c>
      <c r="D275" s="7">
        <f>(0.516666666666667-0.5125)</f>
        <v>4.166666666667096E-3</v>
      </c>
      <c r="E275" s="7">
        <f>ABS(0.0041666666666671-0.00555555555555598)</f>
        <v>1.3888888888888796E-3</v>
      </c>
      <c r="F275" s="1" t="s">
        <v>3</v>
      </c>
    </row>
    <row r="276" spans="1:6" x14ac:dyDescent="0.25">
      <c r="A276" s="12">
        <v>42156</v>
      </c>
      <c r="B276" s="7">
        <v>0.64444444444444449</v>
      </c>
      <c r="C276" s="7">
        <v>0.65</v>
      </c>
      <c r="D276" s="7">
        <f>(0.65-0.644444444444444)</f>
        <v>5.5555555555559799E-3</v>
      </c>
      <c r="E276" s="7">
        <f>ABS(0.00555555555555598-0.00416666666666698)</f>
        <v>1.3888888888890002E-3</v>
      </c>
      <c r="F276" s="1" t="s">
        <v>3</v>
      </c>
    </row>
    <row r="277" spans="1:6" x14ac:dyDescent="0.25">
      <c r="A277" s="12">
        <v>42156</v>
      </c>
      <c r="B277" s="7">
        <v>0.69027777777777777</v>
      </c>
      <c r="C277" s="7">
        <v>0.69444444444444453</v>
      </c>
      <c r="D277" s="7">
        <f>(0.694444444444445-0.690277777777778)</f>
        <v>4.1666666666669849E-3</v>
      </c>
      <c r="E277" s="7">
        <f>ABS(0.00416666666666698-0.00347222222222199)</f>
        <v>6.9444444444498972E-4</v>
      </c>
      <c r="F277" s="1" t="s">
        <v>3</v>
      </c>
    </row>
    <row r="278" spans="1:6" x14ac:dyDescent="0.25">
      <c r="A278" s="12">
        <v>42156</v>
      </c>
      <c r="B278" s="7">
        <v>0.80138888888888893</v>
      </c>
      <c r="C278" s="7">
        <v>0.80486111111111114</v>
      </c>
      <c r="D278" s="7">
        <f>(0.804861111111111-0.801388888888889)</f>
        <v>3.4722222222219878E-3</v>
      </c>
      <c r="E278" s="7">
        <f>ABS(0.00347222222222199-0.006944444444444)</f>
        <v>3.47222222222201E-3</v>
      </c>
      <c r="F278" s="1" t="s">
        <v>3</v>
      </c>
    </row>
    <row r="279" spans="1:6" x14ac:dyDescent="0.25">
      <c r="A279" s="12">
        <v>42156</v>
      </c>
      <c r="B279" s="7">
        <v>0.17152777777777775</v>
      </c>
      <c r="C279" s="7">
        <v>0.17847222222222223</v>
      </c>
      <c r="D279" s="7">
        <f>(0.178472222222222-0.171527777777778)</f>
        <v>6.9444444444440034E-3</v>
      </c>
      <c r="E279" s="7">
        <f>ABS(0.006944444444444-0.00486111111111101)</f>
        <v>2.0833333333329903E-3</v>
      </c>
      <c r="F279" s="1" t="s">
        <v>3</v>
      </c>
    </row>
    <row r="280" spans="1:6" x14ac:dyDescent="0.25">
      <c r="A280" s="12">
        <v>42156</v>
      </c>
      <c r="B280" s="7">
        <v>0.24374999999999999</v>
      </c>
      <c r="C280" s="7">
        <v>0.24861111111111112</v>
      </c>
      <c r="D280" s="7">
        <f>(0.248611111111111-0.24375)</f>
        <v>4.8611111111110106E-3</v>
      </c>
      <c r="E280" s="7">
        <f>ABS(0.00486111111111101-0.010416666666667)</f>
        <v>5.5555555555559894E-3</v>
      </c>
      <c r="F280" s="1" t="s">
        <v>3</v>
      </c>
    </row>
    <row r="281" spans="1:6" x14ac:dyDescent="0.25">
      <c r="A281" s="12">
        <v>42156</v>
      </c>
      <c r="B281" s="7">
        <v>0.44097222222222227</v>
      </c>
      <c r="C281" s="7">
        <v>0.4513888888888889</v>
      </c>
      <c r="D281" s="7">
        <f>(0.451388888888889-0.440972222222222)</f>
        <v>1.0416666666667018E-2</v>
      </c>
      <c r="E281" s="7">
        <f>ABS(0.010416666666667-0.00555555555555609)</f>
        <v>4.8611111111109091E-3</v>
      </c>
      <c r="F281" s="1" t="s">
        <v>3</v>
      </c>
    </row>
    <row r="282" spans="1:6" x14ac:dyDescent="0.25">
      <c r="A282" s="12">
        <v>42156</v>
      </c>
      <c r="B282" s="7">
        <v>0.5756944444444444</v>
      </c>
      <c r="C282" s="7">
        <v>0.58124999999999993</v>
      </c>
      <c r="D282" s="7">
        <f>(0.58125-0.575694444444444)</f>
        <v>5.5555555555560909E-3</v>
      </c>
      <c r="E282" s="7">
        <f>ABS(0.00555555555555609-0.00416666666666599)</f>
        <v>1.3888888888901E-3</v>
      </c>
      <c r="F282" s="1" t="s">
        <v>3</v>
      </c>
    </row>
    <row r="283" spans="1:6" x14ac:dyDescent="0.25">
      <c r="A283" s="12">
        <v>42156</v>
      </c>
      <c r="B283" s="7">
        <v>0.61041666666666672</v>
      </c>
      <c r="C283" s="7">
        <v>0.61458333333333337</v>
      </c>
      <c r="D283" s="7">
        <f>(0.614583333333333-0.610416666666667)</f>
        <v>4.1666666666659857E-3</v>
      </c>
      <c r="E283" s="7">
        <f>ABS(0.00416666666666599-0.0249999999999999)</f>
        <v>2.0833333333333912E-2</v>
      </c>
      <c r="F283" s="1" t="s">
        <v>3</v>
      </c>
    </row>
    <row r="284" spans="1:6" x14ac:dyDescent="0.25">
      <c r="A284" s="12">
        <v>42156</v>
      </c>
      <c r="B284" s="7">
        <v>0.61041666666666672</v>
      </c>
      <c r="C284" s="7">
        <v>0.63541666666666663</v>
      </c>
      <c r="D284" s="7">
        <f>(0.635416666666667-0.610416666666667)</f>
        <v>2.4999999999999911E-2</v>
      </c>
      <c r="E284" s="7">
        <f>ABS(0.0249999999999999-0.00555555555555498)</f>
        <v>1.944444444444492E-2</v>
      </c>
      <c r="F284" s="1" t="s">
        <v>3</v>
      </c>
    </row>
    <row r="285" spans="1:6" x14ac:dyDescent="0.25">
      <c r="A285" s="12">
        <v>42156</v>
      </c>
      <c r="B285" s="7">
        <v>0.71666666666666667</v>
      </c>
      <c r="C285" s="7">
        <v>0.72222222222222221</v>
      </c>
      <c r="D285" s="7">
        <f>(0.722222222222222-0.716666666666667)</f>
        <v>5.5555555555549807E-3</v>
      </c>
      <c r="E285" s="7">
        <f>ABS(0.00555555555555498-0.00763888888888897)</f>
        <v>2.0833333333339903E-3</v>
      </c>
      <c r="F285" s="1" t="s">
        <v>3</v>
      </c>
    </row>
    <row r="286" spans="1:6" x14ac:dyDescent="0.25">
      <c r="A286" s="12">
        <v>42156</v>
      </c>
      <c r="B286" s="7">
        <v>0.77777777777777779</v>
      </c>
      <c r="C286" s="7">
        <v>0.78541666666666676</v>
      </c>
      <c r="D286" s="7">
        <f>(0.785416666666667-0.777777777777778)</f>
        <v>7.6388888888889728E-3</v>
      </c>
      <c r="E286" s="7">
        <f>ABS(0.00763888888888897-0.0131944444444441)</f>
        <v>5.555555555555129E-3</v>
      </c>
      <c r="F286" s="1" t="s">
        <v>3</v>
      </c>
    </row>
    <row r="287" spans="1:6" x14ac:dyDescent="0.25">
      <c r="A287" s="12">
        <v>42156</v>
      </c>
      <c r="B287" s="7">
        <v>0.98055555555555562</v>
      </c>
      <c r="C287" s="7">
        <v>0.99375000000000002</v>
      </c>
      <c r="D287" s="7">
        <f>(0.99375-0.980555555555556)</f>
        <v>1.3194444444444065E-2</v>
      </c>
      <c r="E287" s="7">
        <f>ABS(0.0131944444444441-0.00555555555555598)</f>
        <v>7.6388888888881193E-3</v>
      </c>
      <c r="F287" s="1" t="s">
        <v>3</v>
      </c>
    </row>
    <row r="288" spans="1:6" x14ac:dyDescent="0.25">
      <c r="A288" s="12">
        <v>42156</v>
      </c>
      <c r="B288" s="7">
        <v>0.98958333333333337</v>
      </c>
      <c r="C288" s="7">
        <v>0.99513888888888891</v>
      </c>
      <c r="D288" s="7">
        <f>(0.995138888888889-0.989583333333333)</f>
        <v>5.5555555555559799E-3</v>
      </c>
      <c r="E288" s="7">
        <f>ABS(0.00555555555555598-0.011111111111111)</f>
        <v>5.5555555555550206E-3</v>
      </c>
      <c r="F288" s="1" t="s">
        <v>3</v>
      </c>
    </row>
    <row r="289" spans="1:6" x14ac:dyDescent="0.25">
      <c r="A289" s="12">
        <v>42156</v>
      </c>
      <c r="B289" s="7">
        <v>0.34513888888888888</v>
      </c>
      <c r="C289" s="7">
        <v>0.35625000000000001</v>
      </c>
      <c r="D289" s="7">
        <f>(0.35625-0.345138888888889)</f>
        <v>1.1111111111111016E-2</v>
      </c>
      <c r="E289" s="7">
        <f>ABS(0.011111111111111-0.00763888888888903)</f>
        <v>3.4722222222219705E-3</v>
      </c>
      <c r="F289" s="1" t="s">
        <v>3</v>
      </c>
    </row>
    <row r="290" spans="1:6" x14ac:dyDescent="0.25">
      <c r="A290" s="12">
        <v>42156</v>
      </c>
      <c r="B290" s="7">
        <v>0.44027777777777777</v>
      </c>
      <c r="C290" s="7">
        <v>0.44791666666666669</v>
      </c>
      <c r="D290" s="7">
        <f>(0.447916666666667-0.440277777777778)</f>
        <v>7.6388888888890283E-3</v>
      </c>
      <c r="E290" s="7">
        <f>ABS(0.00763888888888903-0.00972222222222296)</f>
        <v>2.0833333333339296E-3</v>
      </c>
      <c r="F290" s="1" t="s">
        <v>3</v>
      </c>
    </row>
    <row r="291" spans="1:6" x14ac:dyDescent="0.25">
      <c r="A291" s="12">
        <v>42156</v>
      </c>
      <c r="B291" s="7">
        <v>0.41944444444444445</v>
      </c>
      <c r="C291" s="7">
        <v>0.4291666666666667</v>
      </c>
      <c r="D291" s="7">
        <f>(0.429166666666667-0.419444444444444)</f>
        <v>9.7222222222229648E-3</v>
      </c>
      <c r="E291" s="7">
        <f>ABS(0.00972222222222296-0.013194444444445)</f>
        <v>3.4722222222220399E-3</v>
      </c>
      <c r="F291" s="1" t="s">
        <v>3</v>
      </c>
    </row>
    <row r="292" spans="1:6" x14ac:dyDescent="0.25">
      <c r="A292" s="12">
        <v>42156</v>
      </c>
      <c r="B292" s="7">
        <v>0.55208333333333337</v>
      </c>
      <c r="C292" s="7">
        <v>0.56527777777777777</v>
      </c>
      <c r="D292" s="7">
        <f>(0.565277777777778-0.552083333333333)</f>
        <v>1.3194444444444953E-2</v>
      </c>
      <c r="E292" s="7">
        <f>ABS(0.013194444444445-0.0152777777777779)</f>
        <v>2.0833333333329009E-3</v>
      </c>
      <c r="F292" s="1" t="s">
        <v>3</v>
      </c>
    </row>
    <row r="293" spans="1:6" x14ac:dyDescent="0.25">
      <c r="A293" s="12">
        <v>42156</v>
      </c>
      <c r="B293" s="7">
        <v>0.57847222222222217</v>
      </c>
      <c r="C293" s="7">
        <v>0.59375</v>
      </c>
      <c r="D293" s="7">
        <f>(0.59375-0.578472222222222)</f>
        <v>1.5277777777777946E-2</v>
      </c>
      <c r="E293" s="7">
        <f>ABS(0.0152777777777779-0.027777777777778)</f>
        <v>1.2500000000000098E-2</v>
      </c>
      <c r="F293" s="1" t="s">
        <v>3</v>
      </c>
    </row>
    <row r="294" spans="1:6" x14ac:dyDescent="0.25">
      <c r="A294" s="12">
        <v>42156</v>
      </c>
      <c r="B294" s="7">
        <v>0.63611111111111118</v>
      </c>
      <c r="C294" s="7">
        <v>0.66388888888888886</v>
      </c>
      <c r="D294" s="7">
        <f>(0.663888888888889-0.636111111111111)</f>
        <v>2.7777777777778012E-2</v>
      </c>
      <c r="E294" s="7">
        <f>ABS(0.027777777777778-0.00416666666666599)</f>
        <v>2.3611111111112009E-2</v>
      </c>
      <c r="F294" s="1" t="s">
        <v>3</v>
      </c>
    </row>
    <row r="295" spans="1:6" x14ac:dyDescent="0.25">
      <c r="A295" s="12">
        <v>42156</v>
      </c>
      <c r="B295" s="7">
        <v>0.7090277777777777</v>
      </c>
      <c r="C295" s="7">
        <v>0.71319444444444446</v>
      </c>
      <c r="D295" s="7">
        <f>(0.713194444444444-0.709027777777778)</f>
        <v>4.1666666666659857E-3</v>
      </c>
      <c r="E295" s="7">
        <f>ABS(0.00416666666666599-0.011805555555556)</f>
        <v>7.6388888888900093E-3</v>
      </c>
      <c r="F295" s="1" t="s">
        <v>3</v>
      </c>
    </row>
    <row r="296" spans="1:6" x14ac:dyDescent="0.25">
      <c r="A296" s="12">
        <v>42156</v>
      </c>
      <c r="B296" s="7">
        <v>0.80972222222222223</v>
      </c>
      <c r="C296" s="7">
        <v>0.82152777777777775</v>
      </c>
      <c r="D296" s="7">
        <f>(0.821527777777778-0.809722222222222)</f>
        <v>1.1805555555555958E-2</v>
      </c>
      <c r="E296" s="7">
        <f>ABS(0.011805555555556-0.0111111111111081)</f>
        <v>6.9444444444789928E-4</v>
      </c>
      <c r="F296" s="1" t="s">
        <v>3</v>
      </c>
    </row>
    <row r="297" spans="1:6" x14ac:dyDescent="0.25">
      <c r="A297" s="12">
        <v>42156</v>
      </c>
      <c r="B297" s="7">
        <v>0.99097222222222225</v>
      </c>
      <c r="C297" s="7">
        <v>1.0020833333333334</v>
      </c>
      <c r="D297" s="7">
        <f>(1.00208333333333-0.990972222222222)</f>
        <v>1.1111111111108074E-2</v>
      </c>
      <c r="E297" s="7">
        <f>ABS(0.0111111111111081-0.00833333333333308)</f>
        <v>2.7777777777750201E-3</v>
      </c>
      <c r="F297" s="1" t="s">
        <v>3</v>
      </c>
    </row>
    <row r="298" spans="1:6" x14ac:dyDescent="0.25">
      <c r="A298" s="12">
        <v>42156</v>
      </c>
      <c r="B298" s="7">
        <v>0.54027777777777775</v>
      </c>
      <c r="C298" s="7">
        <v>0.54861111111111105</v>
      </c>
      <c r="D298" s="7">
        <f>(0.548611111111111-0.540277777777778)</f>
        <v>8.3333333333330817E-3</v>
      </c>
      <c r="E298" s="7">
        <f>ABS(0.00833333333333308-0.011805555555555)</f>
        <v>3.4722222222219202E-3</v>
      </c>
      <c r="F298" s="1" t="s">
        <v>3</v>
      </c>
    </row>
    <row r="299" spans="1:6" x14ac:dyDescent="0.25">
      <c r="A299" s="12">
        <v>42156</v>
      </c>
      <c r="B299" s="7">
        <v>0.19930555555555554</v>
      </c>
      <c r="C299" s="7">
        <v>0.21111111111111111</v>
      </c>
      <c r="D299" s="7">
        <f>(0.211111111111111-0.199305555555556)</f>
        <v>1.1805555555554986E-2</v>
      </c>
      <c r="E299" s="7">
        <f>ABS(0.011805555555555-0.010416666666666)</f>
        <v>1.3888888888890002E-3</v>
      </c>
      <c r="F299" s="1" t="s">
        <v>3</v>
      </c>
    </row>
    <row r="300" spans="1:6" x14ac:dyDescent="0.25">
      <c r="A300" s="12">
        <v>42156</v>
      </c>
      <c r="B300" s="7">
        <v>0.27291666666666664</v>
      </c>
      <c r="C300" s="7">
        <v>0.28333333333333333</v>
      </c>
      <c r="D300" s="7">
        <f>(0.283333333333333-0.272916666666667)</f>
        <v>1.0416666666666019E-2</v>
      </c>
      <c r="E300" s="7">
        <f>ABS(0.010416666666666-0.00625000000000009)</f>
        <v>4.1666666666659103E-3</v>
      </c>
      <c r="F300" s="1" t="s">
        <v>3</v>
      </c>
    </row>
    <row r="301" spans="1:6" x14ac:dyDescent="0.25">
      <c r="A301" s="12">
        <v>42156</v>
      </c>
      <c r="B301" s="7">
        <v>0.54513888888888895</v>
      </c>
      <c r="C301" s="7">
        <v>0.55138888888888882</v>
      </c>
      <c r="D301" s="7">
        <f>(0.551388888888889-0.545138888888889)</f>
        <v>6.2500000000000888E-3</v>
      </c>
      <c r="E301" s="7">
        <f>ABS(0.00625000000000009-0.00555555555555498)</f>
        <v>6.9444444444510985E-4</v>
      </c>
      <c r="F301" s="1" t="s">
        <v>3</v>
      </c>
    </row>
    <row r="302" spans="1:6" x14ac:dyDescent="0.25">
      <c r="A302" s="12">
        <v>42156</v>
      </c>
      <c r="B302" s="7">
        <v>0.55763888888888891</v>
      </c>
      <c r="C302" s="7">
        <v>0.56319444444444444</v>
      </c>
      <c r="D302" s="7">
        <f>(0.563194444444444-0.557638888888889)</f>
        <v>5.5555555555549807E-3</v>
      </c>
      <c r="E302" s="7">
        <f>ABS(0.00555555555555498-0.00694444444444497)</f>
        <v>1.3888888888899898E-3</v>
      </c>
      <c r="F302" s="1" t="s">
        <v>3</v>
      </c>
    </row>
    <row r="303" spans="1:6" x14ac:dyDescent="0.25">
      <c r="A303" s="12">
        <v>42156</v>
      </c>
      <c r="B303" s="7">
        <v>0.59583333333333333</v>
      </c>
      <c r="C303" s="7">
        <v>0.60277777777777775</v>
      </c>
      <c r="D303" s="7">
        <f>(0.602777777777778-0.595833333333333)</f>
        <v>6.9444444444449749E-3</v>
      </c>
      <c r="E303" s="7">
        <f>ABS(0.00694444444444497-0.00555555555555598)</f>
        <v>1.3888888888889898E-3</v>
      </c>
      <c r="F303" s="1" t="s">
        <v>3</v>
      </c>
    </row>
    <row r="304" spans="1:6" x14ac:dyDescent="0.25">
      <c r="A304" s="12">
        <v>42156</v>
      </c>
      <c r="B304" s="7">
        <v>0.65069444444444446</v>
      </c>
      <c r="C304" s="7">
        <v>0.65625</v>
      </c>
      <c r="D304" s="7">
        <f>(0.65625-0.650694444444444)</f>
        <v>5.5555555555559799E-3</v>
      </c>
      <c r="E304" s="7">
        <f>ABS(0.00555555555555598-0.00486111111111198)</f>
        <v>6.9444444444399962E-4</v>
      </c>
      <c r="F304" s="1" t="s">
        <v>3</v>
      </c>
    </row>
    <row r="305" spans="1:6" x14ac:dyDescent="0.25">
      <c r="A305" s="12">
        <v>42156</v>
      </c>
      <c r="B305" s="7">
        <v>0.89930555555555547</v>
      </c>
      <c r="C305" s="7">
        <v>0.90416666666666667</v>
      </c>
      <c r="D305" s="7">
        <f>(0.904166666666667-0.899305555555555)</f>
        <v>4.861111111111982E-3</v>
      </c>
      <c r="E305" s="7">
        <f>ABS(0.00486111111111198-0.011805555555555)</f>
        <v>6.9444444444430199E-3</v>
      </c>
      <c r="F305" s="1" t="s">
        <v>3</v>
      </c>
    </row>
    <row r="306" spans="1:6" x14ac:dyDescent="0.25">
      <c r="A306" s="12">
        <v>42156</v>
      </c>
      <c r="B306" s="7">
        <v>0.9277777777777777</v>
      </c>
      <c r="C306" s="7">
        <v>0.93958333333333333</v>
      </c>
      <c r="D306" s="7">
        <f>(0.939583333333333-0.927777777777778)</f>
        <v>1.1805555555554959E-2</v>
      </c>
      <c r="E306" s="7">
        <f>ABS(0.011805555555555-0.011111111111111)</f>
        <v>6.9444444444399962E-4</v>
      </c>
      <c r="F306" s="1" t="s">
        <v>3</v>
      </c>
    </row>
    <row r="307" spans="1:6" x14ac:dyDescent="0.25">
      <c r="A307" s="12">
        <v>42156</v>
      </c>
      <c r="B307" s="7">
        <v>0.9868055555555556</v>
      </c>
      <c r="C307" s="7">
        <v>0.99791666666666667</v>
      </c>
      <c r="D307" s="7">
        <f>(0.997916666666667-0.986805555555556)</f>
        <v>1.1111111111110961E-2</v>
      </c>
      <c r="E307" s="7">
        <f>ABS(0.011111111111111-0.00625)</f>
        <v>4.8611111111110002E-3</v>
      </c>
      <c r="F307" s="1" t="s">
        <v>3</v>
      </c>
    </row>
    <row r="308" spans="1:6" x14ac:dyDescent="0.25">
      <c r="A308" s="12">
        <v>42156</v>
      </c>
      <c r="B308" s="7">
        <v>4.8611111111111112E-2</v>
      </c>
      <c r="C308" s="7">
        <v>5.486111111111111E-2</v>
      </c>
      <c r="D308" s="7">
        <f>(0.0548611111111111-0.0486111111111111)</f>
        <v>6.2499999999999986E-3</v>
      </c>
      <c r="E308" s="7">
        <f>ABS(0.00625-0.018055555555556)</f>
        <v>1.1805555555556001E-2</v>
      </c>
      <c r="F308" s="1" t="s">
        <v>3</v>
      </c>
    </row>
    <row r="309" spans="1:6" x14ac:dyDescent="0.25">
      <c r="A309" s="12">
        <v>42156</v>
      </c>
      <c r="B309" s="7">
        <v>0.14722222222222223</v>
      </c>
      <c r="C309" s="7">
        <v>0.16527777777777777</v>
      </c>
      <c r="D309" s="7">
        <f>(0.165277777777778-0.147222222222222)</f>
        <v>1.8055555555555991E-2</v>
      </c>
      <c r="E309" s="7">
        <f>ABS(0.018055555555556-0.00347222222222299)</f>
        <v>1.4583333333333011E-2</v>
      </c>
      <c r="F309" s="1" t="s">
        <v>3</v>
      </c>
    </row>
    <row r="310" spans="1:6" x14ac:dyDescent="0.25">
      <c r="A310" s="12">
        <v>42156</v>
      </c>
      <c r="B310" s="7">
        <v>0.32569444444444445</v>
      </c>
      <c r="C310" s="7">
        <v>0.32916666666666666</v>
      </c>
      <c r="D310" s="7">
        <f>(0.329166666666667-0.325694444444444)</f>
        <v>3.472222222222987E-3</v>
      </c>
      <c r="E310" s="7">
        <f>ABS(0.00347222222222299-0.01875)</f>
        <v>1.5277777777777009E-2</v>
      </c>
      <c r="F310" s="1" t="s">
        <v>3</v>
      </c>
    </row>
    <row r="311" spans="1:6" x14ac:dyDescent="0.25">
      <c r="A311" s="12">
        <v>42156</v>
      </c>
      <c r="B311" s="7">
        <v>0.40625</v>
      </c>
      <c r="C311" s="7">
        <v>0.42499999999999999</v>
      </c>
      <c r="D311" s="7">
        <f>(0.425-0.40625)</f>
        <v>1.8749999999999989E-2</v>
      </c>
      <c r="E311" s="7">
        <f>ABS(0.01875-0.00694444444444497)</f>
        <v>1.180555555555503E-2</v>
      </c>
      <c r="F311" s="1" t="s">
        <v>3</v>
      </c>
    </row>
    <row r="312" spans="1:6" x14ac:dyDescent="0.25">
      <c r="A312" s="12">
        <v>42156</v>
      </c>
      <c r="B312" s="7">
        <v>0.47847222222222219</v>
      </c>
      <c r="C312" s="7">
        <v>0.48541666666666666</v>
      </c>
      <c r="D312" s="7">
        <f>(0.485416666666667-0.478472222222222)</f>
        <v>6.9444444444449749E-3</v>
      </c>
      <c r="E312" s="7">
        <f>ABS(0.00694444444444497-0.00416666666666599)</f>
        <v>2.7777777777789796E-3</v>
      </c>
      <c r="F312" s="1" t="s">
        <v>3</v>
      </c>
    </row>
    <row r="313" spans="1:6" x14ac:dyDescent="0.25">
      <c r="A313" s="12">
        <v>42156</v>
      </c>
      <c r="B313" s="7">
        <v>0.57152777777777775</v>
      </c>
      <c r="C313" s="7">
        <v>0.5756944444444444</v>
      </c>
      <c r="D313" s="7">
        <f>(0.575694444444444-0.571527777777778)</f>
        <v>4.1666666666659857E-3</v>
      </c>
      <c r="E313" s="7">
        <f>ABS(0.00416666666666599-0.00694444444444398)</f>
        <v>2.77777777777799E-3</v>
      </c>
      <c r="F313" s="1" t="s">
        <v>3</v>
      </c>
    </row>
    <row r="314" spans="1:6" x14ac:dyDescent="0.25">
      <c r="A314" s="12">
        <v>42156</v>
      </c>
      <c r="B314" s="7">
        <v>0.6479166666666667</v>
      </c>
      <c r="C314" s="7">
        <v>0.65486111111111112</v>
      </c>
      <c r="D314" s="7">
        <f>(0.654861111111111-0.647916666666667)</f>
        <v>6.9444444444439757E-3</v>
      </c>
      <c r="E314" s="7">
        <f>ABS(0.00694444444444398-0.00486111111111109)</f>
        <v>2.0833333333328896E-3</v>
      </c>
      <c r="F314" s="1" t="s">
        <v>3</v>
      </c>
    </row>
    <row r="315" spans="1:6" x14ac:dyDescent="0.25">
      <c r="A315" s="12">
        <v>42156</v>
      </c>
      <c r="B315" s="7">
        <v>0.70277777777777783</v>
      </c>
      <c r="C315" s="7">
        <v>0.70763888888888893</v>
      </c>
      <c r="D315" s="7">
        <f>(0.707638888888889-0.702777777777778)</f>
        <v>4.8611111111110938E-3</v>
      </c>
      <c r="E315" s="7">
        <f>ABS(0.00486111111111109-0.00833333333333297)</f>
        <v>3.4722222222218803E-3</v>
      </c>
      <c r="F315" s="1" t="s">
        <v>3</v>
      </c>
    </row>
    <row r="316" spans="1:6" x14ac:dyDescent="0.25">
      <c r="A316" s="12">
        <v>42156</v>
      </c>
      <c r="B316" s="7">
        <v>0.75486111111111109</v>
      </c>
      <c r="C316" s="7">
        <v>0.7631944444444444</v>
      </c>
      <c r="D316" s="7">
        <f>(0.763194444444444-0.754861111111111)</f>
        <v>8.3333333333329707E-3</v>
      </c>
      <c r="E316" s="7">
        <f>ABS(0.00833333333333297-0.010416666666667)</f>
        <v>2.0833333333340285E-3</v>
      </c>
      <c r="F316" s="1" t="s">
        <v>3</v>
      </c>
    </row>
    <row r="317" spans="1:6" x14ac:dyDescent="0.25">
      <c r="A317" s="12">
        <v>42156</v>
      </c>
      <c r="B317" s="7">
        <v>0.31944444444444448</v>
      </c>
      <c r="C317" s="7">
        <v>0.3298611111111111</v>
      </c>
      <c r="D317" s="7">
        <f>(0.329861111111111-0.319444444444444)</f>
        <v>1.0416666666667018E-2</v>
      </c>
      <c r="E317" s="7">
        <f>ABS(0.010416666666667-0.013888888888888)</f>
        <v>3.4722222222210008E-3</v>
      </c>
      <c r="F317" s="1" t="s">
        <v>3</v>
      </c>
    </row>
    <row r="318" spans="1:6" x14ac:dyDescent="0.25">
      <c r="A318" s="12">
        <v>42156</v>
      </c>
      <c r="B318" s="7">
        <v>0.34930555555555554</v>
      </c>
      <c r="C318" s="7">
        <v>0.36319444444444443</v>
      </c>
      <c r="D318" s="7">
        <f>(0.363194444444444-0.349305555555556)</f>
        <v>1.3888888888888007E-2</v>
      </c>
      <c r="E318" s="7">
        <f>ABS(0.013888888888888-0.026388888888889)</f>
        <v>1.2500000000001E-2</v>
      </c>
      <c r="F318" s="1" t="s">
        <v>3</v>
      </c>
    </row>
    <row r="319" spans="1:6" x14ac:dyDescent="0.25">
      <c r="A319" s="12">
        <v>42156</v>
      </c>
      <c r="B319" s="7">
        <v>0.24166666666666667</v>
      </c>
      <c r="C319" s="7">
        <v>0.26805555555555555</v>
      </c>
      <c r="D319" s="7">
        <f>(0.268055555555556-0.241666666666667)</f>
        <v>2.6388888888888989E-2</v>
      </c>
      <c r="E319" s="7">
        <f>ABS(0.026388888888889-0.0027777777777781)</f>
        <v>2.3611111111110899E-2</v>
      </c>
      <c r="F319" s="1" t="s">
        <v>3</v>
      </c>
    </row>
    <row r="320" spans="1:6" x14ac:dyDescent="0.25">
      <c r="A320" s="12">
        <v>42156</v>
      </c>
      <c r="B320" s="7">
        <v>0.73402777777777783</v>
      </c>
      <c r="C320" s="7">
        <v>0.7368055555555556</v>
      </c>
      <c r="D320" s="7">
        <f>(0.736805555555556-0.734027777777778)</f>
        <v>2.777777777778101E-3</v>
      </c>
      <c r="E320" s="7">
        <f>ABS(0.0027777777777781-0.0111111111111111)</f>
        <v>8.3333333333329984E-3</v>
      </c>
      <c r="F320" s="1" t="s">
        <v>3</v>
      </c>
    </row>
    <row r="321" spans="1:6" x14ac:dyDescent="0.25">
      <c r="A321" s="12">
        <v>42156</v>
      </c>
      <c r="B321" s="7">
        <v>0.78680555555555554</v>
      </c>
      <c r="C321" s="7">
        <v>0.79791666666666661</v>
      </c>
      <c r="D321" s="7">
        <f>(0.797916666666667-0.786805555555556)</f>
        <v>1.1111111111111072E-2</v>
      </c>
      <c r="E321" s="7">
        <f>ABS(0.0111111111111111-0.0458333333333301)</f>
        <v>3.4722222222218997E-2</v>
      </c>
      <c r="F321" s="1" t="s">
        <v>3</v>
      </c>
    </row>
    <row r="322" spans="1:6" x14ac:dyDescent="0.25">
      <c r="A322" s="12">
        <v>42156</v>
      </c>
      <c r="B322" s="7">
        <v>0.98749999999999993</v>
      </c>
      <c r="C322" s="7">
        <v>1.0333333333333334</v>
      </c>
      <c r="D322" s="7">
        <f>(1.03333333333333-0.9875)</f>
        <v>4.5833333333330062E-2</v>
      </c>
      <c r="E322" s="7">
        <f>ABS(0.0458333333333301-0.00972222222222308)</f>
        <v>3.6111111111107014E-2</v>
      </c>
      <c r="F322" s="1" t="s">
        <v>3</v>
      </c>
    </row>
    <row r="323" spans="1:6" x14ac:dyDescent="0.25">
      <c r="A323" s="12">
        <v>42156</v>
      </c>
      <c r="B323" s="7">
        <v>0.9819444444444444</v>
      </c>
      <c r="C323" s="7">
        <v>0.9916666666666667</v>
      </c>
      <c r="D323" s="7">
        <f>(0.991666666666667-0.981944444444444)</f>
        <v>9.7222222222230759E-3</v>
      </c>
      <c r="E323" s="7">
        <f>ABS(0.00972222222222308-0.0125)</f>
        <v>2.7777777777769214E-3</v>
      </c>
      <c r="F323" s="1" t="s">
        <v>3</v>
      </c>
    </row>
    <row r="324" spans="1:6" x14ac:dyDescent="0.25">
      <c r="A324" s="12">
        <v>42156</v>
      </c>
      <c r="B324" s="7">
        <v>8.6805555555555566E-2</v>
      </c>
      <c r="C324" s="7">
        <v>9.930555555555555E-2</v>
      </c>
      <c r="D324" s="7">
        <f>(0.0993055555555556-0.0868055555555556)</f>
        <v>1.2500000000000011E-2</v>
      </c>
      <c r="E324" s="7">
        <f>ABS(0.0125-0.013888888888889)</f>
        <v>1.3888888888889984E-3</v>
      </c>
      <c r="F324" s="1" t="s">
        <v>3</v>
      </c>
    </row>
    <row r="325" spans="1:6" x14ac:dyDescent="0.25">
      <c r="A325" s="12">
        <v>42156</v>
      </c>
      <c r="B325" s="7">
        <v>0.33749999999999997</v>
      </c>
      <c r="C325" s="7">
        <v>0.35138888888888892</v>
      </c>
      <c r="D325" s="7">
        <f>(0.351388888888889-0.3375)</f>
        <v>1.3888888888888951E-2</v>
      </c>
      <c r="E325" s="7">
        <f>ABS(0.013888888888889-0.00555555555555598)</f>
        <v>8.3333333333330192E-3</v>
      </c>
      <c r="F325" s="1" t="s">
        <v>3</v>
      </c>
    </row>
    <row r="326" spans="1:6" x14ac:dyDescent="0.25">
      <c r="A326" s="12">
        <v>42156</v>
      </c>
      <c r="B326" s="7">
        <v>0.47083333333333338</v>
      </c>
      <c r="C326" s="7">
        <v>0.47638888888888892</v>
      </c>
      <c r="D326" s="7">
        <f>(0.476388888888889-0.470833333333333)</f>
        <v>5.5555555555559799E-3</v>
      </c>
      <c r="E326" s="7">
        <f>ABS(0.00555555555555598-0.00833333333333297)</f>
        <v>2.7777777777769908E-3</v>
      </c>
      <c r="F326" s="1" t="s">
        <v>3</v>
      </c>
    </row>
    <row r="327" spans="1:6" x14ac:dyDescent="0.25">
      <c r="A327" s="12">
        <v>42156</v>
      </c>
      <c r="B327" s="7">
        <v>0.49791666666666662</v>
      </c>
      <c r="C327" s="7">
        <v>0.50624999999999998</v>
      </c>
      <c r="D327" s="7">
        <f>(0.50625-0.497916666666667)</f>
        <v>8.3333333333329707E-3</v>
      </c>
      <c r="E327" s="7">
        <f>ABS(0.00833333333333297-0.00624999999999998)</f>
        <v>2.0833333333329903E-3</v>
      </c>
      <c r="F327" s="1" t="s">
        <v>3</v>
      </c>
    </row>
    <row r="328" spans="1:6" x14ac:dyDescent="0.25">
      <c r="A328" s="12">
        <v>42156</v>
      </c>
      <c r="B328" s="7">
        <v>0.49513888888888885</v>
      </c>
      <c r="C328" s="7">
        <v>0.50138888888888888</v>
      </c>
      <c r="D328" s="7">
        <f>(0.501388888888889-0.495138888888889)</f>
        <v>6.2499999999999778E-3</v>
      </c>
      <c r="E328" s="7">
        <f>ABS(0.00624999999999998-0.00555555555555498)</f>
        <v>6.9444444444500056E-4</v>
      </c>
      <c r="F328" s="1" t="s">
        <v>3</v>
      </c>
    </row>
    <row r="329" spans="1:6" x14ac:dyDescent="0.25">
      <c r="A329" s="12">
        <v>42156</v>
      </c>
      <c r="B329" s="7">
        <v>0.55763888888888891</v>
      </c>
      <c r="C329" s="7">
        <v>0.56319444444444444</v>
      </c>
      <c r="D329" s="7">
        <f>(0.563194444444444-0.557638888888889)</f>
        <v>5.5555555555549807E-3</v>
      </c>
      <c r="E329" s="7">
        <f>ABS(0.00555555555555498-0.00624999999999998)</f>
        <v>6.9444444444500056E-4</v>
      </c>
      <c r="F329" s="1" t="s">
        <v>3</v>
      </c>
    </row>
    <row r="330" spans="1:6" x14ac:dyDescent="0.25">
      <c r="A330" s="12">
        <v>42156</v>
      </c>
      <c r="B330" s="7">
        <v>0.56180555555555556</v>
      </c>
      <c r="C330" s="7">
        <v>0.56805555555555554</v>
      </c>
      <c r="D330" s="7">
        <f>(0.568055555555556-0.561805555555556)</f>
        <v>6.2499999999999778E-3</v>
      </c>
      <c r="E330" s="7">
        <f>ABS(0.00624999999999998-0.0041666666666661)</f>
        <v>2.0833333333338802E-3</v>
      </c>
      <c r="F330" s="1" t="s">
        <v>3</v>
      </c>
    </row>
    <row r="331" spans="1:6" x14ac:dyDescent="0.25">
      <c r="A331" s="12">
        <v>42156</v>
      </c>
      <c r="B331" s="7">
        <v>0.63680555555555551</v>
      </c>
      <c r="C331" s="7">
        <v>0.64097222222222217</v>
      </c>
      <c r="D331" s="7">
        <f>(0.640972222222222-0.636805555555556)</f>
        <v>4.1666666666660968E-3</v>
      </c>
      <c r="E331" s="7">
        <f>ABS(0.0041666666666661-0.00208333333333299)</f>
        <v>2.0833333333331104E-3</v>
      </c>
      <c r="F331" s="1" t="s">
        <v>3</v>
      </c>
    </row>
    <row r="332" spans="1:6" x14ac:dyDescent="0.25">
      <c r="A332" s="12">
        <v>42156</v>
      </c>
      <c r="B332" s="7">
        <v>0.66249999999999998</v>
      </c>
      <c r="C332" s="7">
        <v>0.6645833333333333</v>
      </c>
      <c r="D332" s="7">
        <f>(0.664583333333333-0.6625)</f>
        <v>2.0833333333329929E-3</v>
      </c>
      <c r="E332" s="7">
        <f>ABS(0.00208333333333299-0.011805555555556)</f>
        <v>9.7222222222230099E-3</v>
      </c>
      <c r="F332" s="1" t="s">
        <v>3</v>
      </c>
    </row>
    <row r="333" spans="1:6" x14ac:dyDescent="0.25">
      <c r="A333" s="12">
        <v>42156</v>
      </c>
      <c r="B333" s="7">
        <v>0.77083333333333337</v>
      </c>
      <c r="C333" s="7">
        <v>0.78263888888888899</v>
      </c>
      <c r="D333" s="7">
        <f>(0.782638888888889-0.770833333333333)</f>
        <v>1.1805555555555958E-2</v>
      </c>
      <c r="E333" s="7">
        <f>ABS(0.011805555555556-0.017361111111111)</f>
        <v>5.5555555555550015E-3</v>
      </c>
      <c r="F333" s="1" t="s">
        <v>3</v>
      </c>
    </row>
    <row r="334" spans="1:6" x14ac:dyDescent="0.25">
      <c r="A334" s="12">
        <v>42156</v>
      </c>
      <c r="B334" s="7">
        <v>0.74930555555555556</v>
      </c>
      <c r="C334" s="7">
        <v>0.76666666666666661</v>
      </c>
      <c r="D334" s="7">
        <f>(0.766666666666667-0.749305555555556)</f>
        <v>1.7361111111111049E-2</v>
      </c>
      <c r="E334" s="7">
        <f>ABS(0.017361111111111-0.00833333333333297)</f>
        <v>9.0277777777780302E-3</v>
      </c>
      <c r="F334" s="1" t="s">
        <v>3</v>
      </c>
    </row>
    <row r="335" spans="1:6" x14ac:dyDescent="0.25">
      <c r="A335" s="12">
        <v>42156</v>
      </c>
      <c r="B335" s="7">
        <v>0.75486111111111109</v>
      </c>
      <c r="C335" s="7">
        <v>0.7631944444444444</v>
      </c>
      <c r="D335" s="7">
        <f>(0.763194444444444-0.754861111111111)</f>
        <v>8.3333333333329707E-3</v>
      </c>
      <c r="E335" s="7">
        <f>ABS(0.00833333333333297-0.00763888888888897)</f>
        <v>6.9444444444400049E-4</v>
      </c>
      <c r="F335" s="1" t="s">
        <v>3</v>
      </c>
    </row>
    <row r="336" spans="1:6" x14ac:dyDescent="0.25">
      <c r="A336" s="12">
        <v>42156</v>
      </c>
      <c r="B336" s="7">
        <v>0.80555555555555547</v>
      </c>
      <c r="C336" s="7">
        <v>0.81319444444444444</v>
      </c>
      <c r="D336" s="7">
        <f>(0.813194444444444-0.805555555555555)</f>
        <v>7.6388888888889728E-3</v>
      </c>
      <c r="E336" s="7">
        <f>ABS(0.00763888888888897-0.013194444444444)</f>
        <v>5.5555555555550301E-3</v>
      </c>
      <c r="F336" s="1" t="s">
        <v>3</v>
      </c>
    </row>
    <row r="337" spans="1:6" x14ac:dyDescent="0.25">
      <c r="A337" s="12">
        <v>42156</v>
      </c>
      <c r="B337" s="7">
        <v>0.90416666666666667</v>
      </c>
      <c r="C337" s="7">
        <v>0.91736111111111107</v>
      </c>
      <c r="D337" s="7">
        <f>(0.917361111111111-0.904166666666667)</f>
        <v>1.3194444444443953E-2</v>
      </c>
      <c r="E337" s="7"/>
      <c r="F337" s="1" t="s">
        <v>3</v>
      </c>
    </row>
    <row r="338" spans="1:6" x14ac:dyDescent="0.25">
      <c r="A338" s="12">
        <v>42156</v>
      </c>
      <c r="B338" s="7">
        <v>0.87777777777777777</v>
      </c>
      <c r="C338" s="7">
        <v>0.8965277777777777</v>
      </c>
      <c r="D338" s="7">
        <f>(0.896527777777778-0.877777777777778)</f>
        <v>1.8750000000000044E-2</v>
      </c>
      <c r="E338" s="7">
        <f>ABS(0.01875-0.040277777777778)</f>
        <v>2.1527777777778003E-2</v>
      </c>
      <c r="F338" s="1" t="s">
        <v>10</v>
      </c>
    </row>
    <row r="339" spans="1:6" x14ac:dyDescent="0.25">
      <c r="A339" s="12">
        <v>42156</v>
      </c>
      <c r="B339" s="7">
        <v>0.49444444444444446</v>
      </c>
      <c r="C339" s="7">
        <v>0.53472222222222221</v>
      </c>
      <c r="D339" s="7">
        <f>(0.534722222222222-0.494444444444444)</f>
        <v>4.0277777777777968E-2</v>
      </c>
      <c r="E339" s="7">
        <f>ABS(0.040277777777778-0.0180555555555559)</f>
        <v>2.2222222222222102E-2</v>
      </c>
      <c r="F339" s="1" t="s">
        <v>10</v>
      </c>
    </row>
    <row r="340" spans="1:6" x14ac:dyDescent="0.25">
      <c r="A340" s="12">
        <v>42156</v>
      </c>
      <c r="B340" s="7">
        <v>0.51874999999999993</v>
      </c>
      <c r="C340" s="7">
        <v>0.53680555555555554</v>
      </c>
      <c r="D340" s="7">
        <f>(0.536805555555556-0.51875)</f>
        <v>1.8055555555555935E-2</v>
      </c>
      <c r="E340" s="7">
        <f>ABS(0.0180555555555559-0.018055555555556)</f>
        <v>1.0061396160665481E-16</v>
      </c>
      <c r="F340" s="1" t="s">
        <v>10</v>
      </c>
    </row>
    <row r="341" spans="1:6" x14ac:dyDescent="0.25">
      <c r="A341" s="12">
        <v>42156</v>
      </c>
      <c r="B341" s="7">
        <v>0.59444444444444444</v>
      </c>
      <c r="C341" s="7">
        <v>0.61249999999999993</v>
      </c>
      <c r="D341" s="7">
        <f>(0.6125-0.594444444444444)</f>
        <v>1.8055555555556047E-2</v>
      </c>
      <c r="E341" s="7">
        <f>ABS(0.018055555555556-0.0166666666666669)</f>
        <v>1.3888888888891025E-3</v>
      </c>
      <c r="F341" s="1" t="s">
        <v>10</v>
      </c>
    </row>
    <row r="342" spans="1:6" x14ac:dyDescent="0.25">
      <c r="A342" s="12">
        <v>42156</v>
      </c>
      <c r="B342" s="7">
        <v>0.68333333333333324</v>
      </c>
      <c r="C342" s="7">
        <v>0.70000000000000007</v>
      </c>
      <c r="D342" s="7">
        <f>(0.7-0.683333333333333)</f>
        <v>1.6666666666666941E-2</v>
      </c>
      <c r="E342" s="7">
        <f>ABS(0.0166666666666669-0.01875)</f>
        <v>2.0833333333331004E-3</v>
      </c>
      <c r="F342" s="1" t="s">
        <v>10</v>
      </c>
    </row>
    <row r="343" spans="1:6" x14ac:dyDescent="0.25">
      <c r="A343" s="12">
        <v>42156</v>
      </c>
      <c r="B343" s="7">
        <v>0.84236111111111101</v>
      </c>
      <c r="C343" s="7">
        <v>0.86111111111111116</v>
      </c>
      <c r="D343" s="7">
        <f>(0.861111111111111-0.842361111111111)</f>
        <v>1.8750000000000044E-2</v>
      </c>
      <c r="E343" s="7">
        <f>ABS(0.01875-0.0229166666666659)</f>
        <v>4.166666666665899E-3</v>
      </c>
      <c r="F343" s="1" t="s">
        <v>10</v>
      </c>
    </row>
    <row r="344" spans="1:6" x14ac:dyDescent="0.25">
      <c r="A344" s="12">
        <v>42156</v>
      </c>
      <c r="B344" s="7">
        <v>0.9291666666666667</v>
      </c>
      <c r="C344" s="7">
        <v>0.95208333333333339</v>
      </c>
      <c r="D344" s="7">
        <f>(0.952083333333333-0.929166666666667)</f>
        <v>2.2916666666665919E-2</v>
      </c>
      <c r="E344" s="7">
        <f>ABS(0.0229166666666659-0.0236111111111069)</f>
        <v>6.9444444444100029E-4</v>
      </c>
      <c r="F344" s="1" t="s">
        <v>10</v>
      </c>
    </row>
    <row r="345" spans="1:6" x14ac:dyDescent="0.25">
      <c r="A345" s="12">
        <v>42156</v>
      </c>
      <c r="B345" s="7">
        <v>0.99583333333333324</v>
      </c>
      <c r="C345" s="7">
        <v>1.0194444444444444</v>
      </c>
      <c r="D345" s="7">
        <f>(1.01944444444444-0.995833333333333)</f>
        <v>2.3611111111106919E-2</v>
      </c>
      <c r="E345" s="7">
        <f>ABS(0.0236111111111069-0.0243055555555509)</f>
        <v>6.9444444444400136E-4</v>
      </c>
      <c r="F345" s="1" t="s">
        <v>10</v>
      </c>
    </row>
    <row r="346" spans="1:6" x14ac:dyDescent="0.25">
      <c r="A346" s="12">
        <v>42156</v>
      </c>
      <c r="B346" s="7">
        <v>0.99513888888888891</v>
      </c>
      <c r="C346" s="7">
        <v>1.0194444444444444</v>
      </c>
      <c r="D346" s="7">
        <f>(1.01944444444444-0.995138888888889)</f>
        <v>2.4305555555550917E-2</v>
      </c>
      <c r="E346" s="7">
        <f>ABS(0.0243055555555509-0.015972222222222)</f>
        <v>8.333333333328901E-3</v>
      </c>
      <c r="F346" s="1" t="s">
        <v>10</v>
      </c>
    </row>
    <row r="347" spans="1:6" x14ac:dyDescent="0.25">
      <c r="A347" s="12">
        <v>42156</v>
      </c>
      <c r="B347" s="7">
        <v>0.12638888888888888</v>
      </c>
      <c r="C347" s="7">
        <v>0.1423611111111111</v>
      </c>
      <c r="D347" s="7">
        <f>(0.142361111111111-0.126388888888889)</f>
        <v>1.5972222222221999E-2</v>
      </c>
      <c r="E347" s="7">
        <f>ABS(0.015972222222222-0.01875)</f>
        <v>2.7777777777780004E-3</v>
      </c>
      <c r="F347" s="1" t="s">
        <v>10</v>
      </c>
    </row>
    <row r="348" spans="1:6" x14ac:dyDescent="0.25">
      <c r="A348" s="12">
        <v>42156</v>
      </c>
      <c r="B348" s="7">
        <v>0.43333333333333335</v>
      </c>
      <c r="C348" s="7">
        <v>0.45208333333333334</v>
      </c>
      <c r="D348" s="7">
        <f>(0.452083333333333-0.433333333333333)</f>
        <v>1.8749999999999989E-2</v>
      </c>
      <c r="E348" s="7">
        <f>ABS(0.01875-0.013888888888889)</f>
        <v>4.8611111111110002E-3</v>
      </c>
      <c r="F348" s="1" t="s">
        <v>10</v>
      </c>
    </row>
    <row r="349" spans="1:6" x14ac:dyDescent="0.25">
      <c r="A349" s="12">
        <v>42156</v>
      </c>
      <c r="B349" s="7">
        <v>0.4201388888888889</v>
      </c>
      <c r="C349" s="7">
        <v>0.43402777777777773</v>
      </c>
      <c r="D349" s="7">
        <f>(0.434027777777778-0.420138888888889)</f>
        <v>1.3888888888889006E-2</v>
      </c>
      <c r="E349" s="7">
        <f>ABS(0.013888888888889-0.018055555555556)</f>
        <v>4.1666666666670023E-3</v>
      </c>
      <c r="F349" s="1" t="s">
        <v>10</v>
      </c>
    </row>
    <row r="350" spans="1:6" x14ac:dyDescent="0.25">
      <c r="A350" s="12">
        <v>42156</v>
      </c>
      <c r="B350" s="7">
        <v>0.45069444444444445</v>
      </c>
      <c r="C350" s="7">
        <v>0.46875</v>
      </c>
      <c r="D350" s="7">
        <f>(0.46875-0.450694444444444)</f>
        <v>1.8055555555555991E-2</v>
      </c>
      <c r="E350" s="7">
        <f>ABS(0.018055555555556-0.0208333333333329)</f>
        <v>2.7777777777768971E-3</v>
      </c>
      <c r="F350" s="1" t="s">
        <v>10</v>
      </c>
    </row>
    <row r="351" spans="1:6" x14ac:dyDescent="0.25">
      <c r="A351" s="12">
        <v>42156</v>
      </c>
      <c r="B351" s="7">
        <v>0.52430555555555558</v>
      </c>
      <c r="C351" s="7">
        <v>0.54513888888888895</v>
      </c>
      <c r="D351" s="7">
        <f>(0.545138888888889-0.524305555555556)</f>
        <v>2.0833333333332926E-2</v>
      </c>
      <c r="E351" s="7">
        <f>ABS(0.0208333333333329-0.01875)</f>
        <v>2.0833333333328992E-3</v>
      </c>
      <c r="F351" s="1" t="s">
        <v>10</v>
      </c>
    </row>
    <row r="352" spans="1:6" x14ac:dyDescent="0.25">
      <c r="A352" s="12">
        <v>42156</v>
      </c>
      <c r="B352" s="7">
        <v>0.67013888888888884</v>
      </c>
      <c r="C352" s="7">
        <v>0.68888888888888899</v>
      </c>
      <c r="D352" s="7">
        <f>(0.688888888888889-0.670138888888889)</f>
        <v>1.8750000000000044E-2</v>
      </c>
      <c r="E352" s="7">
        <f>ABS(0.01875-0.019444444444444)</f>
        <v>6.9444444444400136E-4</v>
      </c>
      <c r="F352" s="1" t="s">
        <v>10</v>
      </c>
    </row>
    <row r="353" spans="1:6" x14ac:dyDescent="0.25">
      <c r="A353" s="12">
        <v>42156</v>
      </c>
      <c r="B353" s="7">
        <v>0.76388888888888884</v>
      </c>
      <c r="C353" s="7">
        <v>0.78333333333333333</v>
      </c>
      <c r="D353" s="7">
        <f>(0.783333333333333-0.763888888888889)</f>
        <v>1.9444444444444042E-2</v>
      </c>
      <c r="E353" s="7">
        <f>ABS(0.019444444444444-0.018055555555555)</f>
        <v>1.3888888888890019E-3</v>
      </c>
      <c r="F353" s="1" t="s">
        <v>10</v>
      </c>
    </row>
    <row r="354" spans="1:6" x14ac:dyDescent="0.25">
      <c r="A354" s="12">
        <v>42156</v>
      </c>
      <c r="B354" s="7">
        <v>0.26666666666666666</v>
      </c>
      <c r="C354" s="7">
        <v>0.28472222222222221</v>
      </c>
      <c r="D354" s="7">
        <f>(0.284722222222222-0.266666666666667)</f>
        <v>1.8055555555554992E-2</v>
      </c>
      <c r="E354" s="7">
        <f>ABS(0.018055555555555-0.0125)</f>
        <v>5.5555555555549981E-3</v>
      </c>
      <c r="F354" s="1" t="s">
        <v>10</v>
      </c>
    </row>
    <row r="355" spans="1:6" x14ac:dyDescent="0.25">
      <c r="A355" s="12">
        <v>42156</v>
      </c>
      <c r="B355" s="7">
        <v>0.43194444444444446</v>
      </c>
      <c r="C355" s="7">
        <v>0.44444444444444442</v>
      </c>
      <c r="D355" s="7">
        <f>(0.444444444444444-0.431944444444444)</f>
        <v>1.2499999999999956E-2</v>
      </c>
      <c r="E355" s="7">
        <f>ABS(0.0125-0.035416666666667)</f>
        <v>2.2916666666666998E-2</v>
      </c>
      <c r="F355" s="1" t="s">
        <v>10</v>
      </c>
    </row>
    <row r="356" spans="1:6" x14ac:dyDescent="0.25">
      <c r="A356" s="12">
        <v>42156</v>
      </c>
      <c r="B356" s="7">
        <v>0.44513888888888892</v>
      </c>
      <c r="C356" s="7">
        <v>0.48055555555555557</v>
      </c>
      <c r="D356" s="7">
        <f>(0.480555555555556-0.445138888888889)</f>
        <v>3.541666666666704E-2</v>
      </c>
      <c r="E356" s="7">
        <f>ABS(0.035416666666667-0.017361111111111)</f>
        <v>1.8055555555555998E-2</v>
      </c>
      <c r="F356" s="1" t="s">
        <v>10</v>
      </c>
    </row>
    <row r="357" spans="1:6" x14ac:dyDescent="0.25">
      <c r="A357" s="12">
        <v>42156</v>
      </c>
      <c r="B357" s="7">
        <v>0.65625</v>
      </c>
      <c r="C357" s="7">
        <v>0.67361111111111116</v>
      </c>
      <c r="D357" s="7">
        <f>(0.673611111111111-0.65625)</f>
        <v>1.7361111111111049E-2</v>
      </c>
      <c r="E357" s="7">
        <f>ABS(0.017361111111111-0.011805555555556)</f>
        <v>5.5555555555550015E-3</v>
      </c>
      <c r="F357" s="1" t="s">
        <v>10</v>
      </c>
    </row>
    <row r="358" spans="1:6" x14ac:dyDescent="0.25">
      <c r="A358" s="12">
        <v>42156</v>
      </c>
      <c r="B358" s="7">
        <v>0.68333333333333324</v>
      </c>
      <c r="C358" s="7">
        <v>0.69513888888888886</v>
      </c>
      <c r="D358" s="7">
        <f>(0.695138888888889-0.683333333333333)</f>
        <v>1.1805555555555958E-2</v>
      </c>
      <c r="E358" s="7">
        <f>ABS(0.011805555555556-0.0201388888888909)</f>
        <v>8.3333333333348997E-3</v>
      </c>
      <c r="F358" s="1" t="s">
        <v>10</v>
      </c>
    </row>
    <row r="359" spans="1:6" x14ac:dyDescent="0.25">
      <c r="A359" s="12">
        <v>42156</v>
      </c>
      <c r="B359" s="7">
        <v>0.99513888888888891</v>
      </c>
      <c r="C359" s="7">
        <v>1.0152777777777777</v>
      </c>
      <c r="D359" s="7">
        <f>(1.01527777777778-0.995138888888889)</f>
        <v>2.0138888888890927E-2</v>
      </c>
      <c r="E359" s="7">
        <f>ABS(0.0201388888888909-0.020833333333334)</f>
        <v>6.944444444430993E-4</v>
      </c>
      <c r="F359" s="1" t="s">
        <v>10</v>
      </c>
    </row>
    <row r="360" spans="1:6" x14ac:dyDescent="0.25">
      <c r="A360" s="12">
        <v>42156</v>
      </c>
      <c r="B360" s="7">
        <v>0.35694444444444445</v>
      </c>
      <c r="C360" s="7">
        <v>0.37777777777777777</v>
      </c>
      <c r="D360" s="7">
        <f>(0.377777777777778-0.356944444444444)</f>
        <v>2.0833333333333981E-2</v>
      </c>
      <c r="E360" s="7">
        <f>ABS(0.020833333333334-0.031944444444444)</f>
        <v>1.111111111111E-2</v>
      </c>
      <c r="F360" s="1" t="s">
        <v>10</v>
      </c>
    </row>
    <row r="361" spans="1:6" x14ac:dyDescent="0.25">
      <c r="A361" s="12">
        <v>42156</v>
      </c>
      <c r="B361" s="7">
        <v>0.60625000000000007</v>
      </c>
      <c r="C361" s="7">
        <v>0.6381944444444444</v>
      </c>
      <c r="D361" s="7">
        <f>(0.638194444444444-0.60625)</f>
        <v>3.1944444444443998E-2</v>
      </c>
      <c r="E361" s="7">
        <f>ABS(0.031944444444444-0.0166666666666661)</f>
        <v>1.5277777777777897E-2</v>
      </c>
      <c r="F361" s="1" t="s">
        <v>10</v>
      </c>
    </row>
    <row r="362" spans="1:6" x14ac:dyDescent="0.25">
      <c r="A362" s="12">
        <v>42156</v>
      </c>
      <c r="B362" s="7">
        <v>0.78888888888888886</v>
      </c>
      <c r="C362" s="7">
        <v>0.80555555555555547</v>
      </c>
      <c r="D362" s="7">
        <f>(0.805555555555555-0.788888888888889)</f>
        <v>1.6666666666666052E-2</v>
      </c>
      <c r="E362" s="7">
        <f>ABS(0.0166666666666661-0.022222222222222)</f>
        <v>5.5555555555559001E-3</v>
      </c>
      <c r="F362" s="1" t="s">
        <v>10</v>
      </c>
    </row>
    <row r="363" spans="1:6" x14ac:dyDescent="0.25">
      <c r="A363" s="12">
        <v>42156</v>
      </c>
      <c r="B363" s="7">
        <v>0.97013888888888899</v>
      </c>
      <c r="C363" s="7">
        <v>0.99236111111111114</v>
      </c>
      <c r="D363" s="7">
        <f>(0.992361111111111-0.970138888888889)</f>
        <v>2.2222222222222032E-2</v>
      </c>
      <c r="E363" s="7">
        <f>ABS(0.022222222222222-0.0187499999999999)</f>
        <v>3.4722222222221023E-3</v>
      </c>
      <c r="F363" s="1" t="s">
        <v>10</v>
      </c>
    </row>
    <row r="364" spans="1:6" x14ac:dyDescent="0.25">
      <c r="A364" s="12">
        <v>42156</v>
      </c>
      <c r="B364" s="7">
        <v>0.49583333333333335</v>
      </c>
      <c r="C364" s="7">
        <v>0.51458333333333328</v>
      </c>
      <c r="D364" s="7">
        <f>(0.514583333333333-0.495833333333333)</f>
        <v>1.8749999999999933E-2</v>
      </c>
      <c r="E364" s="7">
        <f>ABS(0.0187499999999999-0.0222222222222219)</f>
        <v>3.4722222222220017E-3</v>
      </c>
      <c r="F364" s="1" t="s">
        <v>10</v>
      </c>
    </row>
    <row r="365" spans="1:6" x14ac:dyDescent="0.25">
      <c r="A365" s="12">
        <v>42156</v>
      </c>
      <c r="B365" s="7">
        <v>0.54861111111111105</v>
      </c>
      <c r="C365" s="7">
        <v>0.5708333333333333</v>
      </c>
      <c r="D365" s="7">
        <f>(0.570833333333333-0.548611111111111)</f>
        <v>2.2222222222221921E-2</v>
      </c>
      <c r="E365" s="7">
        <f>ABS(0.0222222222222219-0.01875)</f>
        <v>3.4722222222219011E-3</v>
      </c>
      <c r="F365" s="1" t="s">
        <v>10</v>
      </c>
    </row>
    <row r="366" spans="1:6" x14ac:dyDescent="0.25">
      <c r="A366" s="12">
        <v>42156</v>
      </c>
      <c r="B366" s="7">
        <v>0.66666666666666663</v>
      </c>
      <c r="C366" s="7">
        <v>0.68541666666666667</v>
      </c>
      <c r="D366" s="7">
        <f>(0.685416666666667-0.666666666666667)</f>
        <v>1.8750000000000044E-2</v>
      </c>
      <c r="E366" s="7">
        <f>ABS(0.01875-0.0152777777777779)</f>
        <v>3.4722222222220989E-3</v>
      </c>
      <c r="F366" s="1" t="s">
        <v>10</v>
      </c>
    </row>
    <row r="367" spans="1:6" x14ac:dyDescent="0.25">
      <c r="A367" s="12">
        <v>42156</v>
      </c>
      <c r="B367" s="7">
        <v>0.89583333333333337</v>
      </c>
      <c r="C367" s="7">
        <v>0.91111111111111109</v>
      </c>
      <c r="D367" s="7">
        <f>(0.911111111111111-0.895833333333333)</f>
        <v>1.5277777777777946E-2</v>
      </c>
      <c r="E367" s="7">
        <f>ABS(0.0152777777777779-0.017361111111111)</f>
        <v>2.0833333333331004E-3</v>
      </c>
      <c r="F367" s="1" t="s">
        <v>10</v>
      </c>
    </row>
    <row r="368" spans="1:6" x14ac:dyDescent="0.25">
      <c r="A368" s="12">
        <v>42156</v>
      </c>
      <c r="B368" s="7">
        <v>0.94374999999999998</v>
      </c>
      <c r="C368" s="7">
        <v>0.96111111111111114</v>
      </c>
      <c r="D368" s="7">
        <f>(0.961111111111111-0.94375)</f>
        <v>1.7361111111111049E-2</v>
      </c>
      <c r="E368" s="7">
        <f>ABS(0.017361111111111-0.018055555555555)</f>
        <v>6.9444444444399789E-4</v>
      </c>
      <c r="F368" s="1" t="s">
        <v>10</v>
      </c>
    </row>
    <row r="369" spans="1:6" x14ac:dyDescent="0.25">
      <c r="A369" s="12">
        <v>42156</v>
      </c>
      <c r="B369" s="7">
        <v>0.26180555555555557</v>
      </c>
      <c r="C369" s="7">
        <v>0.27986111111111112</v>
      </c>
      <c r="D369" s="7">
        <f>(0.279861111111111-0.261805555555556)</f>
        <v>1.8055555555554992E-2</v>
      </c>
      <c r="E369" s="7">
        <f>ABS(0.018055555555555-0.019444444444445)</f>
        <v>1.3888888888900011E-3</v>
      </c>
      <c r="F369" s="1" t="s">
        <v>10</v>
      </c>
    </row>
    <row r="370" spans="1:6" x14ac:dyDescent="0.25">
      <c r="A370" s="12">
        <v>42156</v>
      </c>
      <c r="B370" s="7">
        <v>0.47222222222222227</v>
      </c>
      <c r="C370" s="7">
        <v>0.4916666666666667</v>
      </c>
      <c r="D370" s="7">
        <f>(0.491666666666667-0.472222222222222)</f>
        <v>1.9444444444444986E-2</v>
      </c>
      <c r="E370" s="7">
        <f>ABS(0.019444444444445-0.017361111111111)</f>
        <v>2.083333333333999E-3</v>
      </c>
      <c r="F370" s="1" t="s">
        <v>10</v>
      </c>
    </row>
    <row r="371" spans="1:6" x14ac:dyDescent="0.25">
      <c r="A371" s="12">
        <v>42156</v>
      </c>
      <c r="B371" s="7">
        <v>0.97222222222222221</v>
      </c>
      <c r="C371" s="7">
        <v>0.98958333333333337</v>
      </c>
      <c r="D371" s="7">
        <f>(0.989583333333333-0.972222222222222)</f>
        <v>1.7361111111111049E-2</v>
      </c>
      <c r="E371" s="7">
        <f>ABS(0.017361111111111-0.0166666666666671)</f>
        <v>6.9444444444390074E-4</v>
      </c>
      <c r="F371" s="1" t="s">
        <v>10</v>
      </c>
    </row>
    <row r="372" spans="1:6" x14ac:dyDescent="0.25">
      <c r="A372" s="12">
        <v>42156</v>
      </c>
      <c r="B372" s="7">
        <v>0.59444444444444444</v>
      </c>
      <c r="C372" s="7">
        <v>0.61111111111111105</v>
      </c>
      <c r="D372" s="7">
        <f>(0.611111111111111-0.594444444444444)</f>
        <v>1.6666666666667052E-2</v>
      </c>
      <c r="E372" s="7">
        <f>ABS(0.0166666666666671-0.0180555555555549)</f>
        <v>1.3888888888878015E-3</v>
      </c>
      <c r="F372" s="1" t="s">
        <v>10</v>
      </c>
    </row>
    <row r="373" spans="1:6" x14ac:dyDescent="0.25">
      <c r="A373" s="12">
        <v>42156</v>
      </c>
      <c r="B373" s="7">
        <v>0.7090277777777777</v>
      </c>
      <c r="C373" s="7">
        <v>0.7270833333333333</v>
      </c>
      <c r="D373" s="7">
        <f>(0.727083333333333-0.709027777777778)</f>
        <v>1.8055555555554936E-2</v>
      </c>
      <c r="E373" s="7">
        <f>ABS(0.0180555555555549-0.01875)</f>
        <v>6.944444444450977E-4</v>
      </c>
      <c r="F373" s="1" t="s">
        <v>10</v>
      </c>
    </row>
    <row r="374" spans="1:6" x14ac:dyDescent="0.25">
      <c r="A374" s="12">
        <v>42156</v>
      </c>
      <c r="B374" s="7">
        <v>0.72777777777777775</v>
      </c>
      <c r="C374" s="7">
        <v>0.74652777777777779</v>
      </c>
      <c r="D374" s="7">
        <f>(0.746527777777778-0.727777777777778)</f>
        <v>1.8750000000000044E-2</v>
      </c>
      <c r="E374" s="7">
        <f>ABS(0.01875-0.025)</f>
        <v>6.2500000000000021E-3</v>
      </c>
      <c r="F374" s="1" t="s">
        <v>10</v>
      </c>
    </row>
    <row r="375" spans="1:6" x14ac:dyDescent="0.25">
      <c r="A375" s="12">
        <v>42156</v>
      </c>
      <c r="B375" s="7">
        <v>0.75486111111111109</v>
      </c>
      <c r="C375" s="7">
        <v>0.77986111111111101</v>
      </c>
      <c r="D375" s="7">
        <f>(0.779861111111111-0.754861111111111)</f>
        <v>2.5000000000000022E-2</v>
      </c>
      <c r="E375" s="7">
        <f>ABS(0.025-0.018055555555555)</f>
        <v>6.9444444444450026E-3</v>
      </c>
      <c r="F375" s="1" t="s">
        <v>10</v>
      </c>
    </row>
    <row r="376" spans="1:6" x14ac:dyDescent="0.25">
      <c r="A376" s="12">
        <v>42156</v>
      </c>
      <c r="B376" s="7">
        <v>0.95138888888888884</v>
      </c>
      <c r="C376" s="7">
        <v>0.96944444444444444</v>
      </c>
      <c r="D376" s="7">
        <f>(0.969444444444444-0.951388888888889)</f>
        <v>1.8055555555555047E-2</v>
      </c>
      <c r="E376" s="7">
        <f>ABS(0.018055555555555-0.0236111111111111)</f>
        <v>5.5555555555561013E-3</v>
      </c>
      <c r="F376" s="1" t="s">
        <v>10</v>
      </c>
    </row>
    <row r="377" spans="1:6" x14ac:dyDescent="0.25">
      <c r="A377" s="12">
        <v>42156</v>
      </c>
      <c r="B377" s="7">
        <v>3.7499999999999999E-2</v>
      </c>
      <c r="C377" s="7">
        <v>6.1111111111111116E-2</v>
      </c>
      <c r="D377" s="7">
        <f>(0.0611111111111111-0.0375)</f>
        <v>2.3611111111111104E-2</v>
      </c>
      <c r="E377" s="7">
        <f>ABS(0.0236111111111111-0.013194444444445)</f>
        <v>1.0416666666666101E-2</v>
      </c>
      <c r="F377" s="1" t="s">
        <v>10</v>
      </c>
    </row>
    <row r="378" spans="1:6" x14ac:dyDescent="0.25">
      <c r="A378" s="12">
        <v>42156</v>
      </c>
      <c r="B378" s="7">
        <v>0.1423611111111111</v>
      </c>
      <c r="C378" s="7">
        <v>0.15555555555555556</v>
      </c>
      <c r="D378" s="7">
        <f>(0.155555555555556-0.142361111111111)</f>
        <v>1.3194444444445008E-2</v>
      </c>
      <c r="E378" s="7">
        <f>ABS(0.013194444444445-0.017361111111112)</f>
        <v>4.1666666666670005E-3</v>
      </c>
      <c r="F378" s="1" t="s">
        <v>10</v>
      </c>
    </row>
    <row r="379" spans="1:6" x14ac:dyDescent="0.25">
      <c r="A379" s="12">
        <v>42156</v>
      </c>
      <c r="B379" s="7">
        <v>0.33194444444444443</v>
      </c>
      <c r="C379" s="7">
        <v>0.34930555555555554</v>
      </c>
      <c r="D379" s="7">
        <f>(0.349305555555556-0.331944444444444)</f>
        <v>1.7361111111111993E-2</v>
      </c>
      <c r="E379" s="7">
        <f>ABS(0.017361111111112-0.016666666666666)</f>
        <v>6.9444444444599976E-4</v>
      </c>
      <c r="F379" s="1" t="s">
        <v>10</v>
      </c>
    </row>
    <row r="380" spans="1:6" x14ac:dyDescent="0.25">
      <c r="A380" s="12">
        <v>42156</v>
      </c>
      <c r="B380" s="7">
        <v>0.37916666666666665</v>
      </c>
      <c r="C380" s="7">
        <v>0.39583333333333331</v>
      </c>
      <c r="D380" s="7">
        <f>(0.395833333333333-0.379166666666667)</f>
        <v>1.6666666666665997E-2</v>
      </c>
      <c r="E380" s="7">
        <f>ABS(0.016666666666666-0.020833333333333)</f>
        <v>4.1666666666669988E-3</v>
      </c>
      <c r="F380" s="1" t="s">
        <v>10</v>
      </c>
    </row>
    <row r="381" spans="1:6" x14ac:dyDescent="0.25">
      <c r="A381" s="12">
        <v>42156</v>
      </c>
      <c r="B381" s="7">
        <v>0.44791666666666669</v>
      </c>
      <c r="C381" s="7">
        <v>0.46875</v>
      </c>
      <c r="D381" s="7">
        <f>(0.46875-0.447916666666667)</f>
        <v>2.0833333333332982E-2</v>
      </c>
      <c r="E381" s="7">
        <f>ABS(0.020833333333333-0.017361111111111)</f>
        <v>3.4722222222219983E-3</v>
      </c>
      <c r="F381" s="1" t="s">
        <v>10</v>
      </c>
    </row>
    <row r="382" spans="1:6" x14ac:dyDescent="0.25">
      <c r="A382" s="12">
        <v>42156</v>
      </c>
      <c r="B382" s="7">
        <v>0.57500000000000007</v>
      </c>
      <c r="C382" s="7">
        <v>0.59236111111111112</v>
      </c>
      <c r="D382" s="7">
        <f>(0.592361111111111-0.575)</f>
        <v>1.7361111111111049E-2</v>
      </c>
      <c r="E382" s="7">
        <f>ABS(0.017361111111111-0.0194444444444449)</f>
        <v>2.0833333333338984E-3</v>
      </c>
      <c r="F382" s="1" t="s">
        <v>10</v>
      </c>
    </row>
    <row r="383" spans="1:6" x14ac:dyDescent="0.25">
      <c r="A383" s="12">
        <v>42156</v>
      </c>
      <c r="B383" s="7">
        <v>0.61319444444444449</v>
      </c>
      <c r="C383" s="7">
        <v>0.63263888888888886</v>
      </c>
      <c r="D383" s="7">
        <f>(0.632638888888889-0.613194444444444)</f>
        <v>1.944444444444493E-2</v>
      </c>
      <c r="E383" s="7">
        <f>ABS(0.0194444444444449-0.0201388888888889)</f>
        <v>6.9444444444400136E-4</v>
      </c>
      <c r="F383" s="5" t="s">
        <v>10</v>
      </c>
    </row>
    <row r="384" spans="1:6" x14ac:dyDescent="0.25">
      <c r="A384" s="12">
        <v>42156</v>
      </c>
      <c r="B384" s="7">
        <v>0.67847222222222225</v>
      </c>
      <c r="C384" s="7">
        <v>0.69861111111111107</v>
      </c>
      <c r="D384" s="7">
        <f>(0.698611111111111-0.678472222222222)</f>
        <v>2.0138888888888928E-2</v>
      </c>
      <c r="E384" s="7">
        <f>ABS(0.0201388888888889-0.017361111111111)</f>
        <v>2.7777777777778997E-3</v>
      </c>
      <c r="F384" s="1" t="s">
        <v>10</v>
      </c>
    </row>
    <row r="385" spans="1:6" x14ac:dyDescent="0.25">
      <c r="A385" s="12">
        <v>42156</v>
      </c>
      <c r="B385" s="7">
        <v>0.78125</v>
      </c>
      <c r="C385" s="7">
        <v>0.79861111111111116</v>
      </c>
      <c r="D385" s="7">
        <f>(0.798611111111111-0.78125)</f>
        <v>1.7361111111111049E-2</v>
      </c>
      <c r="E385" s="7">
        <f>ABS(0.017361111111111-0.0180555555555556)</f>
        <v>6.944444444445981E-4</v>
      </c>
      <c r="F385" s="1" t="s">
        <v>10</v>
      </c>
    </row>
    <row r="386" spans="1:6" x14ac:dyDescent="0.25">
      <c r="A386" s="12">
        <v>42156</v>
      </c>
      <c r="B386" s="7">
        <v>3.8194444444444441E-2</v>
      </c>
      <c r="C386" s="7">
        <v>5.6250000000000001E-2</v>
      </c>
      <c r="D386" s="7">
        <f>(0.05625-0.0381944444444444)</f>
        <v>1.8055555555555602E-2</v>
      </c>
      <c r="E386" s="7">
        <f>ABS(0.0180555555555556-0.018055555555556)</f>
        <v>4.0245584642661925E-16</v>
      </c>
      <c r="F386" s="1" t="s">
        <v>10</v>
      </c>
    </row>
    <row r="387" spans="1:6" x14ac:dyDescent="0.25">
      <c r="A387" s="12">
        <v>42156</v>
      </c>
      <c r="B387" s="7">
        <v>0.16319444444444445</v>
      </c>
      <c r="C387" s="7">
        <v>0.18124999999999999</v>
      </c>
      <c r="D387" s="7">
        <f>(0.18125-0.163194444444444)</f>
        <v>1.8055555555555991E-2</v>
      </c>
      <c r="E387" s="7">
        <f>ABS(0.018055555555556-0.017361111111111)</f>
        <v>6.9444444444500056E-4</v>
      </c>
      <c r="F387" s="1" t="s">
        <v>10</v>
      </c>
    </row>
    <row r="388" spans="1:6" x14ac:dyDescent="0.25">
      <c r="A388" s="12">
        <v>42156</v>
      </c>
      <c r="B388" s="7">
        <v>0.34166666666666662</v>
      </c>
      <c r="C388" s="7">
        <v>0.35902777777777778</v>
      </c>
      <c r="D388" s="7">
        <f>(0.359027777777778-0.341666666666667)</f>
        <v>1.7361111111110994E-2</v>
      </c>
      <c r="E388" s="7">
        <f>ABS(0.017361111111111-0.029861111111111)</f>
        <v>1.2500000000000001E-2</v>
      </c>
      <c r="F388" s="1" t="s">
        <v>10</v>
      </c>
    </row>
    <row r="389" spans="1:6" x14ac:dyDescent="0.25">
      <c r="A389" s="12">
        <v>42156</v>
      </c>
      <c r="B389" s="7">
        <v>0.41597222222222219</v>
      </c>
      <c r="C389" s="7">
        <v>0.4458333333333333</v>
      </c>
      <c r="D389" s="7">
        <f>(0.445833333333333-0.415972222222222)</f>
        <v>2.9861111111111005E-2</v>
      </c>
      <c r="E389" s="7">
        <f>ABS(0.029861111111111-0.028472222222223)</f>
        <v>1.3888888888880027E-3</v>
      </c>
      <c r="F389" s="1" t="s">
        <v>10</v>
      </c>
    </row>
    <row r="390" spans="1:6" x14ac:dyDescent="0.25">
      <c r="A390" s="12">
        <v>42156</v>
      </c>
      <c r="B390" s="7">
        <v>0.63194444444444442</v>
      </c>
      <c r="C390" s="7">
        <v>0.66041666666666665</v>
      </c>
      <c r="D390" s="7">
        <f>(0.660416666666667-0.631944444444444)</f>
        <v>2.8472222222223009E-2</v>
      </c>
      <c r="E390" s="7">
        <f>ABS(0.028472222222223-0.01875)</f>
        <v>9.7222222222229995E-3</v>
      </c>
      <c r="F390" s="1" t="s">
        <v>10</v>
      </c>
    </row>
    <row r="391" spans="1:6" x14ac:dyDescent="0.25">
      <c r="A391" s="12">
        <v>42156</v>
      </c>
      <c r="B391" s="7">
        <v>0.71875</v>
      </c>
      <c r="C391" s="7">
        <v>0.73749999999999993</v>
      </c>
      <c r="D391" s="7">
        <f>(0.7375-0.71875)</f>
        <v>1.8750000000000044E-2</v>
      </c>
      <c r="E391" s="7">
        <f>ABS(0.01875-0.022222222222222)</f>
        <v>3.4722222222220017E-3</v>
      </c>
      <c r="F391" s="1" t="s">
        <v>10</v>
      </c>
    </row>
    <row r="392" spans="1:6" x14ac:dyDescent="0.25">
      <c r="A392" s="12">
        <v>42156</v>
      </c>
      <c r="B392" s="7">
        <v>0.81041666666666667</v>
      </c>
      <c r="C392" s="7">
        <v>0.83263888888888893</v>
      </c>
      <c r="D392" s="7">
        <f>(0.832638888888889-0.810416666666667)</f>
        <v>2.2222222222222032E-2</v>
      </c>
      <c r="E392" s="7">
        <f>ABS(0.022222222222222-0.017361111111111)</f>
        <v>4.8611111111110002E-3</v>
      </c>
      <c r="F392" s="1" t="s">
        <v>10</v>
      </c>
    </row>
    <row r="393" spans="1:6" x14ac:dyDescent="0.25">
      <c r="A393" s="12">
        <v>42156</v>
      </c>
      <c r="B393" s="7">
        <v>0.82500000000000007</v>
      </c>
      <c r="C393" s="7">
        <v>0.84236111111111101</v>
      </c>
      <c r="D393" s="7">
        <f>(0.842361111111111-0.825)</f>
        <v>1.7361111111111049E-2</v>
      </c>
      <c r="E393" s="7">
        <f>ABS(0.017361111111111-0.028472222222222)</f>
        <v>1.1111111111110999E-2</v>
      </c>
      <c r="F393" s="1" t="s">
        <v>10</v>
      </c>
    </row>
    <row r="394" spans="1:6" x14ac:dyDescent="0.25">
      <c r="A394" s="12">
        <v>42156</v>
      </c>
      <c r="B394" s="7">
        <v>0.53055555555555556</v>
      </c>
      <c r="C394" s="7">
        <v>0.55902777777777779</v>
      </c>
      <c r="D394" s="7">
        <f>(0.559027777777778-0.530555555555556)</f>
        <v>2.847222222222201E-2</v>
      </c>
      <c r="E394" s="7">
        <f>ABS(0.028472222222222-0.023611111111111)</f>
        <v>4.8611111111110002E-3</v>
      </c>
      <c r="F394" s="1" t="s">
        <v>10</v>
      </c>
    </row>
    <row r="395" spans="1:6" x14ac:dyDescent="0.25">
      <c r="A395" s="12">
        <v>42156</v>
      </c>
      <c r="B395" s="7">
        <v>0.17152777777777775</v>
      </c>
      <c r="C395" s="7">
        <v>0.19513888888888889</v>
      </c>
      <c r="D395" s="7">
        <f>(0.195138888888889-0.171527777777778)</f>
        <v>2.3611111111110999E-2</v>
      </c>
      <c r="E395" s="7">
        <f>ABS(0.023611111111111-0.027777777777778)</f>
        <v>4.1666666666669988E-3</v>
      </c>
      <c r="F395" s="1" t="s">
        <v>10</v>
      </c>
    </row>
    <row r="396" spans="1:6" x14ac:dyDescent="0.25">
      <c r="A396" s="12">
        <v>42156</v>
      </c>
      <c r="B396" s="7">
        <v>0.4375</v>
      </c>
      <c r="C396" s="7">
        <v>0.46527777777777773</v>
      </c>
      <c r="D396" s="7">
        <f>(0.465277777777778-0.4375)</f>
        <v>2.7777777777778012E-2</v>
      </c>
      <c r="E396" s="7">
        <f>ABS(0.027777777777778-0.020833333333333)</f>
        <v>6.9444444444449992E-3</v>
      </c>
      <c r="F396" s="1" t="s">
        <v>10</v>
      </c>
    </row>
    <row r="397" spans="1:6" x14ac:dyDescent="0.25">
      <c r="A397" s="12">
        <v>42156</v>
      </c>
      <c r="B397" s="7">
        <v>0.90486111111111101</v>
      </c>
      <c r="C397" s="7">
        <v>0.92569444444444438</v>
      </c>
      <c r="D397" s="7">
        <f>(0.925694444444444-0.904861111111111)</f>
        <v>2.0833333333333037E-2</v>
      </c>
      <c r="E397" s="7">
        <f>ABS(0.020833333333333-0.0180555555555549)</f>
        <v>2.7777777777780975E-3</v>
      </c>
      <c r="F397" s="1" t="s">
        <v>10</v>
      </c>
    </row>
    <row r="398" spans="1:6" x14ac:dyDescent="0.25">
      <c r="A398" s="12">
        <v>42156</v>
      </c>
      <c r="B398" s="7">
        <v>0.95416666666666661</v>
      </c>
      <c r="C398" s="7">
        <v>0.97222222222222221</v>
      </c>
      <c r="D398" s="7">
        <f>(0.972222222222222-0.954166666666667)</f>
        <v>1.8055555555554936E-2</v>
      </c>
      <c r="E398" s="7">
        <f>ABS(0.0180555555555549-0.020138888888889)</f>
        <v>2.0833333333340996E-3</v>
      </c>
      <c r="F398" s="1" t="s">
        <v>10</v>
      </c>
    </row>
    <row r="399" spans="1:6" x14ac:dyDescent="0.25">
      <c r="A399" s="12">
        <v>42156</v>
      </c>
      <c r="B399" s="7">
        <v>0.39444444444444443</v>
      </c>
      <c r="C399" s="7">
        <v>0.4145833333333333</v>
      </c>
      <c r="D399" s="7">
        <f>(0.414583333333333-0.394444444444444)</f>
        <v>2.0138888888889039E-2</v>
      </c>
      <c r="E399" s="7">
        <f>ABS(0.020138888888889-0.020833333333333)</f>
        <v>6.9444444444399789E-4</v>
      </c>
      <c r="F399" s="1" t="s">
        <v>10</v>
      </c>
    </row>
    <row r="400" spans="1:6" x14ac:dyDescent="0.25">
      <c r="A400" s="12">
        <v>42156</v>
      </c>
      <c r="B400" s="7">
        <v>0.43055555555555558</v>
      </c>
      <c r="C400" s="7">
        <v>0.4513888888888889</v>
      </c>
      <c r="D400" s="7">
        <f>(0.451388888888889-0.430555555555556)</f>
        <v>2.0833333333332982E-2</v>
      </c>
      <c r="E400" s="7">
        <f>ABS(0.020833333333333-0.030555555555556)</f>
        <v>9.7222222222229995E-3</v>
      </c>
      <c r="F400" s="1" t="s">
        <v>10</v>
      </c>
    </row>
    <row r="401" spans="1:6" x14ac:dyDescent="0.25">
      <c r="A401" s="12">
        <v>42156</v>
      </c>
      <c r="B401" s="7">
        <v>0.46319444444444446</v>
      </c>
      <c r="C401" s="7">
        <v>0.49374999999999997</v>
      </c>
      <c r="D401" s="7">
        <f>(0.49375-0.463194444444444)</f>
        <v>3.0555555555556002E-2</v>
      </c>
      <c r="E401" s="7">
        <f>ABS(0.030555555555556-0.029861111111111)</f>
        <v>6.9444444444499709E-4</v>
      </c>
      <c r="F401" s="1" t="s">
        <v>10</v>
      </c>
    </row>
    <row r="402" spans="1:6" x14ac:dyDescent="0.25">
      <c r="A402" s="12">
        <v>42156</v>
      </c>
      <c r="B402" s="7">
        <v>0.49791666666666662</v>
      </c>
      <c r="C402" s="7">
        <v>0.52777777777777779</v>
      </c>
      <c r="D402" s="7">
        <f>(0.527777777777778-0.497916666666667)</f>
        <v>2.9861111111111005E-2</v>
      </c>
      <c r="E402" s="7">
        <f>ABS(0.029861111111111-0.0166666666666669)</f>
        <v>1.3194444444444103E-2</v>
      </c>
      <c r="F402" s="1" t="s">
        <v>10</v>
      </c>
    </row>
    <row r="403" spans="1:6" x14ac:dyDescent="0.25">
      <c r="A403" s="12">
        <v>42156</v>
      </c>
      <c r="B403" s="7">
        <v>0.51874999999999993</v>
      </c>
      <c r="C403" s="7">
        <v>0.53541666666666665</v>
      </c>
      <c r="D403" s="7">
        <f>(0.535416666666667-0.51875)</f>
        <v>1.6666666666666941E-2</v>
      </c>
      <c r="E403" s="7">
        <f>ABS(0.0166666666666669-0.011805555555556)</f>
        <v>4.8611111111108996E-3</v>
      </c>
      <c r="F403" s="1" t="s">
        <v>10</v>
      </c>
    </row>
    <row r="404" spans="1:6" x14ac:dyDescent="0.25">
      <c r="A404" s="12">
        <v>42156</v>
      </c>
      <c r="B404" s="7">
        <v>0.56597222222222221</v>
      </c>
      <c r="C404" s="7">
        <v>0.57777777777777783</v>
      </c>
      <c r="D404" s="7">
        <f>(0.577777777777778-0.565972222222222)</f>
        <v>1.1805555555555958E-2</v>
      </c>
      <c r="E404" s="7">
        <f>ABS(0.011805555555556-0.01875)</f>
        <v>6.944444444444E-3</v>
      </c>
      <c r="F404" s="1" t="s">
        <v>10</v>
      </c>
    </row>
    <row r="405" spans="1:6" x14ac:dyDescent="0.25">
      <c r="A405" s="12">
        <v>42156</v>
      </c>
      <c r="B405" s="7">
        <v>0.55972222222222223</v>
      </c>
      <c r="C405" s="7">
        <v>0.57847222222222217</v>
      </c>
      <c r="D405" s="7">
        <f>(0.578472222222222-0.559722222222222)</f>
        <v>1.8750000000000044E-2</v>
      </c>
      <c r="E405" s="7">
        <f>ABS(0.01875-0.024305555555556)</f>
        <v>5.5555555555560007E-3</v>
      </c>
      <c r="F405" s="1" t="s">
        <v>10</v>
      </c>
    </row>
    <row r="406" spans="1:6" x14ac:dyDescent="0.25">
      <c r="A406" s="12">
        <v>42156</v>
      </c>
      <c r="B406" s="7">
        <v>0.59583333333333333</v>
      </c>
      <c r="C406" s="7">
        <v>0.62013888888888891</v>
      </c>
      <c r="D406" s="7">
        <f>(0.620138888888889-0.595833333333333)</f>
        <v>2.4305555555556024E-2</v>
      </c>
      <c r="E406" s="7">
        <f>ABS(0.024305555555556-0.022222222222222)</f>
        <v>2.083333333333999E-3</v>
      </c>
      <c r="F406" s="1" t="s">
        <v>10</v>
      </c>
    </row>
    <row r="407" spans="1:6" x14ac:dyDescent="0.25">
      <c r="A407" s="12">
        <v>42156</v>
      </c>
      <c r="B407" s="7">
        <v>0.65277777777777779</v>
      </c>
      <c r="C407" s="7">
        <v>0.67499999999999993</v>
      </c>
      <c r="D407" s="7">
        <f>(0.675-0.652777777777778)</f>
        <v>2.2222222222222032E-2</v>
      </c>
      <c r="E407" s="7">
        <f>ABS(0.022222222222222-0.0187499999999999)</f>
        <v>3.4722222222221023E-3</v>
      </c>
      <c r="F407" s="1" t="s">
        <v>10</v>
      </c>
    </row>
    <row r="408" spans="1:6" x14ac:dyDescent="0.25">
      <c r="A408" s="12">
        <v>42156</v>
      </c>
      <c r="B408" s="7">
        <v>0.68333333333333324</v>
      </c>
      <c r="C408" s="7">
        <v>0.70208333333333339</v>
      </c>
      <c r="D408" s="7">
        <f>(0.702083333333333-0.683333333333333)</f>
        <v>1.8749999999999933E-2</v>
      </c>
      <c r="E408" s="7">
        <f>ABS(0.0187499999999999-0.0166666666666669)</f>
        <v>2.0833333333329998E-3</v>
      </c>
      <c r="F408" s="1" t="s">
        <v>10</v>
      </c>
    </row>
    <row r="409" spans="1:6" x14ac:dyDescent="0.25">
      <c r="A409" s="12">
        <v>42156</v>
      </c>
      <c r="B409" s="7">
        <v>0.70972222222222225</v>
      </c>
      <c r="C409" s="7">
        <v>0.72638888888888886</v>
      </c>
      <c r="D409" s="7">
        <f>(0.726388888888889-0.709722222222222)</f>
        <v>1.6666666666666941E-2</v>
      </c>
      <c r="E409" s="7">
        <f>ABS(0.0166666666666669-0.0145833333333333)</f>
        <v>2.0833333333335983E-3</v>
      </c>
      <c r="F409" s="1" t="s">
        <v>10</v>
      </c>
    </row>
    <row r="410" spans="1:6" x14ac:dyDescent="0.25">
      <c r="A410" s="12">
        <v>42156</v>
      </c>
      <c r="B410" s="7">
        <v>5.9027777777777783E-2</v>
      </c>
      <c r="C410" s="7">
        <v>7.3611111111111113E-2</v>
      </c>
      <c r="D410" s="7">
        <f>(0.0736111111111111-0.0590277777777778)</f>
        <v>1.4583333333333302E-2</v>
      </c>
      <c r="E410" s="7">
        <f>ABS(0.0145833333333333-0.020138888888889)</f>
        <v>5.5555555555557006E-3</v>
      </c>
      <c r="F410" s="1" t="s">
        <v>10</v>
      </c>
    </row>
    <row r="411" spans="1:6" x14ac:dyDescent="0.25">
      <c r="A411" s="12">
        <v>42156</v>
      </c>
      <c r="B411" s="7">
        <v>0.39652777777777781</v>
      </c>
      <c r="C411" s="7">
        <v>0.41666666666666669</v>
      </c>
      <c r="D411" s="7">
        <f>(0.416666666666667-0.396527777777778)</f>
        <v>2.0138888888889039E-2</v>
      </c>
      <c r="E411" s="7">
        <f>ABS(0.020138888888889-0.023611111111111)</f>
        <v>3.4722222222219983E-3</v>
      </c>
      <c r="F411" s="1" t="s">
        <v>10</v>
      </c>
    </row>
    <row r="412" spans="1:6" x14ac:dyDescent="0.25">
      <c r="A412" s="12">
        <v>42156</v>
      </c>
      <c r="B412" s="7">
        <v>0.49374999999999997</v>
      </c>
      <c r="C412" s="7">
        <v>0.51736111111111105</v>
      </c>
      <c r="D412" s="7">
        <f>(0.517361111111111-0.49375)</f>
        <v>2.3611111111111027E-2</v>
      </c>
      <c r="E412" s="7">
        <f>ABS(0.023611111111111-0.017361111111111)</f>
        <v>6.2499999999999986E-3</v>
      </c>
      <c r="F412" s="1" t="s">
        <v>10</v>
      </c>
    </row>
    <row r="413" spans="1:6" x14ac:dyDescent="0.25">
      <c r="A413" s="12">
        <v>42156</v>
      </c>
      <c r="B413" s="7">
        <v>0.5708333333333333</v>
      </c>
      <c r="C413" s="7">
        <v>0.58819444444444446</v>
      </c>
      <c r="D413" s="7">
        <f>(0.588194444444444-0.570833333333333)</f>
        <v>1.7361111111111049E-2</v>
      </c>
      <c r="E413" s="7">
        <f>ABS(0.017361111111111-0.0180555555555559)</f>
        <v>6.9444444444489994E-4</v>
      </c>
      <c r="F413" s="1" t="s">
        <v>10</v>
      </c>
    </row>
    <row r="414" spans="1:6" x14ac:dyDescent="0.25">
      <c r="A414" s="12">
        <v>42156</v>
      </c>
      <c r="B414" s="7">
        <v>0.64861111111111114</v>
      </c>
      <c r="C414" s="7">
        <v>0.66666666666666663</v>
      </c>
      <c r="D414" s="7">
        <f>(0.666666666666667-0.648611111111111)</f>
        <v>1.8055555555555935E-2</v>
      </c>
      <c r="E414" s="7">
        <f>ABS(0.0180555555555559-0.00833333333333397)</f>
        <v>9.7222222222219309E-3</v>
      </c>
      <c r="F414" s="1" t="s">
        <v>10</v>
      </c>
    </row>
    <row r="415" spans="1:6" x14ac:dyDescent="0.25">
      <c r="A415" s="12">
        <v>42156</v>
      </c>
      <c r="B415" s="7">
        <v>0.77708333333333324</v>
      </c>
      <c r="C415" s="7">
        <v>0.78541666666666676</v>
      </c>
      <c r="D415" s="7">
        <f>(0.785416666666667-0.777083333333333)</f>
        <v>8.3333333333339699E-3</v>
      </c>
      <c r="E415" s="7">
        <f>ABS(0.00833333333333397-0.0159722222222221)</f>
        <v>7.6388888888881297E-3</v>
      </c>
      <c r="F415" s="1" t="s">
        <v>10</v>
      </c>
    </row>
    <row r="416" spans="1:6" x14ac:dyDescent="0.25">
      <c r="A416" s="12">
        <v>42156</v>
      </c>
      <c r="B416" s="7">
        <v>0.88194444444444453</v>
      </c>
      <c r="C416" s="7">
        <v>0.8979166666666667</v>
      </c>
      <c r="D416" s="7">
        <f>(0.897916666666667-0.881944444444445)</f>
        <v>1.5972222222222054E-2</v>
      </c>
      <c r="E416" s="7">
        <f>ABS(0.0159722222222221-0.0125000000000001)</f>
        <v>3.472222222222E-3</v>
      </c>
      <c r="F416" s="1" t="s">
        <v>10</v>
      </c>
    </row>
    <row r="417" spans="1:6" x14ac:dyDescent="0.25">
      <c r="A417" s="12">
        <v>42156</v>
      </c>
      <c r="B417" s="7">
        <v>0.90972222222222221</v>
      </c>
      <c r="C417" s="7">
        <v>0.92222222222222217</v>
      </c>
      <c r="D417" s="7">
        <f>(0.922222222222222-0.909722222222222)</f>
        <v>1.2500000000000067E-2</v>
      </c>
      <c r="E417" s="7">
        <f>ABS(0.0125000000000001-0.0145833333333333)</f>
        <v>2.083333333333201E-3</v>
      </c>
      <c r="F417" s="1" t="s">
        <v>10</v>
      </c>
    </row>
    <row r="418" spans="1:6" x14ac:dyDescent="0.25">
      <c r="A418" s="12">
        <v>42156</v>
      </c>
      <c r="B418" s="7">
        <v>7.9861111111111105E-2</v>
      </c>
      <c r="C418" s="7">
        <v>9.4444444444444442E-2</v>
      </c>
      <c r="D418" s="7">
        <f>(0.0944444444444444-0.0798611111111111)</f>
        <v>1.4583333333333295E-2</v>
      </c>
      <c r="E418" s="7">
        <f>ABS(0.0145833333333333-0.015277777777777)</f>
        <v>6.9444444444369952E-4</v>
      </c>
      <c r="F418" s="1" t="s">
        <v>10</v>
      </c>
    </row>
    <row r="419" spans="1:6" x14ac:dyDescent="0.25">
      <c r="A419" s="12">
        <v>42156</v>
      </c>
      <c r="B419" s="7">
        <v>0.16666666666666666</v>
      </c>
      <c r="C419" s="7">
        <v>0.18194444444444444</v>
      </c>
      <c r="D419" s="7">
        <f>(0.181944444444444-0.166666666666667)</f>
        <v>1.5277777777777002E-2</v>
      </c>
      <c r="E419" s="7">
        <f>ABS(0.015277777777777-0.016666666666667)</f>
        <v>1.3888888888899994E-3</v>
      </c>
      <c r="F419" s="1" t="s">
        <v>10</v>
      </c>
    </row>
    <row r="420" spans="1:6" x14ac:dyDescent="0.25">
      <c r="A420" s="12">
        <v>42156</v>
      </c>
      <c r="B420" s="7">
        <v>0.29722222222222222</v>
      </c>
      <c r="C420" s="7">
        <v>0.31388888888888888</v>
      </c>
      <c r="D420" s="7">
        <f>(0.313888888888889-0.297222222222222)</f>
        <v>1.6666666666666996E-2</v>
      </c>
      <c r="E420" s="7">
        <f>ABS(0.016666666666667-0.018055555555556)</f>
        <v>1.3888888888890019E-3</v>
      </c>
      <c r="F420" s="1" t="s">
        <v>10</v>
      </c>
    </row>
    <row r="421" spans="1:6" x14ac:dyDescent="0.25">
      <c r="A421" s="12">
        <v>42156</v>
      </c>
      <c r="B421" s="7">
        <v>0.35833333333333334</v>
      </c>
      <c r="C421" s="7">
        <v>0.37638888888888888</v>
      </c>
      <c r="D421" s="7">
        <f>(0.376388888888889-0.358333333333333)</f>
        <v>1.8055555555555991E-2</v>
      </c>
      <c r="E421" s="7">
        <f>ABS(0.018055555555556-0.023611111111111)</f>
        <v>5.5555555555549981E-3</v>
      </c>
      <c r="F421" s="1" t="s">
        <v>10</v>
      </c>
    </row>
    <row r="422" spans="1:6" x14ac:dyDescent="0.25">
      <c r="A422" s="12">
        <v>42156</v>
      </c>
      <c r="B422" s="7">
        <v>0.46527777777777773</v>
      </c>
      <c r="C422" s="7">
        <v>0.48888888888888887</v>
      </c>
      <c r="D422" s="7">
        <f>(0.488888888888889-0.465277777777778)</f>
        <v>2.3611111111110972E-2</v>
      </c>
      <c r="E422" s="7">
        <f>ABS(0.023611111111111-0.017361111111112)</f>
        <v>6.2499999999989994E-3</v>
      </c>
      <c r="F422" s="1" t="s">
        <v>10</v>
      </c>
    </row>
    <row r="423" spans="1:6" x14ac:dyDescent="0.25">
      <c r="A423" s="12">
        <v>42156</v>
      </c>
      <c r="B423" s="7">
        <v>0.47569444444444442</v>
      </c>
      <c r="C423" s="7">
        <v>0.49305555555555558</v>
      </c>
      <c r="D423" s="7">
        <f>(0.493055555555556-0.475694444444444)</f>
        <v>1.7361111111112049E-2</v>
      </c>
      <c r="E423" s="7">
        <f>ABS(0.017361111111112-0.019444444444444)</f>
        <v>2.0833333333320006E-3</v>
      </c>
      <c r="F423" s="1" t="s">
        <v>10</v>
      </c>
    </row>
    <row r="424" spans="1:6" x14ac:dyDescent="0.25">
      <c r="A424" s="12">
        <v>42156</v>
      </c>
      <c r="B424" s="7">
        <v>0.63402777777777775</v>
      </c>
      <c r="C424" s="7">
        <v>0.65347222222222223</v>
      </c>
      <c r="D424" s="7">
        <f>(0.653472222222222-0.634027777777778)</f>
        <v>1.9444444444444042E-2</v>
      </c>
      <c r="E424" s="7">
        <f>ABS(0.019444444444444-0.020138888888889)</f>
        <v>6.9444444444500056E-4</v>
      </c>
      <c r="F424" s="1" t="s">
        <v>10</v>
      </c>
    </row>
    <row r="425" spans="1:6" x14ac:dyDescent="0.25">
      <c r="A425" s="12">
        <v>42156</v>
      </c>
      <c r="B425" s="7">
        <v>0.6333333333333333</v>
      </c>
      <c r="C425" s="7">
        <v>0.65347222222222223</v>
      </c>
      <c r="D425" s="7">
        <f>(0.653472222222222-0.633333333333333)</f>
        <v>2.0138888888889039E-2</v>
      </c>
      <c r="E425" s="7">
        <f>ABS(0.020138888888889-0.0138888888888891)</f>
        <v>6.2499999999999015E-3</v>
      </c>
      <c r="F425" s="1" t="s">
        <v>10</v>
      </c>
    </row>
    <row r="426" spans="1:6" x14ac:dyDescent="0.25">
      <c r="A426" s="12">
        <v>42156</v>
      </c>
      <c r="B426" s="7">
        <v>0.72152777777777777</v>
      </c>
      <c r="C426" s="7">
        <v>0.73541666666666661</v>
      </c>
      <c r="D426" s="7">
        <f>(0.735416666666667-0.721527777777778)</f>
        <v>1.3888888888889062E-2</v>
      </c>
      <c r="E426" s="7">
        <f>ABS(0.0138888888888891-0.0145833333333331)</f>
        <v>6.9444444444399962E-4</v>
      </c>
      <c r="F426" s="1" t="s">
        <v>10</v>
      </c>
    </row>
    <row r="427" spans="1:6" x14ac:dyDescent="0.25">
      <c r="A427" s="12">
        <v>42156</v>
      </c>
      <c r="B427" s="7">
        <v>0.82291666666666663</v>
      </c>
      <c r="C427" s="7">
        <v>0.83750000000000002</v>
      </c>
      <c r="D427" s="7">
        <f>(0.8375-0.822916666666667)</f>
        <v>1.4583333333333059E-2</v>
      </c>
      <c r="E427" s="7">
        <f>ABS(0.0145833333333331-0.009027777777777)</f>
        <v>5.5555555555560996E-3</v>
      </c>
      <c r="F427" s="1" t="s">
        <v>10</v>
      </c>
    </row>
    <row r="428" spans="1:6" x14ac:dyDescent="0.25">
      <c r="A428" s="12">
        <v>42156</v>
      </c>
      <c r="B428" s="7">
        <v>0.17430555555555557</v>
      </c>
      <c r="C428" s="7">
        <v>0.18333333333333335</v>
      </c>
      <c r="D428" s="7">
        <f>(0.183333333333333-0.174305555555556)</f>
        <v>9.0277777777769963E-3</v>
      </c>
      <c r="E428" s="7">
        <f>ABS(0.009027777777777-0.017361111111111)</f>
        <v>8.3333333333340011E-3</v>
      </c>
      <c r="F428" s="1" t="s">
        <v>10</v>
      </c>
    </row>
    <row r="429" spans="1:6" x14ac:dyDescent="0.25">
      <c r="A429" s="12">
        <v>42156</v>
      </c>
      <c r="B429" s="7">
        <v>0.35416666666666669</v>
      </c>
      <c r="C429" s="7">
        <v>0.37152777777777773</v>
      </c>
      <c r="D429" s="7">
        <f>(0.371527777777778-0.354166666666667)</f>
        <v>1.7361111111110994E-2</v>
      </c>
      <c r="E429" s="7">
        <f>ABS(0.017361111111111-0.016666666666667)</f>
        <v>6.9444444444400136E-4</v>
      </c>
      <c r="F429" s="1" t="s">
        <v>10</v>
      </c>
    </row>
    <row r="430" spans="1:6" x14ac:dyDescent="0.25">
      <c r="A430" s="12">
        <v>42156</v>
      </c>
      <c r="B430" s="7">
        <v>0.3298611111111111</v>
      </c>
      <c r="C430" s="7">
        <v>0.34652777777777777</v>
      </c>
      <c r="D430" s="7">
        <f>(0.346527777777778-0.329861111111111)</f>
        <v>1.6666666666666996E-2</v>
      </c>
      <c r="E430" s="7">
        <f>ABS(0.016666666666667-0.013888888888889)</f>
        <v>2.7777777777780004E-3</v>
      </c>
      <c r="F430" s="1" t="s">
        <v>10</v>
      </c>
    </row>
    <row r="431" spans="1:6" x14ac:dyDescent="0.25">
      <c r="A431" s="12">
        <v>42156</v>
      </c>
      <c r="B431" s="7">
        <v>0.49513888888888885</v>
      </c>
      <c r="C431" s="7">
        <v>0.50902777777777775</v>
      </c>
      <c r="D431" s="7">
        <f>(0.509027777777778-0.495138888888889)</f>
        <v>1.3888888888888951E-2</v>
      </c>
      <c r="E431" s="7">
        <f>ABS(0.013888888888889-0.023611111111112)</f>
        <v>9.7222222222229995E-3</v>
      </c>
      <c r="F431" s="1" t="s">
        <v>10</v>
      </c>
    </row>
    <row r="432" spans="1:6" x14ac:dyDescent="0.25">
      <c r="A432" s="12">
        <v>42156</v>
      </c>
      <c r="B432" s="7">
        <v>0.56944444444444442</v>
      </c>
      <c r="C432" s="7">
        <v>0.59305555555555556</v>
      </c>
      <c r="D432" s="7">
        <f>(0.593055555555556-0.569444444444444)</f>
        <v>2.3611111111112026E-2</v>
      </c>
      <c r="E432" s="7">
        <f>ABS(0.023611111111112-0.018055555555556)</f>
        <v>5.5555555555559973E-3</v>
      </c>
      <c r="F432" s="1" t="s">
        <v>10</v>
      </c>
    </row>
    <row r="433" spans="1:6" x14ac:dyDescent="0.25">
      <c r="A433" s="12">
        <v>42156</v>
      </c>
      <c r="B433" s="7">
        <v>0.57500000000000007</v>
      </c>
      <c r="C433" s="7">
        <v>0.59305555555555556</v>
      </c>
      <c r="D433" s="7">
        <f>(0.593055555555556-0.575)</f>
        <v>1.8055555555556047E-2</v>
      </c>
      <c r="E433" s="7">
        <f>ABS(0.018055555555556-0.025000000000001)</f>
        <v>6.9444444444449992E-3</v>
      </c>
      <c r="F433" s="1" t="s">
        <v>10</v>
      </c>
    </row>
    <row r="434" spans="1:6" x14ac:dyDescent="0.25">
      <c r="A434" s="12">
        <v>42156</v>
      </c>
      <c r="B434" s="7">
        <v>0.7006944444444444</v>
      </c>
      <c r="C434" s="7">
        <v>0.72569444444444453</v>
      </c>
      <c r="D434" s="7">
        <f>(0.725694444444445-0.700694444444444)</f>
        <v>2.5000000000001021E-2</v>
      </c>
      <c r="E434" s="7">
        <f>ABS(0.025000000000001-0.0159722222222229)</f>
        <v>9.0277777777780996E-3</v>
      </c>
      <c r="F434" s="1" t="s">
        <v>10</v>
      </c>
    </row>
    <row r="435" spans="1:6" x14ac:dyDescent="0.25">
      <c r="A435" s="12">
        <v>42156</v>
      </c>
      <c r="B435" s="7">
        <v>0.73958333333333337</v>
      </c>
      <c r="C435" s="7">
        <v>0.75555555555555554</v>
      </c>
      <c r="D435" s="7">
        <f>(0.755555555555556-0.739583333333333)</f>
        <v>1.5972222222222943E-2</v>
      </c>
      <c r="E435" s="7">
        <f>ABS(0.0159722222222229-0.0145833333333341)</f>
        <v>1.3888888888888007E-3</v>
      </c>
      <c r="F435" s="1" t="s">
        <v>10</v>
      </c>
    </row>
    <row r="436" spans="1:6" x14ac:dyDescent="0.25">
      <c r="A436" s="12">
        <v>42156</v>
      </c>
      <c r="B436" s="7">
        <v>0.7583333333333333</v>
      </c>
      <c r="C436" s="7">
        <v>0.7729166666666667</v>
      </c>
      <c r="D436" s="7">
        <f>(0.772916666666667-0.758333333333333)</f>
        <v>1.4583333333334059E-2</v>
      </c>
      <c r="E436" s="7">
        <f>ABS(0.0145833333333341-0.0173611111111109)</f>
        <v>2.7777777777767999E-3</v>
      </c>
      <c r="F436" s="1" t="s">
        <v>10</v>
      </c>
    </row>
    <row r="437" spans="1:6" x14ac:dyDescent="0.25">
      <c r="A437" s="12">
        <v>42156</v>
      </c>
      <c r="B437" s="7">
        <v>0.79722222222222217</v>
      </c>
      <c r="C437" s="7">
        <v>0.81458333333333333</v>
      </c>
      <c r="D437" s="7">
        <f>(0.814583333333333-0.797222222222222)</f>
        <v>1.7361111111110938E-2</v>
      </c>
      <c r="E437" s="7">
        <f>ABS(0.0173611111111109-0.0145833333333331)</f>
        <v>2.7777777777778009E-3</v>
      </c>
      <c r="F437" s="1" t="s">
        <v>10</v>
      </c>
    </row>
    <row r="438" spans="1:6" x14ac:dyDescent="0.25">
      <c r="A438" s="12">
        <v>42156</v>
      </c>
      <c r="B438" s="7">
        <v>0.82013888888888886</v>
      </c>
      <c r="C438" s="7">
        <v>0.83472222222222225</v>
      </c>
      <c r="D438" s="7">
        <f>(0.834722222222222-0.820138888888889)</f>
        <v>1.4583333333333059E-2</v>
      </c>
      <c r="E438" s="7">
        <f>ABS(0.0145833333333331-0.0145833333333331)</f>
        <v>0</v>
      </c>
      <c r="F438" s="1" t="s">
        <v>10</v>
      </c>
    </row>
    <row r="439" spans="1:6" x14ac:dyDescent="0.25">
      <c r="A439" s="12">
        <v>42156</v>
      </c>
      <c r="B439" s="7">
        <v>8.8888888888888892E-2</v>
      </c>
      <c r="C439" s="7">
        <v>0.10347222222222223</v>
      </c>
      <c r="D439" s="7">
        <f>(0.103472222222222-0.0888888888888889)</f>
        <v>1.4583333333333087E-2</v>
      </c>
      <c r="E439" s="7">
        <f>ABS(0.0145833333333331-0.031944444444444)</f>
        <v>1.7361111111110897E-2</v>
      </c>
      <c r="F439" s="1" t="s">
        <v>10</v>
      </c>
    </row>
    <row r="440" spans="1:6" x14ac:dyDescent="0.25">
      <c r="A440" s="12">
        <v>42156</v>
      </c>
      <c r="B440" s="7">
        <v>0.13402777777777777</v>
      </c>
      <c r="C440" s="7">
        <v>0.16597222222222222</v>
      </c>
      <c r="D440" s="7">
        <f>(0.165972222222222-0.134027777777778)</f>
        <v>3.1944444444443998E-2</v>
      </c>
      <c r="E440" s="7">
        <f>ABS(0.031944444444444-0.017361111111111)</f>
        <v>1.4583333333332997E-2</v>
      </c>
      <c r="F440" s="1" t="s">
        <v>10</v>
      </c>
    </row>
    <row r="441" spans="1:6" x14ac:dyDescent="0.25">
      <c r="A441" s="12">
        <v>42156</v>
      </c>
      <c r="B441" s="7">
        <v>0.37152777777777773</v>
      </c>
      <c r="C441" s="7">
        <v>0.3888888888888889</v>
      </c>
      <c r="D441" s="7">
        <f>(0.388888888888889-0.371527777777778)</f>
        <v>1.7361111111110994E-2</v>
      </c>
      <c r="E441" s="7">
        <f>ABS(0.017361111111111-0.01875)</f>
        <v>1.3888888888889984E-3</v>
      </c>
      <c r="F441" s="1" t="s">
        <v>10</v>
      </c>
    </row>
    <row r="442" spans="1:6" x14ac:dyDescent="0.25">
      <c r="A442" s="12">
        <v>42156</v>
      </c>
      <c r="B442" s="7">
        <v>0.4236111111111111</v>
      </c>
      <c r="C442" s="7">
        <v>0.44236111111111115</v>
      </c>
      <c r="D442" s="7">
        <f>(0.442361111111111-0.423611111111111)</f>
        <v>1.8749999999999989E-2</v>
      </c>
      <c r="E442" s="7">
        <f>ABS(0.01875-0.018055555555556)</f>
        <v>6.9444444444399789E-4</v>
      </c>
      <c r="F442" s="1" t="s">
        <v>10</v>
      </c>
    </row>
    <row r="443" spans="1:6" x14ac:dyDescent="0.25">
      <c r="A443" s="12">
        <v>42156</v>
      </c>
      <c r="B443" s="7">
        <v>0.45208333333333334</v>
      </c>
      <c r="C443" s="7">
        <v>0.47013888888888888</v>
      </c>
      <c r="D443" s="7">
        <f>(0.470138888888889-0.452083333333333)</f>
        <v>1.8055555555555991E-2</v>
      </c>
      <c r="E443" s="7">
        <f>ABS(0.018055555555556-0.013194444444445)</f>
        <v>4.8611111111110019E-3</v>
      </c>
      <c r="F443" s="1" t="s">
        <v>10</v>
      </c>
    </row>
    <row r="444" spans="1:6" x14ac:dyDescent="0.25">
      <c r="A444" s="12">
        <v>42156</v>
      </c>
      <c r="B444" s="7">
        <v>0.58194444444444449</v>
      </c>
      <c r="C444" s="7">
        <v>0.59513888888888888</v>
      </c>
      <c r="D444" s="7">
        <f>(0.595138888888889-0.581944444444444)</f>
        <v>1.3194444444444953E-2</v>
      </c>
      <c r="E444" s="7">
        <f>ABS(0.013194444444445-0.0201388888888889)</f>
        <v>6.9444444444439011E-3</v>
      </c>
      <c r="F444" s="1" t="s">
        <v>10</v>
      </c>
    </row>
    <row r="445" spans="1:6" x14ac:dyDescent="0.25">
      <c r="A445" s="12">
        <v>42156</v>
      </c>
      <c r="B445" s="7">
        <v>0.68194444444444446</v>
      </c>
      <c r="C445" s="7">
        <v>0.70208333333333339</v>
      </c>
      <c r="D445" s="7">
        <f>(0.702083333333333-0.681944444444444)</f>
        <v>2.0138888888888928E-2</v>
      </c>
      <c r="E445" s="7">
        <f>ABS(0.0201388888888889-0.0201388888888889)</f>
        <v>0</v>
      </c>
      <c r="F445" s="1" t="s">
        <v>10</v>
      </c>
    </row>
    <row r="446" spans="1:6" x14ac:dyDescent="0.25">
      <c r="A446" s="12">
        <v>42156</v>
      </c>
      <c r="B446" s="7">
        <v>0.68194444444444446</v>
      </c>
      <c r="C446" s="7">
        <v>0.70208333333333339</v>
      </c>
      <c r="D446" s="7">
        <f>(0.702083333333333-0.681944444444444)</f>
        <v>2.0138888888888928E-2</v>
      </c>
      <c r="E446" s="7">
        <f>ABS(0.0201388888888889-0.018055555555556)</f>
        <v>2.0833333333328992E-3</v>
      </c>
      <c r="F446" s="1" t="s">
        <v>10</v>
      </c>
    </row>
    <row r="447" spans="1:6" x14ac:dyDescent="0.25">
      <c r="A447" s="12">
        <v>42156</v>
      </c>
      <c r="B447" s="7">
        <v>0.78125</v>
      </c>
      <c r="C447" s="7">
        <v>0.7993055555555556</v>
      </c>
      <c r="D447" s="7">
        <f>(0.799305555555556-0.78125)</f>
        <v>1.8055555555556047E-2</v>
      </c>
      <c r="E447" s="7">
        <f>ABS(0.018055555555556-0.022222222222222)</f>
        <v>4.1666666666659996E-3</v>
      </c>
      <c r="F447" s="1" t="s">
        <v>10</v>
      </c>
    </row>
    <row r="448" spans="1:6" x14ac:dyDescent="0.25">
      <c r="A448" s="12">
        <v>42156</v>
      </c>
      <c r="B448" s="7">
        <v>0.87708333333333333</v>
      </c>
      <c r="C448" s="7">
        <v>0.89930555555555547</v>
      </c>
      <c r="D448" s="7">
        <f>(0.899305555555555-0.877083333333333)</f>
        <v>2.2222222222222032E-2</v>
      </c>
      <c r="E448" s="7">
        <f>ABS(0.022222222222222-0.021527777777778)</f>
        <v>6.9444444444400136E-4</v>
      </c>
      <c r="F448" s="1" t="s">
        <v>10</v>
      </c>
    </row>
    <row r="449" spans="1:6" x14ac:dyDescent="0.25">
      <c r="A449" s="12">
        <v>42156</v>
      </c>
      <c r="B449" s="7">
        <v>0.40972222222222227</v>
      </c>
      <c r="C449" s="7">
        <v>0.43124999999999997</v>
      </c>
      <c r="D449" s="7">
        <f>(0.43125-0.409722222222222)</f>
        <v>2.1527777777778034E-2</v>
      </c>
      <c r="E449" s="7">
        <f>ABS(0.021527777777778-0.025)</f>
        <v>3.4722222222220017E-3</v>
      </c>
      <c r="F449" s="1" t="s">
        <v>10</v>
      </c>
    </row>
    <row r="450" spans="1:6" x14ac:dyDescent="0.25">
      <c r="A450" s="12">
        <v>42156</v>
      </c>
      <c r="B450" s="7">
        <v>0.54097222222222219</v>
      </c>
      <c r="C450" s="7">
        <v>0.56597222222222221</v>
      </c>
      <c r="D450" s="7">
        <f>(0.565972222222222-0.540972222222222)</f>
        <v>2.5000000000000022E-2</v>
      </c>
      <c r="E450" s="7">
        <f>ABS(0.025-0.0159722222222219)</f>
        <v>9.0277777777781031E-3</v>
      </c>
      <c r="F450" s="1" t="s">
        <v>10</v>
      </c>
    </row>
    <row r="451" spans="1:6" x14ac:dyDescent="0.25">
      <c r="A451" s="12">
        <v>42156</v>
      </c>
      <c r="B451" s="7">
        <v>0.68611111111111101</v>
      </c>
      <c r="C451" s="7">
        <v>0.70208333333333339</v>
      </c>
      <c r="D451" s="7">
        <f>(0.702083333333333-0.686111111111111)</f>
        <v>1.5972222222221943E-2</v>
      </c>
      <c r="E451" s="7">
        <f>ABS(0.0159722222222219-0.022222222222223)</f>
        <v>6.2500000000011019E-3</v>
      </c>
      <c r="F451" s="1" t="s">
        <v>10</v>
      </c>
    </row>
    <row r="452" spans="1:6" x14ac:dyDescent="0.25">
      <c r="A452" s="12">
        <v>42156</v>
      </c>
      <c r="B452" s="7">
        <v>0.7270833333333333</v>
      </c>
      <c r="C452" s="7">
        <v>0.74930555555555556</v>
      </c>
      <c r="D452" s="7">
        <f>(0.749305555555556-0.727083333333333)</f>
        <v>2.2222222222223031E-2</v>
      </c>
      <c r="E452" s="7">
        <f>ABS(0.022222222222223-0.0208333333333339)</f>
        <v>1.3888888888890991E-3</v>
      </c>
      <c r="F452" s="1" t="s">
        <v>10</v>
      </c>
    </row>
    <row r="453" spans="1:6" x14ac:dyDescent="0.25">
      <c r="A453" s="12">
        <v>42156</v>
      </c>
      <c r="B453" s="7">
        <v>0.73958333333333337</v>
      </c>
      <c r="C453" s="7">
        <v>0.76041666666666663</v>
      </c>
      <c r="D453" s="7">
        <f>(0.760416666666667-0.739583333333333)</f>
        <v>2.0833333333333925E-2</v>
      </c>
      <c r="E453" s="7">
        <f>ABS(0.0208333333333339-0.0173611111111109)</f>
        <v>3.4722222222230009E-3</v>
      </c>
      <c r="F453" s="1" t="s">
        <v>10</v>
      </c>
    </row>
    <row r="454" spans="1:6" x14ac:dyDescent="0.25">
      <c r="A454" s="12">
        <v>42156</v>
      </c>
      <c r="B454" s="7">
        <v>0.77777777777777779</v>
      </c>
      <c r="C454" s="7">
        <v>0.79513888888888884</v>
      </c>
      <c r="D454" s="7">
        <f>(0.795138888888889-0.777777777777778)</f>
        <v>1.7361111111110938E-2</v>
      </c>
      <c r="E454" s="7">
        <f>ABS(0.0173611111111109-0.0145833333333339)</f>
        <v>2.7777777777769994E-3</v>
      </c>
      <c r="F454" s="1" t="s">
        <v>10</v>
      </c>
    </row>
    <row r="455" spans="1:6" x14ac:dyDescent="0.25">
      <c r="A455" s="12">
        <v>42156</v>
      </c>
      <c r="B455" s="7">
        <v>0.89097222222222217</v>
      </c>
      <c r="C455" s="7">
        <v>0.90555555555555556</v>
      </c>
      <c r="D455" s="7">
        <f>(0.905555555555556-0.890972222222222)</f>
        <v>1.4583333333333948E-2</v>
      </c>
      <c r="E455" s="7">
        <f>ABS(0.0145833333333339-0.0097222222222222)</f>
        <v>4.861111111111701E-3</v>
      </c>
      <c r="F455" s="1" t="s">
        <v>10</v>
      </c>
    </row>
    <row r="456" spans="1:6" x14ac:dyDescent="0.25">
      <c r="A456" s="12">
        <v>42156</v>
      </c>
      <c r="B456" s="7">
        <v>6.1805555555555558E-2</v>
      </c>
      <c r="C456" s="7">
        <v>7.1527777777777787E-2</v>
      </c>
      <c r="D456" s="7">
        <f>(0.0715277777777778-0.0618055555555556)</f>
        <v>9.7222222222222016E-3</v>
      </c>
      <c r="E456" s="7">
        <f>ABS(0.0097222222222222-0.019444444444444)</f>
        <v>9.7222222222218008E-3</v>
      </c>
      <c r="F456" s="1" t="s">
        <v>10</v>
      </c>
    </row>
    <row r="457" spans="1:6" x14ac:dyDescent="0.25">
      <c r="A457" s="12">
        <v>42156</v>
      </c>
      <c r="B457" s="7">
        <v>0.15555555555555556</v>
      </c>
      <c r="C457" s="7">
        <v>0.17500000000000002</v>
      </c>
      <c r="D457" s="7">
        <f>(0.175-0.155555555555556)</f>
        <v>1.9444444444443987E-2</v>
      </c>
      <c r="E457" s="7">
        <f>ABS(0.019444444444444-0.018055555555555)</f>
        <v>1.3888888888890019E-3</v>
      </c>
      <c r="F457" s="1" t="s">
        <v>10</v>
      </c>
    </row>
    <row r="458" spans="1:6" x14ac:dyDescent="0.25">
      <c r="A458" s="12">
        <v>42156</v>
      </c>
      <c r="B458" s="7">
        <v>0.32291666666666669</v>
      </c>
      <c r="C458" s="7">
        <v>0.34097222222222223</v>
      </c>
      <c r="D458" s="7">
        <f>(0.340972222222222-0.322916666666667)</f>
        <v>1.8055555555554992E-2</v>
      </c>
      <c r="E458" s="7">
        <f>ABS(0.018055555555555-0.021527777777778)</f>
        <v>3.4722222222230009E-3</v>
      </c>
      <c r="F458" s="1" t="s">
        <v>10</v>
      </c>
    </row>
    <row r="459" spans="1:6" x14ac:dyDescent="0.25">
      <c r="A459" s="12">
        <v>42156</v>
      </c>
      <c r="B459" s="7">
        <v>0.48402777777777778</v>
      </c>
      <c r="C459" s="7">
        <v>0.50555555555555554</v>
      </c>
      <c r="D459" s="7">
        <f>(0.505555555555556-0.484027777777778)</f>
        <v>2.1527777777777979E-2</v>
      </c>
      <c r="E459" s="7">
        <f>ABS(0.021527777777778-0.0166666666666661)</f>
        <v>4.8611111111118988E-3</v>
      </c>
      <c r="F459" s="1" t="s">
        <v>10</v>
      </c>
    </row>
    <row r="460" spans="1:6" x14ac:dyDescent="0.25">
      <c r="A460" s="12">
        <v>42156</v>
      </c>
      <c r="B460" s="7">
        <v>0.4993055555555555</v>
      </c>
      <c r="C460" s="7">
        <v>0.51597222222222217</v>
      </c>
      <c r="D460" s="7">
        <f>(0.515972222222222-0.499305555555556)</f>
        <v>1.6666666666666052E-2</v>
      </c>
      <c r="E460" s="7">
        <f>ABS(0.0166666666666661-0.021527777777778)</f>
        <v>4.8611111111118988E-3</v>
      </c>
      <c r="F460" s="1" t="s">
        <v>10</v>
      </c>
    </row>
    <row r="461" spans="1:6" x14ac:dyDescent="0.25">
      <c r="A461" s="12">
        <v>42156</v>
      </c>
      <c r="B461" s="7">
        <v>0.62083333333333335</v>
      </c>
      <c r="C461" s="7">
        <v>0.64236111111111105</v>
      </c>
      <c r="D461" s="7">
        <f>(0.642361111111111-0.620833333333333)</f>
        <v>2.1527777777778034E-2</v>
      </c>
      <c r="E461" s="7">
        <f>ABS(0.021527777777778-0.0166666666666659)</f>
        <v>4.8611111111121E-3</v>
      </c>
      <c r="F461" s="1" t="s">
        <v>10</v>
      </c>
    </row>
    <row r="462" spans="1:6" x14ac:dyDescent="0.25">
      <c r="A462" s="12">
        <v>42156</v>
      </c>
      <c r="B462" s="7">
        <v>0.70416666666666661</v>
      </c>
      <c r="C462" s="7">
        <v>0.72083333333333333</v>
      </c>
      <c r="D462" s="7">
        <f>(0.720833333333333-0.704166666666667)</f>
        <v>1.6666666666665941E-2</v>
      </c>
      <c r="E462" s="7">
        <f>ABS(0.0166666666666659-0.0173611111111109)</f>
        <v>6.9444444444500056E-4</v>
      </c>
      <c r="F462" s="1" t="s">
        <v>10</v>
      </c>
    </row>
    <row r="463" spans="1:6" x14ac:dyDescent="0.25">
      <c r="A463" s="12">
        <v>42156</v>
      </c>
      <c r="B463" s="7">
        <v>0.84027777777777779</v>
      </c>
      <c r="C463" s="7">
        <v>0.85763888888888884</v>
      </c>
      <c r="D463" s="7">
        <f>(0.857638888888889-0.840277777777778)</f>
        <v>1.7361111111110938E-2</v>
      </c>
      <c r="E463" s="7">
        <f>ABS(0.0173611111111109-0.023611111111111)</f>
        <v>6.2500000000000992E-3</v>
      </c>
      <c r="F463" s="1" t="s">
        <v>10</v>
      </c>
    </row>
    <row r="464" spans="1:6" x14ac:dyDescent="0.25">
      <c r="A464" s="12">
        <v>42156</v>
      </c>
      <c r="B464" s="7">
        <v>0.88194444444444453</v>
      </c>
      <c r="C464" s="7">
        <v>0.90555555555555556</v>
      </c>
      <c r="D464" s="7">
        <f>(0.905555555555556-0.881944444444445)</f>
        <v>2.3611111111111027E-2</v>
      </c>
      <c r="E464" s="7">
        <f>ABS(0.023611111111111-0.028472222222222)</f>
        <v>4.8611111111110002E-3</v>
      </c>
      <c r="F464" s="1" t="s">
        <v>10</v>
      </c>
    </row>
    <row r="465" spans="1:6" x14ac:dyDescent="0.25">
      <c r="A465" s="12">
        <v>42156</v>
      </c>
      <c r="B465" s="7">
        <v>0.50972222222222219</v>
      </c>
      <c r="C465" s="7">
        <v>0.53819444444444442</v>
      </c>
      <c r="D465" s="7">
        <f>(0.538194444444444-0.509722222222222)</f>
        <v>2.847222222222201E-2</v>
      </c>
      <c r="E465" s="7">
        <f>ABS(0.028472222222222-0.023611111111111)</f>
        <v>4.8611111111110002E-3</v>
      </c>
      <c r="F465" s="1" t="s">
        <v>10</v>
      </c>
    </row>
    <row r="466" spans="1:6" x14ac:dyDescent="0.25">
      <c r="A466" s="12">
        <v>42156</v>
      </c>
      <c r="B466" s="7">
        <v>0.60138888888888886</v>
      </c>
      <c r="C466" s="7">
        <v>0.625</v>
      </c>
      <c r="D466" s="7">
        <f>(0.625-0.601388888888889)</f>
        <v>2.3611111111111027E-2</v>
      </c>
      <c r="E466" s="7">
        <f>ABS(0.023611111111111-0.0166666666666671)</f>
        <v>6.9444444444438994E-3</v>
      </c>
      <c r="F466" s="1" t="s">
        <v>10</v>
      </c>
    </row>
    <row r="467" spans="1:6" x14ac:dyDescent="0.25">
      <c r="A467" s="12">
        <v>42156</v>
      </c>
      <c r="B467" s="7">
        <v>0.72083333333333333</v>
      </c>
      <c r="C467" s="7">
        <v>0.73749999999999993</v>
      </c>
      <c r="D467" s="7">
        <f>(0.7375-0.720833333333333)</f>
        <v>1.6666666666667052E-2</v>
      </c>
      <c r="E467" s="7">
        <f>ABS(0.0166666666666671-0.0194444444444439)</f>
        <v>2.7777777777767999E-3</v>
      </c>
      <c r="F467" s="1" t="s">
        <v>10</v>
      </c>
    </row>
    <row r="468" spans="1:6" x14ac:dyDescent="0.25">
      <c r="A468" s="12">
        <v>42156</v>
      </c>
      <c r="B468" s="7">
        <v>0.80763888888888891</v>
      </c>
      <c r="C468" s="7">
        <v>0.82708333333333339</v>
      </c>
      <c r="D468" s="7">
        <f>(0.827083333333333-0.807638888888889)</f>
        <v>1.9444444444443931E-2</v>
      </c>
      <c r="E468" s="7">
        <f>ABS(0.0194444444444439-0.00833333333333297)</f>
        <v>1.1111111111110929E-2</v>
      </c>
      <c r="F468" s="1" t="s">
        <v>10</v>
      </c>
    </row>
    <row r="469" spans="1:6" x14ac:dyDescent="0.25">
      <c r="A469" s="12">
        <v>42156</v>
      </c>
      <c r="B469" s="7">
        <v>0.8652777777777777</v>
      </c>
      <c r="C469" s="7">
        <v>0.87361111111111101</v>
      </c>
      <c r="D469" s="7">
        <f>(0.873611111111111-0.865277777777778)</f>
        <v>8.3333333333329707E-3</v>
      </c>
      <c r="E469" s="7">
        <f>ABS(0.00833333333333297-0.0145833333333339)</f>
        <v>6.2500000000009302E-3</v>
      </c>
      <c r="F469" s="1" t="s">
        <v>10</v>
      </c>
    </row>
    <row r="470" spans="1:6" x14ac:dyDescent="0.25">
      <c r="A470" s="12">
        <v>42156</v>
      </c>
      <c r="B470" s="7">
        <v>0.90069444444444446</v>
      </c>
      <c r="C470" s="7">
        <v>0.91527777777777775</v>
      </c>
      <c r="D470" s="7">
        <f>(0.915277777777778-0.900694444444444)</f>
        <v>1.4583333333333948E-2</v>
      </c>
      <c r="E470" s="7">
        <f>ABS(0.0145833333333339-0.024305555555555)</f>
        <v>9.7222222222211E-3</v>
      </c>
      <c r="F470" s="1" t="s">
        <v>10</v>
      </c>
    </row>
    <row r="471" spans="1:6" x14ac:dyDescent="0.25">
      <c r="A471" s="12">
        <v>42156</v>
      </c>
      <c r="B471" s="7">
        <v>0.94791666666666663</v>
      </c>
      <c r="C471" s="7">
        <v>0.97222222222222221</v>
      </c>
      <c r="D471" s="7">
        <f>(0.972222222222222-0.947916666666667)</f>
        <v>2.4305555555555025E-2</v>
      </c>
      <c r="E471" s="7">
        <f>ABS(0.024305555555555-0.018055555555555)</f>
        <v>6.2500000000000021E-3</v>
      </c>
      <c r="F471" s="1" t="s">
        <v>10</v>
      </c>
    </row>
    <row r="472" spans="1:6" x14ac:dyDescent="0.25">
      <c r="A472" s="12">
        <v>42156</v>
      </c>
      <c r="B472" s="7">
        <v>0.97013888888888899</v>
      </c>
      <c r="C472" s="7">
        <v>0.98819444444444438</v>
      </c>
      <c r="D472" s="7">
        <f>(0.988194444444444-0.970138888888889)</f>
        <v>1.8055555555555047E-2</v>
      </c>
      <c r="E472" s="7">
        <f>ABS(0.018055555555555-0.0173611111111111)</f>
        <v>6.9444444444389727E-4</v>
      </c>
      <c r="F472" s="1" t="s">
        <v>10</v>
      </c>
    </row>
    <row r="473" spans="1:6" x14ac:dyDescent="0.25">
      <c r="A473" s="12">
        <v>42156</v>
      </c>
      <c r="B473" s="7">
        <v>3.9583333333333331E-2</v>
      </c>
      <c r="C473" s="7">
        <v>5.6944444444444443E-2</v>
      </c>
      <c r="D473" s="7">
        <f>(0.0569444444444444-0.0395833333333333)</f>
        <v>1.7361111111111105E-2</v>
      </c>
      <c r="E473" s="7">
        <f>ABS(0.0173611111111111-0.022916666666666)</f>
        <v>5.5555555555548974E-3</v>
      </c>
      <c r="F473" s="1" t="s">
        <v>10</v>
      </c>
    </row>
    <row r="474" spans="1:6" x14ac:dyDescent="0.25">
      <c r="A474" s="12">
        <v>42156</v>
      </c>
      <c r="B474" s="7">
        <v>0.26041666666666669</v>
      </c>
      <c r="C474" s="7">
        <v>0.28333333333333333</v>
      </c>
      <c r="D474" s="7">
        <f>(0.283333333333333-0.260416666666667)</f>
        <v>2.2916666666665975E-2</v>
      </c>
      <c r="E474" s="7">
        <f>ABS(0.022916666666666-0.024305555555556)</f>
        <v>1.3888888888900011E-3</v>
      </c>
      <c r="F474" s="1" t="s">
        <v>10</v>
      </c>
    </row>
    <row r="475" spans="1:6" x14ac:dyDescent="0.25">
      <c r="A475" s="12">
        <v>42156</v>
      </c>
      <c r="B475" s="7">
        <v>0.4861111111111111</v>
      </c>
      <c r="C475" s="7">
        <v>0.51041666666666663</v>
      </c>
      <c r="D475" s="7">
        <f>(0.510416666666667-0.486111111111111)</f>
        <v>2.4305555555555969E-2</v>
      </c>
      <c r="E475" s="7">
        <f>ABS(0.024305555555556-0.022222222222222)</f>
        <v>2.083333333333999E-3</v>
      </c>
      <c r="F475" s="1" t="s">
        <v>10</v>
      </c>
    </row>
    <row r="476" spans="1:6" x14ac:dyDescent="0.25">
      <c r="A476" s="12">
        <v>42156</v>
      </c>
      <c r="B476" s="7">
        <v>0.55902777777777779</v>
      </c>
      <c r="C476" s="7">
        <v>0.58124999999999993</v>
      </c>
      <c r="D476" s="7">
        <f>(0.58125-0.559027777777778)</f>
        <v>2.2222222222222032E-2</v>
      </c>
      <c r="E476" s="7">
        <f>ABS(0.022222222222222-0.024305555555555)</f>
        <v>2.0833333333329998E-3</v>
      </c>
      <c r="F476" s="1" t="s">
        <v>10</v>
      </c>
    </row>
    <row r="477" spans="1:6" x14ac:dyDescent="0.25">
      <c r="A477" s="12">
        <v>42156</v>
      </c>
      <c r="B477" s="7">
        <v>0.72569444444444453</v>
      </c>
      <c r="C477" s="7">
        <v>0.75</v>
      </c>
      <c r="D477" s="7">
        <f>(0.75-0.725694444444445)</f>
        <v>2.4305555555555025E-2</v>
      </c>
      <c r="E477" s="7">
        <f>ABS(0.024305555555555-0.018055555555556)</f>
        <v>6.2499999999989994E-3</v>
      </c>
      <c r="F477" s="1" t="s">
        <v>10</v>
      </c>
    </row>
    <row r="478" spans="1:6" x14ac:dyDescent="0.25">
      <c r="A478" s="12">
        <v>42156</v>
      </c>
      <c r="B478" s="7">
        <v>0.7319444444444444</v>
      </c>
      <c r="C478" s="7">
        <v>0.75</v>
      </c>
      <c r="D478" s="7">
        <f>(0.75-0.731944444444444)</f>
        <v>1.8055555555556047E-2</v>
      </c>
      <c r="E478" s="7">
        <f>ABS(0.018055555555556-0.0124999999999981)</f>
        <v>5.555555555557902E-3</v>
      </c>
      <c r="F478" s="1" t="s">
        <v>10</v>
      </c>
    </row>
    <row r="479" spans="1:6" x14ac:dyDescent="0.25">
      <c r="A479" s="12">
        <v>42156</v>
      </c>
      <c r="B479" s="7">
        <v>0.99097222222222225</v>
      </c>
      <c r="C479" s="7">
        <v>1.0034722222222221</v>
      </c>
      <c r="D479" s="7">
        <f>(1.00347222222222-0.990972222222222)</f>
        <v>1.2499999999998068E-2</v>
      </c>
      <c r="E479" s="7">
        <f>ABS(0.0124999999999981-0.0159722222222221)</f>
        <v>3.4722222222240001E-3</v>
      </c>
      <c r="F479" s="1" t="s">
        <v>10</v>
      </c>
    </row>
    <row r="480" spans="1:6" x14ac:dyDescent="0.25">
      <c r="A480" s="12">
        <v>42156</v>
      </c>
      <c r="B480" s="7">
        <v>0.98263888888888884</v>
      </c>
      <c r="C480" s="7">
        <v>0.99861111111111101</v>
      </c>
      <c r="D480" s="7">
        <f>(0.998611111111111-0.982638888888889)</f>
        <v>1.5972222222222054E-2</v>
      </c>
      <c r="E480" s="7">
        <f>ABS(0.0159722222222221-0.0222222222222222)</f>
        <v>6.2500000000000992E-3</v>
      </c>
      <c r="F480" s="1" t="s">
        <v>10</v>
      </c>
    </row>
    <row r="481" spans="1:6" x14ac:dyDescent="0.25">
      <c r="A481" s="12">
        <v>42156</v>
      </c>
      <c r="B481" s="7">
        <v>4.7916666666666663E-2</v>
      </c>
      <c r="C481" s="7">
        <v>7.013888888888889E-2</v>
      </c>
      <c r="D481" s="7">
        <f>(0.0701388888888889-0.0479166666666667)</f>
        <v>2.2222222222222206E-2</v>
      </c>
      <c r="E481" s="7">
        <f>ABS(0.0222222222222222-0.015972222222222)</f>
        <v>6.2500000000001998E-3</v>
      </c>
      <c r="F481" s="1" t="s">
        <v>10</v>
      </c>
    </row>
    <row r="482" spans="1:6" x14ac:dyDescent="0.25">
      <c r="A482" s="12">
        <v>42156</v>
      </c>
      <c r="B482" s="7">
        <v>0.19097222222222221</v>
      </c>
      <c r="C482" s="7">
        <v>0.20694444444444446</v>
      </c>
      <c r="D482" s="7">
        <f>(0.206944444444444-0.190972222222222)</f>
        <v>1.5972222222221999E-2</v>
      </c>
      <c r="E482" s="7">
        <f>ABS(0.015972222222222-0.018055555555555)</f>
        <v>2.0833333333329998E-3</v>
      </c>
      <c r="F482" s="1" t="s">
        <v>10</v>
      </c>
    </row>
    <row r="483" spans="1:6" x14ac:dyDescent="0.25">
      <c r="A483" s="12">
        <v>42156</v>
      </c>
      <c r="B483" s="7">
        <v>0.45763888888888887</v>
      </c>
      <c r="C483" s="7">
        <v>0.47569444444444442</v>
      </c>
      <c r="D483" s="7">
        <f>(0.475694444444444-0.457638888888889)</f>
        <v>1.8055555555554992E-2</v>
      </c>
      <c r="E483" s="7">
        <f>ABS(0.018055555555555-0.0187499999999999)</f>
        <v>6.9444444444489994E-4</v>
      </c>
      <c r="F483" s="1" t="s">
        <v>10</v>
      </c>
    </row>
    <row r="484" spans="1:6" x14ac:dyDescent="0.25">
      <c r="A484" s="12">
        <v>42156</v>
      </c>
      <c r="B484" s="7">
        <v>0.76736111111111116</v>
      </c>
      <c r="C484" s="7">
        <v>0.78611111111111109</v>
      </c>
      <c r="D484" s="7">
        <f>(0.786111111111111-0.767361111111111)</f>
        <v>1.8749999999999933E-2</v>
      </c>
      <c r="E484" s="7">
        <f>ABS(0.0187499999999999-0.0201388888888889)</f>
        <v>1.3888888888890019E-3</v>
      </c>
      <c r="F484" s="1" t="s">
        <v>10</v>
      </c>
    </row>
    <row r="485" spans="1:6" x14ac:dyDescent="0.25">
      <c r="A485" s="12">
        <v>42156</v>
      </c>
      <c r="B485" s="7">
        <v>0.76597222222222217</v>
      </c>
      <c r="C485" s="7">
        <v>0.78611111111111109</v>
      </c>
      <c r="D485" s="7">
        <f>(0.786111111111111-0.765972222222222)</f>
        <v>2.0138888888888928E-2</v>
      </c>
      <c r="E485" s="7">
        <f>ABS(0.0201388888888889-0.0222222222222219)</f>
        <v>2.0833333333329998E-3</v>
      </c>
      <c r="F485" s="1" t="s">
        <v>10</v>
      </c>
    </row>
    <row r="486" spans="1:6" x14ac:dyDescent="0.25">
      <c r="A486" s="12">
        <v>42156</v>
      </c>
      <c r="B486" s="7">
        <v>0.8666666666666667</v>
      </c>
      <c r="C486" s="7">
        <v>0.88888888888888884</v>
      </c>
      <c r="D486" s="7">
        <f>(0.888888888888889-0.866666666666667)</f>
        <v>2.2222222222221921E-2</v>
      </c>
      <c r="E486" s="7">
        <f>ABS(0.0222222222222219-0.0159722222222219)</f>
        <v>6.2500000000000021E-3</v>
      </c>
      <c r="F486" s="1" t="s">
        <v>10</v>
      </c>
    </row>
    <row r="487" spans="1:6" x14ac:dyDescent="0.25">
      <c r="A487" s="12">
        <v>42156</v>
      </c>
      <c r="B487" s="7">
        <v>0.93402777777777779</v>
      </c>
      <c r="C487" s="7">
        <v>0.95000000000000007</v>
      </c>
      <c r="D487" s="7">
        <f>(0.95-0.934027777777778)</f>
        <v>1.5972222222221943E-2</v>
      </c>
      <c r="E487" s="7">
        <f>ABS(0.0159722222222219-0.024305555555556)</f>
        <v>8.3333333333341017E-3</v>
      </c>
      <c r="F487" s="1" t="s">
        <v>10</v>
      </c>
    </row>
    <row r="488" spans="1:6" x14ac:dyDescent="0.25">
      <c r="A488" s="12">
        <v>42156</v>
      </c>
      <c r="B488" s="7">
        <v>0.95000000000000007</v>
      </c>
      <c r="C488" s="7">
        <v>0.97430555555555554</v>
      </c>
      <c r="D488" s="7">
        <f>(0.974305555555556-0.95)</f>
        <v>2.4305555555556024E-2</v>
      </c>
      <c r="E488" s="7">
        <f>ABS(0.024305555555556-0.0159722222222222)</f>
        <v>8.3333333333337999E-3</v>
      </c>
      <c r="F488" s="1" t="s">
        <v>10</v>
      </c>
    </row>
    <row r="489" spans="1:6" x14ac:dyDescent="0.25">
      <c r="A489" s="12">
        <v>42156</v>
      </c>
      <c r="B489" s="7">
        <v>5.4166666666666669E-2</v>
      </c>
      <c r="C489" s="7">
        <v>7.013888888888889E-2</v>
      </c>
      <c r="D489" s="7">
        <f>(0.0701388888888889-0.0541666666666667)</f>
        <v>1.59722222222222E-2</v>
      </c>
      <c r="E489" s="7">
        <f>ABS(0.0159722222222222-0.010416666666667)</f>
        <v>5.555555555555201E-3</v>
      </c>
      <c r="F489" s="1" t="s">
        <v>10</v>
      </c>
    </row>
    <row r="490" spans="1:6" x14ac:dyDescent="0.25">
      <c r="A490" s="12">
        <v>42156</v>
      </c>
      <c r="B490" s="7">
        <v>0.34375</v>
      </c>
      <c r="C490" s="7">
        <v>0.35416666666666669</v>
      </c>
      <c r="D490" s="7">
        <f>(0.354166666666667-0.34375)</f>
        <v>1.0416666666667018E-2</v>
      </c>
      <c r="E490" s="7">
        <f>ABS(0.010416666666667-0.018055555555556)</f>
        <v>7.6388888888890023E-3</v>
      </c>
      <c r="F490" s="1" t="s">
        <v>10</v>
      </c>
    </row>
    <row r="491" spans="1:6" x14ac:dyDescent="0.25">
      <c r="A491" s="12">
        <v>42156</v>
      </c>
      <c r="B491" s="7">
        <v>0.37361111111111112</v>
      </c>
      <c r="C491" s="7">
        <v>0.39166666666666666</v>
      </c>
      <c r="D491" s="7">
        <f>(0.391666666666667-0.373611111111111)</f>
        <v>1.8055555555555991E-2</v>
      </c>
      <c r="E491" s="7">
        <f>ABS(0.018055555555556-0.022222222222222)</f>
        <v>4.1666666666659996E-3</v>
      </c>
      <c r="F491" s="1" t="s">
        <v>10</v>
      </c>
    </row>
    <row r="492" spans="1:6" x14ac:dyDescent="0.25">
      <c r="A492" s="12">
        <v>42156</v>
      </c>
      <c r="B492" s="7">
        <v>0.46875</v>
      </c>
      <c r="C492" s="7">
        <v>0.4909722222222222</v>
      </c>
      <c r="D492" s="7">
        <f>(0.490972222222222-0.46875)</f>
        <v>2.2222222222221977E-2</v>
      </c>
      <c r="E492" s="7">
        <f>ABS(0.022222222222222-0.019444444444445)</f>
        <v>2.7777777777770012E-3</v>
      </c>
      <c r="F492" s="1" t="s">
        <v>10</v>
      </c>
    </row>
    <row r="493" spans="1:6" x14ac:dyDescent="0.25">
      <c r="A493" s="12">
        <v>42156</v>
      </c>
      <c r="B493" s="7">
        <v>0.5131944444444444</v>
      </c>
      <c r="C493" s="7">
        <v>0.53263888888888888</v>
      </c>
      <c r="D493" s="7">
        <f>(0.532638888888889-0.513194444444444)</f>
        <v>1.9444444444445041E-2</v>
      </c>
      <c r="E493" s="7">
        <f>ABS(0.019444444444445-0.0187499999999999)</f>
        <v>6.9444444444510117E-4</v>
      </c>
      <c r="F493" s="1" t="s">
        <v>10</v>
      </c>
    </row>
    <row r="494" spans="1:6" x14ac:dyDescent="0.25">
      <c r="A494" s="12">
        <v>42156</v>
      </c>
      <c r="B494" s="7">
        <v>0.5229166666666667</v>
      </c>
      <c r="C494" s="7">
        <v>0.54166666666666663</v>
      </c>
      <c r="D494" s="7">
        <f>(0.541666666666667-0.522916666666667)</f>
        <v>1.8749999999999933E-2</v>
      </c>
      <c r="E494" s="7">
        <f>ABS(0.0187499999999999-0.0152777777777781)</f>
        <v>3.4722222222217988E-3</v>
      </c>
      <c r="F494" s="1" t="s">
        <v>10</v>
      </c>
    </row>
    <row r="495" spans="1:6" x14ac:dyDescent="0.25">
      <c r="A495" s="12">
        <v>42156</v>
      </c>
      <c r="B495" s="7">
        <v>0.56458333333333333</v>
      </c>
      <c r="C495" s="7">
        <v>0.57986111111111105</v>
      </c>
      <c r="D495" s="7">
        <f>(0.579861111111111-0.564583333333333)</f>
        <v>1.5277777777778057E-2</v>
      </c>
      <c r="E495" s="7">
        <f>ABS(0.0152777777777781-0.0166666666666671)</f>
        <v>1.3888888888890002E-3</v>
      </c>
      <c r="F495" s="1" t="s">
        <v>10</v>
      </c>
    </row>
    <row r="496" spans="1:6" x14ac:dyDescent="0.25">
      <c r="A496" s="12">
        <v>42156</v>
      </c>
      <c r="B496" s="7">
        <v>0.60625000000000007</v>
      </c>
      <c r="C496" s="7">
        <v>0.62291666666666667</v>
      </c>
      <c r="D496" s="7">
        <f>(0.622916666666667-0.60625)</f>
        <v>1.6666666666667052E-2</v>
      </c>
      <c r="E496" s="7">
        <f>ABS(0.0166666666666671-0.028472222222222)</f>
        <v>1.18055555555549E-2</v>
      </c>
      <c r="F496" s="1" t="s">
        <v>10</v>
      </c>
    </row>
    <row r="497" spans="1:6" x14ac:dyDescent="0.25">
      <c r="A497" s="12">
        <v>42156</v>
      </c>
      <c r="B497" s="7">
        <v>0.66875000000000007</v>
      </c>
      <c r="C497" s="7">
        <v>0.6972222222222223</v>
      </c>
      <c r="D497" s="7">
        <f>(0.697222222222222-0.66875)</f>
        <v>2.847222222222201E-2</v>
      </c>
      <c r="E497" s="7">
        <f>ABS(0.028472222222222-0.0152777777777779)</f>
        <v>1.3194444444444099E-2</v>
      </c>
      <c r="F497" s="1" t="s">
        <v>10</v>
      </c>
    </row>
    <row r="498" spans="1:6" x14ac:dyDescent="0.25">
      <c r="A498" s="12">
        <v>42156</v>
      </c>
      <c r="B498" s="7">
        <v>0.68194444444444446</v>
      </c>
      <c r="C498" s="7">
        <v>0.6972222222222223</v>
      </c>
      <c r="D498" s="7">
        <f>(0.697222222222222-0.681944444444444)</f>
        <v>1.5277777777777946E-2</v>
      </c>
      <c r="E498" s="7">
        <f>ABS(0.0152777777777779-0.021527777777778)</f>
        <v>6.2500000000000992E-3</v>
      </c>
      <c r="F498" s="1" t="s">
        <v>10</v>
      </c>
    </row>
    <row r="499" spans="1:6" x14ac:dyDescent="0.25">
      <c r="A499" s="12">
        <v>42156</v>
      </c>
      <c r="B499" s="7">
        <v>0.7284722222222223</v>
      </c>
      <c r="C499" s="7">
        <v>0.75</v>
      </c>
      <c r="D499" s="7">
        <f>(0.75-0.728472222222222)</f>
        <v>2.1527777777778034E-2</v>
      </c>
      <c r="E499" s="7">
        <f>ABS(0.021527777777778-0.023611111111111)</f>
        <v>2.0833333333329998E-3</v>
      </c>
      <c r="F499" s="1" t="s">
        <v>10</v>
      </c>
    </row>
    <row r="500" spans="1:6" x14ac:dyDescent="0.25">
      <c r="A500" s="12">
        <v>42156</v>
      </c>
      <c r="B500" s="7">
        <v>0.53472222222222221</v>
      </c>
      <c r="C500" s="7">
        <v>0.55833333333333335</v>
      </c>
      <c r="D500" s="7">
        <f>(0.558333333333333-0.534722222222222)</f>
        <v>2.3611111111111027E-2</v>
      </c>
      <c r="E500" s="7">
        <f>ABS(0.023611111111111-0.017361111111111)</f>
        <v>6.2499999999999986E-3</v>
      </c>
      <c r="F500" s="1" t="s">
        <v>10</v>
      </c>
    </row>
    <row r="501" spans="1:6" x14ac:dyDescent="0.25">
      <c r="A501" s="12">
        <v>42156</v>
      </c>
      <c r="B501" s="7">
        <v>0.53611111111111109</v>
      </c>
      <c r="C501" s="7">
        <v>0.55347222222222225</v>
      </c>
      <c r="D501" s="7">
        <f>(0.553472222222222-0.536111111111111)</f>
        <v>1.7361111111111049E-2</v>
      </c>
      <c r="E501" s="7">
        <f>ABS(0.017361111111111-0.0243055555555559)</f>
        <v>6.9444444444448986E-3</v>
      </c>
      <c r="F501" s="1" t="s">
        <v>10</v>
      </c>
    </row>
    <row r="502" spans="1:6" x14ac:dyDescent="0.25">
      <c r="A502" s="12">
        <v>42156</v>
      </c>
      <c r="B502" s="7">
        <v>0.70486111111111116</v>
      </c>
      <c r="C502" s="7">
        <v>0.72916666666666663</v>
      </c>
      <c r="D502" s="7">
        <f>(0.729166666666667-0.704861111111111)</f>
        <v>2.4305555555555913E-2</v>
      </c>
      <c r="E502" s="7">
        <f>ABS(0.0243055555555559-0.019444444444444)</f>
        <v>4.8611111111118988E-3</v>
      </c>
      <c r="F502" s="1" t="s">
        <v>10</v>
      </c>
    </row>
    <row r="503" spans="1:6" x14ac:dyDescent="0.25">
      <c r="A503" s="12">
        <v>42156</v>
      </c>
      <c r="B503" s="7">
        <v>0.76180555555555562</v>
      </c>
      <c r="C503" s="7">
        <v>0.78125</v>
      </c>
      <c r="D503" s="7">
        <f>(0.78125-0.761805555555556)</f>
        <v>1.9444444444444042E-2</v>
      </c>
      <c r="E503" s="7">
        <f>ABS(0.019444444444444-0.0152777777777779)</f>
        <v>4.1666666666661002E-3</v>
      </c>
      <c r="F503" s="1" t="s">
        <v>10</v>
      </c>
    </row>
    <row r="504" spans="1:6" x14ac:dyDescent="0.25">
      <c r="A504" s="12">
        <v>42156</v>
      </c>
      <c r="B504" s="7">
        <v>0.89374999999999993</v>
      </c>
      <c r="C504" s="7">
        <v>0.90902777777777777</v>
      </c>
      <c r="D504" s="7">
        <f>(0.909027777777778-0.89375)</f>
        <v>1.5277777777777946E-2</v>
      </c>
      <c r="E504" s="7">
        <f>ABS(0.0152777777777779-0.011805555555555)</f>
        <v>3.4722222222229003E-3</v>
      </c>
      <c r="F504" s="1" t="s">
        <v>10</v>
      </c>
    </row>
    <row r="505" spans="1:6" x14ac:dyDescent="0.25">
      <c r="A505" s="12">
        <v>42156</v>
      </c>
      <c r="B505" s="7">
        <v>0.9291666666666667</v>
      </c>
      <c r="C505" s="7">
        <v>0.94097222222222221</v>
      </c>
      <c r="D505" s="7">
        <f>(0.940972222222222-0.929166666666667)</f>
        <v>1.1805555555554959E-2</v>
      </c>
      <c r="E505" s="7">
        <f>ABS(0.011805555555555-0.017361111111111)</f>
        <v>5.5555555555560007E-3</v>
      </c>
      <c r="F505" s="1" t="s">
        <v>10</v>
      </c>
    </row>
    <row r="506" spans="1:6" x14ac:dyDescent="0.25">
      <c r="A506" s="12">
        <v>42156</v>
      </c>
      <c r="B506" s="7">
        <v>0.94374999999999998</v>
      </c>
      <c r="C506" s="7">
        <v>0.96111111111111114</v>
      </c>
      <c r="D506" s="7">
        <f>(0.961111111111111-0.94375)</f>
        <v>1.7361111111111049E-2</v>
      </c>
      <c r="E506" s="7">
        <f>ABS(0.017361111111111-0.0229166666666666)</f>
        <v>5.5555555555555983E-3</v>
      </c>
      <c r="F506" s="1" t="s">
        <v>10</v>
      </c>
    </row>
    <row r="507" spans="1:6" x14ac:dyDescent="0.25">
      <c r="A507" s="12">
        <v>42156</v>
      </c>
      <c r="B507" s="7">
        <v>5.0694444444444452E-2</v>
      </c>
      <c r="C507" s="7">
        <v>7.3611111111111113E-2</v>
      </c>
      <c r="D507" s="7">
        <f>(0.0736111111111111-0.0506944444444445)</f>
        <v>2.2916666666666599E-2</v>
      </c>
      <c r="E507" s="7">
        <f>ABS(0.0229166666666666-0.021527777777777)</f>
        <v>1.3888888888895987E-3</v>
      </c>
      <c r="F507" s="1" t="s">
        <v>10</v>
      </c>
    </row>
    <row r="508" spans="1:6" x14ac:dyDescent="0.25">
      <c r="A508" s="12">
        <v>42156</v>
      </c>
      <c r="B508" s="7">
        <v>0.3354166666666667</v>
      </c>
      <c r="C508" s="7">
        <v>0.35694444444444445</v>
      </c>
      <c r="D508" s="7">
        <f>(0.356944444444444-0.335416666666667)</f>
        <v>2.1527777777777035E-2</v>
      </c>
      <c r="E508" s="7">
        <f>ABS(0.021527777777777-0.016666666666667)</f>
        <v>4.861111111110001E-3</v>
      </c>
      <c r="F508" s="1" t="s">
        <v>10</v>
      </c>
    </row>
    <row r="509" spans="1:6" x14ac:dyDescent="0.25">
      <c r="A509" s="12">
        <v>42156</v>
      </c>
      <c r="B509" s="7">
        <v>0.38819444444444445</v>
      </c>
      <c r="C509" s="7">
        <v>0.40486111111111112</v>
      </c>
      <c r="D509" s="7">
        <f>(0.404861111111111-0.388194444444444)</f>
        <v>1.6666666666666996E-2</v>
      </c>
      <c r="E509" s="7">
        <f>ABS(0.016666666666667-0.017361111111111)</f>
        <v>6.9444444444400136E-4</v>
      </c>
      <c r="F509" s="1" t="s">
        <v>10</v>
      </c>
    </row>
    <row r="510" spans="1:6" x14ac:dyDescent="0.25">
      <c r="A510" s="12">
        <v>42156</v>
      </c>
      <c r="B510" s="7">
        <v>0.43472222222222223</v>
      </c>
      <c r="C510" s="7">
        <v>0.45208333333333334</v>
      </c>
      <c r="D510" s="7">
        <f>(0.452083333333333-0.434722222222222)</f>
        <v>1.7361111111110994E-2</v>
      </c>
      <c r="E510" s="7">
        <f>ABS(0.017361111111111-0.016666666666667)</f>
        <v>6.9444444444400136E-4</v>
      </c>
      <c r="F510" s="1" t="s">
        <v>10</v>
      </c>
    </row>
    <row r="511" spans="1:6" x14ac:dyDescent="0.25">
      <c r="A511" s="12">
        <v>42156</v>
      </c>
      <c r="B511" s="7">
        <v>0.48958333333333331</v>
      </c>
      <c r="C511" s="7">
        <v>0.50624999999999998</v>
      </c>
      <c r="D511" s="7">
        <f>(0.50625-0.489583333333333)</f>
        <v>1.6666666666666996E-2</v>
      </c>
      <c r="E511" s="7">
        <f>ABS(0.016666666666667-0.0159722222222231)</f>
        <v>6.9444444444390074E-4</v>
      </c>
      <c r="F511" s="1" t="s">
        <v>10</v>
      </c>
    </row>
    <row r="512" spans="1:6" x14ac:dyDescent="0.25">
      <c r="A512" s="12">
        <v>42156</v>
      </c>
      <c r="B512" s="7">
        <v>0.5444444444444444</v>
      </c>
      <c r="C512" s="7">
        <v>0.56041666666666667</v>
      </c>
      <c r="D512" s="7">
        <f>(0.560416666666667-0.544444444444444)</f>
        <v>1.5972222222223054E-2</v>
      </c>
      <c r="E512" s="7">
        <f>ABS(0.0159722222222231-0.0173611111111109)</f>
        <v>1.3888888888878015E-3</v>
      </c>
      <c r="F512" s="1" t="s">
        <v>10</v>
      </c>
    </row>
    <row r="513" spans="1:6" x14ac:dyDescent="0.25">
      <c r="A513" s="12">
        <v>42156</v>
      </c>
      <c r="B513" s="7">
        <v>0.64097222222222217</v>
      </c>
      <c r="C513" s="7">
        <v>0.65833333333333333</v>
      </c>
      <c r="D513" s="7">
        <f>(0.658333333333333-0.640972222222222)</f>
        <v>1.7361111111110938E-2</v>
      </c>
      <c r="E513" s="7">
        <f>ABS(0.0173611111111109-0.018749999999999)</f>
        <v>1.3888888888880999E-3</v>
      </c>
      <c r="F513" s="1" t="s">
        <v>10</v>
      </c>
    </row>
    <row r="514" spans="1:6" x14ac:dyDescent="0.25">
      <c r="A514" s="12">
        <v>42156</v>
      </c>
      <c r="B514" s="7">
        <v>0.69444444444444453</v>
      </c>
      <c r="C514" s="7">
        <v>0.71319444444444446</v>
      </c>
      <c r="D514" s="7">
        <f>(0.713194444444444-0.694444444444445)</f>
        <v>1.8749999999999045E-2</v>
      </c>
      <c r="E514" s="7">
        <f>ABS(0.018749999999999-0.0166666666666669)</f>
        <v>2.0833333333321012E-3</v>
      </c>
      <c r="F514" s="1" t="s">
        <v>10</v>
      </c>
    </row>
    <row r="515" spans="1:6" x14ac:dyDescent="0.25">
      <c r="A515" s="12">
        <v>42156</v>
      </c>
      <c r="B515" s="7">
        <v>0.8027777777777777</v>
      </c>
      <c r="C515" s="7">
        <v>0.81944444444444453</v>
      </c>
      <c r="D515" s="7">
        <f>(0.819444444444445-0.802777777777778)</f>
        <v>1.6666666666666941E-2</v>
      </c>
      <c r="E515" s="7">
        <f>ABS(0.0166666666666669-0.023611111111111)</f>
        <v>6.9444444444441006E-3</v>
      </c>
      <c r="F515" s="1" t="s">
        <v>10</v>
      </c>
    </row>
    <row r="516" spans="1:6" x14ac:dyDescent="0.25">
      <c r="A516" s="12">
        <v>42156</v>
      </c>
      <c r="B516" s="7">
        <v>0.90277777777777779</v>
      </c>
      <c r="C516" s="7">
        <v>0.92638888888888893</v>
      </c>
      <c r="D516" s="7">
        <f>(0.926388888888889-0.902777777777778)</f>
        <v>2.3611111111111027E-2</v>
      </c>
      <c r="E516" s="7">
        <f>ABS(0.023611111111111-0.0152777777777779)</f>
        <v>8.333333333333099E-3</v>
      </c>
      <c r="F516" s="1" t="s">
        <v>10</v>
      </c>
    </row>
    <row r="517" spans="1:6" x14ac:dyDescent="0.25">
      <c r="A517" s="12">
        <v>42156</v>
      </c>
      <c r="B517" s="7">
        <v>0.95694444444444438</v>
      </c>
      <c r="C517" s="7">
        <v>0.97222222222222221</v>
      </c>
      <c r="D517" s="7">
        <f>(0.972222222222222-0.956944444444444)</f>
        <v>1.5277777777777946E-2</v>
      </c>
      <c r="E517" s="7">
        <f>ABS(0.0152777777777779-0.0138888888888891)</f>
        <v>1.3888888888888007E-3</v>
      </c>
      <c r="F517" s="1" t="s">
        <v>10</v>
      </c>
    </row>
    <row r="518" spans="1:6" x14ac:dyDescent="0.25">
      <c r="A518" s="12">
        <v>42156</v>
      </c>
      <c r="B518" s="7">
        <v>0.51250000000000007</v>
      </c>
      <c r="C518" s="7">
        <v>0.52638888888888891</v>
      </c>
      <c r="D518" s="7">
        <f>(0.526388888888889-0.5125)</f>
        <v>1.3888888888889062E-2</v>
      </c>
      <c r="E518" s="7">
        <f>ABS(0.0138888888888891-0.0270833333333339)</f>
        <v>1.31944444444448E-2</v>
      </c>
      <c r="F518" s="1" t="s">
        <v>10</v>
      </c>
    </row>
    <row r="519" spans="1:6" x14ac:dyDescent="0.25">
      <c r="A519" s="12">
        <v>42156</v>
      </c>
      <c r="B519" s="7">
        <v>0.64444444444444449</v>
      </c>
      <c r="C519" s="7">
        <v>0.67152777777777783</v>
      </c>
      <c r="D519" s="7">
        <f>(0.671527777777778-0.644444444444444)</f>
        <v>2.7083333333333903E-2</v>
      </c>
      <c r="E519" s="7">
        <f>ABS(0.0270833333333339-0.018055555555555)</f>
        <v>9.027777777778901E-3</v>
      </c>
      <c r="F519" s="1" t="s">
        <v>10</v>
      </c>
    </row>
    <row r="520" spans="1:6" x14ac:dyDescent="0.25">
      <c r="A520" s="12">
        <v>42156</v>
      </c>
      <c r="B520" s="7">
        <v>0.69027777777777777</v>
      </c>
      <c r="C520" s="7">
        <v>0.70833333333333337</v>
      </c>
      <c r="D520" s="7">
        <f>(0.708333333333333-0.690277777777778)</f>
        <v>1.8055555555555047E-2</v>
      </c>
      <c r="E520" s="7">
        <f>ABS(0.018055555555555-0.013194444444444)</f>
        <v>4.8611111111109984E-3</v>
      </c>
      <c r="F520" s="1" t="s">
        <v>10</v>
      </c>
    </row>
    <row r="521" spans="1:6" x14ac:dyDescent="0.25">
      <c r="A521" s="12">
        <v>42156</v>
      </c>
      <c r="B521" s="7">
        <v>0.80138888888888893</v>
      </c>
      <c r="C521" s="7">
        <v>0.81458333333333333</v>
      </c>
      <c r="D521" s="7">
        <f>(0.814583333333333-0.801388888888889)</f>
        <v>1.3194444444443953E-2</v>
      </c>
      <c r="E521" s="7">
        <f>ABS(0.013194444444444-0.016666666666667)</f>
        <v>3.4722222222229992E-3</v>
      </c>
      <c r="F521" s="1" t="s">
        <v>10</v>
      </c>
    </row>
    <row r="522" spans="1:6" x14ac:dyDescent="0.25">
      <c r="A522" s="12">
        <v>42156</v>
      </c>
      <c r="B522" s="7">
        <v>0.24374999999999999</v>
      </c>
      <c r="C522" s="7">
        <v>0.26041666666666669</v>
      </c>
      <c r="D522" s="7">
        <f>(0.260416666666667-0.24375)</f>
        <v>1.6666666666667024E-2</v>
      </c>
      <c r="E522" s="7">
        <f>ABS(0.016666666666667-0.028472222222223)</f>
        <v>1.1805555555555999E-2</v>
      </c>
      <c r="F522" s="1" t="s">
        <v>10</v>
      </c>
    </row>
    <row r="523" spans="1:6" x14ac:dyDescent="0.25">
      <c r="A523" s="12">
        <v>42156</v>
      </c>
      <c r="B523" s="7">
        <v>0.44097222222222227</v>
      </c>
      <c r="C523" s="7">
        <v>0.4694444444444445</v>
      </c>
      <c r="D523" s="7">
        <f>(0.469444444444445-0.440972222222222)</f>
        <v>2.8472222222223009E-2</v>
      </c>
      <c r="E523" s="7">
        <f>ABS(0.028472222222223-0.024305555555556)</f>
        <v>4.1666666666669988E-3</v>
      </c>
      <c r="F523" s="1" t="s">
        <v>10</v>
      </c>
    </row>
    <row r="524" spans="1:6" x14ac:dyDescent="0.25">
      <c r="A524" s="12">
        <v>42156</v>
      </c>
      <c r="B524" s="7">
        <v>0.5756944444444444</v>
      </c>
      <c r="C524" s="7">
        <v>0.6</v>
      </c>
      <c r="D524" s="7">
        <f>(0.6-0.575694444444444)</f>
        <v>2.4305555555556024E-2</v>
      </c>
      <c r="E524" s="7">
        <f>ABS(0.024305555555556-0.0152777777777769)</f>
        <v>9.0277777777791005E-3</v>
      </c>
      <c r="F524" s="1" t="s">
        <v>10</v>
      </c>
    </row>
    <row r="525" spans="1:6" x14ac:dyDescent="0.25">
      <c r="A525" s="12">
        <v>42156</v>
      </c>
      <c r="B525" s="7">
        <v>0.61041666666666672</v>
      </c>
      <c r="C525" s="7">
        <v>0.62569444444444444</v>
      </c>
      <c r="D525" s="7">
        <f>(0.625694444444444-0.610416666666667)</f>
        <v>1.5277777777776946E-2</v>
      </c>
      <c r="E525" s="7">
        <f>ABS(0.0152777777777769-0.0159722222222219)</f>
        <v>6.9444444444499882E-4</v>
      </c>
      <c r="F525" s="1" t="s">
        <v>10</v>
      </c>
    </row>
    <row r="526" spans="1:6" x14ac:dyDescent="0.25">
      <c r="A526" s="12">
        <v>42156</v>
      </c>
      <c r="B526" s="7">
        <v>0.77777777777777779</v>
      </c>
      <c r="C526" s="7">
        <v>0.79375000000000007</v>
      </c>
      <c r="D526" s="7">
        <f>(0.79375-0.777777777777778)</f>
        <v>1.5972222222221943E-2</v>
      </c>
      <c r="E526" s="7">
        <f>ABS(0.0159722222222219-0.018055555555555)</f>
        <v>2.0833333333331004E-3</v>
      </c>
      <c r="F526" s="1" t="s">
        <v>10</v>
      </c>
    </row>
    <row r="527" spans="1:6" x14ac:dyDescent="0.25">
      <c r="A527" s="12">
        <v>42156</v>
      </c>
      <c r="B527" s="7">
        <v>0.34513888888888888</v>
      </c>
      <c r="C527" s="7">
        <v>0.36319444444444443</v>
      </c>
      <c r="D527" s="7">
        <f>(0.363194444444444-0.345138888888889)</f>
        <v>1.8055555555554992E-2</v>
      </c>
      <c r="E527" s="7">
        <f>ABS(0.018055555555555-0.033333333333333)</f>
        <v>1.5277777777778001E-2</v>
      </c>
      <c r="F527" s="1" t="s">
        <v>10</v>
      </c>
    </row>
    <row r="528" spans="1:6" x14ac:dyDescent="0.25">
      <c r="A528" s="12">
        <v>42156</v>
      </c>
      <c r="B528" s="7">
        <v>0.44027777777777777</v>
      </c>
      <c r="C528" s="7">
        <v>0.47361111111111115</v>
      </c>
      <c r="D528" s="7">
        <f>(0.473611111111111-0.440277777777778)</f>
        <v>3.3333333333332993E-2</v>
      </c>
      <c r="E528" s="7">
        <f>ABS(0.033333333333333-0.020138888888889)</f>
        <v>1.3194444444443999E-2</v>
      </c>
      <c r="F528" s="1" t="s">
        <v>10</v>
      </c>
    </row>
    <row r="529" spans="1:6" x14ac:dyDescent="0.25">
      <c r="A529" s="12">
        <v>42156</v>
      </c>
      <c r="B529" s="7">
        <v>0.41944444444444445</v>
      </c>
      <c r="C529" s="7">
        <v>0.43958333333333338</v>
      </c>
      <c r="D529" s="7">
        <f>(0.439583333333333-0.419444444444444)</f>
        <v>2.0138888888888984E-2</v>
      </c>
      <c r="E529" s="7">
        <f>ABS(0.020138888888889-0.0249999999999999)</f>
        <v>4.8611111111108996E-3</v>
      </c>
      <c r="F529" s="1" t="s">
        <v>10</v>
      </c>
    </row>
    <row r="530" spans="1:6" x14ac:dyDescent="0.25">
      <c r="A530" s="12">
        <v>42156</v>
      </c>
      <c r="B530" s="7">
        <v>0.55208333333333337</v>
      </c>
      <c r="C530" s="7">
        <v>0.57708333333333328</v>
      </c>
      <c r="D530" s="7">
        <f>(0.577083333333333-0.552083333333333)</f>
        <v>2.4999999999999911E-2</v>
      </c>
      <c r="E530" s="7">
        <f>ABS(0.0249999999999999-0.0208333333333339)</f>
        <v>4.1666666666659996E-3</v>
      </c>
      <c r="F530" s="1" t="s">
        <v>10</v>
      </c>
    </row>
    <row r="531" spans="1:6" x14ac:dyDescent="0.25">
      <c r="A531" s="12">
        <v>42156</v>
      </c>
      <c r="B531" s="7">
        <v>0.57847222222222217</v>
      </c>
      <c r="C531" s="7">
        <v>0.59930555555555554</v>
      </c>
      <c r="D531" s="7">
        <f>(0.599305555555556-0.578472222222222)</f>
        <v>2.0833333333333925E-2</v>
      </c>
      <c r="E531" s="7">
        <f>ABS(0.0208333333333339-0.061805555555556)</f>
        <v>4.0972222222222104E-2</v>
      </c>
      <c r="F531" s="1" t="s">
        <v>10</v>
      </c>
    </row>
    <row r="532" spans="1:6" x14ac:dyDescent="0.25">
      <c r="A532" s="12">
        <v>42156</v>
      </c>
      <c r="B532" s="7">
        <v>0.63611111111111118</v>
      </c>
      <c r="C532" s="7">
        <v>0.69791666666666663</v>
      </c>
      <c r="D532" s="7">
        <f>(0.697916666666667-0.636111111111111)</f>
        <v>6.1805555555556002E-2</v>
      </c>
      <c r="E532" s="7">
        <f>ABS(0.061805555555556-0.0159722222222219)</f>
        <v>4.58333333333341E-2</v>
      </c>
      <c r="F532" s="1" t="s">
        <v>10</v>
      </c>
    </row>
    <row r="533" spans="1:6" x14ac:dyDescent="0.25">
      <c r="A533" s="12">
        <v>42156</v>
      </c>
      <c r="B533" s="7">
        <v>0.7090277777777777</v>
      </c>
      <c r="C533" s="7">
        <v>0.72499999999999998</v>
      </c>
      <c r="D533" s="7">
        <f>(0.725-0.709027777777778)</f>
        <v>1.5972222222221943E-2</v>
      </c>
      <c r="E533" s="7">
        <f>ABS(0.0159722222222219-0.01875)</f>
        <v>2.777777777778101E-3</v>
      </c>
      <c r="F533" s="1" t="s">
        <v>10</v>
      </c>
    </row>
    <row r="534" spans="1:6" x14ac:dyDescent="0.25">
      <c r="A534" s="12">
        <v>42156</v>
      </c>
      <c r="B534" s="7">
        <v>0.80972222222222223</v>
      </c>
      <c r="C534" s="7">
        <v>0.82847222222222217</v>
      </c>
      <c r="D534" s="7">
        <f>(0.828472222222222-0.809722222222222)</f>
        <v>1.8750000000000044E-2</v>
      </c>
      <c r="E534" s="7">
        <f>ABS(0.01875-0.018055555555555)</f>
        <v>6.9444444444500056E-4</v>
      </c>
      <c r="F534" s="1" t="s">
        <v>10</v>
      </c>
    </row>
    <row r="535" spans="1:6" x14ac:dyDescent="0.25">
      <c r="A535" s="12">
        <v>42156</v>
      </c>
      <c r="B535" s="7">
        <v>0.54027777777777775</v>
      </c>
      <c r="C535" s="7">
        <v>0.55833333333333335</v>
      </c>
      <c r="D535" s="7">
        <f>(0.558333333333333-0.540277777777778)</f>
        <v>1.8055555555555047E-2</v>
      </c>
      <c r="E535" s="7">
        <f>ABS(0.018055555555555-0.017361111111111)</f>
        <v>6.9444444444399789E-4</v>
      </c>
      <c r="F535" s="1" t="s">
        <v>10</v>
      </c>
    </row>
    <row r="536" spans="1:6" x14ac:dyDescent="0.25">
      <c r="A536" s="12">
        <v>42156</v>
      </c>
      <c r="B536" s="7">
        <v>0.54513888888888895</v>
      </c>
      <c r="C536" s="7">
        <v>0.5625</v>
      </c>
      <c r="D536" s="7">
        <f>(0.5625-0.545138888888889)</f>
        <v>1.7361111111111049E-2</v>
      </c>
      <c r="E536" s="7">
        <f>ABS(0.017361111111111-0.0194444444444439)</f>
        <v>2.0833333333328992E-3</v>
      </c>
      <c r="F536" s="1" t="s">
        <v>10</v>
      </c>
    </row>
    <row r="537" spans="1:6" x14ac:dyDescent="0.25">
      <c r="A537" s="12">
        <v>42156</v>
      </c>
      <c r="B537" s="7">
        <v>0.55763888888888891</v>
      </c>
      <c r="C537" s="7">
        <v>0.57708333333333328</v>
      </c>
      <c r="D537" s="7">
        <f>(0.577083333333333-0.557638888888889)</f>
        <v>1.9444444444443931E-2</v>
      </c>
      <c r="E537" s="7">
        <f>ABS(0.0194444444444439-0.01875)</f>
        <v>6.9444444444390074E-4</v>
      </c>
      <c r="F537" s="1" t="s">
        <v>10</v>
      </c>
    </row>
    <row r="538" spans="1:6" x14ac:dyDescent="0.25">
      <c r="A538" s="12">
        <v>42156</v>
      </c>
      <c r="B538" s="7">
        <v>0.59583333333333333</v>
      </c>
      <c r="C538" s="7">
        <v>0.61458333333333337</v>
      </c>
      <c r="D538" s="7">
        <f>(0.614583333333333-0.595833333333333)</f>
        <v>1.8750000000000044E-2</v>
      </c>
      <c r="E538" s="7">
        <f>ABS(0.01875-0.0152777777777779)</f>
        <v>3.4722222222220989E-3</v>
      </c>
      <c r="F538" s="1" t="s">
        <v>10</v>
      </c>
    </row>
    <row r="539" spans="1:6" x14ac:dyDescent="0.25">
      <c r="A539" s="12">
        <v>42156</v>
      </c>
      <c r="B539" s="7">
        <v>0.65069444444444446</v>
      </c>
      <c r="C539" s="7">
        <v>0.66597222222222219</v>
      </c>
      <c r="D539" s="7">
        <f>(0.665972222222222-0.650694444444444)</f>
        <v>1.5277777777777946E-2</v>
      </c>
      <c r="E539" s="7">
        <f>ABS(0.0152777777777779-0.0152777777777779)</f>
        <v>0</v>
      </c>
      <c r="F539" s="1" t="s">
        <v>10</v>
      </c>
    </row>
    <row r="540" spans="1:6" x14ac:dyDescent="0.25">
      <c r="A540" s="12">
        <v>42156</v>
      </c>
      <c r="B540" s="7">
        <v>0.9277777777777777</v>
      </c>
      <c r="C540" s="7">
        <v>0.94305555555555554</v>
      </c>
      <c r="D540" s="7">
        <f>(0.943055555555556-0.927777777777778)</f>
        <v>1.5277777777777946E-2</v>
      </c>
      <c r="E540" s="7">
        <f>ABS(0.0152777777777779-0.0104166666666667)</f>
        <v>4.8611111111111997E-3</v>
      </c>
      <c r="F540" s="1" t="s">
        <v>10</v>
      </c>
    </row>
    <row r="541" spans="1:6" x14ac:dyDescent="0.25">
      <c r="A541" s="12">
        <v>42156</v>
      </c>
      <c r="B541" s="7">
        <v>4.8611111111111112E-2</v>
      </c>
      <c r="C541" s="7">
        <v>5.9027777777777783E-2</v>
      </c>
      <c r="D541" s="7">
        <f>(0.0590277777777778-0.0486111111111111)</f>
        <v>1.0416666666666699E-2</v>
      </c>
      <c r="E541" s="7">
        <f>ABS(0.0104166666666667-0.0125)</f>
        <v>2.0833333333332999E-3</v>
      </c>
      <c r="F541" s="1" t="s">
        <v>10</v>
      </c>
    </row>
    <row r="542" spans="1:6" x14ac:dyDescent="0.25">
      <c r="A542" s="12">
        <v>42156</v>
      </c>
      <c r="B542" s="7">
        <v>0.32569444444444445</v>
      </c>
      <c r="C542" s="7">
        <v>0.33819444444444446</v>
      </c>
      <c r="D542" s="7">
        <f>(0.338194444444444-0.325694444444444)</f>
        <v>1.2500000000000011E-2</v>
      </c>
      <c r="E542" s="7">
        <f>ABS(0.0125-0.01875)</f>
        <v>6.2499999999999986E-3</v>
      </c>
      <c r="F542" s="1" t="s">
        <v>10</v>
      </c>
    </row>
    <row r="543" spans="1:6" x14ac:dyDescent="0.25">
      <c r="A543" s="12">
        <v>42156</v>
      </c>
      <c r="B543" s="7">
        <v>0.40625</v>
      </c>
      <c r="C543" s="7">
        <v>0.42499999999999999</v>
      </c>
      <c r="D543" s="7">
        <f>(0.425-0.40625)</f>
        <v>1.8749999999999989E-2</v>
      </c>
      <c r="E543" s="7">
        <f>ABS(0.01875-0.015277777777778)</f>
        <v>3.472222222222E-3</v>
      </c>
      <c r="F543" s="1" t="s">
        <v>10</v>
      </c>
    </row>
    <row r="544" spans="1:6" x14ac:dyDescent="0.25">
      <c r="A544" s="12">
        <v>42156</v>
      </c>
      <c r="B544" s="7">
        <v>0.47847222222222219</v>
      </c>
      <c r="C544" s="7">
        <v>0.49374999999999997</v>
      </c>
      <c r="D544" s="7">
        <f>(0.49375-0.478472222222222)</f>
        <v>1.5277777777778001E-2</v>
      </c>
      <c r="E544" s="7">
        <f>ABS(0.015277777777778-0.022222222222222)</f>
        <v>6.9444444444440017E-3</v>
      </c>
      <c r="F544" s="1" t="s">
        <v>10</v>
      </c>
    </row>
    <row r="545" spans="1:6" x14ac:dyDescent="0.25">
      <c r="A545" s="12">
        <v>42156</v>
      </c>
      <c r="B545" s="7">
        <v>0.57152777777777775</v>
      </c>
      <c r="C545" s="7">
        <v>0.59375</v>
      </c>
      <c r="D545" s="7">
        <f>(0.59375-0.571527777777778)</f>
        <v>2.2222222222222032E-2</v>
      </c>
      <c r="E545" s="7">
        <f>ABS(0.022222222222222-0.0159722222222219)</f>
        <v>6.2500000000001027E-3</v>
      </c>
      <c r="F545" s="1" t="s">
        <v>10</v>
      </c>
    </row>
    <row r="546" spans="1:6" x14ac:dyDescent="0.25">
      <c r="A546" s="12">
        <v>42156</v>
      </c>
      <c r="B546" s="7">
        <v>0.6479166666666667</v>
      </c>
      <c r="C546" s="7">
        <v>0.66388888888888886</v>
      </c>
      <c r="D546" s="7">
        <f>(0.663888888888889-0.647916666666667)</f>
        <v>1.5972222222221943E-2</v>
      </c>
      <c r="E546" s="7">
        <f>ABS(0.0159722222222219-0.0125000000000001)</f>
        <v>3.4722222222217988E-3</v>
      </c>
      <c r="F546" s="1" t="s">
        <v>10</v>
      </c>
    </row>
    <row r="547" spans="1:6" x14ac:dyDescent="0.25">
      <c r="A547" s="12">
        <v>42156</v>
      </c>
      <c r="B547" s="7">
        <v>0.70277777777777783</v>
      </c>
      <c r="C547" s="7">
        <v>0.71527777777777779</v>
      </c>
      <c r="D547" s="7">
        <f>(0.715277777777778-0.702777777777778)</f>
        <v>1.2500000000000067E-2</v>
      </c>
      <c r="E547" s="7">
        <f>ABS(0.0125000000000001-0.021527777777777)</f>
        <v>9.0277777777769009E-3</v>
      </c>
      <c r="F547" s="1" t="s">
        <v>10</v>
      </c>
    </row>
    <row r="548" spans="1:6" x14ac:dyDescent="0.25">
      <c r="A548" s="12">
        <v>42156</v>
      </c>
      <c r="B548" s="7">
        <v>0.34930555555555554</v>
      </c>
      <c r="C548" s="7">
        <v>0.37083333333333335</v>
      </c>
      <c r="D548" s="7">
        <f>(0.370833333333333-0.349305555555556)</f>
        <v>2.1527777777777035E-2</v>
      </c>
      <c r="E548" s="7">
        <f>ABS(0.021527777777777-0.0159722222222221)</f>
        <v>5.5555555555549009E-3</v>
      </c>
      <c r="F548" s="1" t="s">
        <v>10</v>
      </c>
    </row>
    <row r="549" spans="1:6" x14ac:dyDescent="0.25">
      <c r="A549" s="12">
        <v>42156</v>
      </c>
      <c r="B549" s="7">
        <v>0.73402777777777783</v>
      </c>
      <c r="C549" s="7">
        <v>0.75</v>
      </c>
      <c r="D549" s="7">
        <f>(0.75-0.734027777777778)</f>
        <v>1.5972222222222054E-2</v>
      </c>
      <c r="E549" s="7">
        <f>ABS(0.0159722222222221-0.029166666666666)</f>
        <v>1.3194444444443901E-2</v>
      </c>
      <c r="F549" s="1" t="s">
        <v>10</v>
      </c>
    </row>
    <row r="550" spans="1:6" x14ac:dyDescent="0.25">
      <c r="A550" s="12">
        <v>42156</v>
      </c>
      <c r="B550" s="7">
        <v>0.78680555555555554</v>
      </c>
      <c r="C550" s="7">
        <v>0.81597222222222221</v>
      </c>
      <c r="D550" s="7">
        <f>(0.815972222222222-0.786805555555556)</f>
        <v>2.9166666666666008E-2</v>
      </c>
      <c r="E550" s="7">
        <f>ABS(0.029166666666666-0.0166666666666671)</f>
        <v>1.2499999999998901E-2</v>
      </c>
      <c r="F550" s="1" t="s">
        <v>10</v>
      </c>
    </row>
    <row r="551" spans="1:6" x14ac:dyDescent="0.25">
      <c r="A551" s="12">
        <v>42156</v>
      </c>
      <c r="B551" s="7">
        <v>0.9819444444444444</v>
      </c>
      <c r="C551" s="7">
        <v>0.99861111111111101</v>
      </c>
      <c r="D551" s="7">
        <f>(0.998611111111111-0.981944444444444)</f>
        <v>1.6666666666667052E-2</v>
      </c>
      <c r="E551" s="7">
        <f>ABS(0.0166666666666671-0.021527777777778)</f>
        <v>4.8611111111108996E-3</v>
      </c>
      <c r="F551" s="1" t="s">
        <v>10</v>
      </c>
    </row>
    <row r="552" spans="1:6" x14ac:dyDescent="0.25">
      <c r="A552" s="12">
        <v>42156</v>
      </c>
      <c r="B552" s="7">
        <v>0.33749999999999997</v>
      </c>
      <c r="C552" s="7">
        <v>0.35902777777777778</v>
      </c>
      <c r="D552" s="7">
        <f>(0.359027777777778-0.3375)</f>
        <v>2.1527777777777979E-2</v>
      </c>
      <c r="E552" s="7">
        <f>ABS(0.021527777777778-0.016666666666667)</f>
        <v>4.8611111111110002E-3</v>
      </c>
      <c r="F552" s="1" t="s">
        <v>10</v>
      </c>
    </row>
    <row r="553" spans="1:6" x14ac:dyDescent="0.25">
      <c r="A553" s="12">
        <v>42156</v>
      </c>
      <c r="B553" s="7">
        <v>0.47083333333333338</v>
      </c>
      <c r="C553" s="7">
        <v>0.48749999999999999</v>
      </c>
      <c r="D553" s="7">
        <f>(0.4875-0.470833333333333)</f>
        <v>1.6666666666666996E-2</v>
      </c>
      <c r="E553" s="7">
        <f>ABS(0.016666666666667-0.044444444444444)</f>
        <v>2.7777777777777003E-2</v>
      </c>
      <c r="F553" s="1" t="s">
        <v>10</v>
      </c>
    </row>
    <row r="554" spans="1:6" x14ac:dyDescent="0.25">
      <c r="A554" s="12">
        <v>42156</v>
      </c>
      <c r="B554" s="7">
        <v>0.49791666666666662</v>
      </c>
      <c r="C554" s="7">
        <v>0.54236111111111118</v>
      </c>
      <c r="D554" s="7">
        <f>(0.542361111111111-0.497916666666667)</f>
        <v>4.4444444444443953E-2</v>
      </c>
      <c r="E554" s="7">
        <f>ABS(0.044444444444444-0.032638888888889)</f>
        <v>1.1805555555555E-2</v>
      </c>
      <c r="F554" s="1" t="s">
        <v>10</v>
      </c>
    </row>
    <row r="555" spans="1:6" x14ac:dyDescent="0.25">
      <c r="A555" s="12">
        <v>42156</v>
      </c>
      <c r="B555" s="7">
        <v>0.49513888888888885</v>
      </c>
      <c r="C555" s="7">
        <v>0.52777777777777779</v>
      </c>
      <c r="D555" s="7">
        <f>(0.527777777777778-0.495138888888889)</f>
        <v>3.2638888888888995E-2</v>
      </c>
      <c r="E555" s="7">
        <f>ABS(0.032638888888889-0.0159722222222219)</f>
        <v>1.6666666666667104E-2</v>
      </c>
      <c r="F555" s="1" t="s">
        <v>10</v>
      </c>
    </row>
    <row r="556" spans="1:6" x14ac:dyDescent="0.25">
      <c r="A556" s="12">
        <v>42156</v>
      </c>
      <c r="B556" s="7">
        <v>0.55763888888888891</v>
      </c>
      <c r="C556" s="7">
        <v>0.57361111111111118</v>
      </c>
      <c r="D556" s="7">
        <f>(0.573611111111111-0.557638888888889)</f>
        <v>1.5972222222221943E-2</v>
      </c>
      <c r="E556" s="7">
        <f>ABS(0.0159722222222219-0.020138888888888)</f>
        <v>4.1666666666661002E-3</v>
      </c>
      <c r="F556" s="1" t="s">
        <v>10</v>
      </c>
    </row>
    <row r="557" spans="1:6" x14ac:dyDescent="0.25">
      <c r="A557" s="12">
        <v>42156</v>
      </c>
      <c r="B557" s="7">
        <v>0.56180555555555556</v>
      </c>
      <c r="C557" s="7">
        <v>0.58194444444444449</v>
      </c>
      <c r="D557" s="7">
        <f>(0.581944444444444-0.561805555555556)</f>
        <v>2.013888888888804E-2</v>
      </c>
      <c r="E557" s="7">
        <f>ABS(0.020138888888888-0.0159722222222221)</f>
        <v>4.166666666665899E-3</v>
      </c>
      <c r="F557" s="1" t="s">
        <v>10</v>
      </c>
    </row>
    <row r="558" spans="1:6" x14ac:dyDescent="0.25">
      <c r="A558" s="12">
        <v>42156</v>
      </c>
      <c r="B558" s="7">
        <v>0.63680555555555551</v>
      </c>
      <c r="C558" s="7">
        <v>0.65277777777777779</v>
      </c>
      <c r="D558" s="7">
        <f>(0.652777777777778-0.636805555555556)</f>
        <v>1.5972222222222054E-2</v>
      </c>
      <c r="E558" s="7">
        <f>ABS(0.0159722222222221-0.024305555555556)</f>
        <v>8.3333333333339005E-3</v>
      </c>
      <c r="F558" s="1" t="s">
        <v>10</v>
      </c>
    </row>
    <row r="559" spans="1:6" x14ac:dyDescent="0.25">
      <c r="A559" s="12">
        <v>42156</v>
      </c>
      <c r="B559" s="7">
        <v>0.66249999999999998</v>
      </c>
      <c r="C559" s="7">
        <v>0.68680555555555556</v>
      </c>
      <c r="D559" s="7">
        <f>(0.686805555555556-0.6625)</f>
        <v>2.4305555555556024E-2</v>
      </c>
      <c r="E559" s="7">
        <f>ABS(0.024305555555556-0.0159722222222229)</f>
        <v>8.333333333333099E-3</v>
      </c>
      <c r="F559" s="1" t="s">
        <v>10</v>
      </c>
    </row>
    <row r="560" spans="1:6" x14ac:dyDescent="0.25">
      <c r="A560" s="12">
        <v>42156</v>
      </c>
      <c r="B560" s="7">
        <v>0.77083333333333337</v>
      </c>
      <c r="C560" s="7">
        <v>0.78680555555555554</v>
      </c>
      <c r="D560" s="7">
        <f>(0.786805555555556-0.770833333333333)</f>
        <v>1.5972222222222943E-2</v>
      </c>
      <c r="E560" s="7">
        <f>ABS(0.0159722222222229-0.020833333333333)</f>
        <v>4.8611111111100981E-3</v>
      </c>
      <c r="F560" s="1" t="s">
        <v>10</v>
      </c>
    </row>
    <row r="561" spans="1:6" x14ac:dyDescent="0.25">
      <c r="A561" s="12">
        <v>42156</v>
      </c>
      <c r="B561" s="7">
        <v>0.74930555555555556</v>
      </c>
      <c r="C561" s="7">
        <v>0.77013888888888893</v>
      </c>
      <c r="D561" s="7">
        <f>(0.770138888888889-0.749305555555556)</f>
        <v>2.0833333333333037E-2</v>
      </c>
      <c r="E561" s="7">
        <f>ABS(0.020833333333333-0.018055555555556)</f>
        <v>2.7777777777769977E-3</v>
      </c>
      <c r="F561" s="1" t="s">
        <v>10</v>
      </c>
    </row>
    <row r="562" spans="1:6" x14ac:dyDescent="0.25">
      <c r="A562" s="12">
        <v>42156</v>
      </c>
      <c r="B562" s="7">
        <v>0.75486111111111109</v>
      </c>
      <c r="C562" s="7">
        <v>0.7729166666666667</v>
      </c>
      <c r="D562" s="7">
        <f>(0.772916666666667-0.754861111111111)</f>
        <v>1.8055555555556047E-2</v>
      </c>
      <c r="E562" s="7">
        <f>ABS(0.018055555555556-0.0159722222222229)</f>
        <v>2.0833333333331004E-3</v>
      </c>
      <c r="F562" s="1" t="s">
        <v>10</v>
      </c>
    </row>
    <row r="563" spans="1:6" x14ac:dyDescent="0.25">
      <c r="A563" s="12">
        <v>42156</v>
      </c>
      <c r="B563" s="7">
        <v>0.80555555555555547</v>
      </c>
      <c r="C563" s="7">
        <v>0.82152777777777775</v>
      </c>
      <c r="D563" s="7">
        <f>(0.821527777777778-0.805555555555555)</f>
        <v>1.5972222222222943E-2</v>
      </c>
      <c r="E563" s="7"/>
      <c r="F563" s="1" t="s">
        <v>10</v>
      </c>
    </row>
    <row r="564" spans="1:6" x14ac:dyDescent="0.25">
      <c r="A564" s="12">
        <v>42156</v>
      </c>
      <c r="B564" s="7">
        <v>0.4375</v>
      </c>
      <c r="C564" s="7">
        <v>0.4513888888888889</v>
      </c>
      <c r="D564" s="7">
        <f>(0.451388888888889-0.4375)</f>
        <v>1.3888888888889006E-2</v>
      </c>
      <c r="E564" s="7">
        <f>ABS(0.013888888888889-0.0138888888888881)</f>
        <v>8.9858676055598607E-16</v>
      </c>
      <c r="F564" s="1" t="s">
        <v>8</v>
      </c>
    </row>
    <row r="565" spans="1:6" x14ac:dyDescent="0.25">
      <c r="A565" s="12">
        <v>42156</v>
      </c>
      <c r="B565" s="7">
        <v>0.66666666666666663</v>
      </c>
      <c r="C565" s="7">
        <v>0.68055555555555547</v>
      </c>
      <c r="D565" s="7">
        <f>(0.680555555555555-0.666666666666667)</f>
        <v>1.3888888888888062E-2</v>
      </c>
      <c r="E565" s="7">
        <f>ABS(0.0138888888888881-0.00694444444444497)</f>
        <v>6.9444444444431309E-3</v>
      </c>
      <c r="F565" s="1" t="s">
        <v>8</v>
      </c>
    </row>
    <row r="566" spans="1:6" x14ac:dyDescent="0.25">
      <c r="A566" s="12">
        <v>42156</v>
      </c>
      <c r="B566" s="7">
        <v>0.36736111111111108</v>
      </c>
      <c r="C566" s="7">
        <v>0.3743055555555555</v>
      </c>
      <c r="D566" s="7">
        <f>(0.374305555555556-0.367361111111111)</f>
        <v>6.9444444444449749E-3</v>
      </c>
      <c r="E566" s="7">
        <f>ABS(0.00694444444444497-0.00486111111111198)</f>
        <v>2.0833333333329894E-3</v>
      </c>
      <c r="F566" s="1" t="s">
        <v>8</v>
      </c>
    </row>
    <row r="567" spans="1:6" x14ac:dyDescent="0.25">
      <c r="A567" s="12">
        <v>42156</v>
      </c>
      <c r="B567" s="7">
        <v>0.36944444444444446</v>
      </c>
      <c r="C567" s="7">
        <v>0.3743055555555555</v>
      </c>
      <c r="D567" s="7">
        <f>(0.374305555555556-0.369444444444444)</f>
        <v>4.861111111111982E-3</v>
      </c>
      <c r="E567" s="7">
        <f>ABS(0.00486111111111198-0.0111111111111111)</f>
        <v>6.2499999999991191E-3</v>
      </c>
      <c r="F567" s="1" t="s">
        <v>8</v>
      </c>
    </row>
    <row r="568" spans="1:6" x14ac:dyDescent="0.25">
      <c r="A568" s="12">
        <v>42156</v>
      </c>
      <c r="B568" s="7">
        <v>0.88541666666666663</v>
      </c>
      <c r="C568" s="7">
        <v>0.8965277777777777</v>
      </c>
      <c r="D568" s="7">
        <f>(0.896527777777778-0.885416666666667)</f>
        <v>1.1111111111111072E-2</v>
      </c>
      <c r="E568" s="7">
        <f>ABS(0.0111111111111111-0.017361111111111)</f>
        <v>6.2499999999999015E-3</v>
      </c>
      <c r="F568" s="1" t="s">
        <v>8</v>
      </c>
    </row>
    <row r="569" spans="1:6" x14ac:dyDescent="0.25">
      <c r="A569" s="12">
        <v>42156</v>
      </c>
      <c r="B569" s="7">
        <v>0.63402777777777775</v>
      </c>
      <c r="C569" s="7">
        <v>0.65138888888888891</v>
      </c>
      <c r="D569" s="7">
        <f>(0.651388888888889-0.634027777777778)</f>
        <v>1.7361111111111049E-2</v>
      </c>
      <c r="E569" s="7">
        <f>ABS(0.017361111111111-0.0125)</f>
        <v>4.8611111111110002E-3</v>
      </c>
      <c r="F569" s="1" t="s">
        <v>8</v>
      </c>
    </row>
    <row r="570" spans="1:6" x14ac:dyDescent="0.25">
      <c r="A570" s="12">
        <v>42156</v>
      </c>
      <c r="B570" s="7">
        <v>0.3298611111111111</v>
      </c>
      <c r="C570" s="7">
        <v>0.34236111111111112</v>
      </c>
      <c r="D570" s="7">
        <f>(0.342361111111111-0.329861111111111)</f>
        <v>1.2500000000000011E-2</v>
      </c>
      <c r="E570" s="7">
        <f>ABS(0.0125-0.017361111111111)</f>
        <v>4.8611111111110002E-3</v>
      </c>
      <c r="F570" s="1" t="s">
        <v>8</v>
      </c>
    </row>
    <row r="571" spans="1:6" x14ac:dyDescent="0.25">
      <c r="A571" s="12">
        <v>42156</v>
      </c>
      <c r="B571" s="7">
        <v>0.47916666666666669</v>
      </c>
      <c r="C571" s="7">
        <v>0.49652777777777773</v>
      </c>
      <c r="D571" s="7">
        <f>(0.496527777777778-0.479166666666667)</f>
        <v>1.7361111111110994E-2</v>
      </c>
      <c r="E571" s="7">
        <f>ABS(0.017361111111111-0.029166666666667)</f>
        <v>1.1805555555555999E-2</v>
      </c>
      <c r="F571" s="1" t="s">
        <v>8</v>
      </c>
    </row>
    <row r="572" spans="1:6" x14ac:dyDescent="0.25">
      <c r="A572" s="12">
        <v>42156</v>
      </c>
      <c r="B572" s="7">
        <v>0.50972222222222219</v>
      </c>
      <c r="C572" s="7">
        <v>0.53888888888888886</v>
      </c>
      <c r="D572" s="7">
        <f>(0.538888888888889-0.509722222222222)</f>
        <v>2.9166666666667007E-2</v>
      </c>
      <c r="E572" s="7">
        <f>ABS(0.029166666666667-0.027083333333334)</f>
        <v>2.0833333333329998E-3</v>
      </c>
      <c r="F572" s="1" t="s">
        <v>8</v>
      </c>
    </row>
    <row r="573" spans="1:6" x14ac:dyDescent="0.25">
      <c r="A573" s="12">
        <v>42156</v>
      </c>
      <c r="B573" s="7">
        <v>0.94861111111111107</v>
      </c>
      <c r="C573" s="7">
        <v>0.97569444444444453</v>
      </c>
      <c r="D573" s="7">
        <f>(0.975694444444445-0.948611111111111)</f>
        <v>2.7083333333334014E-2</v>
      </c>
      <c r="E573" s="7">
        <f>ABS(0.027083333333334-0.0173611111111109)</f>
        <v>9.7222222222231001E-3</v>
      </c>
      <c r="F573" s="1" t="s">
        <v>8</v>
      </c>
    </row>
    <row r="574" spans="1:6" x14ac:dyDescent="0.25">
      <c r="A574" s="12">
        <v>42156</v>
      </c>
      <c r="B574" s="7">
        <v>0.93402777777777779</v>
      </c>
      <c r="C574" s="7">
        <v>0.95138888888888884</v>
      </c>
      <c r="D574" s="7">
        <f>(0.951388888888889-0.934027777777778)</f>
        <v>1.7361111111110938E-2</v>
      </c>
      <c r="E574" s="7">
        <f>ABS(0.0173611111111109-0.013194444444444)</f>
        <v>4.1666666666668999E-3</v>
      </c>
      <c r="F574" s="1" t="s">
        <v>8</v>
      </c>
    </row>
    <row r="575" spans="1:6" x14ac:dyDescent="0.25">
      <c r="A575" s="12">
        <v>42156</v>
      </c>
      <c r="B575" s="7">
        <v>0.30416666666666664</v>
      </c>
      <c r="C575" s="7">
        <v>0.31736111111111115</v>
      </c>
      <c r="D575" s="7">
        <f>(0.317361111111111-0.304166666666667)</f>
        <v>1.3194444444444009E-2</v>
      </c>
      <c r="E575" s="7">
        <f>ABS(0.013194444444444-0.011805555555556)</f>
        <v>1.388888888888001E-3</v>
      </c>
      <c r="F575" s="1" t="s">
        <v>8</v>
      </c>
    </row>
    <row r="576" spans="1:6" x14ac:dyDescent="0.25">
      <c r="A576" s="12">
        <v>42156</v>
      </c>
      <c r="B576" s="7">
        <v>0.89583333333333337</v>
      </c>
      <c r="C576" s="7">
        <v>0.90763888888888899</v>
      </c>
      <c r="D576" s="7">
        <f>(0.907638888888889-0.895833333333333)</f>
        <v>1.1805555555555958E-2</v>
      </c>
      <c r="E576" s="7">
        <f>ABS(0.011805555555556-0.0118055555555551)</f>
        <v>8.9858676055598607E-16</v>
      </c>
      <c r="F576" s="1" t="s">
        <v>8</v>
      </c>
    </row>
    <row r="577" spans="1:6" x14ac:dyDescent="0.25">
      <c r="A577" s="12">
        <v>42156</v>
      </c>
      <c r="B577" s="7">
        <v>0.82638888888888884</v>
      </c>
      <c r="C577" s="7">
        <v>0.83819444444444446</v>
      </c>
      <c r="D577" s="7">
        <f>(0.838194444444444-0.826388888888889)</f>
        <v>1.180555555555507E-2</v>
      </c>
      <c r="E577" s="7">
        <f>ABS(0.0118055555555551-0.0159722222222219)</f>
        <v>4.1666666666667976E-3</v>
      </c>
      <c r="F577" s="1" t="s">
        <v>8</v>
      </c>
    </row>
    <row r="578" spans="1:6" x14ac:dyDescent="0.25">
      <c r="A578" s="12">
        <v>42156</v>
      </c>
      <c r="B578" s="7">
        <v>0.89374999999999993</v>
      </c>
      <c r="C578" s="7">
        <v>0.90972222222222221</v>
      </c>
      <c r="D578" s="7">
        <f>(0.909722222222222-0.89375)</f>
        <v>1.5972222222221943E-2</v>
      </c>
      <c r="E578" s="7"/>
      <c r="F578" s="1" t="s">
        <v>8</v>
      </c>
    </row>
    <row r="579" spans="1:6" x14ac:dyDescent="0.25">
      <c r="A579" s="12">
        <v>42156</v>
      </c>
      <c r="B579" s="7">
        <v>0.28055555555555556</v>
      </c>
      <c r="C579" s="7">
        <v>0.30277777777777776</v>
      </c>
      <c r="D579" s="7">
        <f>(0.302777777777778-0.280555555555556)</f>
        <v>2.2222222222221977E-2</v>
      </c>
      <c r="E579" s="7">
        <f>ABS(0.022222222222222-0.0236111111111111)</f>
        <v>1.3888888888890991E-3</v>
      </c>
      <c r="F579" s="1" t="s">
        <v>11</v>
      </c>
    </row>
    <row r="580" spans="1:6" x14ac:dyDescent="0.25">
      <c r="A580" s="12">
        <v>42156</v>
      </c>
      <c r="B580" s="7">
        <v>2.4305555555555556E-2</v>
      </c>
      <c r="C580" s="7">
        <v>4.7916666666666663E-2</v>
      </c>
      <c r="D580" s="7">
        <f>(0.0479166666666667-0.0243055555555556)</f>
        <v>2.3611111111111097E-2</v>
      </c>
      <c r="E580" s="7">
        <f>ABS(0.0236111111111111-0.0229166666666669)</f>
        <v>6.9444444444419912E-4</v>
      </c>
      <c r="F580" s="1" t="s">
        <v>11</v>
      </c>
    </row>
    <row r="581" spans="1:6" x14ac:dyDescent="0.25">
      <c r="A581" s="12">
        <v>42156</v>
      </c>
      <c r="B581" s="7">
        <v>0.51874999999999993</v>
      </c>
      <c r="C581" s="7">
        <v>0.54166666666666663</v>
      </c>
      <c r="D581" s="7">
        <f>(0.541666666666667-0.51875)</f>
        <v>2.2916666666666918E-2</v>
      </c>
      <c r="E581" s="7">
        <f>ABS(0.0229166666666669-0.028472222222222)</f>
        <v>5.5555555555550987E-3</v>
      </c>
      <c r="F581" s="1" t="s">
        <v>11</v>
      </c>
    </row>
    <row r="582" spans="1:6" x14ac:dyDescent="0.25">
      <c r="A582" s="12">
        <v>42156</v>
      </c>
      <c r="B582" s="7">
        <v>0.57638888888888895</v>
      </c>
      <c r="C582" s="7">
        <v>0.60486111111111118</v>
      </c>
      <c r="D582" s="7">
        <f>(0.604861111111111-0.576388888888889)</f>
        <v>2.847222222222201E-2</v>
      </c>
      <c r="E582" s="7">
        <f>ABS(0.028472222222222-0.0166666666666671)</f>
        <v>1.18055555555549E-2</v>
      </c>
      <c r="F582" s="1" t="s">
        <v>11</v>
      </c>
    </row>
    <row r="583" spans="1:6" x14ac:dyDescent="0.25">
      <c r="A583" s="12">
        <v>42156</v>
      </c>
      <c r="B583" s="7">
        <v>0.59444444444444444</v>
      </c>
      <c r="C583" s="7">
        <v>0.61111111111111105</v>
      </c>
      <c r="D583" s="7">
        <f>(0.611111111111111-0.594444444444444)</f>
        <v>1.6666666666667052E-2</v>
      </c>
      <c r="E583" s="7">
        <f>ABS(0.0166666666666671-0.019444444444445)</f>
        <v>2.7777777777778997E-3</v>
      </c>
      <c r="F583" s="1" t="s">
        <v>11</v>
      </c>
    </row>
    <row r="584" spans="1:6" x14ac:dyDescent="0.25">
      <c r="A584" s="12">
        <v>42156</v>
      </c>
      <c r="B584" s="7">
        <v>0.84236111111111101</v>
      </c>
      <c r="C584" s="7">
        <v>0.8618055555555556</v>
      </c>
      <c r="D584" s="7">
        <f>(0.861805555555556-0.842361111111111)</f>
        <v>1.9444444444445041E-2</v>
      </c>
      <c r="E584" s="7">
        <f>ABS(0.019444444444445-0.024305555555556)</f>
        <v>4.8611111111110002E-3</v>
      </c>
      <c r="F584" s="1" t="s">
        <v>11</v>
      </c>
    </row>
    <row r="585" spans="1:6" x14ac:dyDescent="0.25">
      <c r="A585" s="12">
        <v>42156</v>
      </c>
      <c r="B585" s="7">
        <v>0.43333333333333335</v>
      </c>
      <c r="C585" s="7">
        <v>0.45763888888888887</v>
      </c>
      <c r="D585" s="7">
        <f>(0.457638888888889-0.433333333333333)</f>
        <v>2.4305555555555969E-2</v>
      </c>
      <c r="E585" s="7">
        <f>ABS(0.024305555555556-0.020138888888889)</f>
        <v>4.1666666666669988E-3</v>
      </c>
      <c r="F585" s="1" t="s">
        <v>11</v>
      </c>
    </row>
    <row r="586" spans="1:6" x14ac:dyDescent="0.25">
      <c r="A586" s="12">
        <v>42156</v>
      </c>
      <c r="B586" s="7">
        <v>0.45069444444444445</v>
      </c>
      <c r="C586" s="7">
        <v>0.47083333333333338</v>
      </c>
      <c r="D586" s="7">
        <f>(0.470833333333333-0.450694444444444)</f>
        <v>2.0138888888888984E-2</v>
      </c>
      <c r="E586" s="7">
        <f>ABS(0.020138888888889-0.022916666666667)</f>
        <v>2.7777777777780004E-3</v>
      </c>
      <c r="F586" s="1" t="s">
        <v>11</v>
      </c>
    </row>
    <row r="587" spans="1:6" x14ac:dyDescent="0.25">
      <c r="A587" s="12">
        <v>42156</v>
      </c>
      <c r="B587" s="7">
        <v>0.67013888888888884</v>
      </c>
      <c r="C587" s="7">
        <v>0.69305555555555554</v>
      </c>
      <c r="D587" s="7">
        <f>(0.693055555555556-0.670138888888889)</f>
        <v>2.2916666666667029E-2</v>
      </c>
      <c r="E587" s="7">
        <f>ABS(0.022916666666667-0.017361111111111)</f>
        <v>5.5555555555560007E-3</v>
      </c>
      <c r="F587" s="1" t="s">
        <v>11</v>
      </c>
    </row>
    <row r="588" spans="1:6" x14ac:dyDescent="0.25">
      <c r="A588" s="12">
        <v>42156</v>
      </c>
      <c r="B588" s="7">
        <v>0.88888888888888884</v>
      </c>
      <c r="C588" s="7">
        <v>0.90625</v>
      </c>
      <c r="D588" s="7">
        <f>(0.90625-0.888888888888889)</f>
        <v>1.7361111111111049E-2</v>
      </c>
      <c r="E588" s="7">
        <f>ABS(0.017361111111111-0.025)</f>
        <v>7.6388888888890005E-3</v>
      </c>
      <c r="F588" s="1" t="s">
        <v>11</v>
      </c>
    </row>
    <row r="589" spans="1:6" x14ac:dyDescent="0.25">
      <c r="A589" s="12">
        <v>42156</v>
      </c>
      <c r="B589" s="7">
        <v>0.49583333333333335</v>
      </c>
      <c r="C589" s="7">
        <v>0.52083333333333337</v>
      </c>
      <c r="D589" s="7">
        <f>(0.520833333333333-0.495833333333333)</f>
        <v>2.5000000000000022E-2</v>
      </c>
      <c r="E589" s="7">
        <f>ABS(0.025-0.0194444444444449)</f>
        <v>5.5555555555551021E-3</v>
      </c>
      <c r="F589" s="1" t="s">
        <v>11</v>
      </c>
    </row>
    <row r="590" spans="1:6" x14ac:dyDescent="0.25">
      <c r="A590" s="12">
        <v>42156</v>
      </c>
      <c r="B590" s="7">
        <v>0.89583333333333337</v>
      </c>
      <c r="C590" s="7">
        <v>0.91527777777777775</v>
      </c>
      <c r="D590" s="7">
        <f>(0.915277777777778-0.895833333333333)</f>
        <v>1.944444444444493E-2</v>
      </c>
      <c r="E590" s="7">
        <f>ABS(0.0194444444444449-0.023611111111111)</f>
        <v>4.1666666666661002E-3</v>
      </c>
      <c r="F590" s="1" t="s">
        <v>11</v>
      </c>
    </row>
    <row r="591" spans="1:6" x14ac:dyDescent="0.25">
      <c r="A591" s="12">
        <v>42156</v>
      </c>
      <c r="B591" s="7">
        <v>0.28055555555555556</v>
      </c>
      <c r="C591" s="7">
        <v>0.30416666666666664</v>
      </c>
      <c r="D591" s="7">
        <f>(0.304166666666667-0.280555555555556)</f>
        <v>2.3611111111110972E-2</v>
      </c>
      <c r="E591" s="7">
        <f>ABS(0.023611111111111-0.01875)</f>
        <v>4.8611111111110002E-3</v>
      </c>
      <c r="F591" s="1" t="s">
        <v>11</v>
      </c>
    </row>
    <row r="592" spans="1:6" x14ac:dyDescent="0.25">
      <c r="A592" s="12">
        <v>42156</v>
      </c>
      <c r="B592" s="7">
        <v>0.26180555555555557</v>
      </c>
      <c r="C592" s="7">
        <v>0.28055555555555556</v>
      </c>
      <c r="D592" s="7">
        <f>(0.280555555555556-0.261805555555556)</f>
        <v>1.8749999999999989E-2</v>
      </c>
      <c r="E592" s="7">
        <f>ABS(0.01875-0.022916666666667)</f>
        <v>4.1666666666670023E-3</v>
      </c>
      <c r="F592" s="1" t="s">
        <v>11</v>
      </c>
    </row>
    <row r="593" spans="1:6" x14ac:dyDescent="0.25">
      <c r="A593" s="12">
        <v>42156</v>
      </c>
      <c r="B593" s="7">
        <v>0.47222222222222227</v>
      </c>
      <c r="C593" s="7">
        <v>0.49513888888888885</v>
      </c>
      <c r="D593" s="7">
        <f>(0.495138888888889-0.472222222222222)</f>
        <v>2.2916666666667029E-2</v>
      </c>
      <c r="E593" s="7">
        <f>ABS(0.022916666666667-0.020138888888889)</f>
        <v>2.7777777777780004E-3</v>
      </c>
      <c r="F593" s="1" t="s">
        <v>11</v>
      </c>
    </row>
    <row r="594" spans="1:6" x14ac:dyDescent="0.25">
      <c r="A594" s="12">
        <v>42156</v>
      </c>
      <c r="B594" s="7">
        <v>0.54097222222222219</v>
      </c>
      <c r="C594" s="7">
        <v>0.56111111111111112</v>
      </c>
      <c r="D594" s="7">
        <f>(0.561111111111111-0.540972222222222)</f>
        <v>2.0138888888889039E-2</v>
      </c>
      <c r="E594" s="7">
        <f>ABS(0.020138888888889-0.0138888888888891)</f>
        <v>6.2499999999999015E-3</v>
      </c>
      <c r="F594" s="1" t="s">
        <v>11</v>
      </c>
    </row>
    <row r="595" spans="1:6" x14ac:dyDescent="0.25">
      <c r="A595" s="12">
        <v>42156</v>
      </c>
      <c r="B595" s="7">
        <v>0.88750000000000007</v>
      </c>
      <c r="C595" s="7">
        <v>0.90138888888888891</v>
      </c>
      <c r="D595" s="7">
        <f>(0.901388888888889-0.8875)</f>
        <v>1.3888888888889062E-2</v>
      </c>
      <c r="E595" s="7">
        <f>ABS(0.0138888888888891-0.0166666666666669)</f>
        <v>2.7777777777777991E-3</v>
      </c>
      <c r="F595" s="1" t="s">
        <v>11</v>
      </c>
    </row>
    <row r="596" spans="1:6" x14ac:dyDescent="0.25">
      <c r="A596" s="12">
        <v>42156</v>
      </c>
      <c r="B596" s="7">
        <v>0.67361111111111116</v>
      </c>
      <c r="C596" s="7">
        <v>0.69027777777777777</v>
      </c>
      <c r="D596" s="7">
        <f>(0.690277777777778-0.673611111111111)</f>
        <v>1.6666666666666941E-2</v>
      </c>
      <c r="E596" s="7">
        <f>ABS(0.0166666666666669-0.0229166666666659)</f>
        <v>6.2499999999989994E-3</v>
      </c>
      <c r="F596" s="1" t="s">
        <v>11</v>
      </c>
    </row>
    <row r="597" spans="1:6" x14ac:dyDescent="0.25">
      <c r="A597" s="12">
        <v>42156</v>
      </c>
      <c r="B597" s="7">
        <v>0.7090277777777777</v>
      </c>
      <c r="C597" s="7">
        <v>0.7319444444444444</v>
      </c>
      <c r="D597" s="7">
        <f>(0.731944444444444-0.709027777777778)</f>
        <v>2.2916666666665919E-2</v>
      </c>
      <c r="E597" s="7">
        <f>ABS(0.0229166666666659-0.027777777777778)</f>
        <v>4.8611111111121E-3</v>
      </c>
      <c r="F597" s="1" t="s">
        <v>11</v>
      </c>
    </row>
    <row r="598" spans="1:6" x14ac:dyDescent="0.25">
      <c r="A598" s="12">
        <v>42156</v>
      </c>
      <c r="B598" s="7">
        <v>0.72777777777777775</v>
      </c>
      <c r="C598" s="7">
        <v>0.75555555555555554</v>
      </c>
      <c r="D598" s="7">
        <f>(0.755555555555556-0.727777777777778)</f>
        <v>2.7777777777778012E-2</v>
      </c>
      <c r="E598" s="7">
        <f>ABS(0.027777777777778-0.027083333333333)</f>
        <v>6.9444444444499709E-4</v>
      </c>
      <c r="F598" s="1" t="s">
        <v>11</v>
      </c>
    </row>
    <row r="599" spans="1:6" x14ac:dyDescent="0.25">
      <c r="A599" s="12">
        <v>42156</v>
      </c>
      <c r="B599" s="7">
        <v>0.94236111111111109</v>
      </c>
      <c r="C599" s="7">
        <v>0.96944444444444444</v>
      </c>
      <c r="D599" s="7">
        <f>(0.969444444444444-0.942361111111111)</f>
        <v>2.7083333333333015E-2</v>
      </c>
      <c r="E599" s="7">
        <f>ABS(0.027083333333333-0.0270833333333337)</f>
        <v>6.9735883734267645E-16</v>
      </c>
      <c r="F599" s="1" t="s">
        <v>11</v>
      </c>
    </row>
    <row r="600" spans="1:6" x14ac:dyDescent="0.25">
      <c r="A600" s="12">
        <v>42156</v>
      </c>
      <c r="B600" s="7">
        <v>8.3333333333333329E-2</v>
      </c>
      <c r="C600" s="7">
        <v>0.11041666666666666</v>
      </c>
      <c r="D600" s="7">
        <f>(0.110416666666667-0.0833333333333333)</f>
        <v>2.7083333333333695E-2</v>
      </c>
      <c r="E600" s="7">
        <f>ABS(0.0270833333333337-0.03125)</f>
        <v>4.1666666666663014E-3</v>
      </c>
      <c r="F600" s="1" t="s">
        <v>11</v>
      </c>
    </row>
    <row r="601" spans="1:6" x14ac:dyDescent="0.25">
      <c r="A601" s="12">
        <v>42156</v>
      </c>
      <c r="B601" s="7">
        <v>0.1423611111111111</v>
      </c>
      <c r="C601" s="7">
        <v>0.17361111111111113</v>
      </c>
      <c r="D601" s="7">
        <f>(0.173611111111111-0.142361111111111)</f>
        <v>3.125E-2</v>
      </c>
      <c r="E601" s="7">
        <f>ABS(0.03125-0.023611111111111)</f>
        <v>7.6388888888890005E-3</v>
      </c>
      <c r="F601" s="1" t="s">
        <v>11</v>
      </c>
    </row>
    <row r="602" spans="1:6" x14ac:dyDescent="0.25">
      <c r="A602" s="12">
        <v>42156</v>
      </c>
      <c r="B602" s="7">
        <v>0.20833333333333334</v>
      </c>
      <c r="C602" s="7">
        <v>0.23194444444444443</v>
      </c>
      <c r="D602" s="7">
        <f>(0.231944444444444-0.208333333333333)</f>
        <v>2.3611111111110999E-2</v>
      </c>
      <c r="E602" s="7">
        <f>ABS(0.023611111111111-0.01875)</f>
        <v>4.8611111111110002E-3</v>
      </c>
      <c r="F602" s="1" t="s">
        <v>11</v>
      </c>
    </row>
    <row r="603" spans="1:6" x14ac:dyDescent="0.25">
      <c r="A603" s="12">
        <v>42156</v>
      </c>
      <c r="B603" s="7">
        <v>0.60069444444444442</v>
      </c>
      <c r="C603" s="7">
        <v>0.61944444444444446</v>
      </c>
      <c r="D603" s="7">
        <f>(0.619444444444444-0.600694444444444)</f>
        <v>1.8750000000000044E-2</v>
      </c>
      <c r="E603" s="7">
        <f>ABS(0.01875-0.102777777777778)</f>
        <v>8.4027777777777993E-2</v>
      </c>
      <c r="F603" s="1" t="s">
        <v>11</v>
      </c>
    </row>
    <row r="604" spans="1:6" x14ac:dyDescent="0.25">
      <c r="A604" s="12">
        <v>42156</v>
      </c>
      <c r="B604" s="7">
        <v>0.67847222222222225</v>
      </c>
      <c r="C604" s="7">
        <v>0.78125</v>
      </c>
      <c r="D604" s="7">
        <f>(0.78125-0.678472222222222)</f>
        <v>0.10277777777777797</v>
      </c>
      <c r="E604" s="7">
        <f>ABS(0.102777777777778-0.0277777777777778)</f>
        <v>7.5000000000000192E-2</v>
      </c>
      <c r="F604" s="1" t="s">
        <v>11</v>
      </c>
    </row>
    <row r="605" spans="1:6" x14ac:dyDescent="0.25">
      <c r="A605" s="12">
        <v>42156</v>
      </c>
      <c r="B605" s="7">
        <v>3.3333333333333333E-2</v>
      </c>
      <c r="C605" s="7">
        <v>6.1111111111111116E-2</v>
      </c>
      <c r="D605" s="7">
        <f>(0.0611111111111111-0.0333333333333333)</f>
        <v>2.7777777777777804E-2</v>
      </c>
      <c r="E605" s="7">
        <f>ABS(0.0277777777777778-0.020833333333333)</f>
        <v>6.9444444444448014E-3</v>
      </c>
      <c r="F605" s="1" t="s">
        <v>11</v>
      </c>
    </row>
    <row r="606" spans="1:6" x14ac:dyDescent="0.25">
      <c r="A606" s="12">
        <v>42156</v>
      </c>
      <c r="B606" s="7">
        <v>0.34166666666666662</v>
      </c>
      <c r="C606" s="7">
        <v>0.36249999999999999</v>
      </c>
      <c r="D606" s="7">
        <f>(0.3625-0.341666666666667)</f>
        <v>2.0833333333332982E-2</v>
      </c>
      <c r="E606" s="7">
        <f>ABS(0.020833333333333-0.031944444444445)</f>
        <v>1.1111111111111998E-2</v>
      </c>
      <c r="F606" s="1" t="s">
        <v>11</v>
      </c>
    </row>
    <row r="607" spans="1:6" x14ac:dyDescent="0.25">
      <c r="A607" s="12">
        <v>42156</v>
      </c>
      <c r="B607" s="7">
        <v>0.41597222222222219</v>
      </c>
      <c r="C607" s="7">
        <v>0.44791666666666669</v>
      </c>
      <c r="D607" s="7">
        <f>(0.447916666666667-0.415972222222222)</f>
        <v>3.1944444444444997E-2</v>
      </c>
      <c r="E607" s="7">
        <f>ABS(0.031944444444445-0.026388888888889)</f>
        <v>5.5555555555559973E-3</v>
      </c>
      <c r="F607" s="1" t="s">
        <v>11</v>
      </c>
    </row>
    <row r="608" spans="1:6" x14ac:dyDescent="0.25">
      <c r="A608" s="12">
        <v>42156</v>
      </c>
      <c r="B608" s="7">
        <v>0.71875</v>
      </c>
      <c r="C608" s="7">
        <v>0.74513888888888891</v>
      </c>
      <c r="D608" s="7">
        <f>(0.745138888888889-0.71875)</f>
        <v>2.6388888888889017E-2</v>
      </c>
      <c r="E608" s="7">
        <f>ABS(0.026388888888889-0.025694444444445)</f>
        <v>6.9444444444400136E-4</v>
      </c>
      <c r="F608" s="1" t="s">
        <v>11</v>
      </c>
    </row>
    <row r="609" spans="1:6" x14ac:dyDescent="0.25">
      <c r="A609" s="12">
        <v>42156</v>
      </c>
      <c r="B609" s="7">
        <v>0.82500000000000007</v>
      </c>
      <c r="C609" s="7">
        <v>0.85069444444444453</v>
      </c>
      <c r="D609" s="7">
        <f>(0.850694444444445-0.825)</f>
        <v>2.5694444444445019E-2</v>
      </c>
      <c r="E609" s="7">
        <f>ABS(0.025694444444445-0.0368055555555559)</f>
        <v>1.1111111111110898E-2</v>
      </c>
      <c r="F609" s="1" t="s">
        <v>11</v>
      </c>
    </row>
    <row r="610" spans="1:6" x14ac:dyDescent="0.25">
      <c r="A610" s="12">
        <v>42156</v>
      </c>
      <c r="B610" s="7">
        <v>8.6111111111111124E-2</v>
      </c>
      <c r="C610" s="7">
        <v>0.12291666666666667</v>
      </c>
      <c r="D610" s="7">
        <f>(0.122916666666667-0.0861111111111111)</f>
        <v>3.6805555555555897E-2</v>
      </c>
      <c r="E610" s="7">
        <f>ABS(0.0368055555555559-0.020833333333333)</f>
        <v>1.5972222222222898E-2</v>
      </c>
      <c r="F610" s="1" t="s">
        <v>11</v>
      </c>
    </row>
    <row r="611" spans="1:6" x14ac:dyDescent="0.25">
      <c r="A611" s="12">
        <v>42156</v>
      </c>
      <c r="B611" s="7">
        <v>0.47430555555555554</v>
      </c>
      <c r="C611" s="7">
        <v>0.49513888888888885</v>
      </c>
      <c r="D611" s="7">
        <f>(0.495138888888889-0.474305555555556)</f>
        <v>2.0833333333333037E-2</v>
      </c>
      <c r="E611" s="7">
        <f>ABS(0.020833333333333-0.031944444444445)</f>
        <v>1.1111111111111998E-2</v>
      </c>
      <c r="F611" s="1" t="s">
        <v>11</v>
      </c>
    </row>
    <row r="612" spans="1:6" x14ac:dyDescent="0.25">
      <c r="A612" s="12">
        <v>42156</v>
      </c>
      <c r="B612" s="7">
        <v>0.63472222222222219</v>
      </c>
      <c r="C612" s="7">
        <v>0.66666666666666663</v>
      </c>
      <c r="D612" s="7">
        <f>(0.666666666666667-0.634722222222222)</f>
        <v>3.1944444444444997E-2</v>
      </c>
      <c r="E612" s="7">
        <f>ABS(0.031944444444445-0.03125)</f>
        <v>6.9444444444499709E-4</v>
      </c>
      <c r="F612" s="1" t="s">
        <v>11</v>
      </c>
    </row>
    <row r="613" spans="1:6" x14ac:dyDescent="0.25">
      <c r="A613" s="12">
        <v>42156</v>
      </c>
      <c r="B613" s="7">
        <v>0.76180555555555562</v>
      </c>
      <c r="C613" s="7">
        <v>0.79305555555555562</v>
      </c>
      <c r="D613" s="7">
        <f>(0.793055555555556-0.761805555555556)</f>
        <v>3.125E-2</v>
      </c>
      <c r="E613" s="7">
        <f>ABS(0.03125-0.02291666666667)</f>
        <v>8.3333333333300008E-3</v>
      </c>
      <c r="F613" s="1" t="s">
        <v>11</v>
      </c>
    </row>
    <row r="614" spans="1:6" x14ac:dyDescent="0.25">
      <c r="A614" s="12">
        <v>42156</v>
      </c>
      <c r="B614" s="7">
        <v>1.0125</v>
      </c>
      <c r="C614" s="7">
        <v>1.0354166666666667</v>
      </c>
      <c r="D614" s="7">
        <f>(1.03541666666667-1.0125)</f>
        <v>2.2916666666670027E-2</v>
      </c>
      <c r="E614" s="7">
        <f>ABS(0.02291666666667-0.0215277777777779)</f>
        <v>1.3888888888921001E-3</v>
      </c>
      <c r="F614" s="1" t="s">
        <v>11</v>
      </c>
    </row>
    <row r="615" spans="1:6" x14ac:dyDescent="0.25">
      <c r="A615" s="12">
        <v>42156</v>
      </c>
      <c r="B615" s="7">
        <v>0.95416666666666661</v>
      </c>
      <c r="C615" s="7">
        <v>0.97569444444444453</v>
      </c>
      <c r="D615" s="7">
        <f>(0.975694444444445-0.954166666666667)</f>
        <v>2.1527777777777923E-2</v>
      </c>
      <c r="E615" s="7">
        <f>ABS(0.0215277777777779-0.030555555555555)</f>
        <v>9.0277777777771004E-3</v>
      </c>
      <c r="F615" s="1" t="s">
        <v>11</v>
      </c>
    </row>
    <row r="616" spans="1:6" x14ac:dyDescent="0.25">
      <c r="A616" s="12">
        <v>42156</v>
      </c>
      <c r="B616" s="7">
        <v>0.49791666666666662</v>
      </c>
      <c r="C616" s="7">
        <v>0.52847222222222223</v>
      </c>
      <c r="D616" s="7">
        <f>(0.528472222222222-0.497916666666667)</f>
        <v>3.0555555555555003E-2</v>
      </c>
      <c r="E616" s="7">
        <f>ABS(0.030555555555555-0.011111111111112)</f>
        <v>1.9444444444443001E-2</v>
      </c>
      <c r="F616" s="1" t="s">
        <v>11</v>
      </c>
    </row>
    <row r="617" spans="1:6" x14ac:dyDescent="0.25">
      <c r="A617" s="12">
        <v>42156</v>
      </c>
      <c r="B617" s="7">
        <v>0.77708333333333324</v>
      </c>
      <c r="C617" s="7">
        <v>0.78819444444444453</v>
      </c>
      <c r="D617" s="7">
        <f>(0.788194444444445-0.777083333333333)</f>
        <v>1.111111111111196E-2</v>
      </c>
      <c r="E617" s="7">
        <f>ABS(0.011111111111112-0.029166666666666)</f>
        <v>1.8055555555554E-2</v>
      </c>
      <c r="F617" s="1" t="s">
        <v>11</v>
      </c>
    </row>
    <row r="618" spans="1:6" x14ac:dyDescent="0.25">
      <c r="A618" s="12">
        <v>42156</v>
      </c>
      <c r="B618" s="7">
        <v>0.39652777777777781</v>
      </c>
      <c r="C618" s="7">
        <v>0.42569444444444443</v>
      </c>
      <c r="D618" s="7">
        <f>(0.425694444444444-0.396527777777778)</f>
        <v>2.9166666666666008E-2</v>
      </c>
      <c r="E618" s="7">
        <f>ABS(0.029166666666666-0.0152777777777779)</f>
        <v>1.3888888888888101E-2</v>
      </c>
      <c r="F618" s="1" t="s">
        <v>11</v>
      </c>
    </row>
    <row r="619" spans="1:6" x14ac:dyDescent="0.25">
      <c r="A619" s="12">
        <v>42156</v>
      </c>
      <c r="B619" s="7">
        <v>0.77708333333333324</v>
      </c>
      <c r="C619" s="7">
        <v>0.79236111111111107</v>
      </c>
      <c r="D619" s="7">
        <f>(0.792361111111111-0.777083333333333)</f>
        <v>1.5277777777777946E-2</v>
      </c>
      <c r="E619" s="7">
        <f>ABS(0.0152777777777779-0.0138888888888881)</f>
        <v>1.3888888888897999E-3</v>
      </c>
      <c r="F619" s="1" t="s">
        <v>11</v>
      </c>
    </row>
    <row r="620" spans="1:6" x14ac:dyDescent="0.25">
      <c r="A620" s="12">
        <v>42156</v>
      </c>
      <c r="B620" s="7">
        <v>0.88194444444444453</v>
      </c>
      <c r="C620" s="7">
        <v>0.89583333333333337</v>
      </c>
      <c r="D620" s="7">
        <f>(0.895833333333333-0.881944444444445)</f>
        <v>1.3888888888888062E-2</v>
      </c>
      <c r="E620" s="7">
        <f>ABS(0.0138888888888881-0.019444444444444)</f>
        <v>5.5555555555559001E-3</v>
      </c>
      <c r="F620" s="1" t="s">
        <v>11</v>
      </c>
    </row>
    <row r="621" spans="1:6" x14ac:dyDescent="0.25">
      <c r="A621" s="12">
        <v>42156</v>
      </c>
      <c r="B621" s="7">
        <v>0.35416666666666669</v>
      </c>
      <c r="C621" s="7">
        <v>0.37361111111111112</v>
      </c>
      <c r="D621" s="7">
        <f>(0.373611111111111-0.354166666666667)</f>
        <v>1.9444444444443987E-2</v>
      </c>
      <c r="E621" s="7">
        <f>ABS(0.019444444444444-0.03125)</f>
        <v>1.1805555555555999E-2</v>
      </c>
      <c r="F621" s="1" t="s">
        <v>11</v>
      </c>
    </row>
    <row r="622" spans="1:6" x14ac:dyDescent="0.25">
      <c r="A622" s="12">
        <v>42156</v>
      </c>
      <c r="B622" s="7">
        <v>0.56944444444444442</v>
      </c>
      <c r="C622" s="7">
        <v>0.60069444444444442</v>
      </c>
      <c r="D622" s="7">
        <f>(0.600694444444444-0.569444444444444)</f>
        <v>3.125E-2</v>
      </c>
      <c r="E622" s="7">
        <f>ABS(0.03125-0.025694444444444)</f>
        <v>5.5555555555560007E-3</v>
      </c>
      <c r="F622" s="1" t="s">
        <v>11</v>
      </c>
    </row>
    <row r="623" spans="1:6" x14ac:dyDescent="0.25">
      <c r="A623" s="12">
        <v>42156</v>
      </c>
      <c r="B623" s="7">
        <v>0.57500000000000007</v>
      </c>
      <c r="C623" s="7">
        <v>0.60069444444444442</v>
      </c>
      <c r="D623" s="7">
        <f>(0.600694444444444-0.575)</f>
        <v>2.569444444444402E-2</v>
      </c>
      <c r="E623" s="7">
        <f>ABS(0.025694444444444-0.0222222222222229)</f>
        <v>3.4722222222210997E-3</v>
      </c>
      <c r="F623" s="1" t="s">
        <v>11</v>
      </c>
    </row>
    <row r="624" spans="1:6" x14ac:dyDescent="0.25">
      <c r="A624" s="12">
        <v>42156</v>
      </c>
      <c r="B624" s="7">
        <v>0.79722222222222217</v>
      </c>
      <c r="C624" s="7">
        <v>0.81944444444444453</v>
      </c>
      <c r="D624" s="7">
        <f>(0.819444444444445-0.797222222222222)</f>
        <v>2.222222222222292E-2</v>
      </c>
      <c r="E624" s="7">
        <f>ABS(0.0222222222222229-0.019444444444444)</f>
        <v>2.7777777777788989E-3</v>
      </c>
      <c r="F624" s="1" t="s">
        <v>11</v>
      </c>
    </row>
    <row r="625" spans="1:6" x14ac:dyDescent="0.25">
      <c r="A625" s="12">
        <v>42156</v>
      </c>
      <c r="B625" s="7">
        <v>0.77777777777777779</v>
      </c>
      <c r="C625" s="7">
        <v>0.79722222222222217</v>
      </c>
      <c r="D625" s="7">
        <f>(0.797222222222222-0.777777777777778)</f>
        <v>1.9444444444444042E-2</v>
      </c>
      <c r="E625" s="7">
        <f>ABS(0.019444444444444-0.023611111111111)</f>
        <v>4.1666666666669988E-3</v>
      </c>
      <c r="F625" s="1" t="s">
        <v>11</v>
      </c>
    </row>
    <row r="626" spans="1:6" x14ac:dyDescent="0.25">
      <c r="A626" s="12">
        <v>42156</v>
      </c>
      <c r="B626" s="7">
        <v>0.37152777777777773</v>
      </c>
      <c r="C626" s="7">
        <v>0.39513888888888887</v>
      </c>
      <c r="D626" s="7">
        <f>(0.395138888888889-0.371527777777778)</f>
        <v>2.3611111111110972E-2</v>
      </c>
      <c r="E626" s="7">
        <f>ABS(0.023611111111111-0.023611111111111)</f>
        <v>0</v>
      </c>
      <c r="F626" s="1" t="s">
        <v>11</v>
      </c>
    </row>
    <row r="627" spans="1:6" x14ac:dyDescent="0.25">
      <c r="A627" s="12">
        <v>42156</v>
      </c>
      <c r="B627" s="7">
        <v>0.45208333333333334</v>
      </c>
      <c r="C627" s="7">
        <v>0.47569444444444442</v>
      </c>
      <c r="D627" s="7">
        <f>(0.475694444444444-0.452083333333333)</f>
        <v>2.3611111111110972E-2</v>
      </c>
      <c r="E627" s="7">
        <f>ABS(0.023611111111111-0.0118055555555551)</f>
        <v>1.1805555555555899E-2</v>
      </c>
      <c r="F627" s="1" t="s">
        <v>11</v>
      </c>
    </row>
    <row r="628" spans="1:6" x14ac:dyDescent="0.25">
      <c r="A628" s="12">
        <v>42156</v>
      </c>
      <c r="B628" s="7">
        <v>0.50555555555555554</v>
      </c>
      <c r="C628" s="7">
        <v>0.51736111111111105</v>
      </c>
      <c r="D628" s="7">
        <f>(0.517361111111111-0.505555555555556)</f>
        <v>1.180555555555507E-2</v>
      </c>
      <c r="E628" s="7">
        <f>ABS(0.0118055555555551-0.0270833333333339)</f>
        <v>1.5277777777778799E-2</v>
      </c>
      <c r="F628" s="1" t="s">
        <v>11</v>
      </c>
    </row>
    <row r="629" spans="1:6" x14ac:dyDescent="0.25">
      <c r="A629" s="12">
        <v>42156</v>
      </c>
      <c r="B629" s="7">
        <v>0.58194444444444449</v>
      </c>
      <c r="C629" s="7">
        <v>0.60902777777777783</v>
      </c>
      <c r="D629" s="7">
        <f>(0.609027777777778-0.581944444444444)</f>
        <v>2.7083333333333903E-2</v>
      </c>
      <c r="E629" s="7">
        <f>ABS(0.0270833333333339-0.01875)</f>
        <v>8.3333333333339005E-3</v>
      </c>
      <c r="F629" s="1" t="s">
        <v>11</v>
      </c>
    </row>
    <row r="630" spans="1:6" x14ac:dyDescent="0.25">
      <c r="A630" s="12">
        <v>42156</v>
      </c>
      <c r="B630" s="7">
        <v>0.65486111111111112</v>
      </c>
      <c r="C630" s="7">
        <v>0.67361111111111116</v>
      </c>
      <c r="D630" s="7">
        <f>(0.673611111111111-0.654861111111111)</f>
        <v>1.8750000000000044E-2</v>
      </c>
      <c r="E630" s="7">
        <f>ABS(0.01875-0.0347222222222231)</f>
        <v>1.5972222222223099E-2</v>
      </c>
      <c r="F630" s="1" t="s">
        <v>11</v>
      </c>
    </row>
    <row r="631" spans="1:6" x14ac:dyDescent="0.25">
      <c r="A631" s="12">
        <v>42156</v>
      </c>
      <c r="B631" s="7">
        <v>0.9194444444444444</v>
      </c>
      <c r="C631" s="7">
        <v>0.95416666666666661</v>
      </c>
      <c r="D631" s="7">
        <f>(0.954166666666667-0.919444444444444)</f>
        <v>3.4722222222223098E-2</v>
      </c>
      <c r="E631" s="7">
        <f>ABS(0.0347222222222231-0.020833333333334)</f>
        <v>1.38888888888891E-2</v>
      </c>
      <c r="F631" s="1" t="s">
        <v>11</v>
      </c>
    </row>
    <row r="632" spans="1:6" x14ac:dyDescent="0.25">
      <c r="A632" s="12">
        <v>42156</v>
      </c>
      <c r="B632" s="7">
        <v>0.93819444444444444</v>
      </c>
      <c r="C632" s="7">
        <v>0.9590277777777777</v>
      </c>
      <c r="D632" s="7">
        <f>(0.959027777777778-0.938194444444444)</f>
        <v>2.0833333333334036E-2</v>
      </c>
      <c r="E632" s="7">
        <f>ABS(0.020833333333334-0.029166666666667)</f>
        <v>8.3333333333330019E-3</v>
      </c>
      <c r="F632" s="1" t="s">
        <v>11</v>
      </c>
    </row>
    <row r="633" spans="1:6" x14ac:dyDescent="0.25">
      <c r="A633" s="12">
        <v>42156</v>
      </c>
      <c r="B633" s="7">
        <v>0.40972222222222227</v>
      </c>
      <c r="C633" s="7">
        <v>0.43888888888888888</v>
      </c>
      <c r="D633" s="7">
        <f>(0.438888888888889-0.409722222222222)</f>
        <v>2.9166666666667007E-2</v>
      </c>
      <c r="E633" s="7">
        <f>ABS(0.029166666666667-0.0229166666666669)</f>
        <v>6.2500000000000992E-3</v>
      </c>
      <c r="F633" s="1" t="s">
        <v>11</v>
      </c>
    </row>
    <row r="634" spans="1:6" x14ac:dyDescent="0.25">
      <c r="A634" s="12">
        <v>42156</v>
      </c>
      <c r="B634" s="7">
        <v>0.73958333333333337</v>
      </c>
      <c r="C634" s="7">
        <v>0.76250000000000007</v>
      </c>
      <c r="D634" s="7">
        <f>(0.7625-0.739583333333333)</f>
        <v>2.2916666666666918E-2</v>
      </c>
      <c r="E634" s="7">
        <f>ABS(0.0229166666666669-0.0215277777777779)</f>
        <v>1.3888888888890019E-3</v>
      </c>
      <c r="F634" s="1" t="s">
        <v>11</v>
      </c>
    </row>
    <row r="635" spans="1:6" x14ac:dyDescent="0.25">
      <c r="A635" s="12">
        <v>42156</v>
      </c>
      <c r="B635" s="7">
        <v>0.70416666666666661</v>
      </c>
      <c r="C635" s="7">
        <v>0.72569444444444453</v>
      </c>
      <c r="D635" s="7">
        <f>(0.725694444444445-0.704166666666667)</f>
        <v>2.1527777777777923E-2</v>
      </c>
      <c r="E635" s="7">
        <f>ABS(0.0215277777777779-0.013888888888889)</f>
        <v>7.6388888888888999E-3</v>
      </c>
      <c r="F635" s="1" t="s">
        <v>11</v>
      </c>
    </row>
    <row r="636" spans="1:6" x14ac:dyDescent="0.25">
      <c r="A636" s="12">
        <v>42156</v>
      </c>
      <c r="B636" s="7">
        <v>0.84027777777777779</v>
      </c>
      <c r="C636" s="7">
        <v>0.85416666666666663</v>
      </c>
      <c r="D636" s="7">
        <f>(0.854166666666667-0.840277777777778)</f>
        <v>1.3888888888888951E-2</v>
      </c>
      <c r="E636" s="7">
        <f>ABS(0.013888888888889-0.020833333333333)</f>
        <v>6.944444444444E-3</v>
      </c>
      <c r="F636" s="1" t="s">
        <v>11</v>
      </c>
    </row>
    <row r="637" spans="1:6" x14ac:dyDescent="0.25">
      <c r="A637" s="12">
        <v>42156</v>
      </c>
      <c r="B637" s="7">
        <v>0.88194444444444453</v>
      </c>
      <c r="C637" s="7">
        <v>0.90277777777777779</v>
      </c>
      <c r="D637" s="7">
        <f>(0.902777777777778-0.881944444444445)</f>
        <v>2.0833333333333037E-2</v>
      </c>
      <c r="E637" s="7">
        <f>ABS(0.020833333333333-0.027777777777778)</f>
        <v>6.9444444444449992E-3</v>
      </c>
      <c r="F637" s="1" t="s">
        <v>11</v>
      </c>
    </row>
    <row r="638" spans="1:6" x14ac:dyDescent="0.25">
      <c r="A638" s="12">
        <v>42156</v>
      </c>
      <c r="B638" s="7">
        <v>0.60138888888888886</v>
      </c>
      <c r="C638" s="7">
        <v>0.62916666666666665</v>
      </c>
      <c r="D638" s="7">
        <f>(0.629166666666667-0.601388888888889)</f>
        <v>2.7777777777778012E-2</v>
      </c>
      <c r="E638" s="7">
        <f>ABS(0.027777777777778-0.026388888888889)</f>
        <v>1.3888888888889984E-3</v>
      </c>
      <c r="F638" s="1" t="s">
        <v>11</v>
      </c>
    </row>
    <row r="639" spans="1:6" x14ac:dyDescent="0.25">
      <c r="A639" s="12">
        <v>42156</v>
      </c>
      <c r="B639" s="7">
        <v>0.67013888888888884</v>
      </c>
      <c r="C639" s="7">
        <v>0.69652777777777775</v>
      </c>
      <c r="D639" s="7">
        <f>(0.696527777777778-0.670138888888889)</f>
        <v>2.6388888888889017E-2</v>
      </c>
      <c r="E639" s="7">
        <f>ABS(0.026388888888889-0.024305555555555)</f>
        <v>2.083333333333999E-3</v>
      </c>
      <c r="F639" s="1" t="s">
        <v>11</v>
      </c>
    </row>
    <row r="640" spans="1:6" x14ac:dyDescent="0.25">
      <c r="A640" s="12">
        <v>42156</v>
      </c>
      <c r="B640" s="7">
        <v>0.80763888888888891</v>
      </c>
      <c r="C640" s="7">
        <v>0.83194444444444438</v>
      </c>
      <c r="D640" s="7">
        <f>(0.831944444444444-0.807638888888889)</f>
        <v>2.4305555555555025E-2</v>
      </c>
      <c r="E640" s="7">
        <f>ABS(0.024305555555555-0.0229166666666659)</f>
        <v>1.3888888888891025E-3</v>
      </c>
      <c r="F640" s="1" t="s">
        <v>11</v>
      </c>
    </row>
    <row r="641" spans="1:6" x14ac:dyDescent="0.25">
      <c r="A641" s="12">
        <v>42156</v>
      </c>
      <c r="B641" s="7">
        <v>0.8652777777777777</v>
      </c>
      <c r="C641" s="7">
        <v>0.8881944444444444</v>
      </c>
      <c r="D641" s="7">
        <f>(0.888194444444444-0.865277777777778)</f>
        <v>2.2916666666665919E-2</v>
      </c>
      <c r="E641" s="7">
        <f>ABS(0.0229166666666659-0.023611111111111)</f>
        <v>6.9444444444510117E-4</v>
      </c>
      <c r="F641" s="1" t="s">
        <v>11</v>
      </c>
    </row>
    <row r="642" spans="1:6" x14ac:dyDescent="0.25">
      <c r="A642" s="12">
        <v>42156</v>
      </c>
      <c r="B642" s="7">
        <v>0.97013888888888899</v>
      </c>
      <c r="C642" s="7">
        <v>0.99375000000000002</v>
      </c>
      <c r="D642" s="7">
        <f>(0.99375-0.970138888888889)</f>
        <v>2.3611111111111027E-2</v>
      </c>
      <c r="E642" s="7">
        <f>ABS(0.023611111111111-0.023611111111111)</f>
        <v>0</v>
      </c>
      <c r="F642" s="1" t="s">
        <v>11</v>
      </c>
    </row>
    <row r="643" spans="1:6" x14ac:dyDescent="0.25">
      <c r="A643" s="12">
        <v>42156</v>
      </c>
      <c r="B643" s="7">
        <v>0.4861111111111111</v>
      </c>
      <c r="C643" s="7">
        <v>0.50972222222222219</v>
      </c>
      <c r="D643" s="7">
        <f>(0.509722222222222-0.486111111111111)</f>
        <v>2.3611111111110972E-2</v>
      </c>
      <c r="E643" s="7">
        <f>ABS(0.023611111111111-0.027777777777777)</f>
        <v>4.1666666666659996E-3</v>
      </c>
      <c r="F643" s="1" t="s">
        <v>11</v>
      </c>
    </row>
    <row r="644" spans="1:6" x14ac:dyDescent="0.25">
      <c r="A644" s="12">
        <v>42156</v>
      </c>
      <c r="B644" s="7">
        <v>0.72569444444444453</v>
      </c>
      <c r="C644" s="7">
        <v>0.75347222222222221</v>
      </c>
      <c r="D644" s="7">
        <f>(0.753472222222222-0.725694444444445)</f>
        <v>2.7777777777777013E-2</v>
      </c>
      <c r="E644" s="7">
        <f>ABS(0.027777777777777-0.0180555555555559)</f>
        <v>9.7222222222210983E-3</v>
      </c>
      <c r="F644" s="1" t="s">
        <v>11</v>
      </c>
    </row>
    <row r="645" spans="1:6" x14ac:dyDescent="0.25">
      <c r="A645" s="12">
        <v>42156</v>
      </c>
      <c r="B645" s="7">
        <v>0.80833333333333324</v>
      </c>
      <c r="C645" s="7">
        <v>0.82638888888888884</v>
      </c>
      <c r="D645" s="7">
        <f>(0.826388888888889-0.808333333333333)</f>
        <v>1.8055555555555935E-2</v>
      </c>
      <c r="E645" s="7">
        <f>ABS(0.0180555555555559-0.023611111111111)</f>
        <v>5.5555555555550987E-3</v>
      </c>
      <c r="F645" s="1" t="s">
        <v>11</v>
      </c>
    </row>
    <row r="646" spans="1:6" x14ac:dyDescent="0.25">
      <c r="A646" s="12">
        <v>42156</v>
      </c>
      <c r="B646" s="7">
        <v>0.45763888888888887</v>
      </c>
      <c r="C646" s="7">
        <v>0.48125000000000001</v>
      </c>
      <c r="D646" s="7">
        <f>(0.48125-0.457638888888889)</f>
        <v>2.3611111111111027E-2</v>
      </c>
      <c r="E646" s="7">
        <f>ABS(0.023611111111111-0.030555555555555)</f>
        <v>6.944444444444E-3</v>
      </c>
      <c r="F646" s="1" t="s">
        <v>11</v>
      </c>
    </row>
    <row r="647" spans="1:6" x14ac:dyDescent="0.25">
      <c r="A647" s="12">
        <v>42156</v>
      </c>
      <c r="B647" s="7">
        <v>0.8666666666666667</v>
      </c>
      <c r="C647" s="7">
        <v>0.89722222222222225</v>
      </c>
      <c r="D647" s="7">
        <f>(0.897222222222222-0.866666666666667)</f>
        <v>3.0555555555555003E-2</v>
      </c>
      <c r="E647" s="7">
        <f>ABS(0.030555555555555-0.0222222222222222)</f>
        <v>8.3333333333328007E-3</v>
      </c>
      <c r="F647" s="1" t="s">
        <v>11</v>
      </c>
    </row>
    <row r="648" spans="1:6" x14ac:dyDescent="0.25">
      <c r="A648" s="12">
        <v>42156</v>
      </c>
      <c r="B648" s="7">
        <v>5.4166666666666669E-2</v>
      </c>
      <c r="C648" s="7">
        <v>7.6388888888888895E-2</v>
      </c>
      <c r="D648" s="7">
        <f>(0.0763888888888889-0.0541666666666667)</f>
        <v>2.2222222222222192E-2</v>
      </c>
      <c r="E648" s="7">
        <f>ABS(0.0222222222222222-0.020138888888889)</f>
        <v>2.0833333333331976E-3</v>
      </c>
      <c r="F648" s="1" t="s">
        <v>11</v>
      </c>
    </row>
    <row r="649" spans="1:6" x14ac:dyDescent="0.25">
      <c r="A649" s="12">
        <v>42156</v>
      </c>
      <c r="B649" s="7">
        <v>0.34375</v>
      </c>
      <c r="C649" s="7">
        <v>0.36388888888888887</v>
      </c>
      <c r="D649" s="7">
        <f>(0.363888888888889-0.34375)</f>
        <v>2.0138888888888984E-2</v>
      </c>
      <c r="E649" s="7">
        <f>ABS(0.020138888888889-0.023611111111111)</f>
        <v>3.4722222222219983E-3</v>
      </c>
      <c r="F649" s="1" t="s">
        <v>11</v>
      </c>
    </row>
    <row r="650" spans="1:6" x14ac:dyDescent="0.25">
      <c r="A650" s="12">
        <v>42156</v>
      </c>
      <c r="B650" s="7">
        <v>0.37361111111111112</v>
      </c>
      <c r="C650" s="7">
        <v>0.3972222222222222</v>
      </c>
      <c r="D650" s="7">
        <f>(0.397222222222222-0.373611111111111)</f>
        <v>2.3611111111110972E-2</v>
      </c>
      <c r="E650" s="7">
        <f>ABS(0.023611111111111-0.025)</f>
        <v>1.3888888888890019E-3</v>
      </c>
      <c r="F650" s="1" t="s">
        <v>11</v>
      </c>
    </row>
    <row r="651" spans="1:6" x14ac:dyDescent="0.25">
      <c r="A651" s="12">
        <v>42156</v>
      </c>
      <c r="B651" s="7">
        <v>0.58750000000000002</v>
      </c>
      <c r="C651" s="7">
        <v>0.61249999999999993</v>
      </c>
      <c r="D651" s="7">
        <f>(0.6125-0.5875)</f>
        <v>2.5000000000000022E-2</v>
      </c>
      <c r="E651" s="7">
        <f>ABS(0.025-0.020138888888889)</f>
        <v>4.8611111111110002E-3</v>
      </c>
      <c r="F651" s="1" t="s">
        <v>11</v>
      </c>
    </row>
    <row r="652" spans="1:6" x14ac:dyDescent="0.25">
      <c r="A652" s="12">
        <v>42156</v>
      </c>
      <c r="B652" s="7">
        <v>0.60625000000000007</v>
      </c>
      <c r="C652" s="7">
        <v>0.62638888888888888</v>
      </c>
      <c r="D652" s="7">
        <f>(0.626388888888889-0.60625)</f>
        <v>2.0138888888889039E-2</v>
      </c>
      <c r="E652" s="7">
        <f>ABS(0.020138888888889-0.020833333333334)</f>
        <v>6.9444444444499709E-4</v>
      </c>
      <c r="F652" s="1" t="s">
        <v>11</v>
      </c>
    </row>
    <row r="653" spans="1:6" x14ac:dyDescent="0.25">
      <c r="A653" s="12">
        <v>42156</v>
      </c>
      <c r="B653" s="7">
        <v>0.6694444444444444</v>
      </c>
      <c r="C653" s="7">
        <v>0.69027777777777777</v>
      </c>
      <c r="D653" s="7">
        <f>(0.690277777777778-0.669444444444444)</f>
        <v>2.0833333333334036E-2</v>
      </c>
      <c r="E653" s="7">
        <f>ABS(0.020833333333334-0.027777777777778)</f>
        <v>6.944444444444E-3</v>
      </c>
      <c r="F653" s="1" t="s">
        <v>11</v>
      </c>
    </row>
    <row r="654" spans="1:6" x14ac:dyDescent="0.25">
      <c r="A654" s="12">
        <v>42156</v>
      </c>
      <c r="B654" s="7">
        <v>0.53472222222222221</v>
      </c>
      <c r="C654" s="7">
        <v>0.5625</v>
      </c>
      <c r="D654" s="7">
        <f>(0.5625-0.534722222222222)</f>
        <v>2.7777777777778012E-2</v>
      </c>
      <c r="E654" s="7">
        <f>ABS(0.027777777777778-0.022916666666667)</f>
        <v>4.8611111111109967E-3</v>
      </c>
      <c r="F654" s="1" t="s">
        <v>11</v>
      </c>
    </row>
    <row r="655" spans="1:6" x14ac:dyDescent="0.25">
      <c r="A655" s="12">
        <v>42156</v>
      </c>
      <c r="B655" s="7">
        <v>0.53611111111111109</v>
      </c>
      <c r="C655" s="7">
        <v>0.55902777777777779</v>
      </c>
      <c r="D655" s="7">
        <f>(0.559027777777778-0.536111111111111)</f>
        <v>2.2916666666667029E-2</v>
      </c>
      <c r="E655" s="7">
        <f>ABS(0.022916666666667-0.0180555555555559)</f>
        <v>4.8611111111111008E-3</v>
      </c>
      <c r="F655" s="1" t="s">
        <v>11</v>
      </c>
    </row>
    <row r="656" spans="1:6" x14ac:dyDescent="0.25">
      <c r="A656" s="12">
        <v>42156</v>
      </c>
      <c r="B656" s="7">
        <v>0.89374999999999993</v>
      </c>
      <c r="C656" s="7">
        <v>0.91180555555555554</v>
      </c>
      <c r="D656" s="7">
        <f>(0.911805555555556-0.89375)</f>
        <v>1.8055555555555935E-2</v>
      </c>
      <c r="E656" s="7">
        <f>ABS(0.0180555555555559-0.020833333333333)</f>
        <v>2.7777777777770983E-3</v>
      </c>
      <c r="F656" s="1" t="s">
        <v>11</v>
      </c>
    </row>
    <row r="657" spans="1:6" x14ac:dyDescent="0.25">
      <c r="A657" s="12">
        <v>42156</v>
      </c>
      <c r="B657" s="7">
        <v>0.94374999999999998</v>
      </c>
      <c r="C657" s="7">
        <v>0.96458333333333324</v>
      </c>
      <c r="D657" s="7">
        <f>(0.964583333333333-0.94375)</f>
        <v>2.0833333333333037E-2</v>
      </c>
      <c r="E657" s="7">
        <f>ABS(0.020833333333333-0.034722222222222)</f>
        <v>1.3888888888889003E-2</v>
      </c>
      <c r="F657" s="1" t="s">
        <v>11</v>
      </c>
    </row>
    <row r="658" spans="1:6" x14ac:dyDescent="0.25">
      <c r="A658" s="12">
        <v>42156</v>
      </c>
      <c r="B658" s="7">
        <v>0.3354166666666667</v>
      </c>
      <c r="C658" s="7">
        <v>0.37013888888888885</v>
      </c>
      <c r="D658" s="7">
        <f>(0.370138888888889-0.335416666666667)</f>
        <v>3.4722222222222043E-2</v>
      </c>
      <c r="E658" s="7">
        <f>ABS(0.034722222222222-0.022222222222223)</f>
        <v>1.2499999999999001E-2</v>
      </c>
      <c r="F658" s="1" t="s">
        <v>11</v>
      </c>
    </row>
    <row r="659" spans="1:6" x14ac:dyDescent="0.25">
      <c r="A659" s="12">
        <v>42156</v>
      </c>
      <c r="B659" s="7">
        <v>0.5444444444444444</v>
      </c>
      <c r="C659" s="7">
        <v>0.56666666666666665</v>
      </c>
      <c r="D659" s="7">
        <f>(0.566666666666667-0.544444444444444)</f>
        <v>2.2222222222223031E-2</v>
      </c>
      <c r="E659" s="7">
        <f>ABS(0.022222222222223-0.031944444444445)</f>
        <v>9.7222222222219969E-3</v>
      </c>
      <c r="F659" s="1" t="s">
        <v>11</v>
      </c>
    </row>
    <row r="660" spans="1:6" x14ac:dyDescent="0.25">
      <c r="A660" s="12">
        <v>42156</v>
      </c>
      <c r="B660" s="7">
        <v>0.5756944444444444</v>
      </c>
      <c r="C660" s="7">
        <v>0.60763888888888895</v>
      </c>
      <c r="D660" s="7">
        <f>(0.607638888888889-0.575694444444444)</f>
        <v>3.1944444444444997E-2</v>
      </c>
      <c r="E660" s="7">
        <f>ABS(0.031944444444445-0.031944444444445)</f>
        <v>0</v>
      </c>
      <c r="F660" s="1" t="s">
        <v>11</v>
      </c>
    </row>
    <row r="661" spans="1:6" x14ac:dyDescent="0.25">
      <c r="A661" s="12">
        <v>42156</v>
      </c>
      <c r="B661" s="7">
        <v>0.63472222222222219</v>
      </c>
      <c r="C661" s="7">
        <v>0.66666666666666663</v>
      </c>
      <c r="D661" s="7">
        <f>(0.666666666666667-0.634722222222222)</f>
        <v>3.1944444444444997E-2</v>
      </c>
      <c r="E661" s="7">
        <f>ABS(0.031944444444445-0.022916666666667)</f>
        <v>9.0277777777779955E-3</v>
      </c>
      <c r="F661" s="1" t="s">
        <v>11</v>
      </c>
    </row>
    <row r="662" spans="1:6" x14ac:dyDescent="0.25">
      <c r="A662" s="12">
        <v>42156</v>
      </c>
      <c r="B662" s="7">
        <v>0.6694444444444444</v>
      </c>
      <c r="C662" s="7">
        <v>0.69236111111111109</v>
      </c>
      <c r="D662" s="7">
        <f>(0.692361111111111-0.669444444444444)</f>
        <v>2.2916666666667029E-2</v>
      </c>
      <c r="E662" s="7">
        <f>ABS(0.022916666666667-0.029166666666667)</f>
        <v>6.2499999999999986E-3</v>
      </c>
      <c r="F662" s="1" t="s">
        <v>11</v>
      </c>
    </row>
    <row r="663" spans="1:6" x14ac:dyDescent="0.25">
      <c r="A663" s="12">
        <v>42156</v>
      </c>
      <c r="B663" s="7">
        <v>0.80972222222222223</v>
      </c>
      <c r="C663" s="7">
        <v>0.83888888888888891</v>
      </c>
      <c r="D663" s="7">
        <f>(0.838888888888889-0.809722222222222)</f>
        <v>2.9166666666667007E-2</v>
      </c>
      <c r="E663" s="7">
        <f>ABS(0.029166666666667-0.024999999999998)</f>
        <v>4.1666666666690007E-3</v>
      </c>
      <c r="F663" s="1" t="s">
        <v>11</v>
      </c>
    </row>
    <row r="664" spans="1:6" x14ac:dyDescent="0.25">
      <c r="A664" s="12">
        <v>42156</v>
      </c>
      <c r="B664" s="7">
        <v>0.99097222222222225</v>
      </c>
      <c r="C664" s="7">
        <v>1.0159722222222223</v>
      </c>
      <c r="D664" s="7">
        <f>(1.01597222222222-0.990972222222222)</f>
        <v>2.4999999999998024E-2</v>
      </c>
      <c r="E664" s="7">
        <f>ABS(0.024999999999998-0.032638888888889)</f>
        <v>7.6388888888910024E-3</v>
      </c>
      <c r="F664" s="1" t="s">
        <v>11</v>
      </c>
    </row>
    <row r="665" spans="1:6" x14ac:dyDescent="0.25">
      <c r="A665" s="12">
        <v>42156</v>
      </c>
      <c r="B665" s="7">
        <v>0.54513888888888895</v>
      </c>
      <c r="C665" s="7">
        <v>0.57777777777777783</v>
      </c>
      <c r="D665" s="7">
        <f>(0.577777777777778-0.545138888888889)</f>
        <v>3.2638888888888995E-2</v>
      </c>
      <c r="E665" s="7">
        <f>ABS(0.032638888888889-0.026388888888888)</f>
        <v>6.2500000000010013E-3</v>
      </c>
      <c r="F665" s="1" t="s">
        <v>11</v>
      </c>
    </row>
    <row r="666" spans="1:6" x14ac:dyDescent="0.25">
      <c r="A666" s="12">
        <v>42156</v>
      </c>
      <c r="B666" s="7">
        <v>0.55555555555555558</v>
      </c>
      <c r="C666" s="7">
        <v>0.58194444444444449</v>
      </c>
      <c r="D666" s="7">
        <f>(0.581944444444444-0.555555555555556)</f>
        <v>2.6388888888888018E-2</v>
      </c>
      <c r="E666" s="7">
        <f>ABS(0.026388888888888-0.021527777777778)</f>
        <v>4.861111111110001E-3</v>
      </c>
      <c r="F666" s="1" t="s">
        <v>11</v>
      </c>
    </row>
    <row r="667" spans="1:6" x14ac:dyDescent="0.25">
      <c r="A667" s="12">
        <v>42156</v>
      </c>
      <c r="B667" s="7">
        <v>0.65069444444444446</v>
      </c>
      <c r="C667" s="7">
        <v>0.67222222222222217</v>
      </c>
      <c r="D667" s="7">
        <f>(0.672222222222222-0.650694444444444)</f>
        <v>2.1527777777778034E-2</v>
      </c>
      <c r="E667" s="7">
        <f>ABS(0.021527777777778-0.011805555555555)</f>
        <v>9.7222222222229995E-3</v>
      </c>
      <c r="F667" s="1" t="s">
        <v>11</v>
      </c>
    </row>
    <row r="668" spans="1:6" x14ac:dyDescent="0.25">
      <c r="A668" s="12">
        <v>42156</v>
      </c>
      <c r="B668" s="7">
        <v>0.7090277777777777</v>
      </c>
      <c r="C668" s="7">
        <v>0.72083333333333333</v>
      </c>
      <c r="D668" s="7">
        <f>(0.720833333333333-0.709027777777778)</f>
        <v>1.1805555555554959E-2</v>
      </c>
      <c r="E668" s="7">
        <f>ABS(0.011805555555555-0.0222222222222219)</f>
        <v>1.04166666666669E-2</v>
      </c>
      <c r="F668" s="1" t="s">
        <v>11</v>
      </c>
    </row>
    <row r="669" spans="1:6" x14ac:dyDescent="0.25">
      <c r="A669" s="12">
        <v>42156</v>
      </c>
      <c r="B669" s="7">
        <v>0.9277777777777777</v>
      </c>
      <c r="C669" s="7">
        <v>0.95000000000000007</v>
      </c>
      <c r="D669" s="7">
        <f>(0.95-0.927777777777778)</f>
        <v>2.2222222222221921E-2</v>
      </c>
      <c r="E669" s="7">
        <f>ABS(0.0222222222222219-0.011111111111108)</f>
        <v>1.1111111111113901E-2</v>
      </c>
      <c r="F669" s="1" t="s">
        <v>11</v>
      </c>
    </row>
    <row r="670" spans="1:6" x14ac:dyDescent="0.25">
      <c r="A670" s="12">
        <v>42156</v>
      </c>
      <c r="B670" s="7">
        <v>0.99722222222222223</v>
      </c>
      <c r="C670" s="7">
        <v>1.0083333333333333</v>
      </c>
      <c r="D670" s="7">
        <f>(1.00833333333333-0.997222222222222)</f>
        <v>1.1111111111107963E-2</v>
      </c>
      <c r="E670" s="7">
        <f>ABS(0.011111111111108-0.0166666666666667)</f>
        <v>5.5555555555587017E-3</v>
      </c>
      <c r="F670" s="1" t="s">
        <v>11</v>
      </c>
    </row>
    <row r="671" spans="1:6" x14ac:dyDescent="0.25">
      <c r="A671" s="12">
        <v>42156</v>
      </c>
      <c r="B671" s="7">
        <v>4.8611111111111112E-2</v>
      </c>
      <c r="C671" s="7">
        <v>6.5277777777777782E-2</v>
      </c>
      <c r="D671" s="7">
        <f>(0.0652777777777778-0.0486111111111111)</f>
        <v>1.6666666666666698E-2</v>
      </c>
      <c r="E671" s="7">
        <f>ABS(0.0166666666666667-0.038888888888889)</f>
        <v>2.2222222222222299E-2</v>
      </c>
      <c r="F671" s="1" t="s">
        <v>11</v>
      </c>
    </row>
    <row r="672" spans="1:6" x14ac:dyDescent="0.25">
      <c r="A672" s="12">
        <v>42156</v>
      </c>
      <c r="B672" s="7">
        <v>0.3833333333333333</v>
      </c>
      <c r="C672" s="7">
        <v>0.42222222222222222</v>
      </c>
      <c r="D672" s="7">
        <f>(0.422222222222222-0.383333333333333)</f>
        <v>3.8888888888888973E-2</v>
      </c>
      <c r="E672" s="7">
        <f>ABS(0.038888888888889-0.025)</f>
        <v>1.3888888888888999E-2</v>
      </c>
      <c r="F672" s="1" t="s">
        <v>11</v>
      </c>
    </row>
    <row r="673" spans="1:6" x14ac:dyDescent="0.25">
      <c r="A673" s="12">
        <v>42156</v>
      </c>
      <c r="B673" s="7">
        <v>0.6479166666666667</v>
      </c>
      <c r="C673" s="7">
        <v>0.67291666666666661</v>
      </c>
      <c r="D673" s="7">
        <f>(0.672916666666667-0.647916666666667)</f>
        <v>2.5000000000000022E-2</v>
      </c>
      <c r="E673" s="7">
        <f>ABS(0.025-0.025694444444444)</f>
        <v>6.9444444444399789E-4</v>
      </c>
      <c r="F673" s="1" t="s">
        <v>11</v>
      </c>
    </row>
    <row r="674" spans="1:6" x14ac:dyDescent="0.25">
      <c r="A674" s="12">
        <v>42156</v>
      </c>
      <c r="B674" s="7">
        <v>0.34930555555555554</v>
      </c>
      <c r="C674" s="7">
        <v>0.375</v>
      </c>
      <c r="D674" s="7">
        <f>(0.375-0.349305555555556)</f>
        <v>2.569444444444402E-2</v>
      </c>
      <c r="E674" s="7">
        <f>ABS(0.025694444444444-0.035416666666666)</f>
        <v>9.7222222222220003E-3</v>
      </c>
      <c r="F674" s="1" t="s">
        <v>11</v>
      </c>
    </row>
    <row r="675" spans="1:6" x14ac:dyDescent="0.25">
      <c r="A675" s="12">
        <v>42156</v>
      </c>
      <c r="B675" s="7">
        <v>0.78680555555555554</v>
      </c>
      <c r="C675" s="7">
        <v>0.8222222222222223</v>
      </c>
      <c r="D675" s="7">
        <f>(0.822222222222222-0.786805555555556)</f>
        <v>3.5416666666665986E-2</v>
      </c>
      <c r="E675" s="7">
        <f>ABS(0.035416666666666-0.0138888888888899)</f>
        <v>2.1527777777776098E-2</v>
      </c>
      <c r="F675" s="1" t="s">
        <v>11</v>
      </c>
    </row>
    <row r="676" spans="1:6" x14ac:dyDescent="0.25">
      <c r="A676" s="12">
        <v>42156</v>
      </c>
      <c r="B676" s="7">
        <v>0.86805555555555547</v>
      </c>
      <c r="C676" s="7">
        <v>0.88194444444444453</v>
      </c>
      <c r="D676" s="7">
        <f>(0.881944444444445-0.868055555555555)</f>
        <v>1.388888888888995E-2</v>
      </c>
      <c r="E676" s="7">
        <f>ABS(0.0138888888888899-0.0381944444444444)</f>
        <v>2.4305555555554498E-2</v>
      </c>
      <c r="F676" s="1" t="s">
        <v>11</v>
      </c>
    </row>
    <row r="677" spans="1:6" x14ac:dyDescent="0.25">
      <c r="A677" s="12">
        <v>42156</v>
      </c>
      <c r="B677" s="7">
        <v>8.6805555555555566E-2</v>
      </c>
      <c r="C677" s="7">
        <v>0.125</v>
      </c>
      <c r="D677" s="7">
        <f>(0.125-0.0868055555555556)</f>
        <v>3.8194444444444406E-2</v>
      </c>
      <c r="E677" s="7">
        <f>ABS(0.0381944444444444-0.038888888888889)</f>
        <v>6.9444444444460157E-4</v>
      </c>
      <c r="F677" s="1" t="s">
        <v>11</v>
      </c>
    </row>
    <row r="678" spans="1:6" x14ac:dyDescent="0.25">
      <c r="A678" s="12">
        <v>42156</v>
      </c>
      <c r="B678" s="7">
        <v>0.42708333333333331</v>
      </c>
      <c r="C678" s="7">
        <v>0.46597222222222223</v>
      </c>
      <c r="D678" s="7">
        <f>(0.465972222222222-0.427083333333333)</f>
        <v>3.8888888888889028E-2</v>
      </c>
      <c r="E678" s="7">
        <f>ABS(0.038888888888889-0.021527777777778)</f>
        <v>1.7361111111111001E-2</v>
      </c>
      <c r="F678" s="1" t="s">
        <v>11</v>
      </c>
    </row>
    <row r="679" spans="1:6" x14ac:dyDescent="0.25">
      <c r="A679" s="12">
        <v>42156</v>
      </c>
      <c r="B679" s="7">
        <v>0.33749999999999997</v>
      </c>
      <c r="C679" s="7">
        <v>0.35902777777777778</v>
      </c>
      <c r="D679" s="7">
        <f>(0.359027777777778-0.3375)</f>
        <v>2.1527777777777979E-2</v>
      </c>
      <c r="E679" s="7">
        <f>ABS(0.021527777777778-0.033333333333333)</f>
        <v>1.1805555555555E-2</v>
      </c>
      <c r="F679" s="1" t="s">
        <v>11</v>
      </c>
    </row>
    <row r="680" spans="1:6" x14ac:dyDescent="0.25">
      <c r="A680" s="12">
        <v>42156</v>
      </c>
      <c r="B680" s="7">
        <v>0.49513888888888885</v>
      </c>
      <c r="C680" s="7">
        <v>0.52847222222222223</v>
      </c>
      <c r="D680" s="7">
        <f>(0.528472222222222-0.495138888888889)</f>
        <v>3.3333333333332993E-2</v>
      </c>
      <c r="E680" s="7">
        <f>ABS(0.033333333333333-0.024305555555555)</f>
        <v>9.027777777777999E-3</v>
      </c>
      <c r="F680" s="1" t="s">
        <v>11</v>
      </c>
    </row>
    <row r="681" spans="1:6" x14ac:dyDescent="0.25">
      <c r="A681" s="12">
        <v>42156</v>
      </c>
      <c r="B681" s="7">
        <v>0.55763888888888891</v>
      </c>
      <c r="C681" s="7">
        <v>0.58194444444444449</v>
      </c>
      <c r="D681" s="7">
        <f>(0.581944444444444-0.557638888888889)</f>
        <v>2.4305555555555025E-2</v>
      </c>
      <c r="E681" s="7">
        <f>ABS(0.024305555555555-0.0187499999999999)</f>
        <v>5.5555555555551021E-3</v>
      </c>
      <c r="F681" s="1" t="s">
        <v>11</v>
      </c>
    </row>
    <row r="682" spans="1:6" x14ac:dyDescent="0.25">
      <c r="A682" s="12">
        <v>42156</v>
      </c>
      <c r="B682" s="7">
        <v>0.74375000000000002</v>
      </c>
      <c r="C682" s="7">
        <v>0.76250000000000007</v>
      </c>
      <c r="D682" s="7">
        <f>(0.7625-0.74375)</f>
        <v>1.8749999999999933E-2</v>
      </c>
      <c r="E682" s="7">
        <f>ABS(0.0187499999999999-0.0333333333333319)</f>
        <v>1.4583333333332005E-2</v>
      </c>
      <c r="F682" s="1" t="s">
        <v>11</v>
      </c>
    </row>
    <row r="683" spans="1:6" x14ac:dyDescent="0.25">
      <c r="A683" s="12">
        <v>42156</v>
      </c>
      <c r="B683" s="7">
        <v>0.9902777777777777</v>
      </c>
      <c r="C683" s="7">
        <v>1.023611111111111</v>
      </c>
      <c r="D683" s="7">
        <f>(1.02361111111111-0.990277777777778)</f>
        <v>3.3333333333331883E-2</v>
      </c>
      <c r="E683" s="7">
        <f>ABS(0.0333333333333319-0.03125)</f>
        <v>2.0833333333319035E-3</v>
      </c>
      <c r="F683" s="1" t="s">
        <v>11</v>
      </c>
    </row>
    <row r="684" spans="1:6" x14ac:dyDescent="0.25">
      <c r="A684" s="12">
        <v>42156</v>
      </c>
      <c r="B684" s="7">
        <v>0.66249999999999998</v>
      </c>
      <c r="C684" s="7">
        <v>0.69374999999999998</v>
      </c>
      <c r="D684" s="7">
        <f>(0.69375-0.6625)</f>
        <v>3.125E-2</v>
      </c>
      <c r="E684" s="7">
        <f>ABS(0.03125-0.032638888888889)</f>
        <v>1.3888888888890019E-3</v>
      </c>
      <c r="F684" s="1" t="s">
        <v>11</v>
      </c>
    </row>
    <row r="685" spans="1:6" x14ac:dyDescent="0.25">
      <c r="A685" s="12">
        <v>42156</v>
      </c>
      <c r="B685" s="7">
        <v>0.81666666666666676</v>
      </c>
      <c r="C685" s="7">
        <v>0.84930555555555554</v>
      </c>
      <c r="D685" s="7">
        <f>(0.849305555555556-0.816666666666667)</f>
        <v>3.2638888888888995E-2</v>
      </c>
      <c r="E685" s="7"/>
      <c r="F685" s="1" t="s">
        <v>11</v>
      </c>
    </row>
  </sheetData>
  <sortState ref="B3:J690">
    <sortCondition ref="H3:H690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678"/>
  <sheetViews>
    <sheetView workbookViewId="0">
      <selection activeCell="I6" sqref="I6:M6"/>
    </sheetView>
  </sheetViews>
  <sheetFormatPr defaultRowHeight="15" x14ac:dyDescent="0.25"/>
  <cols>
    <col min="2" max="2" width="11.140625" bestFit="1" customWidth="1"/>
    <col min="3" max="3" width="9.28515625" bestFit="1" customWidth="1"/>
    <col min="4" max="7" width="9.28515625" customWidth="1"/>
    <col min="12" max="12" width="12" bestFit="1" customWidth="1"/>
    <col min="13" max="13" width="17" bestFit="1" customWidth="1"/>
    <col min="14" max="14" width="12" bestFit="1" customWidth="1"/>
    <col min="15" max="15" width="17" bestFit="1" customWidth="1"/>
  </cols>
  <sheetData>
    <row r="1" spans="1:18" x14ac:dyDescent="0.25">
      <c r="A1" t="s">
        <v>12</v>
      </c>
      <c r="B1" s="8" t="s">
        <v>4</v>
      </c>
      <c r="C1" s="8" t="s">
        <v>5</v>
      </c>
      <c r="D1" s="8" t="s">
        <v>13</v>
      </c>
      <c r="E1" s="8" t="s">
        <v>18</v>
      </c>
      <c r="F1" s="8" t="s">
        <v>7</v>
      </c>
      <c r="G1" s="8"/>
      <c r="I1" s="1"/>
    </row>
    <row r="2" spans="1:18" x14ac:dyDescent="0.25">
      <c r="B2" s="10"/>
      <c r="C2" s="10"/>
      <c r="D2" s="10"/>
      <c r="E2" s="10"/>
      <c r="F2" s="10"/>
      <c r="G2" s="10"/>
      <c r="H2" s="10"/>
    </row>
    <row r="3" spans="1:18" x14ac:dyDescent="0.25">
      <c r="A3" s="11">
        <v>42186</v>
      </c>
      <c r="B3" s="16">
        <v>0.3</v>
      </c>
      <c r="C3" s="16">
        <v>0.31458333333333333</v>
      </c>
      <c r="D3" s="16">
        <f>(0.314583333333333-0.3)</f>
        <v>1.4583333333333004E-2</v>
      </c>
      <c r="E3" s="16">
        <f>ABS(0.014583333333333-0.0125)</f>
        <v>2.0833333333329998E-3</v>
      </c>
      <c r="F3" t="s">
        <v>9</v>
      </c>
      <c r="J3" s="1" t="s">
        <v>7</v>
      </c>
      <c r="K3" s="1" t="s">
        <v>15</v>
      </c>
      <c r="L3" s="1" t="s">
        <v>17</v>
      </c>
      <c r="M3" s="1" t="s">
        <v>16</v>
      </c>
      <c r="N3" s="1"/>
      <c r="O3" s="1"/>
    </row>
    <row r="4" spans="1:18" x14ac:dyDescent="0.25">
      <c r="A4" s="11">
        <v>42186</v>
      </c>
      <c r="B4" s="16">
        <v>0.10694444444444444</v>
      </c>
      <c r="C4" s="16">
        <v>0.11944444444444445</v>
      </c>
      <c r="D4" s="16">
        <f>(0.119444444444444-0.106944444444444)</f>
        <v>1.2500000000000011E-2</v>
      </c>
      <c r="E4" s="16">
        <f>ABS(0.0125-0.01875)</f>
        <v>6.2499999999999986E-3</v>
      </c>
      <c r="F4" t="s">
        <v>9</v>
      </c>
      <c r="H4" s="14">
        <v>42186</v>
      </c>
      <c r="I4" t="s">
        <v>19</v>
      </c>
      <c r="J4" s="14" t="s">
        <v>9</v>
      </c>
      <c r="K4">
        <f>COUNTA(F3:F63)</f>
        <v>61</v>
      </c>
      <c r="L4" s="6">
        <f>AVERAGE(D3:D63)</f>
        <v>2.4066484517304209E-2</v>
      </c>
      <c r="M4" s="6">
        <f>AVERAGE(E3:E62)</f>
        <v>2.1840277777777767E-2</v>
      </c>
      <c r="N4" s="6"/>
      <c r="O4" s="6"/>
    </row>
    <row r="5" spans="1:18" x14ac:dyDescent="0.25">
      <c r="A5" s="11">
        <v>42186</v>
      </c>
      <c r="B5" s="16">
        <v>0.43541666666666662</v>
      </c>
      <c r="C5" s="16">
        <v>0.45416666666666666</v>
      </c>
      <c r="D5" s="16">
        <f>(0.454166666666667-0.435416666666667)</f>
        <v>1.8749999999999989E-2</v>
      </c>
      <c r="E5" s="16">
        <f>ABS(0.01875-0.013888888888889)</f>
        <v>4.8611111111110002E-3</v>
      </c>
      <c r="F5" t="s">
        <v>9</v>
      </c>
      <c r="H5" s="14">
        <v>42186</v>
      </c>
      <c r="I5" t="s">
        <v>19</v>
      </c>
      <c r="J5" s="14" t="s">
        <v>3</v>
      </c>
      <c r="K5">
        <v>252</v>
      </c>
      <c r="L5" s="6">
        <f>AVERAGE(D64:D315)</f>
        <v>1.0819003527336793E-2</v>
      </c>
      <c r="M5" s="6">
        <f>AVERAGE(E64:E314)</f>
        <v>8.015161575918665E-3</v>
      </c>
      <c r="N5" s="6"/>
      <c r="O5" s="6"/>
    </row>
    <row r="6" spans="1:18" x14ac:dyDescent="0.25">
      <c r="A6" s="11">
        <v>42186</v>
      </c>
      <c r="B6" s="16">
        <v>0.2951388888888889</v>
      </c>
      <c r="C6" s="16">
        <v>0.30902777777777779</v>
      </c>
      <c r="D6" s="16">
        <f>(0.309027777777778-0.295138888888889)</f>
        <v>1.3888888888889006E-2</v>
      </c>
      <c r="E6" s="16">
        <f>ABS(0.013888888888889-0.021527777777778)</f>
        <v>7.6388888888890005E-3</v>
      </c>
      <c r="F6" t="s">
        <v>9</v>
      </c>
      <c r="H6" s="14">
        <v>42186</v>
      </c>
      <c r="I6" t="s">
        <v>19</v>
      </c>
      <c r="J6" s="14" t="s">
        <v>10</v>
      </c>
      <c r="K6">
        <v>198</v>
      </c>
      <c r="L6" s="6">
        <f>AVERAGE(D316:D510)</f>
        <v>1.9754273504273522E-2</v>
      </c>
      <c r="M6" s="6">
        <f>AVERAGE(E316:E509)</f>
        <v>6.6258591065292693E-3</v>
      </c>
      <c r="N6" s="6"/>
      <c r="O6" s="6"/>
    </row>
    <row r="7" spans="1:18" x14ac:dyDescent="0.25">
      <c r="A7" s="11">
        <v>42186</v>
      </c>
      <c r="B7" s="16">
        <v>0.37222222222222223</v>
      </c>
      <c r="C7" s="16">
        <v>0.39374999999999999</v>
      </c>
      <c r="D7" s="16">
        <f>(0.39375-0.372222222222222)</f>
        <v>2.1527777777777979E-2</v>
      </c>
      <c r="E7" s="16">
        <f>ABS(0.021527777777778-0.020833333333334)</f>
        <v>6.9444444444400136E-4</v>
      </c>
      <c r="F7" t="s">
        <v>9</v>
      </c>
      <c r="H7" s="14">
        <v>42186</v>
      </c>
      <c r="I7" t="s">
        <v>19</v>
      </c>
      <c r="J7" s="14" t="s">
        <v>8</v>
      </c>
      <c r="K7">
        <v>39</v>
      </c>
      <c r="L7" s="6">
        <f>AVERAGE(D511:D549)</f>
        <v>1.6969373219373217E-2</v>
      </c>
      <c r="M7" s="6">
        <f>AVERAGE(E511:E548)</f>
        <v>8.3150584795321971E-3</v>
      </c>
      <c r="N7" s="6"/>
      <c r="O7" s="6"/>
    </row>
    <row r="8" spans="1:18" x14ac:dyDescent="0.25">
      <c r="A8" s="11">
        <v>42186</v>
      </c>
      <c r="B8" s="16">
        <v>0.35694444444444445</v>
      </c>
      <c r="C8" s="16">
        <v>0.37777777777777777</v>
      </c>
      <c r="D8" s="16">
        <f>(0.377777777777778-0.356944444444444)</f>
        <v>2.0833333333333981E-2</v>
      </c>
      <c r="E8" s="16">
        <f>ABS(0.020833333333334-0.020138888888889)</f>
        <v>6.9444444444499709E-4</v>
      </c>
      <c r="F8" t="s">
        <v>9</v>
      </c>
      <c r="H8" s="14">
        <v>42186</v>
      </c>
      <c r="I8" t="s">
        <v>19</v>
      </c>
      <c r="J8" s="14" t="s">
        <v>11</v>
      </c>
      <c r="K8">
        <v>129</v>
      </c>
      <c r="L8" s="6">
        <f>AVERAGE(D550:D678)</f>
        <v>2.2642118863049131E-2</v>
      </c>
      <c r="M8" s="6">
        <f>AVERAGE(E550:E677)</f>
        <v>7.1180555555556439E-3</v>
      </c>
      <c r="N8" s="6"/>
      <c r="O8" s="6"/>
    </row>
    <row r="9" spans="1:18" x14ac:dyDescent="0.25">
      <c r="A9" s="11">
        <v>42186</v>
      </c>
      <c r="B9" s="16">
        <v>0.3576388888888889</v>
      </c>
      <c r="C9" s="16">
        <v>0.37777777777777777</v>
      </c>
      <c r="D9" s="16">
        <f>(0.377777777777778-0.357638888888889)</f>
        <v>2.0138888888888984E-2</v>
      </c>
      <c r="E9" s="16">
        <f>ABS(0.020138888888889-0.00416666666666599)</f>
        <v>1.5972222222223012E-2</v>
      </c>
      <c r="F9" t="s">
        <v>9</v>
      </c>
    </row>
    <row r="10" spans="1:18" x14ac:dyDescent="0.25">
      <c r="A10" s="11">
        <v>42186</v>
      </c>
      <c r="B10" s="16">
        <v>0.59027777777777779</v>
      </c>
      <c r="C10" s="16">
        <v>0.59444444444444444</v>
      </c>
      <c r="D10" s="16">
        <f>(0.594444444444444-0.590277777777778)</f>
        <v>4.1666666666659857E-3</v>
      </c>
      <c r="E10" s="16">
        <f>ABS(0.00416666666666599-0.011111111111112)</f>
        <v>6.9444444444460096E-3</v>
      </c>
      <c r="F10" t="s">
        <v>9</v>
      </c>
    </row>
    <row r="11" spans="1:18" x14ac:dyDescent="0.25">
      <c r="A11" s="11">
        <v>42186</v>
      </c>
      <c r="B11" s="16">
        <v>0.44444444444444442</v>
      </c>
      <c r="C11" s="16">
        <v>0.45555555555555555</v>
      </c>
      <c r="D11" s="16">
        <f>(0.455555555555556-0.444444444444444)</f>
        <v>1.1111111111112015E-2</v>
      </c>
      <c r="E11" s="16">
        <f>ABS(0.011111111111112-0.0125)</f>
        <v>1.388888888888001E-3</v>
      </c>
      <c r="F11" t="s">
        <v>9</v>
      </c>
    </row>
    <row r="12" spans="1:18" x14ac:dyDescent="0.25">
      <c r="A12" s="11">
        <v>42186</v>
      </c>
      <c r="B12" s="16">
        <v>0.34513888888888888</v>
      </c>
      <c r="C12" s="16">
        <v>0.3576388888888889</v>
      </c>
      <c r="D12" s="16">
        <f>(0.357638888888889-0.345138888888889)</f>
        <v>1.2500000000000011E-2</v>
      </c>
      <c r="E12" s="16">
        <f>ABS(0.0125-0.015277777777778)</f>
        <v>2.7777777777779986E-3</v>
      </c>
      <c r="F12" t="s">
        <v>9</v>
      </c>
    </row>
    <row r="13" spans="1:18" x14ac:dyDescent="0.25">
      <c r="A13" s="11">
        <v>42186</v>
      </c>
      <c r="B13" s="16">
        <v>0.3611111111111111</v>
      </c>
      <c r="C13" s="16">
        <v>0.37638888888888888</v>
      </c>
      <c r="D13" s="16">
        <f>(0.376388888888889-0.361111111111111)</f>
        <v>1.5277777777778001E-2</v>
      </c>
      <c r="E13" s="16">
        <f>ABS(0.015277777777778-0.020138888888889)</f>
        <v>4.8611111111110019E-3</v>
      </c>
      <c r="F13" t="s">
        <v>9</v>
      </c>
    </row>
    <row r="14" spans="1:18" x14ac:dyDescent="0.25">
      <c r="A14" s="11">
        <v>42186</v>
      </c>
      <c r="B14" s="16">
        <v>0.47291666666666665</v>
      </c>
      <c r="C14" s="16">
        <v>0.49305555555555558</v>
      </c>
      <c r="D14" s="16">
        <f>(0.493055555555556-0.472916666666667)</f>
        <v>2.0138888888889039E-2</v>
      </c>
      <c r="E14" s="16">
        <f>ABS(0.020138888888889-0.0125)</f>
        <v>7.6388888888890005E-3</v>
      </c>
      <c r="F14" t="s">
        <v>9</v>
      </c>
      <c r="O14" s="1" t="s">
        <v>7</v>
      </c>
      <c r="P14" s="1" t="s">
        <v>15</v>
      </c>
      <c r="Q14" s="1" t="s">
        <v>17</v>
      </c>
      <c r="R14" s="1" t="s">
        <v>16</v>
      </c>
    </row>
    <row r="15" spans="1:18" x14ac:dyDescent="0.25">
      <c r="A15" s="11">
        <v>42186</v>
      </c>
      <c r="B15" s="16">
        <v>0.3</v>
      </c>
      <c r="C15" s="16">
        <v>0.3125</v>
      </c>
      <c r="D15" s="16">
        <f>(0.3125-0.3)</f>
        <v>1.2500000000000011E-2</v>
      </c>
      <c r="E15" s="16">
        <f>ABS(0.0125-0.034722222222223)</f>
        <v>2.2222222222223E-2</v>
      </c>
      <c r="F15" t="s">
        <v>9</v>
      </c>
      <c r="M15" s="14">
        <v>42186</v>
      </c>
      <c r="N15" t="s">
        <v>19</v>
      </c>
      <c r="O15" s="14" t="s">
        <v>9</v>
      </c>
      <c r="P15">
        <v>60</v>
      </c>
      <c r="Q15" s="6">
        <v>2.4282407407407423E-2</v>
      </c>
      <c r="R15" s="6">
        <v>2.1669020715630878E-2</v>
      </c>
    </row>
    <row r="16" spans="1:18" x14ac:dyDescent="0.25">
      <c r="A16" s="11">
        <v>42186</v>
      </c>
      <c r="B16" s="16">
        <v>0.30208333333333331</v>
      </c>
      <c r="C16" s="16">
        <v>0.33680555555555558</v>
      </c>
      <c r="D16" s="16">
        <f>(0.336805555555556-0.302083333333333)</f>
        <v>3.4722222222223043E-2</v>
      </c>
      <c r="E16" s="16">
        <f>ABS(0.034722222222223-0.015972222222223)</f>
        <v>1.8749999999999999E-2</v>
      </c>
      <c r="F16" t="s">
        <v>9</v>
      </c>
      <c r="M16" s="14">
        <v>42186</v>
      </c>
      <c r="N16" t="s">
        <v>19</v>
      </c>
      <c r="O16" s="14" t="s">
        <v>3</v>
      </c>
      <c r="P16">
        <v>252</v>
      </c>
      <c r="Q16" s="6">
        <v>1.0819003527336793E-2</v>
      </c>
      <c r="R16" s="6">
        <v>8.015161575918665E-3</v>
      </c>
    </row>
    <row r="17" spans="1:18" x14ac:dyDescent="0.25">
      <c r="A17" s="11">
        <v>42186</v>
      </c>
      <c r="B17" s="16">
        <v>0.35069444444444442</v>
      </c>
      <c r="C17" s="16">
        <v>0.3666666666666667</v>
      </c>
      <c r="D17" s="16">
        <f>(0.366666666666667-0.350694444444444)</f>
        <v>1.5972222222222998E-2</v>
      </c>
      <c r="E17" s="16">
        <f>ABS(0.015972222222223-0.0152777777777771)</f>
        <v>6.9444444444590088E-4</v>
      </c>
      <c r="F17" t="s">
        <v>9</v>
      </c>
      <c r="M17" s="14">
        <v>42186</v>
      </c>
      <c r="N17" t="s">
        <v>19</v>
      </c>
      <c r="O17" s="14" t="s">
        <v>10</v>
      </c>
      <c r="P17">
        <v>198</v>
      </c>
      <c r="Q17" s="6">
        <v>2.686237373737373E-2</v>
      </c>
      <c r="R17" s="6">
        <v>2.0865059221658242E-2</v>
      </c>
    </row>
    <row r="18" spans="1:18" x14ac:dyDescent="0.25">
      <c r="A18" s="11">
        <v>42186</v>
      </c>
      <c r="B18" s="16">
        <v>0.53541666666666665</v>
      </c>
      <c r="C18" s="16">
        <v>0.55069444444444449</v>
      </c>
      <c r="D18" s="16">
        <f>(0.550694444444444-0.535416666666667)</f>
        <v>1.5277777777777057E-2</v>
      </c>
      <c r="E18" s="16">
        <f>ABS(0.0152777777777771--0.000694444444443998)</f>
        <v>1.59722222222211E-2</v>
      </c>
      <c r="F18" t="s">
        <v>9</v>
      </c>
      <c r="M18" s="14">
        <v>42186</v>
      </c>
      <c r="N18" t="s">
        <v>19</v>
      </c>
      <c r="O18" s="14" t="s">
        <v>8</v>
      </c>
      <c r="P18">
        <v>39</v>
      </c>
      <c r="Q18" s="6">
        <v>1.6969373219373217E-2</v>
      </c>
      <c r="R18" s="6">
        <v>8.3150584795321971E-3</v>
      </c>
    </row>
    <row r="19" spans="1:18" x14ac:dyDescent="0.25">
      <c r="A19" s="11">
        <v>42186</v>
      </c>
      <c r="B19" s="16">
        <v>0.90416666666666667</v>
      </c>
      <c r="C19" s="16">
        <v>0.91666666666666663</v>
      </c>
      <c r="D19" s="16">
        <f>(0.916666666666667-0.904166666666667)</f>
        <v>1.2499999999999956E-2</v>
      </c>
      <c r="E19" s="16">
        <f>ABS(0.0125-0.0125)</f>
        <v>0</v>
      </c>
      <c r="F19" t="s">
        <v>9</v>
      </c>
      <c r="M19" s="14">
        <v>42186</v>
      </c>
      <c r="N19" t="s">
        <v>19</v>
      </c>
      <c r="O19" s="14" t="s">
        <v>11</v>
      </c>
      <c r="P19">
        <v>129</v>
      </c>
      <c r="Q19" s="6">
        <v>2.2642118863049131E-2</v>
      </c>
      <c r="R19" s="6">
        <v>7.1180555555556439E-3</v>
      </c>
    </row>
    <row r="20" spans="1:18" x14ac:dyDescent="0.25">
      <c r="A20" s="11">
        <v>42186</v>
      </c>
      <c r="B20" s="16">
        <v>0.67638888888888893</v>
      </c>
      <c r="C20" s="16">
        <v>0.69791666666666663</v>
      </c>
      <c r="D20" s="16">
        <f>(0.697916666666667-0.676388888888889)</f>
        <v>2.1527777777777923E-2</v>
      </c>
      <c r="E20" s="16">
        <f>ABS(0.0215277777777779-0.009027777777778)</f>
        <v>1.2499999999999898E-2</v>
      </c>
      <c r="F20" t="s">
        <v>9</v>
      </c>
    </row>
    <row r="21" spans="1:18" x14ac:dyDescent="0.25">
      <c r="A21" s="11">
        <v>42186</v>
      </c>
      <c r="B21" s="16">
        <v>0.12986111111111112</v>
      </c>
      <c r="C21" s="16">
        <v>0.1388888888888889</v>
      </c>
      <c r="D21" s="16">
        <f>(0.138888888888889-0.129861111111111)</f>
        <v>9.0277777777779955E-3</v>
      </c>
      <c r="E21" s="16">
        <f>ABS(0.009027777777778-0.01875)</f>
        <v>9.7222222222219986E-3</v>
      </c>
      <c r="F21" t="s">
        <v>9</v>
      </c>
    </row>
    <row r="22" spans="1:18" x14ac:dyDescent="0.25">
      <c r="A22" s="11">
        <v>42186</v>
      </c>
      <c r="B22" s="16">
        <v>0.48749999999999999</v>
      </c>
      <c r="C22" s="16">
        <v>0.50624999999999998</v>
      </c>
      <c r="D22" s="16">
        <f>(0.50625-0.4875)</f>
        <v>1.8749999999999989E-2</v>
      </c>
      <c r="E22" s="16">
        <f>ABS(0.01875-0.020138888888889)</f>
        <v>1.3888888888890019E-3</v>
      </c>
      <c r="F22" t="s">
        <v>9</v>
      </c>
    </row>
    <row r="23" spans="1:18" x14ac:dyDescent="0.25">
      <c r="A23" s="11">
        <v>42186</v>
      </c>
      <c r="B23" s="16">
        <v>0.81319444444444444</v>
      </c>
      <c r="C23" s="16">
        <v>0.83333333333333337</v>
      </c>
      <c r="D23" s="16">
        <f>(0.833333333333333-0.813194444444444)</f>
        <v>2.0138888888889039E-2</v>
      </c>
      <c r="E23" s="16">
        <f>ABS(0.020138888888889-0.0166666666666671)</f>
        <v>3.4722222222219011E-3</v>
      </c>
      <c r="F23" t="s">
        <v>9</v>
      </c>
    </row>
    <row r="24" spans="1:18" x14ac:dyDescent="0.25">
      <c r="A24" s="11">
        <v>42186</v>
      </c>
      <c r="B24" s="16">
        <v>0.84444444444444444</v>
      </c>
      <c r="C24" s="16">
        <v>0.86111111111111116</v>
      </c>
      <c r="D24" s="16">
        <f>(0.861111111111111-0.844444444444444)</f>
        <v>1.6666666666667052E-2</v>
      </c>
      <c r="E24" s="16">
        <f>ABS(D24-D25)</f>
        <v>6.9444444444447528E-3</v>
      </c>
      <c r="F24" t="s">
        <v>9</v>
      </c>
    </row>
    <row r="25" spans="1:18" x14ac:dyDescent="0.25">
      <c r="A25" s="11">
        <v>42186</v>
      </c>
      <c r="B25" s="16" t="s">
        <v>20</v>
      </c>
      <c r="C25" s="16" t="s">
        <v>21</v>
      </c>
      <c r="D25" s="16">
        <f>C25-B25</f>
        <v>9.7222222222222987E-3</v>
      </c>
      <c r="E25" s="16">
        <f>ABS(D25-D26)</f>
        <v>4.1666666666665408E-3</v>
      </c>
      <c r="F25" t="s">
        <v>9</v>
      </c>
    </row>
    <row r="26" spans="1:18" x14ac:dyDescent="0.25">
      <c r="A26" s="11">
        <v>42186</v>
      </c>
      <c r="B26" s="16" t="s">
        <v>22</v>
      </c>
      <c r="C26" s="16" t="s">
        <v>23</v>
      </c>
      <c r="D26" s="16">
        <f>C26-B26</f>
        <v>1.388888888888884E-2</v>
      </c>
      <c r="E26" s="16">
        <f>ABS(-0.017361111111111)</f>
        <v>1.7361111111111001E-2</v>
      </c>
      <c r="F26" t="s">
        <v>9</v>
      </c>
    </row>
    <row r="27" spans="1:18" x14ac:dyDescent="0.25">
      <c r="A27" s="11">
        <v>42186</v>
      </c>
      <c r="B27" s="16">
        <v>0.4770833333333333</v>
      </c>
      <c r="C27" s="16">
        <v>0.49444444444444446</v>
      </c>
      <c r="D27" s="16">
        <f>(0.494444444444444-0.477083333333333)</f>
        <v>1.7361111111110994E-2</v>
      </c>
      <c r="E27" s="16">
        <f>ABS(0.017361111111111-0.0173611111111109)</f>
        <v>1.0061396160665481E-16</v>
      </c>
      <c r="F27" t="s">
        <v>9</v>
      </c>
    </row>
    <row r="28" spans="1:18" x14ac:dyDescent="0.25">
      <c r="A28" s="11">
        <v>42186</v>
      </c>
      <c r="B28" s="16">
        <v>0.52777777777777779</v>
      </c>
      <c r="C28" s="16">
        <v>0.54513888888888895</v>
      </c>
      <c r="D28" s="16">
        <f>(0.545138888888889-0.527777777777778)</f>
        <v>1.7361111111110938E-2</v>
      </c>
      <c r="E28" s="16">
        <f>ABS(0.0173611111111109-0.0173611111111109)</f>
        <v>0</v>
      </c>
      <c r="F28" t="s">
        <v>9</v>
      </c>
    </row>
    <row r="29" spans="1:18" x14ac:dyDescent="0.25">
      <c r="A29" s="11">
        <v>42186</v>
      </c>
      <c r="B29" s="16">
        <v>0.57916666666666672</v>
      </c>
      <c r="C29" s="16">
        <v>0.59652777777777777</v>
      </c>
      <c r="D29" s="16">
        <f>(0.596527777777778-0.579166666666667)</f>
        <v>1.7361111111110938E-2</v>
      </c>
      <c r="E29" s="16">
        <f>ABS(0.0173611111111109-0.0138888888888891)</f>
        <v>3.4722222222218005E-3</v>
      </c>
      <c r="F29" t="s">
        <v>9</v>
      </c>
    </row>
    <row r="30" spans="1:18" x14ac:dyDescent="0.25">
      <c r="A30" s="11">
        <v>42186</v>
      </c>
      <c r="B30" s="16">
        <v>0.68958333333333333</v>
      </c>
      <c r="C30" s="16">
        <v>0.70347222222222217</v>
      </c>
      <c r="D30" s="16">
        <f>(0.703472222222222-0.689583333333333)</f>
        <v>1.3888888888889062E-2</v>
      </c>
      <c r="E30" s="16">
        <f>ABS(0.0138888888888891-0.059722222222222)</f>
        <v>4.5833333333332907E-2</v>
      </c>
      <c r="F30" t="s">
        <v>9</v>
      </c>
    </row>
    <row r="31" spans="1:18" x14ac:dyDescent="0.25">
      <c r="A31" s="11">
        <v>42186</v>
      </c>
      <c r="B31" s="16">
        <v>0.54375000000000007</v>
      </c>
      <c r="C31" s="16">
        <v>0.60347222222222219</v>
      </c>
      <c r="D31" s="16">
        <f>(0.603472222222222-0.54375)</f>
        <v>5.972222222222201E-2</v>
      </c>
      <c r="E31" s="16">
        <f>ABS(0.059722222222222-0.0159722222222221)</f>
        <v>4.37499999999999E-2</v>
      </c>
      <c r="F31" t="s">
        <v>9</v>
      </c>
    </row>
    <row r="32" spans="1:18" x14ac:dyDescent="0.25">
      <c r="A32" s="11">
        <v>42186</v>
      </c>
      <c r="B32" s="16">
        <v>0.63124999999999998</v>
      </c>
      <c r="C32" s="16">
        <v>0.64722222222222225</v>
      </c>
      <c r="D32" s="16">
        <f>(0.647222222222222-0.63125)</f>
        <v>1.5972222222222054E-2</v>
      </c>
      <c r="E32" s="16">
        <f>ABS(0.0159722222222221-0.0173611111111109)</f>
        <v>1.3888888888888007E-3</v>
      </c>
      <c r="F32" t="s">
        <v>9</v>
      </c>
    </row>
    <row r="33" spans="1:6" x14ac:dyDescent="0.25">
      <c r="A33" s="11">
        <v>42186</v>
      </c>
      <c r="B33" s="16">
        <v>0.67222222222222217</v>
      </c>
      <c r="C33" s="16">
        <v>0.68958333333333333</v>
      </c>
      <c r="D33" s="16">
        <f>(0.689583333333333-0.672222222222222)</f>
        <v>1.7361111111110938E-2</v>
      </c>
      <c r="E33" s="16">
        <f>ABS(0.0173611111111109-0.013194444444445)</f>
        <v>4.1666666666659007E-3</v>
      </c>
      <c r="F33" t="s">
        <v>9</v>
      </c>
    </row>
    <row r="34" spans="1:6" x14ac:dyDescent="0.25">
      <c r="A34" s="11">
        <v>42186</v>
      </c>
      <c r="B34" s="16">
        <v>0.81319444444444444</v>
      </c>
      <c r="C34" s="16">
        <v>0.82638888888888884</v>
      </c>
      <c r="D34" s="16">
        <f>(0.826388888888889-0.813194444444444)</f>
        <v>1.3194444444444953E-2</v>
      </c>
      <c r="E34" s="16">
        <f>ABS(0.013194444444445-0.0076388888888889)</f>
        <v>5.5555555555560996E-3</v>
      </c>
      <c r="F34" t="s">
        <v>9</v>
      </c>
    </row>
    <row r="35" spans="1:6" x14ac:dyDescent="0.25">
      <c r="A35" s="11">
        <v>42186</v>
      </c>
      <c r="B35" s="16">
        <v>8.4722222222222213E-2</v>
      </c>
      <c r="C35" s="16">
        <v>9.2361111111111116E-2</v>
      </c>
      <c r="D35" s="16">
        <f>(0.0923611111111111-0.0847222222222222)</f>
        <v>7.6388888888889034E-3</v>
      </c>
      <c r="E35" s="16">
        <f>ABS(0.0076388888888889-0.00763888888888908)</f>
        <v>1.8041124150158794E-16</v>
      </c>
      <c r="F35" t="s">
        <v>9</v>
      </c>
    </row>
    <row r="36" spans="1:6" x14ac:dyDescent="0.25">
      <c r="A36" s="11">
        <v>42186</v>
      </c>
      <c r="B36" s="16">
        <v>0.60277777777777775</v>
      </c>
      <c r="C36" s="16">
        <v>0.61041666666666672</v>
      </c>
      <c r="D36" s="16">
        <f>(0.610416666666667-0.602777777777778)</f>
        <v>7.6388888888890838E-3</v>
      </c>
      <c r="E36" s="16">
        <f>ABS(0.00763888888888908-0.00624999999999998)</f>
        <v>1.3888888888890999E-3</v>
      </c>
      <c r="F36" t="s">
        <v>9</v>
      </c>
    </row>
    <row r="37" spans="1:6" x14ac:dyDescent="0.25">
      <c r="A37" s="11">
        <v>42186</v>
      </c>
      <c r="B37" s="16">
        <v>0.65902777777777777</v>
      </c>
      <c r="C37" s="16">
        <v>0.66527777777777775</v>
      </c>
      <c r="D37" s="16">
        <f>(0.665277777777778-0.659027777777778)</f>
        <v>6.2499999999999778E-3</v>
      </c>
      <c r="E37" s="16">
        <f>ABS(0.00624999999999998-0.0159722222222219)</f>
        <v>9.7222222222219171E-3</v>
      </c>
      <c r="F37" t="s">
        <v>9</v>
      </c>
    </row>
    <row r="38" spans="1:6" x14ac:dyDescent="0.25">
      <c r="A38" s="11">
        <v>42186</v>
      </c>
      <c r="B38" s="16">
        <v>0.71388888888888891</v>
      </c>
      <c r="C38" s="16">
        <v>0.72986111111111107</v>
      </c>
      <c r="D38" s="16">
        <f>(0.729861111111111-0.713888888888889)</f>
        <v>1.5972222222221943E-2</v>
      </c>
      <c r="E38" s="16">
        <f>ABS(0.0159722222222219-0.022222222222222)</f>
        <v>6.2500000000001027E-3</v>
      </c>
      <c r="F38" t="s">
        <v>9</v>
      </c>
    </row>
    <row r="39" spans="1:6" x14ac:dyDescent="0.25">
      <c r="A39" s="11">
        <v>42186</v>
      </c>
      <c r="B39" s="16">
        <v>0.46875</v>
      </c>
      <c r="C39" s="16">
        <v>0.4909722222222222</v>
      </c>
      <c r="D39" s="16">
        <f>(0.490972222222222-0.46875)</f>
        <v>2.2222222222221977E-2</v>
      </c>
      <c r="E39" s="16">
        <f>ABS(0.022222222222222-0.0159722222222221)</f>
        <v>6.2499999999999015E-3</v>
      </c>
      <c r="F39" t="s">
        <v>9</v>
      </c>
    </row>
    <row r="40" spans="1:6" x14ac:dyDescent="0.25">
      <c r="A40" s="11">
        <v>42186</v>
      </c>
      <c r="B40" s="16">
        <v>0.82430555555555562</v>
      </c>
      <c r="C40" s="16">
        <v>0.84027777777777779</v>
      </c>
      <c r="D40" s="16">
        <f>(0.840277777777778-0.824305555555556)</f>
        <v>1.5972222222222054E-2</v>
      </c>
      <c r="E40" s="16">
        <f>ABS(0.0159722222222221-0.036111111111111)</f>
        <v>2.0138888888888897E-2</v>
      </c>
      <c r="F40" t="s">
        <v>9</v>
      </c>
    </row>
    <row r="41" spans="1:6" x14ac:dyDescent="0.25">
      <c r="A41" s="11">
        <v>42186</v>
      </c>
      <c r="B41" s="16">
        <v>0.46111111111111108</v>
      </c>
      <c r="C41" s="16">
        <v>0.49722222222222223</v>
      </c>
      <c r="D41" s="16">
        <f>(0.497222222222222-0.461111111111111)</f>
        <v>3.6111111111110983E-2</v>
      </c>
      <c r="E41" s="16">
        <f>ABS(0.036111111111111-0.0173611111111111)</f>
        <v>1.8749999999999895E-2</v>
      </c>
      <c r="F41" t="s">
        <v>9</v>
      </c>
    </row>
    <row r="42" spans="1:6" x14ac:dyDescent="0.25">
      <c r="A42" s="11">
        <v>42186</v>
      </c>
      <c r="B42" s="16">
        <v>4.7916666666666663E-2</v>
      </c>
      <c r="C42" s="16">
        <v>6.5277777777777782E-2</v>
      </c>
      <c r="D42" s="16">
        <f>(0.0652777777777778-0.0479166666666667)</f>
        <v>1.7361111111111098E-2</v>
      </c>
      <c r="E42" s="16">
        <f>ABS(0.0173611111111111-0.43125)</f>
        <v>0.41388888888888892</v>
      </c>
      <c r="F42" t="s">
        <v>9</v>
      </c>
    </row>
    <row r="43" spans="1:6" x14ac:dyDescent="0.25">
      <c r="A43" s="11">
        <v>42186</v>
      </c>
      <c r="B43" s="16">
        <v>0.44722222222222219</v>
      </c>
      <c r="C43" s="16">
        <v>0.87847222222222221</v>
      </c>
      <c r="D43" s="16">
        <f>(0.878472222222222-0.447222222222222)</f>
        <v>0.43124999999999997</v>
      </c>
      <c r="E43" s="16">
        <f>ABS(0.43125-0.0159722222222219)</f>
        <v>0.41527777777777813</v>
      </c>
      <c r="F43" t="s">
        <v>9</v>
      </c>
    </row>
    <row r="44" spans="1:6" x14ac:dyDescent="0.25">
      <c r="A44" s="11">
        <v>42186</v>
      </c>
      <c r="B44" s="16">
        <v>0.92361111111111116</v>
      </c>
      <c r="C44" s="16">
        <v>0.93958333333333333</v>
      </c>
      <c r="D44" s="16">
        <f>(0.939583333333333-0.923611111111111)</f>
        <v>1.5972222222221943E-2</v>
      </c>
      <c r="E44" s="16">
        <f>ABS(0.0159722222222219-0.019444444444444)</f>
        <v>3.4722222222221023E-3</v>
      </c>
      <c r="F44" t="s">
        <v>9</v>
      </c>
    </row>
    <row r="45" spans="1:6" x14ac:dyDescent="0.25">
      <c r="A45" s="11">
        <v>42186</v>
      </c>
      <c r="B45" s="16">
        <v>0.21666666666666667</v>
      </c>
      <c r="C45" s="16">
        <v>0.23611111111111113</v>
      </c>
      <c r="D45" s="16">
        <f>(0.236111111111111-0.216666666666667)</f>
        <v>1.9444444444443987E-2</v>
      </c>
      <c r="E45" s="16">
        <f>ABS(0.019444444444444-0.014583333333333)</f>
        <v>4.8611111111110002E-3</v>
      </c>
      <c r="F45" t="s">
        <v>9</v>
      </c>
    </row>
    <row r="46" spans="1:6" x14ac:dyDescent="0.25">
      <c r="A46" s="11">
        <v>42186</v>
      </c>
      <c r="B46" s="16">
        <v>0.33124999999999999</v>
      </c>
      <c r="C46" s="16">
        <v>0.34583333333333338</v>
      </c>
      <c r="D46" s="16">
        <f>(0.345833333333333-0.33125)</f>
        <v>1.4583333333333004E-2</v>
      </c>
      <c r="E46" s="16">
        <f>ABS(0.014583333333333-0.022222222222222)</f>
        <v>7.6388888888890005E-3</v>
      </c>
      <c r="F46" t="s">
        <v>9</v>
      </c>
    </row>
    <row r="47" spans="1:6" x14ac:dyDescent="0.25">
      <c r="A47" s="11">
        <v>42186</v>
      </c>
      <c r="B47" s="16">
        <v>0.60902777777777783</v>
      </c>
      <c r="C47" s="16">
        <v>0.63124999999999998</v>
      </c>
      <c r="D47" s="16">
        <f>(0.63125-0.609027777777778)</f>
        <v>2.2222222222222032E-2</v>
      </c>
      <c r="E47" s="16">
        <f>ABS(0.022222222222222-0.020138888888889)</f>
        <v>2.0833333333329998E-3</v>
      </c>
      <c r="F47" t="s">
        <v>9</v>
      </c>
    </row>
    <row r="48" spans="1:6" x14ac:dyDescent="0.25">
      <c r="A48" s="11">
        <v>42186</v>
      </c>
      <c r="B48" s="16">
        <v>0.14652777777777778</v>
      </c>
      <c r="C48" s="16">
        <v>0.16666666666666666</v>
      </c>
      <c r="D48" s="16">
        <f>(0.166666666666667-0.146527777777778)</f>
        <v>2.0138888888888984E-2</v>
      </c>
      <c r="E48" s="16">
        <f>ABS(0.020138888888889-0.013888888888889)</f>
        <v>6.2500000000000021E-3</v>
      </c>
      <c r="F48" t="s">
        <v>9</v>
      </c>
    </row>
    <row r="49" spans="1:6" x14ac:dyDescent="0.25">
      <c r="A49" s="11">
        <v>42186</v>
      </c>
      <c r="B49" s="16">
        <v>0.2986111111111111</v>
      </c>
      <c r="C49" s="16">
        <v>0.3125</v>
      </c>
      <c r="D49" s="16">
        <f>(0.3125-0.298611111111111)</f>
        <v>1.3888888888889006E-2</v>
      </c>
      <c r="E49" s="16">
        <f>ABS(D49-D50)</f>
        <v>1.3888888888890505E-3</v>
      </c>
      <c r="F49" t="s">
        <v>9</v>
      </c>
    </row>
    <row r="50" spans="1:6" x14ac:dyDescent="0.25">
      <c r="A50" s="11">
        <v>42186</v>
      </c>
      <c r="B50" s="16">
        <v>0.91111111111111109</v>
      </c>
      <c r="C50" s="16">
        <v>0.92638888888888893</v>
      </c>
      <c r="D50" s="16">
        <f>(0.926388888888889-0.911111111111111)</f>
        <v>1.5277777777778057E-2</v>
      </c>
      <c r="E50" s="16">
        <f>ABS(0.0152777777777781-0.021527777777778)</f>
        <v>6.2499999999998997E-3</v>
      </c>
      <c r="F50" t="s">
        <v>9</v>
      </c>
    </row>
    <row r="51" spans="1:6" x14ac:dyDescent="0.25">
      <c r="A51" s="11">
        <v>42186</v>
      </c>
      <c r="B51" s="16">
        <v>0.44513888888888892</v>
      </c>
      <c r="C51" s="16">
        <v>0.46666666666666662</v>
      </c>
      <c r="D51" s="16">
        <f>(0.466666666666667-0.445138888888889)</f>
        <v>2.1527777777778034E-2</v>
      </c>
      <c r="E51" s="16">
        <f>ABS(0.021527777777778-0.021527777777778)</f>
        <v>0</v>
      </c>
      <c r="F51" t="s">
        <v>9</v>
      </c>
    </row>
    <row r="52" spans="1:6" x14ac:dyDescent="0.25">
      <c r="A52" s="11">
        <v>42186</v>
      </c>
      <c r="B52" s="16">
        <v>0.36388888888888887</v>
      </c>
      <c r="C52" s="16">
        <v>0.38541666666666669</v>
      </c>
      <c r="D52" s="16">
        <f>(0.385416666666667-0.363888888888889)</f>
        <v>2.1527777777778034E-2</v>
      </c>
      <c r="E52" s="16">
        <f>ABS(0.021527777777778-0.0118055555555551)</f>
        <v>9.7222222222228989E-3</v>
      </c>
      <c r="F52" t="s">
        <v>9</v>
      </c>
    </row>
    <row r="53" spans="1:6" x14ac:dyDescent="0.25">
      <c r="A53" s="11">
        <v>42186</v>
      </c>
      <c r="B53" s="16">
        <v>0.79166666666666663</v>
      </c>
      <c r="C53" s="16">
        <v>0.80347222222222225</v>
      </c>
      <c r="D53" s="16">
        <f>(0.803472222222222-0.791666666666667)</f>
        <v>1.180555555555507E-2</v>
      </c>
      <c r="E53" s="16">
        <f>ABS(0.0118055555555551-0.0166666666666671)</f>
        <v>4.8611111111119994E-3</v>
      </c>
      <c r="F53" t="s">
        <v>9</v>
      </c>
    </row>
    <row r="54" spans="1:6" x14ac:dyDescent="0.25">
      <c r="A54" s="11">
        <v>42186</v>
      </c>
      <c r="B54" s="16">
        <v>0.84722222222222221</v>
      </c>
      <c r="C54" s="16">
        <v>0.86388888888888893</v>
      </c>
      <c r="D54" s="16">
        <f>(0.863888888888889-0.847222222222222)</f>
        <v>1.6666666666667052E-2</v>
      </c>
      <c r="E54" s="16">
        <f>ABS(0.0166666666666671-0.0125)</f>
        <v>4.1666666666670994E-3</v>
      </c>
      <c r="F54" t="s">
        <v>9</v>
      </c>
    </row>
    <row r="55" spans="1:6" x14ac:dyDescent="0.25">
      <c r="A55" s="11">
        <v>42186</v>
      </c>
      <c r="B55" s="16">
        <v>0.92499999999999993</v>
      </c>
      <c r="C55" s="16">
        <v>0.9375</v>
      </c>
      <c r="D55" s="16">
        <f>(0.9375-0.925)</f>
        <v>1.2499999999999956E-2</v>
      </c>
      <c r="E55" s="16">
        <f>ABS(0.0125-0.0131944444444441)</f>
        <v>6.944444444440985E-4</v>
      </c>
      <c r="F55" t="s">
        <v>9</v>
      </c>
    </row>
    <row r="56" spans="1:6" x14ac:dyDescent="0.25">
      <c r="A56" s="11">
        <v>42186</v>
      </c>
      <c r="B56" s="16">
        <v>0.82013888888888886</v>
      </c>
      <c r="C56" s="16">
        <v>0.83333333333333337</v>
      </c>
      <c r="D56" s="16">
        <f>(0.833333333333333-0.820138888888889)</f>
        <v>1.3194444444444065E-2</v>
      </c>
      <c r="E56" s="16">
        <f>ABS(0.0131944444444441-0.0166666666666671)</f>
        <v>3.4722222222230009E-3</v>
      </c>
      <c r="F56" t="s">
        <v>9</v>
      </c>
    </row>
    <row r="57" spans="1:6" x14ac:dyDescent="0.25">
      <c r="A57" s="11">
        <v>42186</v>
      </c>
      <c r="B57" s="16">
        <v>0.72013888888888899</v>
      </c>
      <c r="C57" s="16">
        <v>0.7368055555555556</v>
      </c>
      <c r="D57" s="16">
        <f>(0.736805555555556-0.720138888888889)</f>
        <v>1.6666666666667052E-2</v>
      </c>
      <c r="E57" s="16">
        <f>ABS(0.0166666666666671-0.030555555555555)</f>
        <v>1.3888888888887899E-2</v>
      </c>
      <c r="F57" t="s">
        <v>9</v>
      </c>
    </row>
    <row r="58" spans="1:6" x14ac:dyDescent="0.25">
      <c r="A58" s="11">
        <v>42186</v>
      </c>
      <c r="B58" s="16">
        <v>0.4465277777777778</v>
      </c>
      <c r="C58" s="16">
        <v>0.4770833333333333</v>
      </c>
      <c r="D58" s="16">
        <f>(0.477083333333333-0.446527777777778)</f>
        <v>3.0555555555555003E-2</v>
      </c>
      <c r="E58" s="16">
        <f>ABS(0.030555555555555-0.0138888888888891)</f>
        <v>1.66666666666659E-2</v>
      </c>
      <c r="F58" t="s">
        <v>9</v>
      </c>
    </row>
    <row r="59" spans="1:6" x14ac:dyDescent="0.25">
      <c r="A59" s="11">
        <v>42186</v>
      </c>
      <c r="B59" s="16">
        <v>0.7944444444444444</v>
      </c>
      <c r="C59" s="16">
        <v>0.80833333333333324</v>
      </c>
      <c r="D59" s="16">
        <f>(0.808333333333333-0.794444444444444)</f>
        <v>1.3888888888889062E-2</v>
      </c>
      <c r="E59" s="16">
        <f>ABS(0.0138888888888891-0.022916666666666)</f>
        <v>9.0277777777768992E-3</v>
      </c>
      <c r="F59" t="s">
        <v>9</v>
      </c>
    </row>
    <row r="60" spans="1:6" x14ac:dyDescent="0.25">
      <c r="A60" s="11">
        <v>42186</v>
      </c>
      <c r="B60" s="16">
        <v>0.51041666666666663</v>
      </c>
      <c r="C60" s="16">
        <v>0.53333333333333333</v>
      </c>
      <c r="D60" s="16">
        <f>(0.533333333333333-0.510416666666667)</f>
        <v>2.291666666666603E-2</v>
      </c>
      <c r="E60" s="16">
        <f>ABS(0.022916666666666-0.00625000000000003)</f>
        <v>1.6666666666665969E-2</v>
      </c>
      <c r="F60" t="s">
        <v>9</v>
      </c>
    </row>
    <row r="61" spans="1:6" x14ac:dyDescent="0.25">
      <c r="A61" s="11">
        <v>42186</v>
      </c>
      <c r="B61" s="16">
        <v>0.27291666666666664</v>
      </c>
      <c r="C61" s="16">
        <v>0.27916666666666667</v>
      </c>
      <c r="D61" s="16">
        <f>(0.279166666666667-0.272916666666667)</f>
        <v>6.2500000000000333E-3</v>
      </c>
      <c r="E61" s="16">
        <f>ABS(0.00625000000000003-0.0249999999999999)</f>
        <v>1.8749999999999871E-2</v>
      </c>
      <c r="F61" t="s">
        <v>9</v>
      </c>
    </row>
    <row r="62" spans="1:6" x14ac:dyDescent="0.25">
      <c r="A62" s="11">
        <v>42186</v>
      </c>
      <c r="B62" s="16">
        <v>0.58124999999999993</v>
      </c>
      <c r="C62" s="16">
        <v>0.60625000000000007</v>
      </c>
      <c r="D62" s="16">
        <f>(0.60625-0.58125)</f>
        <v>2.4999999999999911E-2</v>
      </c>
      <c r="E62" s="16">
        <f>ABS(0.0249999999999999-0.0152777777777781)</f>
        <v>9.7222222222218008E-3</v>
      </c>
      <c r="F62" t="s">
        <v>9</v>
      </c>
    </row>
    <row r="63" spans="1:6" x14ac:dyDescent="0.25">
      <c r="A63" s="11">
        <v>42186</v>
      </c>
      <c r="B63" s="16">
        <v>0.76250000000000007</v>
      </c>
      <c r="C63" s="16">
        <v>0.77777777777777779</v>
      </c>
      <c r="D63" s="16">
        <f>(0.777777777777778-0.7625)</f>
        <v>1.5277777777778057E-2</v>
      </c>
      <c r="E63" s="16"/>
      <c r="F63" t="s">
        <v>9</v>
      </c>
    </row>
    <row r="64" spans="1:6" x14ac:dyDescent="0.25">
      <c r="A64" s="11">
        <v>42186</v>
      </c>
      <c r="B64" s="6">
        <v>0.10694444444444444</v>
      </c>
      <c r="C64" s="6">
        <v>0.12083333333333333</v>
      </c>
      <c r="D64" s="6">
        <f>(0.120833333333333-0.106944444444444)</f>
        <v>1.3888888888889006E-2</v>
      </c>
      <c r="E64" s="6">
        <f>ABS(0.013888888888889-0.010416666666666)</f>
        <v>3.4722222222229992E-3</v>
      </c>
      <c r="F64" t="s">
        <v>3</v>
      </c>
    </row>
    <row r="65" spans="1:7" x14ac:dyDescent="0.25">
      <c r="A65" s="11">
        <v>42186</v>
      </c>
      <c r="B65" s="6">
        <v>0.43541666666666662</v>
      </c>
      <c r="C65" s="6">
        <v>0.4458333333333333</v>
      </c>
      <c r="D65" s="6">
        <f>(0.445833333333333-0.435416666666667)</f>
        <v>1.0416666666666019E-2</v>
      </c>
      <c r="E65" s="6">
        <f>ABS(0.010416666666666-0.0104166666666671)</f>
        <v>1.0998146837692957E-15</v>
      </c>
      <c r="F65" t="s">
        <v>3</v>
      </c>
    </row>
    <row r="66" spans="1:7" x14ac:dyDescent="0.25">
      <c r="A66" s="11">
        <v>42186</v>
      </c>
      <c r="B66" s="6">
        <v>0.50763888888888886</v>
      </c>
      <c r="C66" s="6">
        <v>0.5180555555555556</v>
      </c>
      <c r="D66" s="6">
        <f>(0.518055555555556-0.507638888888889)</f>
        <v>1.0416666666667074E-2</v>
      </c>
      <c r="E66" s="6">
        <f>ABS(0.0104166666666671-0.0111111111111111)</f>
        <v>6.9444444444399962E-4</v>
      </c>
      <c r="F66" t="s">
        <v>3</v>
      </c>
    </row>
    <row r="67" spans="1:7" x14ac:dyDescent="0.25">
      <c r="A67" s="11">
        <v>42186</v>
      </c>
      <c r="B67" s="6">
        <v>0.60347222222222219</v>
      </c>
      <c r="C67" s="6">
        <v>0.61458333333333337</v>
      </c>
      <c r="D67" s="6">
        <f>(0.614583333333333-0.603472222222222)</f>
        <v>1.1111111111111072E-2</v>
      </c>
      <c r="E67" s="6">
        <f>ABS(0.0111111111111111-0.00208333333333399)</f>
        <v>9.0277777777771091E-3</v>
      </c>
      <c r="F67" t="s">
        <v>3</v>
      </c>
    </row>
    <row r="68" spans="1:7" x14ac:dyDescent="0.25">
      <c r="A68" s="11">
        <v>42186</v>
      </c>
      <c r="B68" s="6">
        <v>0.72222222222222221</v>
      </c>
      <c r="C68" s="6">
        <v>0.72430555555555554</v>
      </c>
      <c r="D68" s="6">
        <f>(0.724305555555556-0.722222222222222)</f>
        <v>2.0833333333339921E-3</v>
      </c>
      <c r="E68" s="6">
        <f>ABS(0.00208333333333399-0.00694444444444398)</f>
        <v>4.8611111111099906E-3</v>
      </c>
      <c r="F68" t="s">
        <v>3</v>
      </c>
      <c r="G68" s="3"/>
    </row>
    <row r="69" spans="1:7" x14ac:dyDescent="0.25">
      <c r="A69" s="11">
        <v>42186</v>
      </c>
      <c r="B69" s="6">
        <v>0.84652777777777777</v>
      </c>
      <c r="C69" s="6">
        <v>0.8534722222222223</v>
      </c>
      <c r="D69" s="6">
        <f>(0.853472222222222-0.846527777777778)</f>
        <v>6.9444444444439757E-3</v>
      </c>
      <c r="E69" s="6">
        <f>ABS(0.00694444444444398-0.00555555555555599)</f>
        <v>1.3888888888879897E-3</v>
      </c>
      <c r="F69" t="s">
        <v>3</v>
      </c>
      <c r="G69" s="3"/>
    </row>
    <row r="70" spans="1:7" x14ac:dyDescent="0.25">
      <c r="A70" s="11">
        <v>42186</v>
      </c>
      <c r="B70" s="6">
        <v>0.11319444444444444</v>
      </c>
      <c r="C70" s="6">
        <v>0.11875000000000001</v>
      </c>
      <c r="D70" s="6">
        <f>(0.11875-0.113194444444444)</f>
        <v>5.5555555555559938E-3</v>
      </c>
      <c r="E70" s="6">
        <f>ABS(0.00555555555555599-0.051388888888889)</f>
        <v>4.5833333333333004E-2</v>
      </c>
      <c r="F70" t="s">
        <v>3</v>
      </c>
      <c r="G70" s="3"/>
    </row>
    <row r="71" spans="1:7" x14ac:dyDescent="0.25">
      <c r="A71" s="11">
        <v>42186</v>
      </c>
      <c r="B71" s="6">
        <v>0.3666666666666667</v>
      </c>
      <c r="C71" s="6">
        <v>0.41805555555555557</v>
      </c>
      <c r="D71" s="6">
        <f>(0.418055555555556-0.366666666666667)</f>
        <v>5.1388888888889039E-2</v>
      </c>
      <c r="E71" s="6">
        <f>ABS(0.051388888888889-0.018055555555556)</f>
        <v>3.3333333333332993E-2</v>
      </c>
      <c r="F71" t="s">
        <v>3</v>
      </c>
      <c r="G71" s="3"/>
    </row>
    <row r="72" spans="1:7" x14ac:dyDescent="0.25">
      <c r="A72" s="11">
        <v>42186</v>
      </c>
      <c r="B72" s="6">
        <v>0.37222222222222223</v>
      </c>
      <c r="C72" s="6">
        <v>0.39027777777777778</v>
      </c>
      <c r="D72" s="6">
        <f>(0.390277777777778-0.372222222222222)</f>
        <v>1.8055555555555991E-2</v>
      </c>
      <c r="E72" s="6">
        <f>ABS(0.018055555555556-0.00555555555555498)</f>
        <v>1.2500000000001021E-2</v>
      </c>
      <c r="F72" t="s">
        <v>3</v>
      </c>
      <c r="G72" s="3"/>
    </row>
    <row r="73" spans="1:7" x14ac:dyDescent="0.25">
      <c r="A73" s="11">
        <v>42186</v>
      </c>
      <c r="B73" s="6">
        <v>0.55277777777777781</v>
      </c>
      <c r="C73" s="6">
        <v>0.55833333333333335</v>
      </c>
      <c r="D73" s="6">
        <f>(0.558333333333333-0.552777777777778)</f>
        <v>5.5555555555549807E-3</v>
      </c>
      <c r="E73" s="6">
        <f>ABS(0.00555555555555498-0.0159722222222229)</f>
        <v>1.041666666666792E-2</v>
      </c>
      <c r="F73" t="s">
        <v>3</v>
      </c>
      <c r="G73" s="3"/>
    </row>
    <row r="74" spans="1:7" x14ac:dyDescent="0.25">
      <c r="A74" s="11">
        <v>42186</v>
      </c>
      <c r="B74" s="6">
        <v>0.58333333333333337</v>
      </c>
      <c r="C74" s="6">
        <v>0.59930555555555554</v>
      </c>
      <c r="D74" s="6">
        <f>(0.599305555555556-0.583333333333333)</f>
        <v>1.5972222222222943E-2</v>
      </c>
      <c r="E74" s="6">
        <f>ABS(0.0159722222222229-0.0145833333333339)</f>
        <v>1.3888888888890002E-3</v>
      </c>
      <c r="F74" t="s">
        <v>3</v>
      </c>
      <c r="G74" s="3"/>
    </row>
    <row r="75" spans="1:7" x14ac:dyDescent="0.25">
      <c r="A75" s="11">
        <v>42186</v>
      </c>
      <c r="B75" s="6">
        <v>0.61458333333333337</v>
      </c>
      <c r="C75" s="6">
        <v>0.62916666666666665</v>
      </c>
      <c r="D75" s="6">
        <f>(0.629166666666667-0.614583333333333)</f>
        <v>1.4583333333333948E-2</v>
      </c>
      <c r="E75" s="6">
        <f>ABS(0.0145833333333339-0.00902777777777797)</f>
        <v>5.5555555555559313E-3</v>
      </c>
      <c r="F75" t="s">
        <v>3</v>
      </c>
      <c r="G75" s="3"/>
    </row>
    <row r="76" spans="1:7" x14ac:dyDescent="0.25">
      <c r="A76" s="11">
        <v>42186</v>
      </c>
      <c r="B76" s="6">
        <v>0.77986111111111101</v>
      </c>
      <c r="C76" s="6">
        <v>0.78888888888888886</v>
      </c>
      <c r="D76" s="6">
        <f>(0.788888888888889-0.779861111111111)</f>
        <v>9.0277777777779677E-3</v>
      </c>
      <c r="E76" s="6">
        <f>ABS(0.00902777777777797-0.00763888888888897)</f>
        <v>1.3888888888889993E-3</v>
      </c>
      <c r="F76" t="s">
        <v>3</v>
      </c>
      <c r="G76" s="3"/>
    </row>
    <row r="77" spans="1:7" x14ac:dyDescent="0.25">
      <c r="A77" s="11">
        <v>42186</v>
      </c>
      <c r="B77" s="6">
        <v>0.52083333333333337</v>
      </c>
      <c r="C77" s="6">
        <v>0.52847222222222223</v>
      </c>
      <c r="D77" s="6">
        <f>(0.528472222222222-0.520833333333333)</f>
        <v>7.6388888888889728E-3</v>
      </c>
      <c r="E77" s="6">
        <f>ABS(0.00763888888888897-0.013888888888889)</f>
        <v>6.250000000000029E-3</v>
      </c>
      <c r="F77" t="s">
        <v>3</v>
      </c>
      <c r="G77" s="3"/>
    </row>
    <row r="78" spans="1:7" x14ac:dyDescent="0.25">
      <c r="A78" s="11">
        <v>42186</v>
      </c>
      <c r="B78" s="6">
        <v>0.29236111111111113</v>
      </c>
      <c r="C78" s="6">
        <v>0.30624999999999997</v>
      </c>
      <c r="D78" s="6">
        <f>(0.30625-0.292361111111111)</f>
        <v>1.3888888888889006E-2</v>
      </c>
      <c r="E78" s="6">
        <f>ABS(0.013888888888889-0.013888888888889)</f>
        <v>0</v>
      </c>
      <c r="F78" t="s">
        <v>3</v>
      </c>
      <c r="G78" s="3"/>
    </row>
    <row r="79" spans="1:7" x14ac:dyDescent="0.25">
      <c r="A79" s="11">
        <v>42186</v>
      </c>
      <c r="B79" s="6">
        <v>0.34652777777777777</v>
      </c>
      <c r="C79" s="6">
        <v>0.36041666666666666</v>
      </c>
      <c r="D79" s="6">
        <f>(0.360416666666667-0.346527777777778)</f>
        <v>1.3888888888889006E-2</v>
      </c>
      <c r="E79" s="6">
        <f>ABS(0.013888888888889-0.013888888888889)</f>
        <v>0</v>
      </c>
      <c r="F79" t="s">
        <v>3</v>
      </c>
      <c r="G79" s="3"/>
    </row>
    <row r="80" spans="1:7" x14ac:dyDescent="0.25">
      <c r="A80" s="11">
        <v>42186</v>
      </c>
      <c r="B80" s="6">
        <v>0.34652777777777777</v>
      </c>
      <c r="C80" s="6">
        <v>0.36041666666666666</v>
      </c>
      <c r="D80" s="6">
        <f>(0.360416666666667-0.346527777777778)</f>
        <v>1.3888888888889006E-2</v>
      </c>
      <c r="E80" s="6">
        <f>ABS(0.013888888888889-0.00833333333333303)</f>
        <v>5.5555555555559695E-3</v>
      </c>
      <c r="F80" t="s">
        <v>3</v>
      </c>
      <c r="G80" s="3"/>
    </row>
    <row r="81" spans="1:7" x14ac:dyDescent="0.25">
      <c r="A81" s="11">
        <v>42186</v>
      </c>
      <c r="B81" s="6">
        <v>0.44236111111111115</v>
      </c>
      <c r="C81" s="6">
        <v>0.45069444444444445</v>
      </c>
      <c r="D81" s="6">
        <f>(0.450694444444444-0.442361111111111)</f>
        <v>8.3333333333330262E-3</v>
      </c>
      <c r="E81" s="6">
        <f>ABS(0.00833333333333303-0.011111111111112)</f>
        <v>2.7777777777789701E-3</v>
      </c>
      <c r="F81" t="s">
        <v>3</v>
      </c>
      <c r="G81" s="3"/>
    </row>
    <row r="82" spans="1:7" x14ac:dyDescent="0.25">
      <c r="A82" s="11">
        <v>42186</v>
      </c>
      <c r="B82" s="6">
        <v>0.65694444444444444</v>
      </c>
      <c r="C82" s="6">
        <v>0.66805555555555562</v>
      </c>
      <c r="D82" s="6">
        <f>(0.668055555555556-0.656944444444444)</f>
        <v>1.111111111111196E-2</v>
      </c>
      <c r="E82" s="6">
        <f>ABS(0.011111111111112-0.00763888888888797)</f>
        <v>3.4722222222240296E-3</v>
      </c>
      <c r="F82" t="s">
        <v>3</v>
      </c>
      <c r="G82" s="3"/>
    </row>
    <row r="83" spans="1:7" x14ac:dyDescent="0.25">
      <c r="A83" s="11">
        <v>42186</v>
      </c>
      <c r="B83" s="6">
        <v>0.72430555555555554</v>
      </c>
      <c r="C83" s="6">
        <v>0.7319444444444444</v>
      </c>
      <c r="D83" s="6">
        <f>(0.731944444444444-0.724305555555556)</f>
        <v>7.6388888888879736E-3</v>
      </c>
      <c r="E83" s="6">
        <f>ABS(0.00763888888888797-0.00833333333333308)</f>
        <v>6.9444444444510985E-4</v>
      </c>
      <c r="F83" t="s">
        <v>3</v>
      </c>
      <c r="G83" s="3"/>
    </row>
    <row r="84" spans="1:7" x14ac:dyDescent="0.25">
      <c r="A84" s="11">
        <v>42186</v>
      </c>
      <c r="B84" s="6">
        <v>0.85138888888888886</v>
      </c>
      <c r="C84" s="6">
        <v>0.85972222222222217</v>
      </c>
      <c r="D84" s="6">
        <f>(0.859722222222222-0.851388888888889)</f>
        <v>8.3333333333330817E-3</v>
      </c>
      <c r="E84" s="6">
        <f>ABS(0.00833333333333308-0.015277777777778)</f>
        <v>6.9444444444449194E-3</v>
      </c>
      <c r="F84" t="s">
        <v>3</v>
      </c>
      <c r="G84" s="3"/>
    </row>
    <row r="85" spans="1:7" x14ac:dyDescent="0.25">
      <c r="A85" s="11">
        <v>42186</v>
      </c>
      <c r="B85" s="6">
        <v>0.34027777777777773</v>
      </c>
      <c r="C85" s="6">
        <v>0.35555555555555557</v>
      </c>
      <c r="D85" s="6">
        <f>(0.355555555555556-0.340277777777778)</f>
        <v>1.5277777777778001E-2</v>
      </c>
      <c r="E85" s="6">
        <f>ABS(0.015277777777778-0.00902777777777797)</f>
        <v>6.2500000000000298E-3</v>
      </c>
      <c r="F85" t="s">
        <v>3</v>
      </c>
      <c r="G85" s="3"/>
    </row>
    <row r="86" spans="1:7" x14ac:dyDescent="0.25">
      <c r="A86" s="11">
        <v>42186</v>
      </c>
      <c r="B86" s="6">
        <v>0.87847222222222221</v>
      </c>
      <c r="C86" s="6">
        <v>0.88750000000000007</v>
      </c>
      <c r="D86" s="6">
        <f>(0.8875-0.878472222222222)</f>
        <v>9.0277777777779677E-3</v>
      </c>
      <c r="E86" s="6">
        <f>ABS(0.00902777777777797-0.00486111111111098)</f>
        <v>4.1666666666669893E-3</v>
      </c>
      <c r="F86" t="s">
        <v>3</v>
      </c>
      <c r="G86" s="3"/>
    </row>
    <row r="87" spans="1:7" x14ac:dyDescent="0.25">
      <c r="A87" s="11">
        <v>42186</v>
      </c>
      <c r="B87" s="6">
        <v>0.3923611111111111</v>
      </c>
      <c r="C87" s="6">
        <v>0.3972222222222222</v>
      </c>
      <c r="D87" s="6">
        <f>(0.397222222222222-0.392361111111111)</f>
        <v>4.8611111111109828E-3</v>
      </c>
      <c r="E87" s="6">
        <f>ABS(0.00486111111111098-0.00277777777777799)</f>
        <v>2.0833333333329903E-3</v>
      </c>
      <c r="F87" t="s">
        <v>3</v>
      </c>
      <c r="G87" s="3"/>
    </row>
    <row r="88" spans="1:7" x14ac:dyDescent="0.25">
      <c r="A88" s="11">
        <v>42186</v>
      </c>
      <c r="B88" s="6">
        <v>0.54097222222222219</v>
      </c>
      <c r="C88" s="6">
        <v>0.54375000000000007</v>
      </c>
      <c r="D88" s="6">
        <f>(0.54375-0.540972222222222)</f>
        <v>2.77777777777799E-3</v>
      </c>
      <c r="E88" s="6">
        <f>ABS(0.00277777777777799-0.00208333333333299)</f>
        <v>6.9444444444500012E-4</v>
      </c>
      <c r="F88" t="s">
        <v>3</v>
      </c>
      <c r="G88" s="3"/>
    </row>
    <row r="89" spans="1:7" x14ac:dyDescent="0.25">
      <c r="A89" s="11">
        <v>42186</v>
      </c>
      <c r="B89" s="6">
        <v>0.58263888888888882</v>
      </c>
      <c r="C89" s="6">
        <v>0.58472222222222225</v>
      </c>
      <c r="D89" s="6">
        <f>(0.584722222222222-0.582638888888889)</f>
        <v>2.0833333333329929E-3</v>
      </c>
      <c r="E89" s="6">
        <f>ABS(0.00208333333333299-0.00208333333333299)</f>
        <v>0</v>
      </c>
      <c r="F89" t="s">
        <v>3</v>
      </c>
      <c r="G89" s="3"/>
    </row>
    <row r="90" spans="1:7" x14ac:dyDescent="0.25">
      <c r="A90" s="11">
        <v>42186</v>
      </c>
      <c r="B90" s="6">
        <v>0.55277777777777781</v>
      </c>
      <c r="C90" s="6">
        <v>0.55486111111111114</v>
      </c>
      <c r="D90" s="6">
        <f>(0.554861111111111-0.552777777777778)</f>
        <v>2.0833333333329929E-3</v>
      </c>
      <c r="E90" s="6">
        <f>ABS(0.00208333333333299-0.00624999999999998)</f>
        <v>4.1666666666669901E-3</v>
      </c>
      <c r="F90" t="s">
        <v>3</v>
      </c>
      <c r="G90" s="3"/>
    </row>
    <row r="91" spans="1:7" x14ac:dyDescent="0.25">
      <c r="A91" s="11">
        <v>42186</v>
      </c>
      <c r="B91" s="6">
        <v>0.70833333333333337</v>
      </c>
      <c r="C91" s="6">
        <v>0.71458333333333324</v>
      </c>
      <c r="D91" s="6">
        <f>(0.714583333333333-0.708333333333333)</f>
        <v>6.2499999999999778E-3</v>
      </c>
      <c r="E91" s="6">
        <f>ABS(0.00624999999999998-0.0159722222222221)</f>
        <v>9.7222222222221183E-3</v>
      </c>
      <c r="F91" t="s">
        <v>3</v>
      </c>
      <c r="G91" s="3"/>
    </row>
    <row r="92" spans="1:7" x14ac:dyDescent="0.25">
      <c r="A92" s="11">
        <v>42186</v>
      </c>
      <c r="B92" s="6">
        <v>0.88541666666666663</v>
      </c>
      <c r="C92" s="6">
        <v>0.90138888888888891</v>
      </c>
      <c r="D92" s="6">
        <f>(0.901388888888889-0.885416666666667)</f>
        <v>1.5972222222222054E-2</v>
      </c>
      <c r="E92" s="6">
        <f>ABS(0.0159722222222221-0.00347222222222199)</f>
        <v>1.250000000000011E-2</v>
      </c>
      <c r="F92" t="s">
        <v>3</v>
      </c>
      <c r="G92" s="3"/>
    </row>
    <row r="93" spans="1:7" x14ac:dyDescent="0.25">
      <c r="A93" s="11">
        <v>42186</v>
      </c>
      <c r="B93" s="6">
        <v>0.9784722222222223</v>
      </c>
      <c r="C93" s="6">
        <v>0.9819444444444444</v>
      </c>
      <c r="D93" s="6">
        <f>(0.981944444444444-0.978472222222222)</f>
        <v>3.4722222222219878E-3</v>
      </c>
      <c r="E93" s="6">
        <f>ABS(0.00347222222222199-0.00555555555555509)</f>
        <v>2.0833333333331E-3</v>
      </c>
      <c r="F93" t="s">
        <v>3</v>
      </c>
      <c r="G93" s="3"/>
    </row>
    <row r="94" spans="1:7" x14ac:dyDescent="0.25">
      <c r="A94" s="11">
        <v>42186</v>
      </c>
      <c r="B94" s="6">
        <v>0.97916666666666663</v>
      </c>
      <c r="C94" s="6">
        <v>0.98472222222222217</v>
      </c>
      <c r="D94" s="6">
        <f>(0.984722222222222-0.979166666666667)</f>
        <v>5.5555555555550917E-3</v>
      </c>
      <c r="E94" s="6">
        <f>ABS(0.00555555555555509-0.00972222222222208)</f>
        <v>4.1666666666669901E-3</v>
      </c>
      <c r="F94" t="s">
        <v>3</v>
      </c>
      <c r="G94" s="3"/>
    </row>
    <row r="95" spans="1:7" x14ac:dyDescent="0.25">
      <c r="A95" s="11">
        <v>42186</v>
      </c>
      <c r="B95" s="6">
        <v>0.99652777777777779</v>
      </c>
      <c r="C95" s="6">
        <v>1.0062499999999999</v>
      </c>
      <c r="D95" s="6">
        <f>(1.00625-0.996527777777778)</f>
        <v>9.7222222222220767E-3</v>
      </c>
      <c r="E95" s="6">
        <f>ABS(0.00972222222222208-0.00208333333333331)</f>
        <v>7.6388888888887698E-3</v>
      </c>
      <c r="F95" t="s">
        <v>3</v>
      </c>
      <c r="G95" s="3"/>
    </row>
    <row r="96" spans="1:7" x14ac:dyDescent="0.25">
      <c r="A96" s="11">
        <v>42186</v>
      </c>
      <c r="B96" s="6">
        <v>4.3750000000000004E-2</v>
      </c>
      <c r="C96" s="6">
        <v>4.5833333333333337E-2</v>
      </c>
      <c r="D96" s="6">
        <f>(0.0458333333333333-0.04375)</f>
        <v>2.0833333333333051E-3</v>
      </c>
      <c r="E96" s="6">
        <f>ABS(0.00208333333333331-0.00486111111111098)</f>
        <v>2.7777777777776703E-3</v>
      </c>
      <c r="F96" t="s">
        <v>3</v>
      </c>
      <c r="G96" s="3"/>
    </row>
    <row r="97" spans="1:7" x14ac:dyDescent="0.25">
      <c r="A97" s="11">
        <v>42186</v>
      </c>
      <c r="B97" s="6">
        <v>0.34513888888888888</v>
      </c>
      <c r="C97" s="6">
        <v>0.35000000000000003</v>
      </c>
      <c r="D97" s="6">
        <f>(0.35-0.345138888888889)</f>
        <v>4.8611111111109828E-3</v>
      </c>
      <c r="E97" s="6">
        <f>ABS(0.00486111111111098-0.00833333333333303)</f>
        <v>3.4722222222220494E-3</v>
      </c>
      <c r="F97" t="s">
        <v>3</v>
      </c>
      <c r="G97" s="3"/>
    </row>
    <row r="98" spans="1:7" x14ac:dyDescent="0.25">
      <c r="A98" s="11">
        <v>42186</v>
      </c>
      <c r="B98" s="6">
        <v>0.3611111111111111</v>
      </c>
      <c r="C98" s="6">
        <v>0.36944444444444446</v>
      </c>
      <c r="D98" s="6">
        <f>(0.369444444444444-0.361111111111111)</f>
        <v>8.3333333333330262E-3</v>
      </c>
      <c r="E98" s="6">
        <f>ABS(0.00833333333333303-0.00972222222222202)</f>
        <v>1.3888888888889898E-3</v>
      </c>
      <c r="F98" t="s">
        <v>3</v>
      </c>
      <c r="G98" s="3"/>
    </row>
    <row r="99" spans="1:7" x14ac:dyDescent="0.25">
      <c r="A99" s="11">
        <v>42186</v>
      </c>
      <c r="B99" s="6">
        <v>0.3666666666666667</v>
      </c>
      <c r="C99" s="6">
        <v>0.37638888888888888</v>
      </c>
      <c r="D99" s="6">
        <f>(0.376388888888889-0.366666666666667)</f>
        <v>9.7222222222220211E-3</v>
      </c>
      <c r="E99" s="6">
        <f>ABS(0.00972222222222202-0.030555555555556)</f>
        <v>2.0833333333333981E-2</v>
      </c>
      <c r="F99" t="s">
        <v>3</v>
      </c>
      <c r="G99" s="3"/>
    </row>
    <row r="100" spans="1:7" x14ac:dyDescent="0.25">
      <c r="A100" s="11">
        <v>42186</v>
      </c>
      <c r="B100" s="6">
        <v>0.5131944444444444</v>
      </c>
      <c r="C100" s="6">
        <v>0.54375000000000007</v>
      </c>
      <c r="D100" s="6">
        <f>(0.54375-0.513194444444444)</f>
        <v>3.0555555555556002E-2</v>
      </c>
      <c r="E100" s="6">
        <f>ABS(0.030555555555556-0.00486111111111098)</f>
        <v>2.5694444444445019E-2</v>
      </c>
      <c r="F100" t="s">
        <v>3</v>
      </c>
      <c r="G100" s="3"/>
    </row>
    <row r="101" spans="1:7" x14ac:dyDescent="0.25">
      <c r="A101" s="11">
        <v>42186</v>
      </c>
      <c r="B101" s="6">
        <v>0.63541666666666663</v>
      </c>
      <c r="C101" s="6">
        <v>0.64027777777777783</v>
      </c>
      <c r="D101" s="6">
        <f>(0.640277777777778-0.635416666666667)</f>
        <v>4.8611111111109828E-3</v>
      </c>
      <c r="E101" s="6">
        <f>ABS(0.00486111111111098-0.00277777777777799)</f>
        <v>2.0833333333329903E-3</v>
      </c>
      <c r="F101" t="s">
        <v>3</v>
      </c>
      <c r="G101" s="3"/>
    </row>
    <row r="102" spans="1:7" x14ac:dyDescent="0.25">
      <c r="A102" s="11">
        <v>42186</v>
      </c>
      <c r="B102" s="6">
        <v>0.68958333333333333</v>
      </c>
      <c r="C102" s="6">
        <v>0.69236111111111109</v>
      </c>
      <c r="D102" s="6">
        <f>(0.692361111111111-0.689583333333333)</f>
        <v>2.77777777777799E-3</v>
      </c>
      <c r="E102" s="6">
        <f>ABS(0.00277777777777799-0.00555555555555598)</f>
        <v>2.77777777777799E-3</v>
      </c>
      <c r="F102" t="s">
        <v>3</v>
      </c>
      <c r="G102" s="3"/>
    </row>
    <row r="103" spans="1:7" x14ac:dyDescent="0.25">
      <c r="A103" s="11">
        <v>42186</v>
      </c>
      <c r="B103" s="6">
        <v>0.71319444444444446</v>
      </c>
      <c r="C103" s="6">
        <v>0.71875</v>
      </c>
      <c r="D103" s="6">
        <f>(0.71875-0.713194444444444)</f>
        <v>5.5555555555559799E-3</v>
      </c>
      <c r="E103" s="6">
        <f>ABS(0.00555555555555598-0.013194444444445)</f>
        <v>7.6388888888890196E-3</v>
      </c>
      <c r="F103" t="s">
        <v>3</v>
      </c>
      <c r="G103" s="3"/>
    </row>
    <row r="104" spans="1:7" x14ac:dyDescent="0.25">
      <c r="A104" s="11">
        <v>42186</v>
      </c>
      <c r="B104" s="6">
        <v>0.74861111111111101</v>
      </c>
      <c r="C104" s="6">
        <v>0.76180555555555562</v>
      </c>
      <c r="D104" s="6">
        <f>(0.761805555555556-0.748611111111111)</f>
        <v>1.3194444444444953E-2</v>
      </c>
      <c r="E104" s="6">
        <f>ABS(0.013194444444445-0.00833333333333397)</f>
        <v>4.8611111111110297E-3</v>
      </c>
      <c r="F104" t="s">
        <v>3</v>
      </c>
      <c r="G104" s="3"/>
    </row>
    <row r="105" spans="1:7" x14ac:dyDescent="0.25">
      <c r="A105" s="11">
        <v>42186</v>
      </c>
      <c r="B105" s="6">
        <v>0.75347222222222221</v>
      </c>
      <c r="C105" s="6">
        <v>0.76180555555555562</v>
      </c>
      <c r="D105" s="6">
        <f>(0.761805555555556-0.753472222222222)</f>
        <v>8.3333333333339699E-3</v>
      </c>
      <c r="E105" s="6">
        <f>ABS(0.00833333333333397-0.0125)</f>
        <v>4.1666666666660308E-3</v>
      </c>
      <c r="F105" t="s">
        <v>3</v>
      </c>
      <c r="G105" s="3"/>
    </row>
    <row r="106" spans="1:7" x14ac:dyDescent="0.25">
      <c r="A106" s="11">
        <v>42186</v>
      </c>
      <c r="B106" s="6">
        <v>0.8965277777777777</v>
      </c>
      <c r="C106" s="6">
        <v>0.90902777777777777</v>
      </c>
      <c r="D106" s="6">
        <f>(0.909027777777778-0.896527777777778)</f>
        <v>1.2499999999999956E-2</v>
      </c>
      <c r="E106" s="6">
        <f>ABS(0.0125-0.00972222222222197)</f>
        <v>2.7777777777780299E-3</v>
      </c>
      <c r="F106" t="s">
        <v>3</v>
      </c>
      <c r="G106" s="3"/>
    </row>
    <row r="107" spans="1:7" x14ac:dyDescent="0.25">
      <c r="A107" s="11">
        <v>42186</v>
      </c>
      <c r="B107" s="6">
        <v>0.89513888888888893</v>
      </c>
      <c r="C107" s="6">
        <v>0.90486111111111101</v>
      </c>
      <c r="D107" s="6">
        <f>(0.904861111111111-0.895138888888889)</f>
        <v>9.7222222222219656E-3</v>
      </c>
      <c r="E107" s="6">
        <f>ABS(0.00972222222222197-0.013194444444445)</f>
        <v>3.4722222222230287E-3</v>
      </c>
      <c r="F107" t="s">
        <v>3</v>
      </c>
      <c r="G107" s="3"/>
    </row>
    <row r="108" spans="1:7" x14ac:dyDescent="0.25">
      <c r="A108" s="11">
        <v>42186</v>
      </c>
      <c r="B108" s="6">
        <v>0.18819444444444444</v>
      </c>
      <c r="C108" s="6">
        <v>0.20138888888888887</v>
      </c>
      <c r="D108" s="6">
        <f>(0.201388888888889-0.188194444444444)</f>
        <v>1.3194444444445008E-2</v>
      </c>
      <c r="E108" s="6">
        <f>ABS(0.013194444444445-0.00208333333333299)</f>
        <v>1.111111111111201E-2</v>
      </c>
      <c r="F108" t="s">
        <v>3</v>
      </c>
      <c r="G108" s="3"/>
    </row>
    <row r="109" spans="1:7" x14ac:dyDescent="0.25">
      <c r="A109" s="11">
        <v>42186</v>
      </c>
      <c r="B109" s="6">
        <v>0.4368055555555555</v>
      </c>
      <c r="C109" s="6">
        <v>0.43888888888888888</v>
      </c>
      <c r="D109" s="6">
        <f>(0.438888888888889-0.436805555555556)</f>
        <v>2.0833333333329929E-3</v>
      </c>
      <c r="E109" s="6">
        <f>ABS(0.00208333333333299-0.00486111111111098)</f>
        <v>2.7777777777779904E-3</v>
      </c>
      <c r="F109" t="s">
        <v>3</v>
      </c>
      <c r="G109" s="3"/>
    </row>
    <row r="110" spans="1:7" x14ac:dyDescent="0.25">
      <c r="A110" s="11">
        <v>42186</v>
      </c>
      <c r="B110" s="6">
        <v>0.53541666666666665</v>
      </c>
      <c r="C110" s="6">
        <v>0.54027777777777775</v>
      </c>
      <c r="D110" s="6">
        <f>(0.540277777777778-0.535416666666667)</f>
        <v>4.8611111111109828E-3</v>
      </c>
      <c r="E110" s="6">
        <f>ABS(0.00486111111111098-0.00416666666666599)</f>
        <v>6.9444444444499015E-4</v>
      </c>
      <c r="F110" t="s">
        <v>3</v>
      </c>
      <c r="G110" s="3"/>
    </row>
    <row r="111" spans="1:7" x14ac:dyDescent="0.25">
      <c r="A111" s="11">
        <v>42186</v>
      </c>
      <c r="B111" s="6">
        <v>0.55555555555555558</v>
      </c>
      <c r="C111" s="6">
        <v>0.55972222222222223</v>
      </c>
      <c r="D111" s="6">
        <f>(0.559722222222222-0.555555555555556)</f>
        <v>4.1666666666659857E-3</v>
      </c>
      <c r="E111" s="6">
        <f>ABS(0.00416666666666599-0.00555555555555598)</f>
        <v>1.3888888888899898E-3</v>
      </c>
      <c r="F111" t="s">
        <v>3</v>
      </c>
      <c r="G111" s="3"/>
    </row>
    <row r="112" spans="1:7" x14ac:dyDescent="0.25">
      <c r="A112" s="11">
        <v>42186</v>
      </c>
      <c r="B112" s="6">
        <v>0.68958333333333333</v>
      </c>
      <c r="C112" s="6">
        <v>0.69513888888888886</v>
      </c>
      <c r="D112" s="6">
        <f>(0.695138888888889-0.689583333333333)</f>
        <v>5.5555555555559799E-3</v>
      </c>
      <c r="E112" s="6">
        <f>ABS(0.00555555555555598-0.00208333333333399)</f>
        <v>3.47222222222199E-3</v>
      </c>
      <c r="F112" t="s">
        <v>3</v>
      </c>
      <c r="G112" s="3"/>
    </row>
    <row r="113" spans="1:7" x14ac:dyDescent="0.25">
      <c r="A113" s="11">
        <v>42186</v>
      </c>
      <c r="B113" s="6">
        <v>0.73472222222222217</v>
      </c>
      <c r="C113" s="6">
        <v>0.7368055555555556</v>
      </c>
      <c r="D113" s="6">
        <f>(0.736805555555556-0.734722222222222)</f>
        <v>2.0833333333339921E-3</v>
      </c>
      <c r="E113" s="6">
        <f>ABS(0.00208333333333399-0.00763888888888897)</f>
        <v>5.5555555555549807E-3</v>
      </c>
      <c r="F113" t="s">
        <v>3</v>
      </c>
      <c r="G113" s="3"/>
    </row>
    <row r="114" spans="1:7" x14ac:dyDescent="0.25">
      <c r="A114" s="11">
        <v>42186</v>
      </c>
      <c r="B114" s="6">
        <v>0.78541666666666676</v>
      </c>
      <c r="C114" s="6">
        <v>0.79305555555555562</v>
      </c>
      <c r="D114" s="6">
        <f>(0.793055555555556-0.785416666666667)</f>
        <v>7.6388888888889728E-3</v>
      </c>
      <c r="E114" s="6">
        <f>ABS(0.00763888888888897-0.00763888888888897)</f>
        <v>0</v>
      </c>
      <c r="F114" t="s">
        <v>3</v>
      </c>
      <c r="G114" s="3"/>
    </row>
    <row r="115" spans="1:7" x14ac:dyDescent="0.25">
      <c r="A115" s="11">
        <v>42186</v>
      </c>
      <c r="B115" s="6">
        <v>0.85</v>
      </c>
      <c r="C115" s="6">
        <v>0.85763888888888884</v>
      </c>
      <c r="D115" s="6">
        <f>(0.857638888888889-0.85)</f>
        <v>7.6388888888889728E-3</v>
      </c>
      <c r="E115" s="6">
        <f>ABS(0.00763888888888897-0.00555555555555498)</f>
        <v>2.0833333333339903E-3</v>
      </c>
      <c r="F115" t="s">
        <v>3</v>
      </c>
      <c r="G115" s="3"/>
    </row>
    <row r="116" spans="1:7" x14ac:dyDescent="0.25">
      <c r="A116" s="11">
        <v>42186</v>
      </c>
      <c r="B116" s="6">
        <v>0.96527777777777779</v>
      </c>
      <c r="C116" s="6">
        <v>0.97083333333333333</v>
      </c>
      <c r="D116" s="6">
        <f>(0.970833333333333-0.965277777777778)</f>
        <v>5.5555555555549807E-3</v>
      </c>
      <c r="E116" s="6">
        <f>ABS(0.00555555555555498-0.00555555555554998)</f>
        <v>4.999473057765158E-15</v>
      </c>
      <c r="F116" t="s">
        <v>3</v>
      </c>
      <c r="G116" s="3"/>
    </row>
    <row r="117" spans="1:7" x14ac:dyDescent="0.25">
      <c r="A117" s="11">
        <v>42186</v>
      </c>
      <c r="B117" s="6">
        <v>1.0090277777777776</v>
      </c>
      <c r="C117" s="6">
        <v>1.0145833333333334</v>
      </c>
      <c r="D117" s="6">
        <f>(1.01458333333333-1.00902777777778)</f>
        <v>5.5555555555499847E-3</v>
      </c>
      <c r="E117" s="6">
        <f>ABS(0.00555555555554998-0.024305555555556)</f>
        <v>1.8750000000006019E-2</v>
      </c>
      <c r="F117" t="s">
        <v>3</v>
      </c>
      <c r="G117" s="3"/>
    </row>
    <row r="118" spans="1:7" x14ac:dyDescent="0.25">
      <c r="A118" s="11">
        <v>42186</v>
      </c>
      <c r="B118" s="6">
        <v>0.46319444444444446</v>
      </c>
      <c r="C118" s="6">
        <v>0.48749999999999999</v>
      </c>
      <c r="D118" s="6">
        <f>(0.4875-0.463194444444444)</f>
        <v>2.4305555555555969E-2</v>
      </c>
      <c r="E118" s="6">
        <f>ABS(0.024305555555556-0.013888888888889)</f>
        <v>1.0416666666667001E-2</v>
      </c>
      <c r="F118" t="s">
        <v>3</v>
      </c>
      <c r="G118" s="3"/>
    </row>
    <row r="119" spans="1:7" x14ac:dyDescent="0.25">
      <c r="A119" s="11">
        <v>42186</v>
      </c>
      <c r="B119" s="6">
        <v>0.5</v>
      </c>
      <c r="C119" s="6">
        <v>0.51388888888888895</v>
      </c>
      <c r="D119" s="6">
        <f>(0.513888888888889-0.5)</f>
        <v>1.3888888888888951E-2</v>
      </c>
      <c r="E119" s="6">
        <f>ABS(0.013888888888889-0.00486111111111098)</f>
        <v>9.0277777777780198E-3</v>
      </c>
      <c r="F119" t="s">
        <v>3</v>
      </c>
      <c r="G119" s="3"/>
    </row>
    <row r="120" spans="1:7" x14ac:dyDescent="0.25">
      <c r="A120" s="11">
        <v>42186</v>
      </c>
      <c r="B120" s="6">
        <v>0.62361111111111112</v>
      </c>
      <c r="C120" s="6">
        <v>0.62847222222222221</v>
      </c>
      <c r="D120" s="6">
        <f>(0.628472222222222-0.623611111111111)</f>
        <v>4.8611111111109828E-3</v>
      </c>
      <c r="E120" s="6">
        <f>ABS(0.00486111111111098-0.0152777777777779)</f>
        <v>1.0416666666666921E-2</v>
      </c>
      <c r="F120" t="s">
        <v>3</v>
      </c>
      <c r="G120" s="3"/>
    </row>
    <row r="121" spans="1:7" x14ac:dyDescent="0.25">
      <c r="A121" s="11">
        <v>42186</v>
      </c>
      <c r="B121" s="6">
        <v>0.67222222222222217</v>
      </c>
      <c r="C121" s="6">
        <v>0.6875</v>
      </c>
      <c r="D121" s="6">
        <f>(0.6875-0.672222222222222)</f>
        <v>1.5277777777777946E-2</v>
      </c>
      <c r="E121" s="6">
        <f>ABS(0.0152777777777779-0.0479166666666671)</f>
        <v>3.2638888888889203E-2</v>
      </c>
      <c r="F121" t="s">
        <v>3</v>
      </c>
      <c r="G121" s="3"/>
    </row>
    <row r="122" spans="1:7" x14ac:dyDescent="0.25">
      <c r="A122" s="11">
        <v>42186</v>
      </c>
      <c r="B122" s="6">
        <v>0.6972222222222223</v>
      </c>
      <c r="C122" s="6">
        <v>0.74513888888888891</v>
      </c>
      <c r="D122" s="6">
        <f>(0.745138888888889-0.697222222222222)</f>
        <v>4.7916666666667052E-2</v>
      </c>
      <c r="E122" s="6">
        <f>ABS(0.0479166666666671-0.00624999999999998)</f>
        <v>4.1666666666667122E-2</v>
      </c>
      <c r="F122" t="s">
        <v>3</v>
      </c>
      <c r="G122" s="3"/>
    </row>
    <row r="123" spans="1:7" x14ac:dyDescent="0.25">
      <c r="A123" s="11">
        <v>42186</v>
      </c>
      <c r="B123" s="6">
        <v>0.85</v>
      </c>
      <c r="C123" s="6">
        <v>0.85625000000000007</v>
      </c>
      <c r="D123" s="6">
        <f>(0.85625-0.85)</f>
        <v>6.2499999999999778E-3</v>
      </c>
      <c r="E123" s="6">
        <f>ABS(0.00624999999999998-0.0125)</f>
        <v>6.2500000000000203E-3</v>
      </c>
      <c r="F123" t="s">
        <v>3</v>
      </c>
      <c r="G123" s="3"/>
    </row>
    <row r="124" spans="1:7" x14ac:dyDescent="0.25">
      <c r="A124" s="11">
        <v>42186</v>
      </c>
      <c r="B124" s="6">
        <v>0.90416666666666667</v>
      </c>
      <c r="C124" s="6">
        <v>0.91666666666666663</v>
      </c>
      <c r="D124" s="6">
        <f>(0.916666666666667-0.904166666666667)</f>
        <v>1.2499999999999956E-2</v>
      </c>
      <c r="E124" s="6">
        <f>ABS(0.0125-0.00486111111111109)</f>
        <v>7.6388888888889103E-3</v>
      </c>
      <c r="F124" t="s">
        <v>3</v>
      </c>
      <c r="G124" s="3"/>
    </row>
    <row r="125" spans="1:7" x14ac:dyDescent="0.25">
      <c r="A125" s="11">
        <v>42186</v>
      </c>
      <c r="B125" s="6">
        <v>0.98263888888888884</v>
      </c>
      <c r="C125" s="6">
        <v>0.98749999999999993</v>
      </c>
      <c r="D125" s="6">
        <f>(0.9875-0.982638888888889)</f>
        <v>4.8611111111110938E-3</v>
      </c>
      <c r="E125" s="6">
        <f>ABS(0.00486111111111109-0.00486111111110987)</f>
        <v>1.2203779653496838E-15</v>
      </c>
      <c r="F125" t="s">
        <v>3</v>
      </c>
      <c r="G125" s="3"/>
    </row>
    <row r="126" spans="1:7" x14ac:dyDescent="0.25">
      <c r="A126" s="11">
        <v>42186</v>
      </c>
      <c r="B126" s="6">
        <v>1.0048611111111112</v>
      </c>
      <c r="C126" s="6">
        <v>1.0097222222222222</v>
      </c>
      <c r="D126" s="6">
        <f>(1.00972222222222-1.00486111111111)</f>
        <v>4.8611111111098726E-3</v>
      </c>
      <c r="E126" s="6">
        <f>ABS(0.00486111111110987-0.00416666666666599)</f>
        <v>6.9444444444387993E-4</v>
      </c>
      <c r="F126" t="s">
        <v>3</v>
      </c>
      <c r="G126" s="3"/>
    </row>
    <row r="127" spans="1:7" x14ac:dyDescent="0.25">
      <c r="A127" s="11">
        <v>42186</v>
      </c>
      <c r="B127" s="6">
        <v>0.67638888888888893</v>
      </c>
      <c r="C127" s="6">
        <v>0.68055555555555547</v>
      </c>
      <c r="D127" s="6">
        <f>(0.680555555555555-0.676388888888889)</f>
        <v>4.1666666666659857E-3</v>
      </c>
      <c r="E127" s="6">
        <f>ABS(0.00416666666666599-0.00972222222222208)</f>
        <v>5.5555555555560901E-3</v>
      </c>
      <c r="F127" t="s">
        <v>3</v>
      </c>
      <c r="G127" s="3"/>
    </row>
    <row r="128" spans="1:7" x14ac:dyDescent="0.25">
      <c r="A128" s="11">
        <v>42186</v>
      </c>
      <c r="B128" s="6">
        <v>0.66597222222222219</v>
      </c>
      <c r="C128" s="6">
        <v>0.67569444444444438</v>
      </c>
      <c r="D128" s="6">
        <f>(0.675694444444444-0.665972222222222)</f>
        <v>9.7222222222220767E-3</v>
      </c>
      <c r="E128" s="6">
        <f>ABS(0.00972222222222208-0.0104166666666671)</f>
        <v>6.9444444444501964E-4</v>
      </c>
      <c r="F128" t="s">
        <v>3</v>
      </c>
      <c r="G128" s="3"/>
    </row>
    <row r="129" spans="1:7" x14ac:dyDescent="0.25">
      <c r="A129" s="11">
        <v>42186</v>
      </c>
      <c r="B129" s="6">
        <v>0.75763888888888886</v>
      </c>
      <c r="C129" s="6">
        <v>0.7680555555555556</v>
      </c>
      <c r="D129" s="6">
        <f>(0.768055555555556-0.757638888888889)</f>
        <v>1.0416666666667074E-2</v>
      </c>
      <c r="E129" s="6">
        <f>ABS(0.0104166666666671-0.010416666666667)</f>
        <v>1.0061396160665481E-16</v>
      </c>
      <c r="F129" t="s">
        <v>3</v>
      </c>
      <c r="G129" s="3"/>
    </row>
    <row r="130" spans="1:7" x14ac:dyDescent="0.25">
      <c r="A130" s="11">
        <v>42186</v>
      </c>
      <c r="B130" s="6">
        <v>0.77638888888888891</v>
      </c>
      <c r="C130" s="6">
        <v>0.78680555555555554</v>
      </c>
      <c r="D130" s="6">
        <f>(0.786805555555556-0.776388888888889)</f>
        <v>1.0416666666666963E-2</v>
      </c>
      <c r="E130" s="6">
        <f>ABS(0.010416666666667-0.011111111111111)</f>
        <v>6.9444444444400136E-4</v>
      </c>
      <c r="F130" t="s">
        <v>3</v>
      </c>
      <c r="G130" s="3"/>
    </row>
    <row r="131" spans="1:7" x14ac:dyDescent="0.25">
      <c r="A131" s="11">
        <v>42186</v>
      </c>
      <c r="B131" s="6">
        <v>0.84375</v>
      </c>
      <c r="C131" s="6">
        <v>0.85486111111111107</v>
      </c>
      <c r="D131" s="6">
        <f>(0.854861111111111-0.84375)</f>
        <v>1.1111111111110961E-2</v>
      </c>
      <c r="E131" s="6">
        <f>ABS(0.011111111111111-0.00416666666666698)</f>
        <v>6.9444444444440208E-3</v>
      </c>
      <c r="F131" t="s">
        <v>3</v>
      </c>
      <c r="G131" s="3"/>
    </row>
    <row r="132" spans="1:7" x14ac:dyDescent="0.25">
      <c r="A132" s="11">
        <v>42186</v>
      </c>
      <c r="B132" s="6">
        <v>0.12986111111111112</v>
      </c>
      <c r="C132" s="6">
        <v>0.13402777777777777</v>
      </c>
      <c r="D132" s="6">
        <f>(0.134027777777778-0.129861111111111)</f>
        <v>4.1666666666669849E-3</v>
      </c>
      <c r="E132" s="6">
        <f>ABS(0.00416666666666698-0.015972222222222)</f>
        <v>1.1805555555555019E-2</v>
      </c>
      <c r="F132" t="s">
        <v>3</v>
      </c>
      <c r="G132" s="3"/>
    </row>
    <row r="133" spans="1:7" x14ac:dyDescent="0.25">
      <c r="A133" s="11">
        <v>42186</v>
      </c>
      <c r="B133" s="6">
        <v>0.36388888888888887</v>
      </c>
      <c r="C133" s="6">
        <v>0.37986111111111115</v>
      </c>
      <c r="D133" s="6">
        <f>(0.379861111111111-0.363888888888889)</f>
        <v>1.5972222222221999E-2</v>
      </c>
      <c r="E133" s="6">
        <f>ABS(0.015972222222222-0.013194444444445)</f>
        <v>2.7777777777769994E-3</v>
      </c>
      <c r="F133" t="s">
        <v>3</v>
      </c>
      <c r="G133" s="3"/>
    </row>
    <row r="134" spans="1:7" x14ac:dyDescent="0.25">
      <c r="A134" s="11">
        <v>42186</v>
      </c>
      <c r="B134" s="6">
        <v>0.43333333333333335</v>
      </c>
      <c r="C134" s="6">
        <v>0.4465277777777778</v>
      </c>
      <c r="D134" s="6">
        <f>(0.446527777777778-0.433333333333333)</f>
        <v>1.3194444444445008E-2</v>
      </c>
      <c r="E134" s="6">
        <f>ABS(0.013194444444445-0.00555555555555498)</f>
        <v>7.6388888888900197E-3</v>
      </c>
      <c r="F134" t="s">
        <v>3</v>
      </c>
      <c r="G134" s="3"/>
    </row>
    <row r="135" spans="1:7" x14ac:dyDescent="0.25">
      <c r="A135" s="11">
        <v>42186</v>
      </c>
      <c r="B135" s="6">
        <v>0.56041666666666667</v>
      </c>
      <c r="C135" s="6">
        <v>0.56597222222222221</v>
      </c>
      <c r="D135" s="6">
        <f>(0.565972222222222-0.560416666666667)</f>
        <v>5.5555555555549807E-3</v>
      </c>
      <c r="E135" s="6">
        <f>ABS(0.00555555555555498-0.00277777777777799)</f>
        <v>2.7777777777769899E-3</v>
      </c>
      <c r="F135" t="s">
        <v>3</v>
      </c>
      <c r="G135" s="3"/>
    </row>
    <row r="136" spans="1:7" x14ac:dyDescent="0.25">
      <c r="A136" s="11">
        <v>42186</v>
      </c>
      <c r="B136" s="6">
        <v>0.66388888888888886</v>
      </c>
      <c r="C136" s="6">
        <v>0.66666666666666663</v>
      </c>
      <c r="D136" s="6">
        <f>(0.666666666666667-0.663888888888889)</f>
        <v>2.77777777777799E-3</v>
      </c>
      <c r="E136" s="6">
        <f>ABS(0.00277777777777799-0.00416666666666599)</f>
        <v>1.3888888888880001E-3</v>
      </c>
      <c r="F136" t="s">
        <v>3</v>
      </c>
      <c r="G136" s="3"/>
    </row>
    <row r="137" spans="1:7" x14ac:dyDescent="0.25">
      <c r="A137" s="11">
        <v>42186</v>
      </c>
      <c r="B137" s="6">
        <v>0.70416666666666661</v>
      </c>
      <c r="C137" s="6">
        <v>0.70833333333333337</v>
      </c>
      <c r="D137" s="6">
        <f>(0.708333333333333-0.704166666666667)</f>
        <v>4.1666666666659857E-3</v>
      </c>
      <c r="E137" s="6">
        <f>ABS(0.00416666666666599-0.00416666666666599)</f>
        <v>0</v>
      </c>
      <c r="F137" t="s">
        <v>3</v>
      </c>
      <c r="G137" s="3"/>
    </row>
    <row r="138" spans="1:7" x14ac:dyDescent="0.25">
      <c r="A138" s="11">
        <v>42186</v>
      </c>
      <c r="B138" s="6">
        <v>0.47916666666666669</v>
      </c>
      <c r="C138" s="6">
        <v>0.48333333333333334</v>
      </c>
      <c r="D138" s="6">
        <f>(0.483333333333333-0.479166666666667)</f>
        <v>4.1666666666659857E-3</v>
      </c>
      <c r="E138" s="6">
        <f>ABS(0.00416666666666599-0.049305555555556)</f>
        <v>4.5138888888890005E-2</v>
      </c>
      <c r="F138" t="s">
        <v>3</v>
      </c>
      <c r="G138" s="3"/>
    </row>
    <row r="139" spans="1:7" x14ac:dyDescent="0.25">
      <c r="A139" s="11">
        <v>42186</v>
      </c>
      <c r="B139" s="6">
        <v>0.48749999999999999</v>
      </c>
      <c r="C139" s="6">
        <v>0.53680555555555554</v>
      </c>
      <c r="D139" s="6">
        <f>(0.536805555555556-0.4875)</f>
        <v>4.9305555555555991E-2</v>
      </c>
      <c r="E139" s="6">
        <f>ABS(0.049305555555556-0.027083333333333)</f>
        <v>2.2222222222222997E-2</v>
      </c>
      <c r="F139" t="s">
        <v>3</v>
      </c>
      <c r="G139" s="3"/>
    </row>
    <row r="140" spans="1:7" x14ac:dyDescent="0.25">
      <c r="A140" s="11">
        <v>42186</v>
      </c>
      <c r="B140" s="6">
        <v>0.51041666666666663</v>
      </c>
      <c r="C140" s="6">
        <v>0.53749999999999998</v>
      </c>
      <c r="D140" s="6">
        <f>(0.5375-0.510416666666667)</f>
        <v>2.7083333333333015E-2</v>
      </c>
      <c r="E140" s="6">
        <f>ABS(0.027083333333333-0.030555555555556)</f>
        <v>3.4722222222229975E-3</v>
      </c>
      <c r="F140" t="s">
        <v>3</v>
      </c>
      <c r="G140" s="3"/>
    </row>
    <row r="141" spans="1:7" x14ac:dyDescent="0.25">
      <c r="A141" s="11">
        <v>42186</v>
      </c>
      <c r="B141" s="6">
        <v>0.57708333333333328</v>
      </c>
      <c r="C141" s="6">
        <v>0.60763888888888895</v>
      </c>
      <c r="D141" s="6">
        <f>(0.607638888888889-0.577083333333333)</f>
        <v>3.0555555555556002E-2</v>
      </c>
      <c r="E141" s="6">
        <f>ABS(0.030555555555556-0.00555555555555598)</f>
        <v>2.5000000000000019E-2</v>
      </c>
      <c r="F141" t="s">
        <v>3</v>
      </c>
      <c r="G141" s="3"/>
    </row>
    <row r="142" spans="1:7" x14ac:dyDescent="0.25">
      <c r="A142" s="11">
        <v>42186</v>
      </c>
      <c r="B142" s="6">
        <v>0.81319444444444444</v>
      </c>
      <c r="C142" s="6">
        <v>0.81874999999999998</v>
      </c>
      <c r="D142" s="6">
        <f>(0.81875-0.813194444444444)</f>
        <v>5.5555555555559799E-3</v>
      </c>
      <c r="E142" s="6">
        <f>ABS(0.00555555555555598-0.00138888888888899)</f>
        <v>4.1666666666669901E-3</v>
      </c>
      <c r="F142" t="s">
        <v>3</v>
      </c>
      <c r="G142" s="3"/>
    </row>
    <row r="143" spans="1:7" x14ac:dyDescent="0.25">
      <c r="A143" s="11">
        <v>42186</v>
      </c>
      <c r="B143" s="6">
        <v>0.84444444444444444</v>
      </c>
      <c r="C143" s="6">
        <v>0.84583333333333333</v>
      </c>
      <c r="D143" s="6">
        <f>(0.845833333333333-0.844444444444444)</f>
        <v>1.388888888888995E-3</v>
      </c>
      <c r="E143" s="6">
        <f>ABS(0.00138888888888899-0.00833333333333697)</f>
        <v>6.9444444444479794E-3</v>
      </c>
      <c r="F143" t="s">
        <v>3</v>
      </c>
      <c r="G143" s="3"/>
    </row>
    <row r="144" spans="1:7" x14ac:dyDescent="0.25">
      <c r="A144" s="11">
        <v>42186</v>
      </c>
      <c r="B144" s="6">
        <v>0.99583333333333324</v>
      </c>
      <c r="C144" s="6">
        <v>1.0041666666666667</v>
      </c>
      <c r="D144" s="6">
        <f>(1.00416666666667-0.995833333333333)</f>
        <v>8.3333333333369675E-3</v>
      </c>
      <c r="E144" s="6">
        <f>ABS(0.00833333333333697-0.010416666666667)</f>
        <v>2.08333333333003E-3</v>
      </c>
      <c r="F144" t="s">
        <v>3</v>
      </c>
      <c r="G144" s="3"/>
    </row>
    <row r="145" spans="1:7" x14ac:dyDescent="0.25">
      <c r="A145" s="11">
        <v>42186</v>
      </c>
      <c r="B145" s="6">
        <v>0.15138888888888888</v>
      </c>
      <c r="C145" s="6">
        <v>0.16180555555555556</v>
      </c>
      <c r="D145" s="6">
        <f>(0.161805555555556-0.151388888888889)</f>
        <v>1.0416666666667018E-2</v>
      </c>
      <c r="E145" s="6">
        <f>ABS(0.010416666666667-0.027083333333333)</f>
        <v>1.6666666666666004E-2</v>
      </c>
      <c r="F145" t="s">
        <v>3</v>
      </c>
      <c r="G145" s="3"/>
    </row>
    <row r="146" spans="1:7" x14ac:dyDescent="0.25">
      <c r="A146" s="11">
        <v>42186</v>
      </c>
      <c r="B146" s="6">
        <v>0.375</v>
      </c>
      <c r="C146" s="6">
        <v>0.40208333333333335</v>
      </c>
      <c r="D146" s="6">
        <f>(0.402083333333333-0.375)</f>
        <v>2.7083333333333015E-2</v>
      </c>
      <c r="E146" s="6">
        <f>ABS(0.027083333333333-0.00416666666666704)</f>
        <v>2.2916666666665961E-2</v>
      </c>
      <c r="F146" t="s">
        <v>3</v>
      </c>
      <c r="G146" s="3"/>
    </row>
    <row r="147" spans="1:7" x14ac:dyDescent="0.25">
      <c r="A147" s="11">
        <v>42186</v>
      </c>
      <c r="B147" s="6">
        <v>0.4909722222222222</v>
      </c>
      <c r="C147" s="6">
        <v>0.49513888888888885</v>
      </c>
      <c r="D147" s="6">
        <f>(0.495138888888889-0.490972222222222)</f>
        <v>4.1666666666670404E-3</v>
      </c>
      <c r="E147" s="6">
        <f>ABS(0.00416666666666704-0.00763888888888908)</f>
        <v>3.4722222222220408E-3</v>
      </c>
      <c r="F147" t="s">
        <v>3</v>
      </c>
      <c r="G147" s="3"/>
    </row>
    <row r="148" spans="1:7" x14ac:dyDescent="0.25">
      <c r="A148" s="11">
        <v>42186</v>
      </c>
      <c r="B148" s="6">
        <v>0.6020833333333333</v>
      </c>
      <c r="C148" s="6">
        <v>0.60972222222222217</v>
      </c>
      <c r="D148" s="6">
        <f>(0.609722222222222-0.602083333333333)</f>
        <v>7.6388888888890838E-3</v>
      </c>
      <c r="E148" s="6">
        <f>ABS(0.00763888888888908-0.00208333333333399)</f>
        <v>5.55555555555509E-3</v>
      </c>
      <c r="F148" t="s">
        <v>3</v>
      </c>
      <c r="G148" s="3"/>
    </row>
    <row r="149" spans="1:7" x14ac:dyDescent="0.25">
      <c r="A149" s="11">
        <v>42186</v>
      </c>
      <c r="B149" s="6">
        <v>0.65694444444444444</v>
      </c>
      <c r="C149" s="6">
        <v>0.65902777777777777</v>
      </c>
      <c r="D149" s="6">
        <f>(0.659027777777778-0.656944444444444)</f>
        <v>2.0833333333339921E-3</v>
      </c>
      <c r="E149" s="6">
        <f>ABS(0.00208333333333399-0.00208333333333399)</f>
        <v>0</v>
      </c>
      <c r="F149" t="s">
        <v>3</v>
      </c>
      <c r="G149" s="3"/>
    </row>
    <row r="150" spans="1:7" x14ac:dyDescent="0.25">
      <c r="A150" s="11">
        <v>42186</v>
      </c>
      <c r="B150" s="6">
        <v>0.68819444444444444</v>
      </c>
      <c r="C150" s="6">
        <v>0.69027777777777777</v>
      </c>
      <c r="D150" s="6">
        <f>(0.690277777777778-0.688194444444444)</f>
        <v>2.0833333333339921E-3</v>
      </c>
      <c r="E150" s="6">
        <f>ABS(0.00208333333333399-0.00694444444444497)</f>
        <v>4.8611111111109793E-3</v>
      </c>
      <c r="F150" t="s">
        <v>3</v>
      </c>
      <c r="G150" s="3"/>
    </row>
    <row r="151" spans="1:7" x14ac:dyDescent="0.25">
      <c r="A151" s="11">
        <v>42186</v>
      </c>
      <c r="B151" s="10">
        <v>0.68958333333333333</v>
      </c>
      <c r="C151" s="6">
        <v>0.69652777777777775</v>
      </c>
      <c r="D151" s="6">
        <f>(0.696527777777778-0.689583333333333)</f>
        <v>6.9444444444449749E-3</v>
      </c>
      <c r="E151" s="6">
        <f>ABS(0.00694444444444497-0.00763888888888897)</f>
        <v>6.9444444444400049E-4</v>
      </c>
      <c r="F151" t="s">
        <v>3</v>
      </c>
      <c r="G151" s="3"/>
    </row>
    <row r="152" spans="1:7" x14ac:dyDescent="0.25">
      <c r="A152" s="11">
        <v>42186</v>
      </c>
      <c r="B152" s="6">
        <v>0.77569444444444446</v>
      </c>
      <c r="C152" s="6">
        <v>0.78333333333333333</v>
      </c>
      <c r="D152" s="6">
        <f>(0.783333333333333-0.775694444444444)</f>
        <v>7.6388888888889728E-3</v>
      </c>
      <c r="E152" s="6">
        <f>ABS(0.00763888888888897-0.011111111111111)</f>
        <v>3.4722222222220303E-3</v>
      </c>
      <c r="F152" t="s">
        <v>3</v>
      </c>
      <c r="G152" s="3"/>
    </row>
    <row r="153" spans="1:7" x14ac:dyDescent="0.25">
      <c r="A153" s="11">
        <v>42186</v>
      </c>
      <c r="B153" s="6">
        <v>0.87847222222222221</v>
      </c>
      <c r="C153" s="6">
        <v>0.88958333333333339</v>
      </c>
      <c r="D153" s="6">
        <f>(0.889583333333333-0.878472222222222)</f>
        <v>1.1111111111110961E-2</v>
      </c>
      <c r="E153" s="6">
        <f>ABS(0.011111111111111-0.00902777777777797)</f>
        <v>2.083333333333031E-3</v>
      </c>
      <c r="F153" t="s">
        <v>3</v>
      </c>
      <c r="G153" s="3"/>
    </row>
    <row r="154" spans="1:7" x14ac:dyDescent="0.25">
      <c r="A154" s="11">
        <v>42186</v>
      </c>
      <c r="B154" s="6">
        <v>0.83263888888888893</v>
      </c>
      <c r="C154" s="6">
        <v>0.84166666666666667</v>
      </c>
      <c r="D154" s="6">
        <f>(0.841666666666667-0.832638888888889)</f>
        <v>9.0277777777779677E-3</v>
      </c>
      <c r="E154" s="6">
        <f>ABS(0.00902777777777797-0.00763888888888897)</f>
        <v>1.3888888888889993E-3</v>
      </c>
      <c r="F154" t="s">
        <v>3</v>
      </c>
      <c r="G154" s="17"/>
    </row>
    <row r="155" spans="1:7" x14ac:dyDescent="0.25">
      <c r="A155" s="11">
        <v>42186</v>
      </c>
      <c r="B155" s="6">
        <v>0.90138888888888891</v>
      </c>
      <c r="C155" s="6">
        <v>0.90902777777777777</v>
      </c>
      <c r="D155" s="6">
        <f>(0.909027777777778-0.901388888888889)</f>
        <v>7.6388888888889728E-3</v>
      </c>
      <c r="E155" s="6">
        <f>ABS(0.00763888888888897-0.0180555555555549)</f>
        <v>1.0416666666665932E-2</v>
      </c>
      <c r="F155" t="s">
        <v>3</v>
      </c>
      <c r="G155" s="3"/>
    </row>
    <row r="156" spans="1:7" x14ac:dyDescent="0.25">
      <c r="A156" s="11">
        <v>42186</v>
      </c>
      <c r="B156" s="15">
        <v>0.59027777777777779</v>
      </c>
      <c r="C156" s="6">
        <v>0.60833333333333328</v>
      </c>
      <c r="D156" s="6">
        <f>(0.608333333333333-0.590277777777778)</f>
        <v>1.8055555555554936E-2</v>
      </c>
      <c r="E156" s="6">
        <f>ABS(0.0180555555555549-0.0166666666666669)</f>
        <v>1.3888888888880027E-3</v>
      </c>
      <c r="F156" t="s">
        <v>3</v>
      </c>
      <c r="G156" s="3"/>
    </row>
    <row r="157" spans="1:7" x14ac:dyDescent="0.25">
      <c r="A157" s="11">
        <v>42186</v>
      </c>
      <c r="B157" s="15">
        <v>0.58611111111111114</v>
      </c>
      <c r="C157" s="6">
        <v>0.60277777777777775</v>
      </c>
      <c r="D157" s="6">
        <f>(0.602777777777778-0.586111111111111)</f>
        <v>1.6666666666666941E-2</v>
      </c>
      <c r="E157" s="6">
        <f>ABS(0.0166666666666669-0.059027777777778)</f>
        <v>4.2361111111111099E-2</v>
      </c>
      <c r="F157" t="s">
        <v>3</v>
      </c>
      <c r="G157" s="3"/>
    </row>
    <row r="158" spans="1:7" x14ac:dyDescent="0.25">
      <c r="A158" s="11">
        <v>42186</v>
      </c>
      <c r="B158" s="10">
        <v>0.54375000000000007</v>
      </c>
      <c r="C158" s="6">
        <v>0.60277777777777775</v>
      </c>
      <c r="D158" s="6">
        <f>(0.602777777777778-0.54375)</f>
        <v>5.9027777777778012E-2</v>
      </c>
      <c r="E158" s="6">
        <f>ABS(0.059027777777778-0.00694444444444398)</f>
        <v>5.2083333333334016E-2</v>
      </c>
      <c r="F158" t="s">
        <v>3</v>
      </c>
      <c r="G158" s="3"/>
    </row>
    <row r="159" spans="1:7" x14ac:dyDescent="0.25">
      <c r="A159" s="11">
        <v>42186</v>
      </c>
      <c r="B159" s="10">
        <v>0.63124999999999998</v>
      </c>
      <c r="C159" s="6">
        <v>0.6381944444444444</v>
      </c>
      <c r="D159" s="6">
        <f>(0.638194444444444-0.63125)</f>
        <v>6.9444444444439757E-3</v>
      </c>
      <c r="E159" s="6">
        <f>ABS(0.00694444444444398-0.00208333333333299)</f>
        <v>4.8611111111109898E-3</v>
      </c>
      <c r="F159" t="s">
        <v>3</v>
      </c>
      <c r="G159" s="3"/>
    </row>
    <row r="160" spans="1:7" x14ac:dyDescent="0.25">
      <c r="A160" s="11">
        <v>42186</v>
      </c>
      <c r="B160" s="15">
        <v>0.60416666666666663</v>
      </c>
      <c r="C160" s="6">
        <v>0.60625000000000007</v>
      </c>
      <c r="D160" s="6">
        <f>(0.60625-0.604166666666667)</f>
        <v>2.0833333333329929E-3</v>
      </c>
      <c r="E160" s="6">
        <f>ABS(0.00208333333333299-0.0187499999999999)</f>
        <v>1.6666666666666909E-2</v>
      </c>
      <c r="F160" t="s">
        <v>3</v>
      </c>
      <c r="G160" s="3"/>
    </row>
    <row r="161" spans="1:7" x14ac:dyDescent="0.25">
      <c r="A161" s="11">
        <v>42186</v>
      </c>
      <c r="B161" s="10">
        <v>0.67222222222222217</v>
      </c>
      <c r="C161" s="6">
        <v>0.69097222222222221</v>
      </c>
      <c r="D161" s="6">
        <f>(0.690972222222222-0.672222222222222)</f>
        <v>1.8749999999999933E-2</v>
      </c>
      <c r="E161" s="6">
        <f>ABS(0.0187499999999999-0.025)</f>
        <v>6.2500000000001027E-3</v>
      </c>
      <c r="F161" t="s">
        <v>3</v>
      </c>
      <c r="G161" s="3"/>
    </row>
    <row r="162" spans="1:7" x14ac:dyDescent="0.25">
      <c r="A162" s="11">
        <v>42186</v>
      </c>
      <c r="B162" s="15">
        <v>0.74861111111111101</v>
      </c>
      <c r="C162" s="6">
        <v>0.77361111111111114</v>
      </c>
      <c r="D162" s="6">
        <f>(0.773611111111111-0.748611111111111)</f>
        <v>2.5000000000000022E-2</v>
      </c>
      <c r="E162" s="6">
        <f>ABS(0.025-0.0166666666666671)</f>
        <v>8.3333333333329013E-3</v>
      </c>
      <c r="F162" t="s">
        <v>3</v>
      </c>
      <c r="G162" s="3"/>
    </row>
    <row r="163" spans="1:7" x14ac:dyDescent="0.25">
      <c r="A163" s="11">
        <v>42186</v>
      </c>
      <c r="B163" s="15">
        <v>0.7631944444444444</v>
      </c>
      <c r="C163" s="6">
        <v>0.77986111111111101</v>
      </c>
      <c r="D163" s="6">
        <f>(0.779861111111111-0.763194444444444)</f>
        <v>1.6666666666667052E-2</v>
      </c>
      <c r="E163" s="6">
        <f>ABS(0.0166666666666671-0.00347222222222199)</f>
        <v>1.3194444444445111E-2</v>
      </c>
      <c r="F163" t="s">
        <v>3</v>
      </c>
      <c r="G163" s="3"/>
    </row>
    <row r="164" spans="1:7" x14ac:dyDescent="0.25">
      <c r="A164" s="11">
        <v>42186</v>
      </c>
      <c r="B164" s="15">
        <v>0.79861111111111116</v>
      </c>
      <c r="C164" s="6">
        <v>0.80208333333333337</v>
      </c>
      <c r="D164" s="6">
        <f>(0.802083333333333-0.798611111111111)</f>
        <v>3.4722222222219878E-3</v>
      </c>
      <c r="E164" s="6">
        <f>ABS(0.00347222222222199-0.0152777777777781)</f>
        <v>1.180555555555611E-2</v>
      </c>
      <c r="F164" t="s">
        <v>3</v>
      </c>
      <c r="G164" s="3"/>
    </row>
    <row r="165" spans="1:7" x14ac:dyDescent="0.25">
      <c r="A165" s="11">
        <v>42186</v>
      </c>
      <c r="B165" s="15">
        <v>0.85625000000000007</v>
      </c>
      <c r="C165" s="6">
        <v>0.87152777777777779</v>
      </c>
      <c r="D165" s="6">
        <f>(0.871527777777778-0.85625)</f>
        <v>1.5277777777778057E-2</v>
      </c>
      <c r="E165" s="6">
        <f>ABS(0.0152777777777781-0.0138888888888889)</f>
        <v>1.3888888888891997E-3</v>
      </c>
      <c r="F165" t="s">
        <v>3</v>
      </c>
      <c r="G165" s="3"/>
    </row>
    <row r="166" spans="1:7" x14ac:dyDescent="0.25">
      <c r="A166" s="11">
        <v>42186</v>
      </c>
      <c r="B166" s="15">
        <v>4.6527777777777779E-2</v>
      </c>
      <c r="C166" s="6">
        <v>6.0416666666666667E-2</v>
      </c>
      <c r="D166" s="6">
        <f>(0.0604166666666667-0.0465277777777778)</f>
        <v>1.3888888888888902E-2</v>
      </c>
      <c r="E166" s="6">
        <f>ABS(0.0138888888888889-0.0069444444444445)</f>
        <v>6.9444444444444007E-3</v>
      </c>
      <c r="F166" t="s">
        <v>3</v>
      </c>
      <c r="G166" s="3"/>
    </row>
    <row r="167" spans="1:7" x14ac:dyDescent="0.25">
      <c r="A167" s="11">
        <v>42186</v>
      </c>
      <c r="B167" s="10">
        <v>8.4722222222222213E-2</v>
      </c>
      <c r="C167" s="6">
        <v>9.1666666666666674E-2</v>
      </c>
      <c r="D167" s="6">
        <f>(0.0916666666666667-0.0847222222222222)</f>
        <v>6.944444444444503E-3</v>
      </c>
      <c r="E167" s="6">
        <f>ABS(0.0069444444444445-0.00555555555555598)</f>
        <v>1.3888888888885197E-3</v>
      </c>
      <c r="F167" t="s">
        <v>3</v>
      </c>
      <c r="G167" s="3"/>
    </row>
    <row r="168" spans="1:7" x14ac:dyDescent="0.25">
      <c r="A168" s="11">
        <v>42186</v>
      </c>
      <c r="B168" s="6">
        <v>0.43124999999999997</v>
      </c>
      <c r="C168" s="6">
        <v>0.4368055555555555</v>
      </c>
      <c r="D168" s="6">
        <f>(0.436805555555556-0.43125)</f>
        <v>5.5555555555559799E-3</v>
      </c>
      <c r="E168" s="6">
        <f>ABS(0.00555555555555598-0.00694444444444409)</f>
        <v>1.3888888888881103E-3</v>
      </c>
      <c r="F168" t="s">
        <v>3</v>
      </c>
      <c r="G168" s="3"/>
    </row>
    <row r="169" spans="1:7" x14ac:dyDescent="0.25">
      <c r="A169" s="11">
        <v>42186</v>
      </c>
      <c r="B169" s="10">
        <v>0.60277777777777775</v>
      </c>
      <c r="C169" s="6">
        <v>0.60972222222222217</v>
      </c>
      <c r="D169" s="6">
        <f>(0.609722222222222-0.602777777777778)</f>
        <v>6.9444444444440867E-3</v>
      </c>
      <c r="E169" s="6">
        <f>ABS(0.00694444444444409-0.00486111111111098)</f>
        <v>2.08333333333311E-3</v>
      </c>
      <c r="F169" t="s">
        <v>3</v>
      </c>
      <c r="G169" s="3"/>
    </row>
    <row r="170" spans="1:7" x14ac:dyDescent="0.25">
      <c r="A170" s="11">
        <v>42186</v>
      </c>
      <c r="B170" s="10">
        <v>0.71388888888888891</v>
      </c>
      <c r="C170" s="6">
        <v>0.71875</v>
      </c>
      <c r="D170" s="6">
        <f>(0.71875-0.713888888888889)</f>
        <v>4.8611111111109828E-3</v>
      </c>
      <c r="E170" s="6">
        <f>ABS(0.00486111111111098-0.00833333333333303)</f>
        <v>3.4722222222220494E-3</v>
      </c>
      <c r="F170" t="s">
        <v>3</v>
      </c>
      <c r="G170" s="3"/>
    </row>
    <row r="171" spans="1:7" x14ac:dyDescent="0.25">
      <c r="A171" s="11">
        <v>42186</v>
      </c>
      <c r="B171" s="15">
        <v>0.47638888888888892</v>
      </c>
      <c r="C171" s="6">
        <v>0.48472222222222222</v>
      </c>
      <c r="D171" s="6">
        <f>(0.484722222222222-0.476388888888889)</f>
        <v>8.3333333333330262E-3</v>
      </c>
      <c r="E171" s="6">
        <f>ABS(0.00833333333333303-0.00694444444444497)</f>
        <v>1.38888888888806E-3</v>
      </c>
      <c r="F171" t="s">
        <v>3</v>
      </c>
      <c r="G171" s="3"/>
    </row>
    <row r="172" spans="1:7" x14ac:dyDescent="0.25">
      <c r="A172" s="11">
        <v>42186</v>
      </c>
      <c r="B172" s="15">
        <v>0.51597222222222217</v>
      </c>
      <c r="C172" s="6">
        <v>0.5229166666666667</v>
      </c>
      <c r="D172" s="6">
        <f>(0.522916666666667-0.515972222222222)</f>
        <v>6.9444444444449749E-3</v>
      </c>
      <c r="E172" s="6">
        <f>ABS(0.00694444444444497-0.028472222222222)</f>
        <v>2.1527777777777028E-2</v>
      </c>
      <c r="F172" t="s">
        <v>3</v>
      </c>
      <c r="G172" s="3"/>
    </row>
    <row r="173" spans="1:7" x14ac:dyDescent="0.25">
      <c r="A173" s="11">
        <v>42186</v>
      </c>
      <c r="B173" s="15">
        <v>0.52152777777777781</v>
      </c>
      <c r="C173" s="6">
        <v>0.54999999999999993</v>
      </c>
      <c r="D173" s="6">
        <f>(0.55-0.521527777777778)</f>
        <v>2.847222222222201E-2</v>
      </c>
      <c r="E173" s="6">
        <f>ABS(0.028472222222222-0.011111111111111)</f>
        <v>1.7361111111111001E-2</v>
      </c>
      <c r="F173" t="s">
        <v>3</v>
      </c>
      <c r="G173" s="3"/>
    </row>
    <row r="174" spans="1:7" x14ac:dyDescent="0.25">
      <c r="A174" s="11">
        <v>42186</v>
      </c>
      <c r="B174" s="15">
        <v>0.64236111111111105</v>
      </c>
      <c r="C174" s="6">
        <v>0.65347222222222223</v>
      </c>
      <c r="D174" s="6">
        <f>(0.653472222222222-0.642361111111111)</f>
        <v>1.1111111111110961E-2</v>
      </c>
      <c r="E174" s="6">
        <f>ABS(0.011111111111111-0.00763888888888897)</f>
        <v>3.4722222222220303E-3</v>
      </c>
      <c r="F174" t="s">
        <v>3</v>
      </c>
      <c r="G174" s="3"/>
    </row>
    <row r="175" spans="1:7" x14ac:dyDescent="0.25">
      <c r="A175" s="11">
        <v>42186</v>
      </c>
      <c r="B175" s="15">
        <v>0.77222222222222225</v>
      </c>
      <c r="C175" s="6">
        <v>0.77986111111111101</v>
      </c>
      <c r="D175" s="6">
        <f>(0.779861111111111-0.772222222222222)</f>
        <v>7.6388888888889728E-3</v>
      </c>
      <c r="E175" s="6">
        <f>ABS(0.00763888888888897-0.0159722222222221)</f>
        <v>8.3333333333331303E-3</v>
      </c>
      <c r="F175" t="s">
        <v>3</v>
      </c>
      <c r="G175" s="3"/>
    </row>
    <row r="176" spans="1:7" x14ac:dyDescent="0.25">
      <c r="A176" s="11">
        <v>42186</v>
      </c>
      <c r="B176" s="10">
        <v>0.82430555555555562</v>
      </c>
      <c r="C176" s="6">
        <v>0.84027777777777779</v>
      </c>
      <c r="D176" s="6">
        <f>(0.840277777777778-0.824305555555556)</f>
        <v>1.5972222222222054E-2</v>
      </c>
      <c r="E176" s="6">
        <f>ABS(0.0159722222222221-0.00555555555555509)</f>
        <v>1.041666666666701E-2</v>
      </c>
      <c r="F176" t="s">
        <v>3</v>
      </c>
      <c r="G176" s="3"/>
    </row>
    <row r="177" spans="1:7" x14ac:dyDescent="0.25">
      <c r="A177" s="11">
        <v>42186</v>
      </c>
      <c r="B177" s="15">
        <v>0.85902777777777783</v>
      </c>
      <c r="C177" s="6">
        <v>0.86458333333333337</v>
      </c>
      <c r="D177" s="6">
        <f>(0.864583333333333-0.859027777777778)</f>
        <v>5.5555555555550917E-3</v>
      </c>
      <c r="E177" s="6">
        <f>ABS(0.00555555555555509-0.0041666666666671)</f>
        <v>1.3888888888879897E-3</v>
      </c>
      <c r="F177" t="s">
        <v>3</v>
      </c>
      <c r="G177" s="3"/>
    </row>
    <row r="178" spans="1:7" x14ac:dyDescent="0.25">
      <c r="A178" s="11">
        <v>42186</v>
      </c>
      <c r="B178" s="15">
        <v>0.92013888888888884</v>
      </c>
      <c r="C178" s="6">
        <v>0.9243055555555556</v>
      </c>
      <c r="D178" s="6">
        <f>(0.924305555555556-0.920138888888889)</f>
        <v>4.166666666667096E-3</v>
      </c>
      <c r="E178" s="6">
        <f>ABS(0.0041666666666671-0.00833333333333297)</f>
        <v>4.1666666666658704E-3</v>
      </c>
      <c r="F178" t="s">
        <v>3</v>
      </c>
      <c r="G178" s="3"/>
    </row>
    <row r="179" spans="1:7" x14ac:dyDescent="0.25">
      <c r="A179" s="11">
        <v>42186</v>
      </c>
      <c r="B179" s="15">
        <v>0.93263888888888891</v>
      </c>
      <c r="C179" s="15">
        <v>0.94097222222222221</v>
      </c>
      <c r="D179" s="15">
        <f>(0.940972222222222-0.932638888888889)</f>
        <v>8.3333333333329707E-3</v>
      </c>
      <c r="E179" s="15">
        <f>ABS(0.00833333333333297-0.00416666666666601)</f>
        <v>4.1666666666669606E-3</v>
      </c>
      <c r="F179" t="s">
        <v>3</v>
      </c>
      <c r="G179" s="3"/>
    </row>
    <row r="180" spans="1:7" x14ac:dyDescent="0.25">
      <c r="A180" s="11">
        <v>42186</v>
      </c>
      <c r="B180" s="6">
        <v>0.14305555555555557</v>
      </c>
      <c r="C180" s="6">
        <v>0.14722222222222223</v>
      </c>
      <c r="D180" s="6">
        <f>(0.147222222222222-0.143055555555556)</f>
        <v>4.1666666666660135E-3</v>
      </c>
      <c r="E180" s="6">
        <f>ABS(0.00416666666666601-0.040277777777778)</f>
        <v>3.6111111111111996E-2</v>
      </c>
      <c r="F180" t="s">
        <v>3</v>
      </c>
      <c r="G180" s="3"/>
    </row>
    <row r="181" spans="1:7" x14ac:dyDescent="0.25">
      <c r="A181" s="11">
        <v>42186</v>
      </c>
      <c r="B181" s="6">
        <v>0.38750000000000001</v>
      </c>
      <c r="C181" s="6">
        <v>0.42777777777777781</v>
      </c>
      <c r="D181" s="6">
        <f>(0.427777777777778-0.3875)</f>
        <v>4.0277777777777968E-2</v>
      </c>
      <c r="E181" s="6">
        <f>ABS(0.040277777777778-0.00902777777777802)</f>
        <v>3.1249999999999983E-2</v>
      </c>
      <c r="F181" t="s">
        <v>3</v>
      </c>
      <c r="G181" s="3"/>
    </row>
    <row r="182" spans="1:7" x14ac:dyDescent="0.25">
      <c r="A182" s="11">
        <v>42186</v>
      </c>
      <c r="B182" s="15">
        <v>0.3979166666666667</v>
      </c>
      <c r="C182" s="6">
        <v>0.4069444444444445</v>
      </c>
      <c r="D182" s="6">
        <f>(0.406944444444445-0.397916666666667)</f>
        <v>9.0277777777780233E-3</v>
      </c>
      <c r="E182" s="6">
        <f>ABS(0.00902777777777802-0.00486111111111098)</f>
        <v>4.1666666666670396E-3</v>
      </c>
      <c r="F182" t="s">
        <v>3</v>
      </c>
      <c r="G182" s="3"/>
    </row>
    <row r="183" spans="1:7" x14ac:dyDescent="0.25">
      <c r="A183" s="11">
        <v>42186</v>
      </c>
      <c r="B183" s="15">
        <v>0.4548611111111111</v>
      </c>
      <c r="C183" s="6">
        <v>0.4597222222222222</v>
      </c>
      <c r="D183" s="6">
        <f>(0.459722222222222-0.454861111111111)</f>
        <v>4.8611111111109828E-3</v>
      </c>
      <c r="E183" s="6">
        <f>ABS(0.00486111111111098-0.0104166666666661)</f>
        <v>5.5555555555551204E-3</v>
      </c>
      <c r="F183" t="s">
        <v>3</v>
      </c>
      <c r="G183" s="3"/>
    </row>
    <row r="184" spans="1:7" x14ac:dyDescent="0.25">
      <c r="A184" s="11">
        <v>42186</v>
      </c>
      <c r="B184" s="15">
        <v>0.54652777777777783</v>
      </c>
      <c r="C184" s="6">
        <v>0.55694444444444446</v>
      </c>
      <c r="D184" s="6">
        <f>(0.556944444444444-0.546527777777778)</f>
        <v>1.0416666666666075E-2</v>
      </c>
      <c r="E184" s="6">
        <f>ABS(0.0104166666666661-0.0118055555555561)</f>
        <v>1.3888888888899994E-3</v>
      </c>
      <c r="F184" t="s">
        <v>3</v>
      </c>
      <c r="G184" s="3"/>
    </row>
    <row r="185" spans="1:7" x14ac:dyDescent="0.25">
      <c r="A185" s="11">
        <v>42186</v>
      </c>
      <c r="B185" s="15">
        <v>0.54583333333333328</v>
      </c>
      <c r="C185" s="6">
        <v>0.55763888888888891</v>
      </c>
      <c r="D185" s="6">
        <f>(0.557638888888889-0.545833333333333)</f>
        <v>1.1805555555556069E-2</v>
      </c>
      <c r="E185" s="6">
        <f>ABS(0.0118055555555561-0.00833333333333297)</f>
        <v>3.4722222222231293E-3</v>
      </c>
      <c r="F185" t="s">
        <v>3</v>
      </c>
      <c r="G185" s="3"/>
    </row>
    <row r="186" spans="1:7" x14ac:dyDescent="0.25">
      <c r="A186" s="11">
        <v>42186</v>
      </c>
      <c r="B186" s="15">
        <v>0.81388888888888899</v>
      </c>
      <c r="C186" s="6">
        <v>0.8222222222222223</v>
      </c>
      <c r="D186" s="6">
        <f>(0.822222222222222-0.813888888888889)</f>
        <v>8.3333333333329707E-3</v>
      </c>
      <c r="E186" s="6">
        <f>ABS(0.00833333333333297-0.021527777777777)</f>
        <v>1.319444444444403E-2</v>
      </c>
      <c r="F186" t="s">
        <v>3</v>
      </c>
      <c r="G186" s="3"/>
    </row>
    <row r="187" spans="1:7" x14ac:dyDescent="0.25">
      <c r="A187" s="11">
        <v>42186</v>
      </c>
      <c r="B187" s="15">
        <v>0.76041666666666663</v>
      </c>
      <c r="C187" s="6">
        <v>0.78194444444444444</v>
      </c>
      <c r="D187" s="6">
        <f>(0.781944444444444-0.760416666666667)</f>
        <v>2.1527777777777035E-2</v>
      </c>
      <c r="E187" s="6">
        <f>ABS(0.021527777777777-0.00972222222222197)</f>
        <v>1.180555555555503E-2</v>
      </c>
      <c r="F187" t="s">
        <v>3</v>
      </c>
      <c r="G187" s="3"/>
    </row>
    <row r="188" spans="1:7" x14ac:dyDescent="0.25">
      <c r="A188" s="11">
        <v>42186</v>
      </c>
      <c r="B188" s="10">
        <v>0.90625</v>
      </c>
      <c r="C188" s="6">
        <v>0.9159722222222223</v>
      </c>
      <c r="D188" s="6">
        <f>(0.915972222222222-0.90625)</f>
        <v>9.7222222222219656E-3</v>
      </c>
      <c r="E188" s="6">
        <f>ABS(0.00972222222222197-0.01875)</f>
        <v>9.0277777777780285E-3</v>
      </c>
      <c r="F188" t="s">
        <v>3</v>
      </c>
      <c r="G188" s="3"/>
    </row>
    <row r="189" spans="1:7" x14ac:dyDescent="0.25">
      <c r="A189" s="11">
        <v>42186</v>
      </c>
      <c r="B189" s="15">
        <v>4.6527777777777779E-2</v>
      </c>
      <c r="C189" s="6">
        <v>6.5277777777777782E-2</v>
      </c>
      <c r="D189" s="6">
        <f>(0.0652777777777778-0.0465277777777778)</f>
        <v>1.8749999999999996E-2</v>
      </c>
      <c r="E189" s="6">
        <f>ABS(0.01875-0.0520833333333333)</f>
        <v>3.3333333333333298E-2</v>
      </c>
      <c r="F189" t="s">
        <v>3</v>
      </c>
      <c r="G189" s="3"/>
    </row>
    <row r="190" spans="1:7" x14ac:dyDescent="0.25">
      <c r="A190" s="11">
        <v>42186</v>
      </c>
      <c r="B190" s="10">
        <v>4.7916666666666663E-2</v>
      </c>
      <c r="C190" s="6">
        <v>9.9999999999999992E-2</v>
      </c>
      <c r="D190" s="6">
        <f>(0.1-0.0479166666666667)</f>
        <v>5.2083333333333308E-2</v>
      </c>
      <c r="E190" s="6">
        <f>ABS(0.0520833333333333-0.00625000000000003)</f>
        <v>4.5833333333333268E-2</v>
      </c>
      <c r="F190" t="s">
        <v>3</v>
      </c>
      <c r="G190" s="3"/>
    </row>
    <row r="191" spans="1:7" x14ac:dyDescent="0.25">
      <c r="A191" s="11">
        <v>42186</v>
      </c>
      <c r="B191" s="15">
        <v>0.33124999999999999</v>
      </c>
      <c r="C191" s="6">
        <v>0.33749999999999997</v>
      </c>
      <c r="D191" s="6">
        <f>(0.3375-0.33125)</f>
        <v>6.2500000000000333E-3</v>
      </c>
      <c r="E191" s="6">
        <f>ABS(0.00625000000000003-0.0166666666666661)</f>
        <v>1.0416666666666071E-2</v>
      </c>
      <c r="F191" t="s">
        <v>3</v>
      </c>
      <c r="G191" s="3"/>
    </row>
    <row r="192" spans="1:7" x14ac:dyDescent="0.25">
      <c r="A192" s="11">
        <v>42186</v>
      </c>
      <c r="B192" s="15">
        <v>0.53402777777777777</v>
      </c>
      <c r="C192" s="6">
        <v>0.55069444444444449</v>
      </c>
      <c r="D192" s="6">
        <f>(0.550694444444444-0.534027777777778)</f>
        <v>1.6666666666666052E-2</v>
      </c>
      <c r="E192" s="6">
        <f>ABS(0.0166666666666661-0.00416666666666698)</f>
        <v>1.2499999999999121E-2</v>
      </c>
      <c r="F192" t="s">
        <v>3</v>
      </c>
      <c r="G192" s="3"/>
    </row>
    <row r="193" spans="1:7" x14ac:dyDescent="0.25">
      <c r="A193" s="11">
        <v>42186</v>
      </c>
      <c r="B193" s="15">
        <v>0.58333333333333337</v>
      </c>
      <c r="C193" s="6">
        <v>0.58750000000000002</v>
      </c>
      <c r="D193" s="6">
        <f>(0.5875-0.583333333333333)</f>
        <v>4.1666666666669849E-3</v>
      </c>
      <c r="E193" s="6">
        <f>ABS(0.00416666666666698-0.00486111111111098)</f>
        <v>6.9444444444400049E-4</v>
      </c>
      <c r="F193" t="s">
        <v>3</v>
      </c>
      <c r="G193" s="3"/>
    </row>
    <row r="194" spans="1:7" x14ac:dyDescent="0.25">
      <c r="A194" s="11">
        <v>42186</v>
      </c>
      <c r="B194" s="10">
        <v>0.92361111111111116</v>
      </c>
      <c r="C194" s="6">
        <v>0.92847222222222225</v>
      </c>
      <c r="D194" s="6">
        <f>(0.928472222222222-0.923611111111111)</f>
        <v>4.8611111111109828E-3</v>
      </c>
      <c r="E194" s="6">
        <f>ABS(0.00486111111111098-0.015277777777777)</f>
        <v>1.0416666666666019E-2</v>
      </c>
      <c r="F194" t="s">
        <v>3</v>
      </c>
      <c r="G194" s="3"/>
    </row>
    <row r="195" spans="1:7" x14ac:dyDescent="0.25">
      <c r="A195" s="11">
        <v>42186</v>
      </c>
      <c r="B195" s="10">
        <v>0.21666666666666667</v>
      </c>
      <c r="C195" s="6">
        <v>0.23194444444444443</v>
      </c>
      <c r="D195" s="6">
        <f>(0.231944444444444-0.216666666666667)</f>
        <v>1.5277777777777002E-2</v>
      </c>
      <c r="E195" s="6">
        <f>ABS(0.015277777777777-0.00625000000000098)</f>
        <v>9.0277777777760214E-3</v>
      </c>
      <c r="F195" t="s">
        <v>3</v>
      </c>
      <c r="G195" s="3"/>
    </row>
    <row r="196" spans="1:7" x14ac:dyDescent="0.25">
      <c r="A196" s="11">
        <v>42186</v>
      </c>
      <c r="B196" s="6">
        <v>0.71180555555555547</v>
      </c>
      <c r="C196" s="6">
        <v>0.71805555555555556</v>
      </c>
      <c r="D196" s="6">
        <f>(0.718055555555556-0.711805555555555)</f>
        <v>6.250000000000977E-3</v>
      </c>
      <c r="E196" s="6">
        <f>ABS(0.00625000000000098-0.010416666666666)</f>
        <v>4.1666666666650204E-3</v>
      </c>
      <c r="F196" t="s">
        <v>3</v>
      </c>
      <c r="G196" s="3"/>
    </row>
    <row r="197" spans="1:7" x14ac:dyDescent="0.25">
      <c r="A197" s="11">
        <v>42186</v>
      </c>
      <c r="B197" s="6">
        <v>0.5180555555555556</v>
      </c>
      <c r="C197" s="6">
        <v>0.52847222222222223</v>
      </c>
      <c r="D197" s="6">
        <f>(0.528472222222222-0.518055555555556)</f>
        <v>1.0416666666665964E-2</v>
      </c>
      <c r="E197" s="6">
        <f>ABS(0.010416666666666-0.00763888888888897)</f>
        <v>2.7777777777770298E-3</v>
      </c>
      <c r="F197" t="s">
        <v>3</v>
      </c>
      <c r="G197" s="3"/>
    </row>
    <row r="198" spans="1:7" x14ac:dyDescent="0.25">
      <c r="A198" s="11">
        <v>42186</v>
      </c>
      <c r="B198" s="15">
        <v>0.53194444444444444</v>
      </c>
      <c r="C198" s="6">
        <v>0.5395833333333333</v>
      </c>
      <c r="D198" s="6">
        <f>(0.539583333333333-0.531944444444444)</f>
        <v>7.6388888888889728E-3</v>
      </c>
      <c r="E198" s="6">
        <f>ABS(0.00763888888888897-0.00347222222222199)</f>
        <v>4.1666666666669797E-3</v>
      </c>
      <c r="F198" t="s">
        <v>3</v>
      </c>
      <c r="G198" s="3"/>
    </row>
    <row r="199" spans="1:7" x14ac:dyDescent="0.25">
      <c r="A199" s="11">
        <v>42186</v>
      </c>
      <c r="B199" s="15">
        <v>0.5854166666666667</v>
      </c>
      <c r="C199" s="6">
        <v>0.58888888888888891</v>
      </c>
      <c r="D199" s="6">
        <f>(0.588888888888889-0.585416666666667)</f>
        <v>3.4722222222219878E-3</v>
      </c>
      <c r="E199" s="6">
        <f>ABS(0.00347222222222199-0.00763888888888897)</f>
        <v>4.1666666666669797E-3</v>
      </c>
      <c r="F199" t="s">
        <v>3</v>
      </c>
      <c r="G199" s="3"/>
    </row>
    <row r="200" spans="1:7" x14ac:dyDescent="0.25">
      <c r="A200" s="11">
        <v>42186</v>
      </c>
      <c r="B200" s="15">
        <v>0.7729166666666667</v>
      </c>
      <c r="C200" s="6">
        <v>0.78055555555555556</v>
      </c>
      <c r="D200" s="6">
        <f>(0.780555555555556-0.772916666666667)</f>
        <v>7.6388888888889728E-3</v>
      </c>
      <c r="E200" s="6">
        <f>ABS(0.00763888888888897-0.0145833333333331)</f>
        <v>6.9444444444441292E-3</v>
      </c>
      <c r="F200" t="s">
        <v>3</v>
      </c>
      <c r="G200" s="3"/>
    </row>
    <row r="201" spans="1:7" x14ac:dyDescent="0.25">
      <c r="A201" s="11">
        <v>42186</v>
      </c>
      <c r="B201" s="15">
        <v>0.85069444444444453</v>
      </c>
      <c r="C201" s="6">
        <v>0.8652777777777777</v>
      </c>
      <c r="D201" s="6">
        <f>(0.865277777777778-0.850694444444445)</f>
        <v>1.4583333333333059E-2</v>
      </c>
      <c r="E201" s="6">
        <f>ABS(0.0145833333333331-0.00694444444444398)</f>
        <v>7.6388888888891194E-3</v>
      </c>
      <c r="F201" t="s">
        <v>3</v>
      </c>
      <c r="G201" s="3"/>
    </row>
    <row r="202" spans="1:7" x14ac:dyDescent="0.25">
      <c r="A202" s="11">
        <v>42186</v>
      </c>
      <c r="B202" s="15">
        <v>0.87291666666666667</v>
      </c>
      <c r="C202" s="6">
        <v>0.87986111111111109</v>
      </c>
      <c r="D202" s="6">
        <f>(0.879861111111111-0.872916666666667)</f>
        <v>6.9444444444439757E-3</v>
      </c>
      <c r="E202" s="6">
        <f>ABS(0.00694444444444398-0.00555555555555509)</f>
        <v>1.38888888888889E-3</v>
      </c>
      <c r="F202" t="s">
        <v>3</v>
      </c>
      <c r="G202" s="3"/>
    </row>
    <row r="203" spans="1:7" x14ac:dyDescent="0.25">
      <c r="A203" s="11">
        <v>42186</v>
      </c>
      <c r="B203" s="15">
        <v>0.98263888888888884</v>
      </c>
      <c r="C203" s="6">
        <v>0.98819444444444438</v>
      </c>
      <c r="D203" s="6">
        <f>(0.988194444444444-0.982638888888889)</f>
        <v>5.5555555555550917E-3</v>
      </c>
      <c r="E203" s="6">
        <f>ABS(0.00555555555555509-0.00972222222222199)</f>
        <v>4.1666666666668999E-3</v>
      </c>
      <c r="F203" t="s">
        <v>3</v>
      </c>
      <c r="G203" s="3"/>
    </row>
    <row r="204" spans="1:7" x14ac:dyDescent="0.25">
      <c r="A204" s="11">
        <v>42186</v>
      </c>
      <c r="B204" s="10">
        <v>0.14652777777777778</v>
      </c>
      <c r="C204" s="6">
        <v>0.15625</v>
      </c>
      <c r="D204" s="6">
        <f>(0.15625-0.146527777777778)</f>
        <v>9.7222222222219934E-3</v>
      </c>
      <c r="E204" s="6">
        <f>ABS(0.00972222222222199-0.0138888888888891)</f>
        <v>4.1666666666671098E-3</v>
      </c>
      <c r="F204" t="s">
        <v>3</v>
      </c>
      <c r="G204" s="3"/>
    </row>
    <row r="205" spans="1:7" x14ac:dyDescent="0.25">
      <c r="A205" s="11">
        <v>42186</v>
      </c>
      <c r="B205" s="15">
        <v>0.59722222222222221</v>
      </c>
      <c r="C205" s="6">
        <v>0.61111111111111105</v>
      </c>
      <c r="D205" s="6">
        <f>(0.611111111111111-0.597222222222222)</f>
        <v>1.3888888888889062E-2</v>
      </c>
      <c r="E205" s="6">
        <f>ABS(0.0138888888888891-0.0159722222222221)</f>
        <v>2.0833333333329998E-3</v>
      </c>
      <c r="F205" t="s">
        <v>3</v>
      </c>
      <c r="G205" s="3"/>
    </row>
    <row r="206" spans="1:7" x14ac:dyDescent="0.25">
      <c r="A206" s="11">
        <v>42186</v>
      </c>
      <c r="B206" s="15">
        <v>0.62916666666666665</v>
      </c>
      <c r="C206" s="6">
        <v>0.64513888888888882</v>
      </c>
      <c r="D206" s="6">
        <f>(0.645138888888889-0.629166666666667)</f>
        <v>1.5972222222222054E-2</v>
      </c>
      <c r="E206" s="6">
        <f>ABS(0.0159722222222221-0.0111111111111111)</f>
        <v>4.8611111111110002E-3</v>
      </c>
      <c r="F206" t="s">
        <v>3</v>
      </c>
      <c r="G206" s="3"/>
    </row>
    <row r="207" spans="1:7" x14ac:dyDescent="0.25">
      <c r="A207" s="11">
        <v>42186</v>
      </c>
      <c r="B207" s="6">
        <v>0.66388888888888886</v>
      </c>
      <c r="C207" s="6">
        <v>0.67499999999999993</v>
      </c>
      <c r="D207" s="6">
        <f>(0.675-0.663888888888889)</f>
        <v>1.1111111111111072E-2</v>
      </c>
      <c r="E207" s="6">
        <f>ABS(0.0111111111111111-0.0138888888888891)</f>
        <v>2.7777777777780004E-3</v>
      </c>
      <c r="F207" t="s">
        <v>3</v>
      </c>
      <c r="G207" s="3"/>
    </row>
    <row r="208" spans="1:7" x14ac:dyDescent="0.25">
      <c r="A208" s="11">
        <v>42186</v>
      </c>
      <c r="B208" s="15">
        <v>0.8833333333333333</v>
      </c>
      <c r="C208" s="6">
        <v>0.89722222222222225</v>
      </c>
      <c r="D208" s="6">
        <f>(0.897222222222222-0.883333333333333)</f>
        <v>1.3888888888889062E-2</v>
      </c>
      <c r="E208" s="6">
        <f>ABS(0.0138888888888891-0.00486111111111098)</f>
        <v>9.0277777777781204E-3</v>
      </c>
      <c r="F208" t="s">
        <v>3</v>
      </c>
      <c r="G208" s="3"/>
    </row>
    <row r="209" spans="1:7" x14ac:dyDescent="0.25">
      <c r="A209" s="11">
        <v>42186</v>
      </c>
      <c r="B209" s="15">
        <v>0.3298611111111111</v>
      </c>
      <c r="C209" s="6">
        <v>0.3347222222222222</v>
      </c>
      <c r="D209" s="6">
        <f>(0.334722222222222-0.329861111111111)</f>
        <v>4.8611111111109828E-3</v>
      </c>
      <c r="E209" s="6">
        <f>ABS(0.00486111111111098-0.015972222222222)</f>
        <v>1.111111111111102E-2</v>
      </c>
      <c r="F209" t="s">
        <v>3</v>
      </c>
      <c r="G209" s="3"/>
    </row>
    <row r="210" spans="1:7" x14ac:dyDescent="0.25">
      <c r="A210" s="11">
        <v>42186</v>
      </c>
      <c r="B210" s="15">
        <v>0.45763888888888887</v>
      </c>
      <c r="C210" s="6">
        <v>0.47361111111111115</v>
      </c>
      <c r="D210" s="6">
        <f>(0.473611111111111-0.457638888888889)</f>
        <v>1.5972222222221999E-2</v>
      </c>
      <c r="E210" s="6">
        <f>ABS(0.015972222222222-0)</f>
        <v>1.5972222222221999E-2</v>
      </c>
      <c r="F210" t="s">
        <v>3</v>
      </c>
      <c r="G210" s="3"/>
    </row>
    <row r="211" spans="1:7" x14ac:dyDescent="0.25">
      <c r="A211" s="11">
        <v>42186</v>
      </c>
      <c r="B211" s="15">
        <v>0.49722222222222223</v>
      </c>
      <c r="C211" s="6">
        <v>0.49722222222222223</v>
      </c>
      <c r="D211" s="6">
        <f>(0.497222222222222-0.497222222222222)</f>
        <v>0</v>
      </c>
      <c r="E211" s="6">
        <f>ABS(0-0.00624999999999998)</f>
        <v>6.2499999999999804E-3</v>
      </c>
      <c r="F211" t="s">
        <v>3</v>
      </c>
      <c r="G211" s="3"/>
    </row>
    <row r="212" spans="1:7" x14ac:dyDescent="0.25">
      <c r="A212" s="11">
        <v>42186</v>
      </c>
      <c r="B212" s="15">
        <v>0.53749999999999998</v>
      </c>
      <c r="C212" s="6">
        <v>0.54375000000000007</v>
      </c>
      <c r="D212" s="6">
        <f>(0.54375-0.5375)</f>
        <v>6.2499999999999778E-3</v>
      </c>
      <c r="E212" s="6">
        <f>ABS(0.00624999999999998-0.00694444444444409)</f>
        <v>6.9444444444410978E-4</v>
      </c>
      <c r="F212" t="s">
        <v>3</v>
      </c>
      <c r="G212" s="3"/>
    </row>
    <row r="213" spans="1:7" x14ac:dyDescent="0.25">
      <c r="A213" s="11">
        <v>42186</v>
      </c>
      <c r="B213" s="15">
        <v>0.54652777777777783</v>
      </c>
      <c r="C213" s="6">
        <v>0.55347222222222225</v>
      </c>
      <c r="D213" s="6">
        <f>(0.553472222222222-0.546527777777778)</f>
        <v>6.9444444444440867E-3</v>
      </c>
      <c r="E213" s="6">
        <f>ABS(0.00694444444444409-0.0458333333333331)</f>
        <v>3.8888888888889014E-2</v>
      </c>
      <c r="F213" t="s">
        <v>3</v>
      </c>
      <c r="G213" s="3"/>
    </row>
    <row r="214" spans="1:7" x14ac:dyDescent="0.25">
      <c r="A214" s="11">
        <v>42186</v>
      </c>
      <c r="B214" s="15">
        <v>0.69236111111111109</v>
      </c>
      <c r="C214" s="6">
        <v>0.73819444444444438</v>
      </c>
      <c r="D214" s="6">
        <f>(0.738194444444444-0.692361111111111)</f>
        <v>4.5833333333333059E-2</v>
      </c>
      <c r="E214" s="6">
        <f>ABS(0.0458333333333331-0.00347222222222199)</f>
        <v>4.2361111111111113E-2</v>
      </c>
      <c r="F214" t="s">
        <v>3</v>
      </c>
      <c r="G214" s="3"/>
    </row>
    <row r="215" spans="1:7" x14ac:dyDescent="0.25">
      <c r="A215" s="11">
        <v>42186</v>
      </c>
      <c r="B215" s="15">
        <v>0.66597222222222219</v>
      </c>
      <c r="C215" s="6">
        <v>0.6694444444444444</v>
      </c>
      <c r="D215" s="6">
        <f>(0.669444444444444-0.665972222222222)</f>
        <v>3.4722222222219878E-3</v>
      </c>
      <c r="E215" s="6">
        <f>ABS(0.00347222222222199-0.00833333333333297)</f>
        <v>4.8611111111109811E-3</v>
      </c>
      <c r="F215" t="s">
        <v>3</v>
      </c>
      <c r="G215" s="3"/>
    </row>
    <row r="216" spans="1:7" x14ac:dyDescent="0.25">
      <c r="A216" s="11">
        <v>42186</v>
      </c>
      <c r="B216" s="15">
        <v>0.7416666666666667</v>
      </c>
      <c r="C216" s="6">
        <v>0.75</v>
      </c>
      <c r="D216" s="6">
        <f>(0.75-0.741666666666667)</f>
        <v>8.3333333333329707E-3</v>
      </c>
      <c r="E216" s="6">
        <f>ABS(0.00833333333333297-0.0208333333333329)</f>
        <v>1.2499999999999928E-2</v>
      </c>
      <c r="F216" t="s">
        <v>3</v>
      </c>
      <c r="G216" s="3"/>
    </row>
    <row r="217" spans="1:7" x14ac:dyDescent="0.25">
      <c r="A217" s="11">
        <v>42186</v>
      </c>
      <c r="B217" s="15">
        <v>0.83611111111111114</v>
      </c>
      <c r="C217" s="6">
        <v>0.8569444444444444</v>
      </c>
      <c r="D217" s="6">
        <f>(0.856944444444444-0.836111111111111)</f>
        <v>2.0833333333332926E-2</v>
      </c>
      <c r="E217" s="6">
        <f>ABS(0.0208333333333329-0.00416666666666698)</f>
        <v>1.6666666666665921E-2</v>
      </c>
      <c r="F217" t="s">
        <v>3</v>
      </c>
      <c r="G217" s="3"/>
    </row>
    <row r="218" spans="1:7" x14ac:dyDescent="0.25">
      <c r="A218" s="11">
        <v>42186</v>
      </c>
      <c r="B218" s="15">
        <v>0.85</v>
      </c>
      <c r="C218" s="6">
        <v>0.85416666666666663</v>
      </c>
      <c r="D218" s="6">
        <f>(0.854166666666667-0.85)</f>
        <v>4.1666666666669849E-3</v>
      </c>
      <c r="E218" s="6">
        <f>ABS(0.00416666666666698-0.0159722222222221)</f>
        <v>1.180555555555512E-2</v>
      </c>
      <c r="F218" t="s">
        <v>3</v>
      </c>
      <c r="G218" s="3"/>
    </row>
    <row r="219" spans="1:7" x14ac:dyDescent="0.25">
      <c r="A219" s="11">
        <v>42186</v>
      </c>
      <c r="B219" s="10">
        <v>0.91111111111111109</v>
      </c>
      <c r="C219" s="6">
        <v>0.92708333333333337</v>
      </c>
      <c r="D219" s="6">
        <f>(0.927083333333333-0.911111111111111)</f>
        <v>1.5972222222222054E-2</v>
      </c>
      <c r="E219" s="6">
        <f>ABS(0.0159722222222221-0.00347222222222199)</f>
        <v>1.250000000000011E-2</v>
      </c>
      <c r="F219" t="s">
        <v>3</v>
      </c>
      <c r="G219" s="3"/>
    </row>
    <row r="220" spans="1:7" x14ac:dyDescent="0.25">
      <c r="A220" s="11">
        <v>42186</v>
      </c>
      <c r="B220" s="15">
        <v>0.97499999999999998</v>
      </c>
      <c r="C220" s="6">
        <v>0.9784722222222223</v>
      </c>
      <c r="D220" s="6">
        <f>(0.978472222222222-0.975)</f>
        <v>3.4722222222219878E-3</v>
      </c>
      <c r="E220" s="6">
        <f>ABS(0.00347222222222199-0.017361111111111)</f>
        <v>1.3888888888889011E-2</v>
      </c>
      <c r="F220" t="s">
        <v>3</v>
      </c>
      <c r="G220" s="3"/>
    </row>
    <row r="221" spans="1:7" x14ac:dyDescent="0.25">
      <c r="A221" s="11">
        <v>42186</v>
      </c>
      <c r="B221" s="10">
        <v>0.22708333333333333</v>
      </c>
      <c r="C221" s="6">
        <v>0.24444444444444446</v>
      </c>
      <c r="D221" s="6">
        <f>(0.244444444444444-0.227083333333333)</f>
        <v>1.7361111111110994E-2</v>
      </c>
      <c r="E221" s="6">
        <f>ABS(0.017361111111111-0.0125)</f>
        <v>4.8611111111110002E-3</v>
      </c>
      <c r="F221" t="s">
        <v>3</v>
      </c>
      <c r="G221" s="3"/>
    </row>
    <row r="222" spans="1:7" x14ac:dyDescent="0.25">
      <c r="A222" s="11">
        <v>42186</v>
      </c>
      <c r="B222" s="6">
        <v>7.6388888888888895E-2</v>
      </c>
      <c r="C222" s="6">
        <v>8.8888888888888892E-2</v>
      </c>
      <c r="D222" s="6">
        <f>(0.0888888888888889-0.0763888888888889)</f>
        <v>1.2500000000000011E-2</v>
      </c>
      <c r="E222" s="6">
        <f>ABS(0.0125-0.019444444444445)</f>
        <v>6.9444444444449992E-3</v>
      </c>
      <c r="F222" t="s">
        <v>3</v>
      </c>
      <c r="G222" s="3"/>
    </row>
    <row r="223" spans="1:7" x14ac:dyDescent="0.25">
      <c r="A223" s="11">
        <v>42186</v>
      </c>
      <c r="B223" s="15">
        <v>0.38194444444444442</v>
      </c>
      <c r="C223" s="6">
        <v>0.40138888888888885</v>
      </c>
      <c r="D223" s="6">
        <f>(0.401388888888889-0.381944444444444)</f>
        <v>1.9444444444445041E-2</v>
      </c>
      <c r="E223" s="6">
        <f>ABS(0.019444444444445-0.00972222222222302)</f>
        <v>9.7222222222219795E-3</v>
      </c>
      <c r="F223" t="s">
        <v>3</v>
      </c>
      <c r="G223" s="3"/>
    </row>
    <row r="224" spans="1:7" x14ac:dyDescent="0.25">
      <c r="A224" s="11">
        <v>42186</v>
      </c>
      <c r="B224" s="10">
        <v>0.41319444444444442</v>
      </c>
      <c r="C224" s="6">
        <v>0.42291666666666666</v>
      </c>
      <c r="D224" s="6">
        <f>(0.422916666666667-0.413194444444444)</f>
        <v>9.7222222222230203E-3</v>
      </c>
      <c r="E224" s="6">
        <f>ABS(0.00972222222222302-0.00833333333333397)</f>
        <v>1.3888888888890505E-3</v>
      </c>
      <c r="F224" t="s">
        <v>3</v>
      </c>
      <c r="G224" s="3"/>
    </row>
    <row r="225" spans="1:7" x14ac:dyDescent="0.25">
      <c r="A225" s="11">
        <v>42186</v>
      </c>
      <c r="B225" s="15">
        <v>0.67847222222222225</v>
      </c>
      <c r="C225" s="6">
        <v>0.68680555555555556</v>
      </c>
      <c r="D225" s="6">
        <f>(0.686805555555556-0.678472222222222)</f>
        <v>8.3333333333339699E-3</v>
      </c>
      <c r="E225" s="6">
        <f>ABS(0.00833333333333397-0.00347222222222199)</f>
        <v>4.8611111111119803E-3</v>
      </c>
      <c r="F225" t="s">
        <v>3</v>
      </c>
      <c r="G225" s="3"/>
    </row>
    <row r="226" spans="1:7" x14ac:dyDescent="0.25">
      <c r="A226" s="11">
        <v>42186</v>
      </c>
      <c r="B226" s="15">
        <v>0.71597222222222223</v>
      </c>
      <c r="C226" s="6">
        <v>0.71944444444444444</v>
      </c>
      <c r="D226" s="6">
        <f>(0.719444444444444-0.715972222222222)</f>
        <v>3.4722222222219878E-3</v>
      </c>
      <c r="E226" s="6">
        <f>ABS(0.00347222222222199-0.00624999999999998)</f>
        <v>2.7777777777779904E-3</v>
      </c>
      <c r="F226" t="s">
        <v>3</v>
      </c>
      <c r="G226" s="3"/>
    </row>
    <row r="227" spans="1:7" x14ac:dyDescent="0.25">
      <c r="A227" s="11">
        <v>42186</v>
      </c>
      <c r="B227" s="6">
        <v>0.81388888888888899</v>
      </c>
      <c r="C227" s="6">
        <v>0.82013888888888886</v>
      </c>
      <c r="D227" s="6">
        <f>(0.820138888888889-0.813888888888889)</f>
        <v>6.2499999999999778E-3</v>
      </c>
      <c r="E227" s="6">
        <f>ABS(0.00624999999999998-0.00833333333333297)</f>
        <v>2.0833333333329903E-3</v>
      </c>
      <c r="F227" t="s">
        <v>3</v>
      </c>
      <c r="G227" s="3"/>
    </row>
    <row r="228" spans="1:7" x14ac:dyDescent="0.25">
      <c r="A228" s="11">
        <v>42186</v>
      </c>
      <c r="B228" s="15">
        <v>0.89513888888888893</v>
      </c>
      <c r="C228" s="6">
        <v>0.90347222222222223</v>
      </c>
      <c r="D228" s="6">
        <f>(0.903472222222222-0.895138888888889)</f>
        <v>8.3333333333329707E-3</v>
      </c>
      <c r="E228" s="6">
        <f>ABS(0.00833333333333297-0.01875)</f>
        <v>1.0416666666667029E-2</v>
      </c>
      <c r="F228" t="s">
        <v>3</v>
      </c>
      <c r="G228" s="3"/>
    </row>
    <row r="229" spans="1:7" x14ac:dyDescent="0.25">
      <c r="A229" s="11">
        <v>42186</v>
      </c>
      <c r="B229" s="15">
        <v>0.8833333333333333</v>
      </c>
      <c r="C229" s="6">
        <v>0.90208333333333324</v>
      </c>
      <c r="D229" s="6">
        <f>(0.902083333333333-0.883333333333333)</f>
        <v>1.8750000000000044E-2</v>
      </c>
      <c r="E229" s="6">
        <f>ABS(0.01875-0.00416666666666698)</f>
        <v>1.458333333333302E-2</v>
      </c>
      <c r="F229" t="s">
        <v>3</v>
      </c>
      <c r="G229" s="3"/>
    </row>
    <row r="230" spans="1:7" x14ac:dyDescent="0.25">
      <c r="A230" s="11">
        <v>42186</v>
      </c>
      <c r="B230" s="15">
        <v>0.97499999999999998</v>
      </c>
      <c r="C230" s="6">
        <v>0.97916666666666663</v>
      </c>
      <c r="D230" s="6">
        <f>(0.979166666666667-0.975)</f>
        <v>4.1666666666669849E-3</v>
      </c>
      <c r="E230" s="6">
        <f>ABS(0.00416666666666698-0.00486111111111101)</f>
        <v>6.9444444444402998E-4</v>
      </c>
      <c r="F230" t="s">
        <v>3</v>
      </c>
      <c r="G230" s="3"/>
    </row>
    <row r="231" spans="1:7" x14ac:dyDescent="0.25">
      <c r="A231" s="11">
        <v>42186</v>
      </c>
      <c r="B231" s="15">
        <v>0.14166666666666666</v>
      </c>
      <c r="C231" s="6">
        <v>0.14652777777777778</v>
      </c>
      <c r="D231" s="6">
        <f>(0.146527777777778-0.141666666666667)</f>
        <v>4.8611111111110106E-3</v>
      </c>
      <c r="E231" s="6">
        <f>ABS(0.00486111111111101-0.00416666666666604)</f>
        <v>6.9444444444496933E-4</v>
      </c>
      <c r="F231" t="s">
        <v>3</v>
      </c>
      <c r="G231" s="3"/>
    </row>
    <row r="232" spans="1:7" x14ac:dyDescent="0.25">
      <c r="A232" s="11">
        <v>42186</v>
      </c>
      <c r="B232" s="15">
        <v>0.31805555555555554</v>
      </c>
      <c r="C232" s="6">
        <v>0.32222222222222224</v>
      </c>
      <c r="D232" s="6">
        <f>(0.322222222222222-0.318055555555556)</f>
        <v>4.1666666666660412E-3</v>
      </c>
      <c r="E232" s="6">
        <f>ABS(0.00416666666666604-0.027777777777778)</f>
        <v>2.3611111111111957E-2</v>
      </c>
      <c r="F232" t="s">
        <v>3</v>
      </c>
      <c r="G232" s="3"/>
    </row>
    <row r="233" spans="1:7" x14ac:dyDescent="0.25">
      <c r="A233" s="11">
        <v>42186</v>
      </c>
      <c r="B233" s="15">
        <v>0.33402777777777781</v>
      </c>
      <c r="C233" s="6">
        <v>0.36180555555555555</v>
      </c>
      <c r="D233" s="6">
        <f>(0.361805555555556-0.334027777777778)</f>
        <v>2.7777777777778012E-2</v>
      </c>
      <c r="E233" s="6">
        <f>ABS(0.027777777777778-0.00694444444444497)</f>
        <v>2.083333333333303E-2</v>
      </c>
      <c r="F233" t="s">
        <v>3</v>
      </c>
      <c r="G233" s="3"/>
    </row>
    <row r="234" spans="1:7" x14ac:dyDescent="0.25">
      <c r="A234" s="11">
        <v>42186</v>
      </c>
      <c r="B234" s="15">
        <v>0.65208333333333335</v>
      </c>
      <c r="C234" s="6">
        <v>0.65902777777777777</v>
      </c>
      <c r="D234" s="6">
        <f>(0.659027777777778-0.652083333333333)</f>
        <v>6.9444444444449749E-3</v>
      </c>
      <c r="E234" s="6">
        <f>ABS(0.00694444444444497-0.00555555555555498)</f>
        <v>1.3888888888899898E-3</v>
      </c>
      <c r="F234" t="s">
        <v>3</v>
      </c>
      <c r="G234" s="3"/>
    </row>
    <row r="235" spans="1:7" x14ac:dyDescent="0.25">
      <c r="A235" s="11">
        <v>42186</v>
      </c>
      <c r="B235" s="6">
        <v>0.91388888888888886</v>
      </c>
      <c r="C235" s="6">
        <v>0.9194444444444444</v>
      </c>
      <c r="D235" s="6">
        <f>(0.919444444444444-0.913888888888889)</f>
        <v>5.5555555555549807E-3</v>
      </c>
      <c r="E235" s="6">
        <f>ABS(0.00555555555555498-0.00694444444444497)</f>
        <v>1.3888888888899898E-3</v>
      </c>
      <c r="F235" t="s">
        <v>3</v>
      </c>
      <c r="G235" s="3"/>
    </row>
    <row r="236" spans="1:7" x14ac:dyDescent="0.25">
      <c r="A236" s="11">
        <v>42186</v>
      </c>
      <c r="B236" s="6">
        <v>0.81458333333333333</v>
      </c>
      <c r="C236" s="6">
        <v>0.82152777777777775</v>
      </c>
      <c r="D236" s="6">
        <f>(0.821527777777778-0.814583333333333)</f>
        <v>6.9444444444449749E-3</v>
      </c>
      <c r="E236" s="6">
        <f>ABS(0.00694444444444497-0.0125000000000001)</f>
        <v>5.5555555555551299E-3</v>
      </c>
      <c r="F236" t="s">
        <v>3</v>
      </c>
      <c r="G236" s="3"/>
    </row>
    <row r="237" spans="1:7" x14ac:dyDescent="0.25">
      <c r="A237" s="11">
        <v>42186</v>
      </c>
      <c r="B237" s="6">
        <v>0.79166666666666663</v>
      </c>
      <c r="C237" s="6">
        <v>0.8041666666666667</v>
      </c>
      <c r="D237" s="6">
        <f>(0.804166666666667-0.791666666666667)</f>
        <v>1.2500000000000067E-2</v>
      </c>
      <c r="E237" s="6">
        <f>ABS(0.0125000000000001-0.0229166666666669)</f>
        <v>1.0416666666666801E-2</v>
      </c>
      <c r="F237" t="s">
        <v>3</v>
      </c>
      <c r="G237" s="3"/>
    </row>
    <row r="238" spans="1:7" x14ac:dyDescent="0.25">
      <c r="A238" s="11">
        <v>42186</v>
      </c>
      <c r="B238" s="6">
        <v>0.77083333333333337</v>
      </c>
      <c r="C238" s="6">
        <v>0.79375000000000007</v>
      </c>
      <c r="D238" s="6">
        <f>(0.79375-0.770833333333333)</f>
        <v>2.2916666666666918E-2</v>
      </c>
      <c r="E238" s="6">
        <f>ABS(0.0229166666666669-0.00416666666666599)</f>
        <v>1.8750000000000912E-2</v>
      </c>
      <c r="F238" t="s">
        <v>3</v>
      </c>
      <c r="G238" s="3"/>
    </row>
    <row r="239" spans="1:7" x14ac:dyDescent="0.25">
      <c r="A239" s="11">
        <v>42186</v>
      </c>
      <c r="B239" s="15">
        <v>0.70416666666666661</v>
      </c>
      <c r="C239" s="6">
        <v>0.70833333333333337</v>
      </c>
      <c r="D239" s="6">
        <f>(0.708333333333333-0.704166666666667)</f>
        <v>4.1666666666659857E-3</v>
      </c>
      <c r="E239" s="6">
        <f>ABS(0.00416666666666599-0.017361111111111)</f>
        <v>1.3194444444445012E-2</v>
      </c>
      <c r="F239" t="s">
        <v>3</v>
      </c>
      <c r="G239" s="3"/>
    </row>
    <row r="240" spans="1:7" x14ac:dyDescent="0.25">
      <c r="A240" s="11">
        <v>42186</v>
      </c>
      <c r="B240" s="6">
        <v>0.3972222222222222</v>
      </c>
      <c r="C240" s="6">
        <v>0.4145833333333333</v>
      </c>
      <c r="D240" s="6">
        <f>(0.414583333333333-0.397222222222222)</f>
        <v>1.7361111111111049E-2</v>
      </c>
      <c r="E240" s="6">
        <f>ABS(0.017361111111111-0.00902777777777797)</f>
        <v>8.3333333333330314E-3</v>
      </c>
      <c r="F240" t="s">
        <v>3</v>
      </c>
      <c r="G240" s="3"/>
    </row>
    <row r="241" spans="1:7" x14ac:dyDescent="0.25">
      <c r="A241" s="11">
        <v>42186</v>
      </c>
      <c r="B241" s="6">
        <v>0.56527777777777777</v>
      </c>
      <c r="C241" s="6">
        <v>0.57430555555555551</v>
      </c>
      <c r="D241" s="6">
        <f>(0.574305555555556-0.565277777777778)</f>
        <v>9.0277777777779677E-3</v>
      </c>
      <c r="E241" s="6">
        <f>ABS(0.00902777777777797-0.00416666666666599)</f>
        <v>4.8611111111119794E-3</v>
      </c>
      <c r="F241" t="s">
        <v>3</v>
      </c>
      <c r="G241" s="3"/>
    </row>
    <row r="242" spans="1:7" x14ac:dyDescent="0.25">
      <c r="A242" s="11">
        <v>42186</v>
      </c>
      <c r="B242" s="6">
        <v>0.64652777777777781</v>
      </c>
      <c r="C242" s="6">
        <v>0.65069444444444446</v>
      </c>
      <c r="D242" s="6">
        <f>(0.650694444444444-0.646527777777778)</f>
        <v>4.1666666666659857E-3</v>
      </c>
      <c r="E242" s="6">
        <f>ABS(0.00416666666666599-0.00624999999999998)</f>
        <v>2.0833333333339903E-3</v>
      </c>
      <c r="F242" t="s">
        <v>3</v>
      </c>
      <c r="G242" s="3"/>
    </row>
    <row r="243" spans="1:7" x14ac:dyDescent="0.25">
      <c r="A243" s="11">
        <v>42186</v>
      </c>
      <c r="B243" s="6">
        <v>0.64652777777777781</v>
      </c>
      <c r="C243" s="6">
        <v>0.65277777777777779</v>
      </c>
      <c r="D243" s="6">
        <f>(0.652777777777778-0.646527777777778)</f>
        <v>6.2499999999999778E-3</v>
      </c>
      <c r="E243" s="6">
        <f>ABS(0.00624999999999998-0.00625000000000009)</f>
        <v>1.0928757898653885E-16</v>
      </c>
      <c r="F243" t="s">
        <v>3</v>
      </c>
      <c r="G243" s="3"/>
    </row>
    <row r="244" spans="1:7" x14ac:dyDescent="0.25">
      <c r="A244" s="11">
        <v>42186</v>
      </c>
      <c r="B244" s="6">
        <v>0.73333333333333339</v>
      </c>
      <c r="C244" s="6">
        <v>0.73958333333333337</v>
      </c>
      <c r="D244" s="6">
        <f>(0.739583333333333-0.733333333333333)</f>
        <v>6.2500000000000888E-3</v>
      </c>
      <c r="E244" s="6">
        <f>ABS(0.00625000000000009-0.00347222222222199)</f>
        <v>2.7777777777780997E-3</v>
      </c>
      <c r="F244" t="s">
        <v>3</v>
      </c>
      <c r="G244" s="3"/>
    </row>
    <row r="245" spans="1:7" x14ac:dyDescent="0.25">
      <c r="A245" s="11">
        <v>42186</v>
      </c>
      <c r="B245" s="6">
        <v>0.77777777777777779</v>
      </c>
      <c r="C245" s="6">
        <v>0.78125</v>
      </c>
      <c r="D245" s="6">
        <f>(0.78125-0.777777777777778)</f>
        <v>3.4722222222219878E-3</v>
      </c>
      <c r="E245" s="6">
        <f>ABS(0.00347222222222199-0.00694444444444409)</f>
        <v>3.4722222222221002E-3</v>
      </c>
      <c r="F245" t="s">
        <v>3</v>
      </c>
      <c r="G245" s="3"/>
    </row>
    <row r="246" spans="1:7" x14ac:dyDescent="0.25">
      <c r="A246" s="11">
        <v>42186</v>
      </c>
      <c r="B246" s="6">
        <v>0.79166666666666663</v>
      </c>
      <c r="C246" s="6">
        <v>0.79861111111111116</v>
      </c>
      <c r="D246" s="6">
        <f>(0.798611111111111-0.791666666666667)</f>
        <v>6.9444444444440867E-3</v>
      </c>
      <c r="E246" s="6">
        <f>ABS(0.00694444444444409-0.00902777777777797)</f>
        <v>2.0833333333338793E-3</v>
      </c>
      <c r="F246" t="s">
        <v>3</v>
      </c>
      <c r="G246" s="3"/>
    </row>
    <row r="247" spans="1:7" x14ac:dyDescent="0.25">
      <c r="A247" s="11">
        <v>42186</v>
      </c>
      <c r="B247" s="6">
        <v>0.84722222222222221</v>
      </c>
      <c r="C247" s="6">
        <v>0.85625000000000007</v>
      </c>
      <c r="D247" s="6">
        <f>(0.85625-0.847222222222222)</f>
        <v>9.0277777777779677E-3</v>
      </c>
      <c r="E247" s="6">
        <f>ABS(0.00902777777777797-0.00486111111111098)</f>
        <v>4.1666666666669893E-3</v>
      </c>
      <c r="F247" t="s">
        <v>3</v>
      </c>
      <c r="G247" s="3"/>
    </row>
    <row r="248" spans="1:7" x14ac:dyDescent="0.25">
      <c r="A248" s="11">
        <v>42186</v>
      </c>
      <c r="B248" s="6">
        <v>0.79861111111111116</v>
      </c>
      <c r="C248" s="6">
        <v>0.80347222222222225</v>
      </c>
      <c r="D248" s="6">
        <f>(0.803472222222222-0.798611111111111)</f>
        <v>4.8611111111109828E-3</v>
      </c>
      <c r="E248" s="6">
        <f>ABS(0.00486111111111098-0.00416666666666698)</f>
        <v>6.9444444444400049E-4</v>
      </c>
      <c r="F248" t="s">
        <v>3</v>
      </c>
      <c r="G248" s="3"/>
    </row>
    <row r="249" spans="1:7" x14ac:dyDescent="0.25">
      <c r="A249" s="11">
        <v>42186</v>
      </c>
      <c r="B249" s="6">
        <v>0.8125</v>
      </c>
      <c r="C249" s="6">
        <v>0.81666666666666676</v>
      </c>
      <c r="D249" s="6">
        <f>(0.816666666666667-0.8125)</f>
        <v>4.1666666666669849E-3</v>
      </c>
      <c r="E249" s="6">
        <f>ABS(0.00416666666666698-0.00833333333333397)</f>
        <v>4.1666666666669901E-3</v>
      </c>
      <c r="F249" t="s">
        <v>3</v>
      </c>
      <c r="G249" s="3"/>
    </row>
    <row r="250" spans="1:7" x14ac:dyDescent="0.25">
      <c r="A250" s="11">
        <v>42186</v>
      </c>
      <c r="B250" s="6">
        <v>0.86458333333333337</v>
      </c>
      <c r="C250" s="6">
        <v>0.87291666666666667</v>
      </c>
      <c r="D250" s="6">
        <f>(0.872916666666667-0.864583333333333)</f>
        <v>8.3333333333339699E-3</v>
      </c>
      <c r="E250" s="6">
        <f>ABS(0.00833333333333397-0.00624999999999998)</f>
        <v>2.0833333333339895E-3</v>
      </c>
      <c r="F250" t="s">
        <v>3</v>
      </c>
      <c r="G250" s="3"/>
    </row>
    <row r="251" spans="1:7" x14ac:dyDescent="0.25">
      <c r="A251" s="11">
        <v>42186</v>
      </c>
      <c r="B251" s="6">
        <v>0.88402777777777775</v>
      </c>
      <c r="C251" s="6">
        <v>0.89027777777777783</v>
      </c>
      <c r="D251" s="6">
        <f>(0.890277777777778-0.884027777777778)</f>
        <v>6.2499999999999778E-3</v>
      </c>
      <c r="E251" s="6">
        <f>ABS(0.00624999999999998-0.0243055555555599)</f>
        <v>1.8055555555559918E-2</v>
      </c>
      <c r="F251" t="s">
        <v>3</v>
      </c>
      <c r="G251" s="3"/>
    </row>
    <row r="252" spans="1:7" x14ac:dyDescent="0.25">
      <c r="A252" s="11">
        <v>42186</v>
      </c>
      <c r="B252" s="6">
        <v>0.99375000000000002</v>
      </c>
      <c r="C252" s="6">
        <v>1.0180555555555555</v>
      </c>
      <c r="D252" s="6">
        <f>(1.01805555555556-0.99375)</f>
        <v>2.430555555555991E-2</v>
      </c>
      <c r="E252" s="6">
        <f>ABS(0.0243055555555599-0.023611111111111)</f>
        <v>6.9444444444890022E-4</v>
      </c>
      <c r="F252" t="s">
        <v>3</v>
      </c>
      <c r="G252" s="3"/>
    </row>
    <row r="253" spans="1:7" x14ac:dyDescent="0.25">
      <c r="A253" s="11">
        <v>42186</v>
      </c>
      <c r="B253" s="6">
        <v>0.34236111111111112</v>
      </c>
      <c r="C253" s="6">
        <v>0.3659722222222222</v>
      </c>
      <c r="D253" s="6">
        <f>(0.365972222222222-0.342361111111111)</f>
        <v>2.3611111111110972E-2</v>
      </c>
      <c r="E253" s="6">
        <f>ABS(0.023611111111111-0.011111111111111)</f>
        <v>1.2499999999999999E-2</v>
      </c>
      <c r="F253" t="s">
        <v>3</v>
      </c>
      <c r="G253" s="3"/>
    </row>
    <row r="254" spans="1:7" x14ac:dyDescent="0.25">
      <c r="A254" s="11">
        <v>42186</v>
      </c>
      <c r="B254" s="6">
        <v>0.74930555555555556</v>
      </c>
      <c r="C254" s="6">
        <v>0.76041666666666663</v>
      </c>
      <c r="D254" s="6">
        <f>(0.760416666666667-0.749305555555556)</f>
        <v>1.1111111111110961E-2</v>
      </c>
      <c r="E254" s="6">
        <f>ABS(0.011111111111111-0.010416666666667)</f>
        <v>6.9444444444400136E-4</v>
      </c>
      <c r="F254" t="s">
        <v>3</v>
      </c>
      <c r="G254" s="3"/>
    </row>
    <row r="255" spans="1:7" x14ac:dyDescent="0.25">
      <c r="A255" s="11">
        <v>42186</v>
      </c>
      <c r="B255" s="6">
        <v>0.78125</v>
      </c>
      <c r="C255" s="6">
        <v>0.79166666666666663</v>
      </c>
      <c r="D255" s="6">
        <f>(0.791666666666667-0.78125)</f>
        <v>1.0416666666666963E-2</v>
      </c>
      <c r="E255" s="6">
        <f>ABS(0.010416666666667-0.00833333333333308)</f>
        <v>2.0833333333339192E-3</v>
      </c>
      <c r="F255" t="s">
        <v>3</v>
      </c>
      <c r="G255" s="3"/>
    </row>
    <row r="256" spans="1:7" x14ac:dyDescent="0.25">
      <c r="A256" s="11">
        <v>42186</v>
      </c>
      <c r="B256" s="6">
        <v>0.82013888888888886</v>
      </c>
      <c r="C256" s="6">
        <v>0.82847222222222217</v>
      </c>
      <c r="D256" s="6">
        <f>(0.828472222222222-0.820138888888889)</f>
        <v>8.3333333333330817E-3</v>
      </c>
      <c r="E256" s="6">
        <f>ABS(0.00833333333333308-0.0166666666666661)</f>
        <v>8.333333333333021E-3</v>
      </c>
      <c r="F256" t="s">
        <v>3</v>
      </c>
      <c r="G256" s="3"/>
    </row>
    <row r="257" spans="1:7" x14ac:dyDescent="0.25">
      <c r="A257" s="11">
        <v>42186</v>
      </c>
      <c r="B257" s="6">
        <v>0.88402777777777775</v>
      </c>
      <c r="C257" s="6">
        <v>0.90069444444444446</v>
      </c>
      <c r="D257" s="6">
        <f>(0.900694444444444-0.884027777777778)</f>
        <v>1.6666666666666052E-2</v>
      </c>
      <c r="E257" s="6">
        <f>ABS(0.0166666666666661-0.00694444444444439)</f>
        <v>9.7222222222217106E-3</v>
      </c>
      <c r="F257" t="s">
        <v>3</v>
      </c>
      <c r="G257" s="3"/>
    </row>
    <row r="258" spans="1:7" x14ac:dyDescent="0.25">
      <c r="A258" s="11">
        <v>42186</v>
      </c>
      <c r="B258" s="6">
        <v>6.805555555555555E-2</v>
      </c>
      <c r="C258" s="6">
        <v>7.4999999999999997E-2</v>
      </c>
      <c r="D258" s="6">
        <f>(0.075-0.0680555555555556)</f>
        <v>6.944444444444392E-3</v>
      </c>
      <c r="E258" s="6">
        <f>ABS(0.00694444444444439-0.00347222222222199)</f>
        <v>3.4722222222224003E-3</v>
      </c>
      <c r="F258" t="s">
        <v>3</v>
      </c>
      <c r="G258" s="3"/>
    </row>
    <row r="259" spans="1:7" x14ac:dyDescent="0.25">
      <c r="A259" s="11">
        <v>42186</v>
      </c>
      <c r="B259" s="6">
        <v>0.52916666666666667</v>
      </c>
      <c r="C259" s="6">
        <v>0.53263888888888888</v>
      </c>
      <c r="D259" s="6">
        <f>(0.532638888888889-0.529166666666667)</f>
        <v>3.4722222222219878E-3</v>
      </c>
      <c r="E259" s="6">
        <f>ABS(0.00347222222222199-0.00416666666666698)</f>
        <v>6.9444444444498972E-4</v>
      </c>
      <c r="F259" t="s">
        <v>3</v>
      </c>
      <c r="G259" s="3"/>
    </row>
    <row r="260" spans="1:7" x14ac:dyDescent="0.25">
      <c r="A260" s="11">
        <v>42186</v>
      </c>
      <c r="B260" s="6">
        <v>0.90763888888888899</v>
      </c>
      <c r="C260" s="6">
        <v>0.91180555555555554</v>
      </c>
      <c r="D260" s="6">
        <f>(0.911805555555556-0.907638888888889)</f>
        <v>4.1666666666669849E-3</v>
      </c>
      <c r="E260" s="6">
        <f>ABS(0.00416666666666698-0.021527777777778)</f>
        <v>1.7361111111111022E-2</v>
      </c>
      <c r="F260" t="s">
        <v>3</v>
      </c>
      <c r="G260" s="3"/>
    </row>
    <row r="261" spans="1:7" x14ac:dyDescent="0.25">
      <c r="A261" s="11">
        <v>42186</v>
      </c>
      <c r="B261" s="6">
        <v>0.23958333333333334</v>
      </c>
      <c r="C261" s="6">
        <v>0.26111111111111113</v>
      </c>
      <c r="D261" s="6">
        <f>(0.261111111111111-0.239583333333333)</f>
        <v>2.1527777777778007E-2</v>
      </c>
      <c r="E261" s="6">
        <f>ABS(0.021527777777778-0.00972222222222202)</f>
        <v>1.180555555555598E-2</v>
      </c>
      <c r="F261" t="s">
        <v>3</v>
      </c>
      <c r="G261" s="3"/>
    </row>
    <row r="262" spans="1:7" x14ac:dyDescent="0.25">
      <c r="A262" s="11">
        <v>42186</v>
      </c>
      <c r="B262" s="6">
        <v>0.34861111111111115</v>
      </c>
      <c r="C262" s="6">
        <v>0.35833333333333334</v>
      </c>
      <c r="D262" s="6">
        <f>(0.358333333333333-0.348611111111111)</f>
        <v>9.7222222222220211E-3</v>
      </c>
      <c r="E262" s="6">
        <f>ABS(0.00972222222222202-0.00347222222222199)</f>
        <v>6.2500000000000298E-3</v>
      </c>
      <c r="F262" t="s">
        <v>3</v>
      </c>
      <c r="G262" s="3"/>
    </row>
    <row r="263" spans="1:7" x14ac:dyDescent="0.25">
      <c r="A263" s="11">
        <v>42186</v>
      </c>
      <c r="B263" s="6">
        <v>0.59652777777777777</v>
      </c>
      <c r="C263" s="6">
        <v>0.6</v>
      </c>
      <c r="D263" s="6">
        <f>(0.6-0.596527777777778)</f>
        <v>3.4722222222219878E-3</v>
      </c>
      <c r="E263" s="6">
        <f>ABS(0.00347222222222199-0.011805555555556)</f>
        <v>8.3333333333340098E-3</v>
      </c>
      <c r="F263" t="s">
        <v>3</v>
      </c>
      <c r="G263" s="3"/>
    </row>
    <row r="264" spans="1:7" x14ac:dyDescent="0.25">
      <c r="A264" s="11">
        <v>42186</v>
      </c>
      <c r="B264" s="6">
        <v>0.65347222222222223</v>
      </c>
      <c r="C264" s="6">
        <v>0.66527777777777775</v>
      </c>
      <c r="D264" s="6">
        <f>(0.665277777777778-0.653472222222222)</f>
        <v>1.1805555555555958E-2</v>
      </c>
      <c r="E264" s="6">
        <f>ABS(0.011805555555556-0.0125)</f>
        <v>6.9444444444400136E-4</v>
      </c>
      <c r="F264" t="s">
        <v>3</v>
      </c>
      <c r="G264" s="3"/>
    </row>
    <row r="265" spans="1:7" x14ac:dyDescent="0.25">
      <c r="A265" s="11">
        <v>42186</v>
      </c>
      <c r="B265" s="6">
        <v>0.72013888888888899</v>
      </c>
      <c r="C265" s="6">
        <v>0.73263888888888884</v>
      </c>
      <c r="D265" s="6">
        <f>(0.732638888888889-0.720138888888889)</f>
        <v>1.2499999999999956E-2</v>
      </c>
      <c r="E265" s="6">
        <f>ABS(0.0125-0.00763888888888908)</f>
        <v>4.8611111111109204E-3</v>
      </c>
      <c r="F265" t="s">
        <v>3</v>
      </c>
      <c r="G265" s="3"/>
    </row>
    <row r="266" spans="1:7" x14ac:dyDescent="0.25">
      <c r="A266" s="11">
        <v>42186</v>
      </c>
      <c r="B266" s="6">
        <v>0.76458333333333339</v>
      </c>
      <c r="C266" s="6">
        <v>0.77222222222222225</v>
      </c>
      <c r="D266" s="6">
        <f>(0.772222222222222-0.764583333333333)</f>
        <v>7.6388888888890838E-3</v>
      </c>
      <c r="E266" s="6">
        <f>ABS(0.00763888888888908-0.00555555555555598)</f>
        <v>2.0833333333331004E-3</v>
      </c>
      <c r="F266" t="s">
        <v>3</v>
      </c>
      <c r="G266" s="3"/>
    </row>
    <row r="267" spans="1:7" x14ac:dyDescent="0.25">
      <c r="A267" s="11">
        <v>42186</v>
      </c>
      <c r="B267" s="6">
        <v>0.89583333333333337</v>
      </c>
      <c r="C267" s="6">
        <v>0.90138888888888891</v>
      </c>
      <c r="D267" s="6">
        <f>(0.901388888888889-0.895833333333333)</f>
        <v>5.5555555555559799E-3</v>
      </c>
      <c r="E267" s="6">
        <f>ABS(0.00555555555555598-0.00416666666666599)</f>
        <v>1.3888888888899898E-3</v>
      </c>
      <c r="F267" t="s">
        <v>3</v>
      </c>
      <c r="G267" s="3"/>
    </row>
    <row r="268" spans="1:7" x14ac:dyDescent="0.25">
      <c r="A268" s="11">
        <v>42186</v>
      </c>
      <c r="B268" s="6">
        <v>0.88541666666666663</v>
      </c>
      <c r="C268" s="6">
        <v>0.88958333333333339</v>
      </c>
      <c r="D268" s="6">
        <f>(0.889583333333333-0.885416666666667)</f>
        <v>4.1666666666659857E-3</v>
      </c>
      <c r="E268" s="6">
        <f>ABS(0.00416666666666599-0.00624999999999998)</f>
        <v>2.0833333333339903E-3</v>
      </c>
      <c r="F268" t="s">
        <v>3</v>
      </c>
      <c r="G268" s="3"/>
    </row>
    <row r="269" spans="1:7" x14ac:dyDescent="0.25">
      <c r="A269" s="11">
        <v>42186</v>
      </c>
      <c r="B269" s="6">
        <v>0.96875</v>
      </c>
      <c r="C269" s="6">
        <v>0.97499999999999998</v>
      </c>
      <c r="D269" s="6">
        <f>(0.975-0.96875)</f>
        <v>6.2499999999999778E-3</v>
      </c>
      <c r="E269" s="6">
        <f>ABS(0.00624999999999998-0.018055555555555)</f>
        <v>1.1805555555555017E-2</v>
      </c>
      <c r="F269" t="s">
        <v>3</v>
      </c>
      <c r="G269" s="3"/>
    </row>
    <row r="270" spans="1:7" x14ac:dyDescent="0.25">
      <c r="A270" s="11">
        <v>42186</v>
      </c>
      <c r="B270" s="6">
        <v>0.27291666666666664</v>
      </c>
      <c r="C270" s="6">
        <v>0.29097222222222224</v>
      </c>
      <c r="D270" s="6">
        <f>(0.290972222222222-0.272916666666667)</f>
        <v>1.8055555555555047E-2</v>
      </c>
      <c r="E270" s="6">
        <f>ABS(0.018055555555555-0.0125)</f>
        <v>5.5555555555549981E-3</v>
      </c>
      <c r="F270" t="s">
        <v>3</v>
      </c>
      <c r="G270" s="3"/>
    </row>
    <row r="271" spans="1:7" x14ac:dyDescent="0.25">
      <c r="A271" s="11">
        <v>42186</v>
      </c>
      <c r="B271" s="6">
        <v>0.15625</v>
      </c>
      <c r="C271" s="6">
        <v>0.16874999999999998</v>
      </c>
      <c r="D271" s="6">
        <f>(0.16875-0.15625)</f>
        <v>1.2500000000000011E-2</v>
      </c>
      <c r="E271" s="6">
        <f>ABS(0.0125-0.014583333333334)</f>
        <v>2.083333333333999E-3</v>
      </c>
      <c r="F271" t="s">
        <v>3</v>
      </c>
      <c r="G271" s="3"/>
    </row>
    <row r="272" spans="1:7" x14ac:dyDescent="0.25">
      <c r="A272" s="11">
        <v>42186</v>
      </c>
      <c r="B272" s="6">
        <v>0.28194444444444444</v>
      </c>
      <c r="C272" s="6">
        <v>0.29652777777777778</v>
      </c>
      <c r="D272" s="6">
        <f>(0.296527777777778-0.281944444444444)</f>
        <v>1.4583333333334003E-2</v>
      </c>
      <c r="E272" s="6">
        <f>ABS(0.014583333333334-0.013194444444445)</f>
        <v>1.3888888888890002E-3</v>
      </c>
      <c r="F272" t="s">
        <v>3</v>
      </c>
      <c r="G272" s="3"/>
    </row>
    <row r="273" spans="1:7" x14ac:dyDescent="0.25">
      <c r="A273" s="11">
        <v>42186</v>
      </c>
      <c r="B273" s="6">
        <v>0.2673611111111111</v>
      </c>
      <c r="C273" s="6">
        <v>0.28055555555555556</v>
      </c>
      <c r="D273" s="6">
        <f>(0.280555555555556-0.267361111111111)</f>
        <v>1.3194444444445008E-2</v>
      </c>
      <c r="E273" s="6">
        <f>ABS(0.013194444444445-0.00347222222222199)</f>
        <v>9.7222222222230099E-3</v>
      </c>
      <c r="F273" t="s">
        <v>3</v>
      </c>
      <c r="G273" s="3"/>
    </row>
    <row r="274" spans="1:7" x14ac:dyDescent="0.25">
      <c r="A274" s="11">
        <v>42186</v>
      </c>
      <c r="B274" s="6">
        <v>0.4465277777777778</v>
      </c>
      <c r="C274" s="6">
        <v>0.45</v>
      </c>
      <c r="D274" s="6">
        <f>(0.45-0.446527777777778)</f>
        <v>3.4722222222219878E-3</v>
      </c>
      <c r="E274" s="6">
        <f>ABS(0.00347222222222199-0.00416666666666698)</f>
        <v>6.9444444444498972E-4</v>
      </c>
      <c r="F274" t="s">
        <v>3</v>
      </c>
      <c r="G274" s="3"/>
    </row>
    <row r="275" spans="1:7" x14ac:dyDescent="0.25">
      <c r="A275" s="11">
        <v>42186</v>
      </c>
      <c r="B275" s="6">
        <v>0.48194444444444445</v>
      </c>
      <c r="C275" s="6">
        <v>0.4861111111111111</v>
      </c>
      <c r="D275" s="6">
        <f>(0.486111111111111-0.481944444444444)</f>
        <v>4.1666666666669849E-3</v>
      </c>
      <c r="E275" s="6">
        <f>ABS(0.00416666666666698-0.00347222222222199)</f>
        <v>6.9444444444498972E-4</v>
      </c>
      <c r="F275" t="s">
        <v>3</v>
      </c>
      <c r="G275" s="3"/>
    </row>
    <row r="276" spans="1:7" x14ac:dyDescent="0.25">
      <c r="A276" s="11">
        <v>42186</v>
      </c>
      <c r="B276" s="6">
        <v>0.57916666666666672</v>
      </c>
      <c r="C276" s="6">
        <v>0.58263888888888882</v>
      </c>
      <c r="D276" s="6">
        <f>(0.582638888888889-0.579166666666667)</f>
        <v>3.4722222222219878E-3</v>
      </c>
      <c r="E276" s="6">
        <f>ABS(0.00347222222222199-0.00694444444444497)</f>
        <v>3.4722222222229797E-3</v>
      </c>
      <c r="F276" t="s">
        <v>3</v>
      </c>
      <c r="G276" s="3"/>
    </row>
    <row r="277" spans="1:7" x14ac:dyDescent="0.25">
      <c r="A277" s="11">
        <v>42186</v>
      </c>
      <c r="B277" s="6">
        <v>0.61319444444444449</v>
      </c>
      <c r="C277" s="6">
        <v>0.62013888888888891</v>
      </c>
      <c r="D277" s="6">
        <f>(0.620138888888889-0.613194444444444)</f>
        <v>6.9444444444449749E-3</v>
      </c>
      <c r="E277" s="6">
        <f>ABS(0.00694444444444497-0.025)</f>
        <v>1.8055555555555033E-2</v>
      </c>
      <c r="F277" t="s">
        <v>3</v>
      </c>
      <c r="G277" s="3"/>
    </row>
    <row r="278" spans="1:7" x14ac:dyDescent="0.25">
      <c r="A278" s="11">
        <v>42186</v>
      </c>
      <c r="B278" s="6">
        <v>0.68194444444444446</v>
      </c>
      <c r="C278" s="6">
        <v>0.70694444444444438</v>
      </c>
      <c r="D278" s="6">
        <f>(0.706944444444444-0.681944444444444)</f>
        <v>2.5000000000000022E-2</v>
      </c>
      <c r="E278" s="6">
        <f>ABS(0.025-0.0145833333333331)</f>
        <v>1.0416666666666902E-2</v>
      </c>
      <c r="F278" t="s">
        <v>3</v>
      </c>
      <c r="G278" s="3"/>
    </row>
    <row r="279" spans="1:7" x14ac:dyDescent="0.25">
      <c r="A279" s="11">
        <v>42186</v>
      </c>
      <c r="B279" s="6">
        <v>0.69930555555555562</v>
      </c>
      <c r="C279" s="6">
        <v>0.71388888888888891</v>
      </c>
      <c r="D279" s="6">
        <f>(0.713888888888889-0.699305555555556)</f>
        <v>1.4583333333333059E-2</v>
      </c>
      <c r="E279" s="6">
        <f>ABS(0.0145833333333331-0.00972222222222296)</f>
        <v>4.8611111111101397E-3</v>
      </c>
      <c r="F279" t="s">
        <v>3</v>
      </c>
      <c r="G279" s="3"/>
    </row>
    <row r="280" spans="1:7" x14ac:dyDescent="0.25">
      <c r="A280" s="11">
        <v>42186</v>
      </c>
      <c r="B280" s="6">
        <v>0.92569444444444438</v>
      </c>
      <c r="C280" s="6">
        <v>0.93541666666666667</v>
      </c>
      <c r="D280" s="6">
        <f>(0.935416666666667-0.925694444444444)</f>
        <v>9.7222222222229648E-3</v>
      </c>
      <c r="E280" s="6">
        <f>ABS(0.00972222222222296-0.0145833333333333)</f>
        <v>4.861111111110341E-3</v>
      </c>
      <c r="F280" t="s">
        <v>3</v>
      </c>
      <c r="G280" s="3"/>
    </row>
    <row r="281" spans="1:7" x14ac:dyDescent="0.25">
      <c r="A281" s="11">
        <v>42186</v>
      </c>
      <c r="B281" s="6">
        <v>5.1388888888888894E-2</v>
      </c>
      <c r="C281" s="6">
        <v>6.5972222222222224E-2</v>
      </c>
      <c r="D281" s="6">
        <f>(0.0659722222222222-0.0513888888888889)</f>
        <v>1.4583333333333295E-2</v>
      </c>
      <c r="E281" s="6">
        <f>ABS(0.0145833333333333-0.0159722222222222)</f>
        <v>1.3888888888888996E-3</v>
      </c>
      <c r="F281" t="s">
        <v>3</v>
      </c>
      <c r="G281" s="3"/>
    </row>
    <row r="282" spans="1:7" x14ac:dyDescent="0.25">
      <c r="A282" s="11">
        <v>42186</v>
      </c>
      <c r="B282" s="6">
        <v>7.2916666666666671E-2</v>
      </c>
      <c r="C282" s="6">
        <v>8.8888888888888892E-2</v>
      </c>
      <c r="D282" s="6">
        <f>(0.0888888888888889-0.0729166666666667)</f>
        <v>1.5972222222222207E-2</v>
      </c>
      <c r="E282" s="6">
        <f>ABS(0.0159722222222222-0.00486111111111201)</f>
        <v>1.111111111111019E-2</v>
      </c>
      <c r="F282" t="s">
        <v>3</v>
      </c>
      <c r="G282" s="3"/>
    </row>
    <row r="283" spans="1:7" x14ac:dyDescent="0.25">
      <c r="A283" s="11">
        <v>42186</v>
      </c>
      <c r="B283" s="6">
        <v>0.10694444444444444</v>
      </c>
      <c r="C283" s="6">
        <v>0.11180555555555556</v>
      </c>
      <c r="D283" s="6">
        <f>(0.111805555555556-0.106944444444444)</f>
        <v>4.8611111111120098E-3</v>
      </c>
      <c r="E283" s="6">
        <f>ABS(0.00486111111111201-0.011805555555555)</f>
        <v>6.9444444444429904E-3</v>
      </c>
      <c r="F283" t="s">
        <v>3</v>
      </c>
      <c r="G283" s="3"/>
    </row>
    <row r="284" spans="1:7" x14ac:dyDescent="0.25">
      <c r="A284" s="11">
        <v>42186</v>
      </c>
      <c r="B284" s="6">
        <v>0.13541666666666666</v>
      </c>
      <c r="C284" s="6">
        <v>0.14722222222222223</v>
      </c>
      <c r="D284" s="6">
        <f>(0.147222222222222-0.135416666666667)</f>
        <v>1.1805555555555014E-2</v>
      </c>
      <c r="E284" s="6">
        <f>ABS(0.011805555555555-0.010416666666667)</f>
        <v>1.388888888888001E-3</v>
      </c>
      <c r="F284" t="s">
        <v>3</v>
      </c>
      <c r="G284" s="3"/>
    </row>
    <row r="285" spans="1:7" x14ac:dyDescent="0.25">
      <c r="A285" s="11">
        <v>42186</v>
      </c>
      <c r="B285" s="6">
        <v>0.20625000000000002</v>
      </c>
      <c r="C285" s="6">
        <v>0.21666666666666667</v>
      </c>
      <c r="D285" s="6">
        <f>(0.216666666666667-0.20625)</f>
        <v>1.0416666666667018E-2</v>
      </c>
      <c r="E285" s="6">
        <f>ABS(0.010416666666667-0.00555555555555509)</f>
        <v>4.8611111111119092E-3</v>
      </c>
      <c r="F285" t="s">
        <v>3</v>
      </c>
      <c r="G285" s="3"/>
    </row>
    <row r="286" spans="1:7" x14ac:dyDescent="0.25">
      <c r="A286" s="11">
        <v>42186</v>
      </c>
      <c r="B286" s="6">
        <v>0.51041666666666663</v>
      </c>
      <c r="C286" s="6">
        <v>0.51597222222222217</v>
      </c>
      <c r="D286" s="6">
        <f>(0.515972222222222-0.510416666666667)</f>
        <v>5.5555555555550917E-3</v>
      </c>
      <c r="E286" s="6">
        <f>ABS(0.00555555555555509-0.00902777777777797)</f>
        <v>3.4722222222228795E-3</v>
      </c>
      <c r="F286" t="s">
        <v>3</v>
      </c>
      <c r="G286" s="17"/>
    </row>
    <row r="287" spans="1:7" x14ac:dyDescent="0.25">
      <c r="A287" s="11">
        <v>42186</v>
      </c>
      <c r="B287" s="6">
        <v>0.4770833333333333</v>
      </c>
      <c r="C287" s="6">
        <v>0.4861111111111111</v>
      </c>
      <c r="D287" s="6">
        <f>(0.486111111111111-0.477083333333333)</f>
        <v>9.0277777777779677E-3</v>
      </c>
      <c r="E287" s="6">
        <f>ABS(0.00902777777777797-0.00486111111111198)</f>
        <v>4.1666666666659892E-3</v>
      </c>
      <c r="F287" t="s">
        <v>3</v>
      </c>
      <c r="G287" s="17"/>
    </row>
    <row r="288" spans="1:7" x14ac:dyDescent="0.25">
      <c r="A288" s="11">
        <v>42186</v>
      </c>
      <c r="B288" s="6">
        <v>0.56944444444444442</v>
      </c>
      <c r="C288" s="6">
        <v>0.57430555555555551</v>
      </c>
      <c r="D288" s="6">
        <f>(0.574305555555556-0.569444444444444)</f>
        <v>4.861111111111982E-3</v>
      </c>
      <c r="E288" s="6">
        <f>ABS(0.00486111111111198-0.00624999999999998)</f>
        <v>1.3888888888880001E-3</v>
      </c>
      <c r="F288" t="s">
        <v>3</v>
      </c>
      <c r="G288" s="17"/>
    </row>
    <row r="289" spans="1:7" x14ac:dyDescent="0.25">
      <c r="A289" s="11">
        <v>42186</v>
      </c>
      <c r="B289" s="6">
        <v>0.76736111111111116</v>
      </c>
      <c r="C289" s="6">
        <v>0.77361111111111114</v>
      </c>
      <c r="D289" s="6">
        <f>(0.773611111111111-0.767361111111111)</f>
        <v>6.2499999999999778E-3</v>
      </c>
      <c r="E289" s="6">
        <f>ABS(0.00624999999999998-0.0166666666666669)</f>
        <v>1.0416666666666918E-2</v>
      </c>
      <c r="F289" t="s">
        <v>3</v>
      </c>
      <c r="G289" s="17"/>
    </row>
    <row r="290" spans="1:7" x14ac:dyDescent="0.25">
      <c r="A290" s="11">
        <v>42186</v>
      </c>
      <c r="B290" s="6">
        <v>0.80138888888888893</v>
      </c>
      <c r="C290" s="6">
        <v>0.81805555555555554</v>
      </c>
      <c r="D290" s="6">
        <f>(0.818055555555556-0.801388888888889)</f>
        <v>1.6666666666666941E-2</v>
      </c>
      <c r="E290" s="6">
        <f>ABS(0.0166666666666669-0.011805555555555)</f>
        <v>4.8611111111118988E-3</v>
      </c>
      <c r="F290" t="s">
        <v>3</v>
      </c>
      <c r="G290" s="17"/>
    </row>
    <row r="291" spans="1:7" x14ac:dyDescent="0.25">
      <c r="A291" s="11">
        <v>42186</v>
      </c>
      <c r="B291" s="6">
        <v>0.8354166666666667</v>
      </c>
      <c r="C291" s="6">
        <v>0.84722222222222221</v>
      </c>
      <c r="D291" s="6">
        <f>(0.847222222222222-0.835416666666667)</f>
        <v>1.1805555555554959E-2</v>
      </c>
      <c r="E291" s="6">
        <f>ABS(0.011805555555555-0.00555555555554998)</f>
        <v>6.2500000000050198E-3</v>
      </c>
      <c r="F291" t="s">
        <v>3</v>
      </c>
      <c r="G291" s="17"/>
    </row>
    <row r="292" spans="1:7" x14ac:dyDescent="0.25">
      <c r="A292" s="11">
        <v>42186</v>
      </c>
      <c r="B292" s="6">
        <v>1.0305555555555557</v>
      </c>
      <c r="C292" s="6">
        <v>1.0361111111111112</v>
      </c>
      <c r="D292" s="6">
        <f>(1.03611111111111-1.03055555555556)</f>
        <v>5.5555555555499847E-3</v>
      </c>
      <c r="E292" s="6">
        <f>ABS(0.00555555555554998-0.0034722222222201)</f>
        <v>2.0833333333298803E-3</v>
      </c>
      <c r="F292" t="s">
        <v>3</v>
      </c>
      <c r="G292" s="17"/>
    </row>
    <row r="293" spans="1:7" x14ac:dyDescent="0.25">
      <c r="A293" s="11">
        <v>42186</v>
      </c>
      <c r="B293" s="15">
        <v>1.0326388888888889</v>
      </c>
      <c r="C293" s="6">
        <v>1.0361111111111112</v>
      </c>
      <c r="D293" s="6">
        <f>(1.03611111111111-1.03263888888889)</f>
        <v>3.4722222222201005E-3</v>
      </c>
      <c r="E293" s="6">
        <f>ABS(0.0034722222222201-0.0194444444444445)</f>
        <v>1.59722222222244E-2</v>
      </c>
      <c r="F293" t="s">
        <v>3</v>
      </c>
      <c r="G293" s="17"/>
    </row>
    <row r="294" spans="1:7" x14ac:dyDescent="0.25">
      <c r="A294" s="11">
        <v>42186</v>
      </c>
      <c r="B294" s="6">
        <v>6.5972222222222224E-2</v>
      </c>
      <c r="C294" s="6">
        <v>8.5416666666666655E-2</v>
      </c>
      <c r="D294" s="6">
        <f>(0.0854166666666667-0.0659722222222222)</f>
        <v>1.94444444444445E-2</v>
      </c>
      <c r="E294" s="6">
        <f>ABS(0.0194444444444445-0.00277777777777781)</f>
        <v>1.6666666666666691E-2</v>
      </c>
      <c r="F294" t="s">
        <v>3</v>
      </c>
      <c r="G294" s="17"/>
    </row>
    <row r="295" spans="1:7" x14ac:dyDescent="0.25">
      <c r="A295" s="11">
        <v>42186</v>
      </c>
      <c r="B295" s="6">
        <v>6.5972222222222224E-2</v>
      </c>
      <c r="C295" s="6">
        <v>6.8749999999999992E-2</v>
      </c>
      <c r="D295" s="6">
        <f>(0.06875-0.0659722222222222)</f>
        <v>2.7777777777778095E-3</v>
      </c>
      <c r="E295" s="6">
        <f>ABS(0.00277777777777781-0.014583333333333)</f>
        <v>1.1805555555555191E-2</v>
      </c>
      <c r="F295" t="s">
        <v>3</v>
      </c>
      <c r="G295" s="17"/>
    </row>
    <row r="296" spans="1:7" x14ac:dyDescent="0.25">
      <c r="A296" s="11">
        <v>42186</v>
      </c>
      <c r="B296" s="15">
        <v>0.31875000000000003</v>
      </c>
      <c r="C296" s="6">
        <v>0.33333333333333331</v>
      </c>
      <c r="D296" s="6">
        <f>(0.333333333333333-0.31875)</f>
        <v>1.4583333333333004E-2</v>
      </c>
      <c r="E296" s="6">
        <f>ABS(0.014583333333333-0.018055555555555)</f>
        <v>3.4722222222219983E-3</v>
      </c>
      <c r="F296" t="s">
        <v>3</v>
      </c>
      <c r="G296" s="17"/>
    </row>
    <row r="297" spans="1:7" x14ac:dyDescent="0.25">
      <c r="A297" s="11">
        <v>42186</v>
      </c>
      <c r="B297" s="15">
        <v>0.37013888888888885</v>
      </c>
      <c r="C297" s="6">
        <v>0.38819444444444445</v>
      </c>
      <c r="D297" s="6">
        <f>(0.388194444444444-0.370138888888889)</f>
        <v>1.8055555555554992E-2</v>
      </c>
      <c r="E297" s="6">
        <f>ABS(0.018055555555555-0.0125)</f>
        <v>5.5555555555549981E-3</v>
      </c>
      <c r="F297" t="s">
        <v>3</v>
      </c>
      <c r="G297" s="17"/>
    </row>
    <row r="298" spans="1:7" x14ac:dyDescent="0.25">
      <c r="A298" s="11">
        <v>42186</v>
      </c>
      <c r="B298" s="15">
        <v>0.39999999999999997</v>
      </c>
      <c r="C298" s="6">
        <v>0.41250000000000003</v>
      </c>
      <c r="D298" s="6">
        <f>(0.4125-0.4)</f>
        <v>1.2499999999999956E-2</v>
      </c>
      <c r="E298" s="6">
        <f>ABS(0.0125-0.00624999999999998)</f>
        <v>6.2500000000000203E-3</v>
      </c>
      <c r="F298" t="s">
        <v>3</v>
      </c>
      <c r="G298" s="17"/>
    </row>
    <row r="299" spans="1:7" x14ac:dyDescent="0.25">
      <c r="A299" s="11">
        <v>42186</v>
      </c>
      <c r="B299" s="15">
        <v>0.43888888888888888</v>
      </c>
      <c r="C299" s="6">
        <v>0.44513888888888892</v>
      </c>
      <c r="D299" s="6">
        <f>(0.445138888888889-0.438888888888889)</f>
        <v>6.2499999999999778E-3</v>
      </c>
      <c r="E299" s="6">
        <f>ABS(0.00624999999999998-0.00624999999999998)</f>
        <v>0</v>
      </c>
      <c r="F299" t="s">
        <v>3</v>
      </c>
      <c r="G299" s="17"/>
    </row>
    <row r="300" spans="1:7" x14ac:dyDescent="0.25">
      <c r="A300" s="11">
        <v>42186</v>
      </c>
      <c r="B300" s="15">
        <v>0.52847222222222223</v>
      </c>
      <c r="C300" s="6">
        <v>0.53472222222222221</v>
      </c>
      <c r="D300" s="6">
        <f>(0.534722222222222-0.528472222222222)</f>
        <v>6.2499999999999778E-3</v>
      </c>
      <c r="E300" s="6">
        <f>ABS(0.00624999999999998-0.00277777777777799)</f>
        <v>3.4722222222219904E-3</v>
      </c>
      <c r="F300" t="s">
        <v>3</v>
      </c>
      <c r="G300" s="17"/>
    </row>
    <row r="301" spans="1:7" x14ac:dyDescent="0.25">
      <c r="A301" s="11">
        <v>42186</v>
      </c>
      <c r="B301" s="15">
        <v>0.72499999999999998</v>
      </c>
      <c r="C301" s="6">
        <v>0.72777777777777775</v>
      </c>
      <c r="D301" s="6">
        <f>(0.727777777777778-0.725)</f>
        <v>2.77777777777799E-3</v>
      </c>
      <c r="E301" s="6">
        <f>ABS(0.00277777777777799-0.00416666666666599)</f>
        <v>1.3888888888880001E-3</v>
      </c>
      <c r="F301" t="s">
        <v>3</v>
      </c>
      <c r="G301" s="17"/>
    </row>
    <row r="302" spans="1:7" x14ac:dyDescent="0.25">
      <c r="A302" s="11">
        <v>42186</v>
      </c>
      <c r="B302" s="15">
        <v>0.84305555555555556</v>
      </c>
      <c r="C302" s="6">
        <v>0.84722222222222221</v>
      </c>
      <c r="D302" s="6">
        <f>(0.847222222222222-0.843055555555556)</f>
        <v>4.1666666666659857E-3</v>
      </c>
      <c r="E302" s="6">
        <f>ABS(0.00416666666666599-0.0152777777777729)</f>
        <v>1.1111111111106908E-2</v>
      </c>
      <c r="F302" t="s">
        <v>3</v>
      </c>
      <c r="G302" s="17"/>
    </row>
    <row r="303" spans="1:7" x14ac:dyDescent="0.25">
      <c r="A303" s="11">
        <v>42186</v>
      </c>
      <c r="B303" s="15">
        <v>0.9916666666666667</v>
      </c>
      <c r="C303" s="6">
        <v>1.0069444444444444</v>
      </c>
      <c r="D303" s="6">
        <f>(1.00694444444444-0.991666666666667)</f>
        <v>1.527777777777295E-2</v>
      </c>
      <c r="E303" s="6">
        <f>ABS(0.0152777777777729-0.00208333333332988)</f>
        <v>1.319444444444302E-2</v>
      </c>
      <c r="F303" t="s">
        <v>3</v>
      </c>
      <c r="G303" s="17"/>
    </row>
    <row r="304" spans="1:7" x14ac:dyDescent="0.25">
      <c r="A304" s="11">
        <v>42186</v>
      </c>
      <c r="B304" s="6">
        <v>1.0062499999999999</v>
      </c>
      <c r="C304" s="6">
        <v>1.0083333333333333</v>
      </c>
      <c r="D304" s="6">
        <f>(1.00833333333333-1.00625)</f>
        <v>2.0833333333298842E-3</v>
      </c>
      <c r="E304" s="6">
        <f>ABS(0.00208333333332988-0.00625000000000003)</f>
        <v>4.1666666666701499E-3</v>
      </c>
      <c r="F304" t="s">
        <v>3</v>
      </c>
      <c r="G304" s="17"/>
    </row>
    <row r="305" spans="1:7" x14ac:dyDescent="0.25">
      <c r="A305" s="11">
        <v>42186</v>
      </c>
      <c r="B305" s="10">
        <v>0.27291666666666664</v>
      </c>
      <c r="C305" s="6">
        <v>0.27916666666666667</v>
      </c>
      <c r="D305" s="6">
        <f>(0.279166666666667-0.272916666666667)</f>
        <v>6.2500000000000333E-3</v>
      </c>
      <c r="E305" s="6">
        <f>ABS(0.00625000000000003-0.010416666666666)</f>
        <v>4.1666666666659701E-3</v>
      </c>
      <c r="F305" t="s">
        <v>3</v>
      </c>
      <c r="G305" s="17"/>
    </row>
    <row r="306" spans="1:7" x14ac:dyDescent="0.25">
      <c r="A306" s="11">
        <v>42186</v>
      </c>
      <c r="B306" s="15">
        <v>0.16805555555555554</v>
      </c>
      <c r="C306" s="6">
        <v>0.17847222222222223</v>
      </c>
      <c r="D306" s="6">
        <f>(0.178472222222222-0.168055555555556)</f>
        <v>1.0416666666665991E-2</v>
      </c>
      <c r="E306" s="6">
        <f>ABS(0.010416666666666-0.016666666666667)</f>
        <v>6.2500000000009995E-3</v>
      </c>
      <c r="F306" t="s">
        <v>3</v>
      </c>
      <c r="G306" s="17"/>
    </row>
    <row r="307" spans="1:7" x14ac:dyDescent="0.25">
      <c r="A307" s="11">
        <v>42186</v>
      </c>
      <c r="B307" s="15">
        <v>0.27638888888888885</v>
      </c>
      <c r="C307" s="6">
        <v>0.29305555555555557</v>
      </c>
      <c r="D307" s="6">
        <f>(0.293055555555556-0.276388888888889)</f>
        <v>1.6666666666666996E-2</v>
      </c>
      <c r="E307" s="6">
        <f>ABS(0.016666666666667-0.03125)</f>
        <v>1.4583333333333E-2</v>
      </c>
      <c r="F307" t="s">
        <v>3</v>
      </c>
      <c r="G307" s="17"/>
    </row>
    <row r="308" spans="1:7" x14ac:dyDescent="0.25">
      <c r="A308" s="11">
        <v>42186</v>
      </c>
      <c r="B308" s="15">
        <v>0.4604166666666667</v>
      </c>
      <c r="C308" s="6">
        <v>0.4916666666666667</v>
      </c>
      <c r="D308" s="6">
        <f>(0.491666666666667-0.460416666666667)</f>
        <v>3.125E-2</v>
      </c>
      <c r="E308" s="6">
        <f>ABS(0.03125-0.00416666666666698)</f>
        <v>2.7083333333333022E-2</v>
      </c>
      <c r="F308" t="s">
        <v>3</v>
      </c>
      <c r="G308" s="17"/>
    </row>
    <row r="309" spans="1:7" x14ac:dyDescent="0.25">
      <c r="A309" s="11">
        <v>42186</v>
      </c>
      <c r="B309" s="15">
        <v>0.52222222222222225</v>
      </c>
      <c r="C309" s="6">
        <v>0.52638888888888891</v>
      </c>
      <c r="D309" s="6">
        <f>(0.526388888888889-0.522222222222222)</f>
        <v>4.1666666666669849E-3</v>
      </c>
      <c r="E309" s="6">
        <f>ABS(0.00416666666666698-0.00277777777777799)</f>
        <v>1.3888888888889898E-3</v>
      </c>
      <c r="F309" t="s">
        <v>3</v>
      </c>
      <c r="G309" s="17"/>
    </row>
    <row r="310" spans="1:7" x14ac:dyDescent="0.25">
      <c r="A310" s="11">
        <v>42186</v>
      </c>
      <c r="B310" s="6">
        <v>0.55486111111111114</v>
      </c>
      <c r="C310" s="6">
        <v>0.55763888888888891</v>
      </c>
      <c r="D310" s="6">
        <f>(0.557638888888889-0.554861111111111)</f>
        <v>2.77777777777799E-3</v>
      </c>
      <c r="E310" s="6">
        <f>ABS(0.00277777777777799-0.0173611111111109)</f>
        <v>1.458333333333291E-2</v>
      </c>
      <c r="F310" t="s">
        <v>3</v>
      </c>
      <c r="G310" s="17"/>
    </row>
    <row r="311" spans="1:7" x14ac:dyDescent="0.25">
      <c r="A311" s="11">
        <v>42186</v>
      </c>
      <c r="B311" s="10">
        <v>0.58124999999999993</v>
      </c>
      <c r="C311" s="6">
        <v>0.59861111111111109</v>
      </c>
      <c r="D311" s="6">
        <f>(0.598611111111111-0.58125)</f>
        <v>1.7361111111110938E-2</v>
      </c>
      <c r="E311" s="6">
        <f>ABS(0.0173611111111109-0.013888888888889)</f>
        <v>3.4722222222219011E-3</v>
      </c>
      <c r="F311" t="s">
        <v>3</v>
      </c>
      <c r="G311" s="17"/>
    </row>
    <row r="312" spans="1:7" x14ac:dyDescent="0.25">
      <c r="A312" s="11">
        <v>42186</v>
      </c>
      <c r="B312" s="15">
        <v>0.80694444444444446</v>
      </c>
      <c r="C312" s="6">
        <v>0.8208333333333333</v>
      </c>
      <c r="D312" s="6">
        <f>(0.820833333333333-0.806944444444444)</f>
        <v>1.3888888888888951E-2</v>
      </c>
      <c r="E312" s="6">
        <f>ABS(0.013888888888889-0.00694444444444503)</f>
        <v>6.9444444444439687E-3</v>
      </c>
      <c r="F312" t="s">
        <v>3</v>
      </c>
      <c r="G312" s="17"/>
    </row>
    <row r="313" spans="1:7" x14ac:dyDescent="0.25">
      <c r="A313" s="11">
        <v>42186</v>
      </c>
      <c r="B313" s="6">
        <v>0.4861111111111111</v>
      </c>
      <c r="C313" s="6">
        <v>0.49305555555555558</v>
      </c>
      <c r="D313" s="6">
        <f>(0.493055555555556-0.486111111111111)</f>
        <v>6.9444444444450304E-3</v>
      </c>
      <c r="E313" s="6">
        <f>ABS(0.00694444444444503-0.00486111111111104)</f>
        <v>2.0833333333339903E-3</v>
      </c>
      <c r="F313" t="s">
        <v>3</v>
      </c>
      <c r="G313" s="17"/>
    </row>
    <row r="314" spans="1:7" x14ac:dyDescent="0.25">
      <c r="A314" s="11">
        <v>42186</v>
      </c>
      <c r="B314" s="15">
        <v>0.4604166666666667</v>
      </c>
      <c r="C314" s="6">
        <v>0.46527777777777773</v>
      </c>
      <c r="D314" s="6">
        <f>(0.465277777777778-0.460416666666667)</f>
        <v>4.8611111111110383E-3</v>
      </c>
      <c r="E314" s="6">
        <f>ABS(0.00486111111111104-0.00486111111111104)</f>
        <v>0</v>
      </c>
      <c r="F314" t="s">
        <v>3</v>
      </c>
      <c r="G314" s="17"/>
    </row>
    <row r="315" spans="1:7" x14ac:dyDescent="0.25">
      <c r="A315" s="11">
        <v>42186</v>
      </c>
      <c r="B315" s="15">
        <v>0.47222222222222227</v>
      </c>
      <c r="C315" s="6">
        <v>0.4770833333333333</v>
      </c>
      <c r="D315" s="6">
        <f>(0.477083333333333-0.472222222222222)</f>
        <v>4.8611111111110383E-3</v>
      </c>
      <c r="E315" s="6"/>
      <c r="F315" t="s">
        <v>3</v>
      </c>
      <c r="G315" s="17"/>
    </row>
    <row r="316" spans="1:7" x14ac:dyDescent="0.25">
      <c r="A316" s="11">
        <v>42186</v>
      </c>
      <c r="B316" s="15">
        <v>0.50763888888888886</v>
      </c>
      <c r="C316" s="15">
        <v>0.53333333333333333</v>
      </c>
      <c r="D316" s="15">
        <f>(0.533333333333333-0.507638888888889)</f>
        <v>2.569444444444402E-2</v>
      </c>
      <c r="E316" s="15">
        <f>ABS(0.025694444444444-0.0145833333333331)</f>
        <v>1.11111111111109E-2</v>
      </c>
      <c r="F316" t="s">
        <v>10</v>
      </c>
      <c r="G316" s="17"/>
    </row>
    <row r="317" spans="1:7" x14ac:dyDescent="0.25">
      <c r="A317" s="11">
        <v>42186</v>
      </c>
      <c r="B317" s="15">
        <v>0.84652777777777777</v>
      </c>
      <c r="C317" s="15">
        <v>0.86111111111111116</v>
      </c>
      <c r="D317" s="15">
        <f>(0.861111111111111-0.846527777777778)</f>
        <v>1.4583333333333059E-2</v>
      </c>
      <c r="E317" s="15">
        <f>ABS(0.0145833333333331-0.014583333333334)</f>
        <v>9.0032148403196288E-16</v>
      </c>
      <c r="F317" t="s">
        <v>10</v>
      </c>
      <c r="G317" s="17"/>
    </row>
    <row r="318" spans="1:7" x14ac:dyDescent="0.25">
      <c r="A318" s="11">
        <v>42186</v>
      </c>
      <c r="B318" s="15">
        <v>0.11319444444444444</v>
      </c>
      <c r="C318" s="15">
        <v>0.1277777777777778</v>
      </c>
      <c r="D318" s="15">
        <f>(0.127777777777778-0.113194444444444)</f>
        <v>1.4583333333333989E-2</v>
      </c>
      <c r="E318" s="15">
        <f>ABS(0.014583333333334-0.0166666666666661)</f>
        <v>2.0833333333321012E-3</v>
      </c>
      <c r="F318" t="s">
        <v>10</v>
      </c>
      <c r="G318" s="17"/>
    </row>
    <row r="319" spans="1:7" x14ac:dyDescent="0.25">
      <c r="A319" s="11">
        <v>42186</v>
      </c>
      <c r="B319" s="15">
        <v>0.3666666666666667</v>
      </c>
      <c r="C319" s="15">
        <v>0.3833333333333333</v>
      </c>
      <c r="D319" s="15">
        <f>(0.383333333333333-0.366666666666667)</f>
        <v>1.6666666666666052E-2</v>
      </c>
      <c r="E319" s="15">
        <f>ABS(0.0166666666666661-0.0173611111111109)</f>
        <v>6.9444444444479933E-4</v>
      </c>
      <c r="F319" t="s">
        <v>10</v>
      </c>
      <c r="G319" s="17"/>
    </row>
    <row r="320" spans="1:7" x14ac:dyDescent="0.25">
      <c r="A320" s="11">
        <v>42186</v>
      </c>
      <c r="B320" s="15">
        <v>0.55277777777777781</v>
      </c>
      <c r="C320" s="15">
        <v>0.57013888888888886</v>
      </c>
      <c r="D320" s="15">
        <f>(0.570138888888889-0.552777777777778)</f>
        <v>1.7361111111110938E-2</v>
      </c>
      <c r="E320" s="15">
        <f>ABS(0.0173611111111109-0.0201388888888889)</f>
        <v>2.7777777777780004E-3</v>
      </c>
      <c r="F320" t="s">
        <v>10</v>
      </c>
      <c r="G320" s="17"/>
    </row>
    <row r="321" spans="1:7" x14ac:dyDescent="0.25">
      <c r="A321" s="11">
        <v>42186</v>
      </c>
      <c r="B321" s="15">
        <v>0.58333333333333337</v>
      </c>
      <c r="C321" s="15">
        <v>0.60347222222222219</v>
      </c>
      <c r="D321" s="15">
        <f>(0.603472222222222-0.583333333333333)</f>
        <v>2.0138888888888928E-2</v>
      </c>
      <c r="E321" s="15">
        <f>ABS(0.0201388888888889-0.034027777777778)</f>
        <v>1.3888888888889096E-2</v>
      </c>
      <c r="F321" t="s">
        <v>10</v>
      </c>
      <c r="G321" s="17"/>
    </row>
    <row r="322" spans="1:7" x14ac:dyDescent="0.25">
      <c r="A322" s="11">
        <v>42186</v>
      </c>
      <c r="B322" s="15">
        <v>0.61458333333333337</v>
      </c>
      <c r="C322" s="15">
        <v>0.64861111111111114</v>
      </c>
      <c r="D322" s="15">
        <f>(0.648611111111111-0.614583333333333)</f>
        <v>3.402777777777799E-2</v>
      </c>
      <c r="E322" s="15">
        <f>ABS(0.034027777777778-0.013194444444445)</f>
        <v>2.0833333333332996E-2</v>
      </c>
      <c r="F322" t="s">
        <v>10</v>
      </c>
      <c r="G322" s="17"/>
    </row>
    <row r="323" spans="1:7" x14ac:dyDescent="0.25">
      <c r="A323" s="11">
        <v>42186</v>
      </c>
      <c r="B323" s="15">
        <v>0.77986111111111101</v>
      </c>
      <c r="C323" s="15">
        <v>0.79305555555555562</v>
      </c>
      <c r="D323" s="15">
        <f>(0.793055555555556-0.779861111111111)</f>
        <v>1.3194444444444953E-2</v>
      </c>
      <c r="E323" s="15">
        <f>ABS(0.013194444444445-0.0166666666666669)</f>
        <v>3.4722222222218994E-3</v>
      </c>
      <c r="F323" t="s">
        <v>10</v>
      </c>
      <c r="G323" s="17"/>
    </row>
    <row r="324" spans="1:7" x14ac:dyDescent="0.25">
      <c r="A324" s="11">
        <v>42186</v>
      </c>
      <c r="B324" s="15">
        <v>0.52083333333333337</v>
      </c>
      <c r="C324" s="15">
        <v>0.53749999999999998</v>
      </c>
      <c r="D324" s="15">
        <f>(0.5375-0.520833333333333)</f>
        <v>1.6666666666666941E-2</v>
      </c>
      <c r="E324" s="15">
        <f>ABS(0.0166666666666669-0.023611111111111)</f>
        <v>6.9444444444441006E-3</v>
      </c>
      <c r="F324" t="s">
        <v>10</v>
      </c>
      <c r="G324" s="17"/>
    </row>
    <row r="325" spans="1:7" x14ac:dyDescent="0.25">
      <c r="A325" s="11">
        <v>42186</v>
      </c>
      <c r="B325" s="15">
        <v>0.29236111111111113</v>
      </c>
      <c r="C325" s="15">
        <v>0.31597222222222221</v>
      </c>
      <c r="D325" s="15">
        <f>(0.315972222222222-0.292361111111111)</f>
        <v>2.3611111111110972E-2</v>
      </c>
      <c r="E325" s="15">
        <f>ABS(0.023611111111111-0.018055555555556)</f>
        <v>5.5555555555549981E-3</v>
      </c>
      <c r="F325" t="s">
        <v>10</v>
      </c>
      <c r="G325" s="17"/>
    </row>
    <row r="326" spans="1:7" x14ac:dyDescent="0.25">
      <c r="A326" s="11">
        <v>42186</v>
      </c>
      <c r="B326" s="15">
        <v>0.44236111111111115</v>
      </c>
      <c r="C326" s="15">
        <v>0.4604166666666667</v>
      </c>
      <c r="D326" s="15">
        <f>(0.460416666666667-0.442361111111111)</f>
        <v>1.8055555555555991E-2</v>
      </c>
      <c r="E326" s="15">
        <f>ABS(0.018055555555556-0.018055555555556)</f>
        <v>0</v>
      </c>
      <c r="F326" t="s">
        <v>10</v>
      </c>
      <c r="G326" s="17"/>
    </row>
    <row r="327" spans="1:7" x14ac:dyDescent="0.25">
      <c r="A327" s="11">
        <v>42186</v>
      </c>
      <c r="B327" s="15">
        <v>0.44236111111111115</v>
      </c>
      <c r="C327" s="15">
        <v>0.4604166666666667</v>
      </c>
      <c r="D327" s="15">
        <f>(0.460416666666667-0.442361111111111)</f>
        <v>1.8055555555555991E-2</v>
      </c>
      <c r="E327" s="15">
        <f>ABS(0.018055555555556-0.017361111111112)</f>
        <v>6.9444444444400136E-4</v>
      </c>
      <c r="F327" t="s">
        <v>10</v>
      </c>
      <c r="G327" s="17"/>
    </row>
    <row r="328" spans="1:7" x14ac:dyDescent="0.25">
      <c r="A328" s="11">
        <v>42186</v>
      </c>
      <c r="B328" s="15">
        <v>0.65694444444444444</v>
      </c>
      <c r="C328" s="15">
        <v>0.6743055555555556</v>
      </c>
      <c r="D328" s="15">
        <f>(0.674305555555556-0.656944444444444)</f>
        <v>1.7361111111112049E-2</v>
      </c>
      <c r="E328" s="15">
        <f>ABS(0.017361111111112-0.0145833333333331)</f>
        <v>2.7777777777789007E-3</v>
      </c>
      <c r="F328" t="s">
        <v>10</v>
      </c>
      <c r="G328" s="17"/>
    </row>
    <row r="329" spans="1:7" x14ac:dyDescent="0.25">
      <c r="A329" s="11">
        <v>42186</v>
      </c>
      <c r="B329" s="15">
        <v>0.72430555555555554</v>
      </c>
      <c r="C329" s="15">
        <v>0.73888888888888893</v>
      </c>
      <c r="D329" s="15">
        <f>(0.738888888888889-0.724305555555556)</f>
        <v>1.4583333333333059E-2</v>
      </c>
      <c r="E329" s="15">
        <f>ABS(0.0145833333333331-0.0145833333333331)</f>
        <v>0</v>
      </c>
      <c r="F329" t="s">
        <v>10</v>
      </c>
      <c r="G329" s="17"/>
    </row>
    <row r="330" spans="1:7" x14ac:dyDescent="0.25">
      <c r="A330" s="11">
        <v>42186</v>
      </c>
      <c r="B330" s="15">
        <v>0.85138888888888886</v>
      </c>
      <c r="C330" s="15">
        <v>0.86597222222222225</v>
      </c>
      <c r="D330" s="15">
        <f>(0.865972222222222-0.851388888888889)</f>
        <v>1.4583333333333059E-2</v>
      </c>
      <c r="E330" s="15">
        <f>ABS(0.0145833333333331-0.0145833333333339)</f>
        <v>8.0144224590128488E-16</v>
      </c>
      <c r="F330" t="s">
        <v>10</v>
      </c>
      <c r="G330" s="17"/>
    </row>
    <row r="331" spans="1:7" x14ac:dyDescent="0.25">
      <c r="A331" s="11">
        <v>42186</v>
      </c>
      <c r="B331" s="15">
        <v>0.93194444444444446</v>
      </c>
      <c r="C331" s="15">
        <v>0.94652777777777775</v>
      </c>
      <c r="D331" s="15">
        <f>(0.946527777777778-0.931944444444444)</f>
        <v>1.4583333333333948E-2</v>
      </c>
      <c r="E331" s="15">
        <f>ABS(0.0145833333333339-0.019444444444444)</f>
        <v>4.8611111111100998E-3</v>
      </c>
      <c r="F331" t="s">
        <v>10</v>
      </c>
      <c r="G331" s="17"/>
    </row>
    <row r="332" spans="1:7" x14ac:dyDescent="0.25">
      <c r="A332" s="11">
        <v>42186</v>
      </c>
      <c r="B332" s="15">
        <v>0.34027777777777773</v>
      </c>
      <c r="C332" s="15">
        <v>0.35972222222222222</v>
      </c>
      <c r="D332" s="15">
        <f>(0.359722222222222-0.340277777777778)</f>
        <v>1.9444444444443987E-2</v>
      </c>
      <c r="E332" s="15">
        <f>ABS(0.019444444444444-0.0145833333333341)</f>
        <v>4.8611111111099004E-3</v>
      </c>
      <c r="F332" t="s">
        <v>10</v>
      </c>
      <c r="G332" s="17"/>
    </row>
    <row r="333" spans="1:7" x14ac:dyDescent="0.25">
      <c r="A333" s="11">
        <v>42186</v>
      </c>
      <c r="B333" s="15">
        <v>0.87847222222222221</v>
      </c>
      <c r="C333" s="15">
        <v>0.8930555555555556</v>
      </c>
      <c r="D333" s="15">
        <f>(0.893055555555556-0.878472222222222)</f>
        <v>1.4583333333334059E-2</v>
      </c>
      <c r="E333" s="15">
        <f>ABS(0.0145833333333341-0.019444444444445)</f>
        <v>4.8611111111108996E-3</v>
      </c>
      <c r="F333" t="s">
        <v>10</v>
      </c>
      <c r="G333" s="17"/>
    </row>
    <row r="334" spans="1:7" x14ac:dyDescent="0.25">
      <c r="A334" s="11">
        <v>42186</v>
      </c>
      <c r="B334" s="15">
        <v>0.3923611111111111</v>
      </c>
      <c r="C334" s="15">
        <v>0.41180555555555554</v>
      </c>
      <c r="D334" s="15">
        <f>(0.411805555555556-0.392361111111111)</f>
        <v>1.9444444444444986E-2</v>
      </c>
      <c r="E334" s="15">
        <f>ABS(0.019444444444445-0.019444444444445)</f>
        <v>0</v>
      </c>
      <c r="F334" t="s">
        <v>10</v>
      </c>
      <c r="G334" s="17"/>
    </row>
    <row r="335" spans="1:7" x14ac:dyDescent="0.25">
      <c r="A335" s="11">
        <v>42186</v>
      </c>
      <c r="B335" s="15">
        <v>0.54097222222222219</v>
      </c>
      <c r="C335" s="15">
        <v>0.56041666666666667</v>
      </c>
      <c r="D335" s="15">
        <f>(0.560416666666667-0.540972222222222)</f>
        <v>1.9444444444445041E-2</v>
      </c>
      <c r="E335" s="15">
        <f>ABS(0.019444444444445-0.0249999999999999)</f>
        <v>5.5555555555549009E-3</v>
      </c>
      <c r="F335" t="s">
        <v>10</v>
      </c>
      <c r="G335" s="17"/>
    </row>
    <row r="336" spans="1:7" x14ac:dyDescent="0.25">
      <c r="A336" s="11">
        <v>42186</v>
      </c>
      <c r="B336" s="15">
        <v>0.58263888888888882</v>
      </c>
      <c r="C336" s="15">
        <v>0.60763888888888895</v>
      </c>
      <c r="D336" s="15">
        <f>(0.607638888888889-0.582638888888889)</f>
        <v>2.4999999999999911E-2</v>
      </c>
      <c r="E336" s="15">
        <f>ABS(0.0249999999999999-0.0180555555555549)</f>
        <v>6.9444444444449992E-3</v>
      </c>
      <c r="F336" t="s">
        <v>10</v>
      </c>
      <c r="G336" s="17"/>
    </row>
    <row r="337" spans="1:7" x14ac:dyDescent="0.25">
      <c r="A337" s="11">
        <v>42186</v>
      </c>
      <c r="B337" s="15">
        <v>0.55277777777777781</v>
      </c>
      <c r="C337" s="15">
        <v>0.5708333333333333</v>
      </c>
      <c r="D337" s="15">
        <f>(0.570833333333333-0.552777777777778)</f>
        <v>1.8055555555554936E-2</v>
      </c>
      <c r="E337" s="15">
        <f>ABS(0.0180555555555549-0.0173611111111119)</f>
        <v>6.9444444444300216E-4</v>
      </c>
      <c r="F337" t="s">
        <v>10</v>
      </c>
      <c r="G337" s="17"/>
    </row>
    <row r="338" spans="1:7" x14ac:dyDescent="0.25">
      <c r="A338" s="11">
        <v>42186</v>
      </c>
      <c r="B338" s="15">
        <v>0.70833333333333337</v>
      </c>
      <c r="C338" s="15">
        <v>0.72569444444444453</v>
      </c>
      <c r="D338" s="15">
        <f>(0.725694444444445-0.708333333333333)</f>
        <v>1.7361111111111938E-2</v>
      </c>
      <c r="E338" s="15">
        <f>ABS(0.0173611111111119-0.019444444444444)</f>
        <v>2.0833333333321012E-3</v>
      </c>
      <c r="F338" t="s">
        <v>10</v>
      </c>
      <c r="G338" s="17"/>
    </row>
    <row r="339" spans="1:7" x14ac:dyDescent="0.25">
      <c r="A339" s="11">
        <v>42186</v>
      </c>
      <c r="B339" s="15">
        <v>0.88541666666666663</v>
      </c>
      <c r="C339" s="15">
        <v>0.90486111111111101</v>
      </c>
      <c r="D339" s="15">
        <f>(0.904861111111111-0.885416666666667)</f>
        <v>1.9444444444444042E-2</v>
      </c>
      <c r="E339" s="15">
        <f>ABS(0.019444444444444-0.0111111111111111)</f>
        <v>8.3333333333329013E-3</v>
      </c>
      <c r="F339" t="s">
        <v>10</v>
      </c>
      <c r="G339" s="17"/>
    </row>
    <row r="340" spans="1:7" x14ac:dyDescent="0.25">
      <c r="A340" s="11">
        <v>42186</v>
      </c>
      <c r="B340" s="15">
        <v>0.9784722222222223</v>
      </c>
      <c r="C340" s="15">
        <v>0.98958333333333337</v>
      </c>
      <c r="D340" s="15">
        <f>(0.989583333333333-0.978472222222222)</f>
        <v>1.1111111111111072E-2</v>
      </c>
      <c r="E340" s="15">
        <f>ABS(0.0111111111111111-0.0145833333333331)</f>
        <v>3.472222222222E-3</v>
      </c>
      <c r="F340" t="s">
        <v>10</v>
      </c>
      <c r="G340" s="17"/>
    </row>
    <row r="341" spans="1:7" x14ac:dyDescent="0.25">
      <c r="A341" s="11">
        <v>42186</v>
      </c>
      <c r="B341" s="15">
        <v>0.97916666666666663</v>
      </c>
      <c r="C341" s="15">
        <v>0.99375000000000002</v>
      </c>
      <c r="D341" s="15">
        <f>(0.99375-0.979166666666667)</f>
        <v>1.4583333333333059E-2</v>
      </c>
      <c r="E341" s="15">
        <f>ABS(0.0145833333333331-0.0437500000000001)</f>
        <v>2.9166666666667E-2</v>
      </c>
      <c r="F341" t="s">
        <v>10</v>
      </c>
      <c r="G341" s="17"/>
    </row>
    <row r="342" spans="1:7" x14ac:dyDescent="0.25">
      <c r="A342" s="11">
        <v>42186</v>
      </c>
      <c r="B342" s="15">
        <v>0.5131944444444444</v>
      </c>
      <c r="C342" s="15">
        <v>0.55694444444444446</v>
      </c>
      <c r="D342" s="15">
        <f>(0.556944444444444-0.513194444444444)</f>
        <v>4.3750000000000067E-2</v>
      </c>
      <c r="E342" s="15">
        <f>ABS(0.0437500000000001-0.0152777777777771)</f>
        <v>2.8472222222223002E-2</v>
      </c>
      <c r="F342" t="s">
        <v>10</v>
      </c>
      <c r="G342" s="17"/>
    </row>
    <row r="343" spans="1:7" x14ac:dyDescent="0.25">
      <c r="A343" s="11">
        <v>42186</v>
      </c>
      <c r="B343" s="15">
        <v>0.63541666666666663</v>
      </c>
      <c r="C343" s="15">
        <v>0.65069444444444446</v>
      </c>
      <c r="D343" s="15">
        <f>(0.650694444444444-0.635416666666667)</f>
        <v>1.5277777777777057E-2</v>
      </c>
      <c r="E343" s="15">
        <f>ABS(0.0152777777777771-0.021527777777778)</f>
        <v>6.2500000000008989E-3</v>
      </c>
      <c r="F343" t="s">
        <v>10</v>
      </c>
      <c r="G343" s="17"/>
    </row>
    <row r="344" spans="1:7" x14ac:dyDescent="0.25">
      <c r="A344" s="11">
        <v>42186</v>
      </c>
      <c r="B344" s="15">
        <v>0.71319444444444446</v>
      </c>
      <c r="C344" s="15">
        <v>0.73472222222222217</v>
      </c>
      <c r="D344" s="15">
        <f>(0.734722222222222-0.713194444444444)</f>
        <v>2.1527777777778034E-2</v>
      </c>
      <c r="E344" s="15">
        <f>ABS(0.021527777777778-0.0159722222222219)</f>
        <v>5.5555555555561013E-3</v>
      </c>
      <c r="F344" t="s">
        <v>10</v>
      </c>
      <c r="G344" s="17"/>
    </row>
    <row r="345" spans="1:7" x14ac:dyDescent="0.25">
      <c r="A345" s="11">
        <v>42186</v>
      </c>
      <c r="B345" s="15">
        <v>0.74861111111111101</v>
      </c>
      <c r="C345" s="15">
        <v>0.76458333333333339</v>
      </c>
      <c r="D345" s="15">
        <f>(0.764583333333333-0.748611111111111)</f>
        <v>1.5972222222221943E-2</v>
      </c>
      <c r="E345" s="15">
        <f>ABS(0.0159722222222219-0.038888888888889)</f>
        <v>2.2916666666667102E-2</v>
      </c>
      <c r="F345" t="s">
        <v>10</v>
      </c>
      <c r="G345" s="17"/>
    </row>
    <row r="346" spans="1:7" x14ac:dyDescent="0.25">
      <c r="A346" s="11">
        <v>42186</v>
      </c>
      <c r="B346" s="15">
        <v>0.75347222222222221</v>
      </c>
      <c r="C346" s="15">
        <v>0.79236111111111107</v>
      </c>
      <c r="D346" s="15">
        <f>(0.792361111111111-0.753472222222222)</f>
        <v>3.8888888888888973E-2</v>
      </c>
      <c r="E346" s="15">
        <f>ABS(0.038888888888889-0.0222222222222219)</f>
        <v>1.66666666666671E-2</v>
      </c>
      <c r="F346" t="s">
        <v>10</v>
      </c>
      <c r="G346" s="17"/>
    </row>
    <row r="347" spans="1:7" x14ac:dyDescent="0.25">
      <c r="A347" s="11">
        <v>42186</v>
      </c>
      <c r="B347" s="15">
        <v>0.76666666666666661</v>
      </c>
      <c r="C347" s="15">
        <v>0.78888888888888886</v>
      </c>
      <c r="D347" s="15">
        <f>(0.788888888888889-0.766666666666667)</f>
        <v>2.2222222222221921E-2</v>
      </c>
      <c r="E347" s="15">
        <f>ABS(0.0222222222222219-0.0180555555555549)</f>
        <v>4.1666666666669988E-3</v>
      </c>
      <c r="F347" t="s">
        <v>10</v>
      </c>
      <c r="G347" s="17"/>
    </row>
    <row r="348" spans="1:7" x14ac:dyDescent="0.25">
      <c r="A348" s="11">
        <v>42186</v>
      </c>
      <c r="B348" s="15">
        <v>0.8965277777777777</v>
      </c>
      <c r="C348" s="15">
        <v>0.9145833333333333</v>
      </c>
      <c r="D348" s="15">
        <f>(0.914583333333333-0.896527777777778)</f>
        <v>1.8055555555554936E-2</v>
      </c>
      <c r="E348" s="15">
        <f>ABS(0.0180555555555549-0.0194444444444439)</f>
        <v>1.3888888888889984E-3</v>
      </c>
      <c r="F348" t="s">
        <v>10</v>
      </c>
      <c r="G348" s="17"/>
    </row>
    <row r="349" spans="1:7" x14ac:dyDescent="0.25">
      <c r="A349" s="11">
        <v>42186</v>
      </c>
      <c r="B349" s="15">
        <v>0.89513888888888893</v>
      </c>
      <c r="C349" s="15">
        <v>0.9145833333333333</v>
      </c>
      <c r="D349" s="15">
        <f>(0.914583333333333-0.895138888888889)</f>
        <v>1.9444444444443931E-2</v>
      </c>
      <c r="E349" s="15">
        <f>ABS(0.0194444444444439-0.024305555555556)</f>
        <v>4.8611111111121E-3</v>
      </c>
      <c r="F349" t="s">
        <v>10</v>
      </c>
      <c r="G349" s="17"/>
    </row>
    <row r="350" spans="1:7" x14ac:dyDescent="0.25">
      <c r="A350" s="11">
        <v>42186</v>
      </c>
      <c r="B350" s="15">
        <v>0.18819444444444444</v>
      </c>
      <c r="C350" s="15">
        <v>0.21249999999999999</v>
      </c>
      <c r="D350" s="15">
        <f>(0.2125-0.188194444444444)</f>
        <v>2.4305555555555997E-2</v>
      </c>
      <c r="E350" s="15">
        <f>ABS(0.024305555555556-0.015972222222222)</f>
        <v>8.3333333333340011E-3</v>
      </c>
      <c r="F350" t="s">
        <v>10</v>
      </c>
      <c r="G350" s="17"/>
    </row>
    <row r="351" spans="1:7" x14ac:dyDescent="0.25">
      <c r="A351" s="11">
        <v>42186</v>
      </c>
      <c r="B351" s="15">
        <v>0.4368055555555555</v>
      </c>
      <c r="C351" s="15">
        <v>0.45277777777777778</v>
      </c>
      <c r="D351" s="15">
        <f>(0.452777777777778-0.436805555555556)</f>
        <v>1.5972222222221999E-2</v>
      </c>
      <c r="E351" s="15">
        <f>ABS(0.015972222222222-0.0215277777777769)</f>
        <v>5.5555555555549009E-3</v>
      </c>
      <c r="F351" t="s">
        <v>10</v>
      </c>
      <c r="G351" s="17"/>
    </row>
    <row r="352" spans="1:7" x14ac:dyDescent="0.25">
      <c r="A352" s="11">
        <v>42186</v>
      </c>
      <c r="B352" s="15">
        <v>0.55555555555555558</v>
      </c>
      <c r="C352" s="15">
        <v>0.57708333333333328</v>
      </c>
      <c r="D352" s="15">
        <f>(0.577083333333333-0.555555555555556)</f>
        <v>2.1527777777776924E-2</v>
      </c>
      <c r="E352" s="15">
        <f>ABS(0.0215277777777769-0.028472222222223)</f>
        <v>6.944444444446099E-3</v>
      </c>
      <c r="F352" t="s">
        <v>10</v>
      </c>
      <c r="G352" s="17"/>
    </row>
    <row r="353" spans="1:7" x14ac:dyDescent="0.25">
      <c r="A353" s="11">
        <v>42186</v>
      </c>
      <c r="B353" s="15">
        <v>0.68958333333333333</v>
      </c>
      <c r="C353" s="15">
        <v>0.71805555555555556</v>
      </c>
      <c r="D353" s="15">
        <f>(0.718055555555556-0.689583333333333)</f>
        <v>2.8472222222223009E-2</v>
      </c>
      <c r="E353" s="15">
        <f>ABS(0.028472222222223-0.013888888888889)</f>
        <v>1.4583333333334E-2</v>
      </c>
      <c r="F353" t="s">
        <v>10</v>
      </c>
      <c r="G353" s="17"/>
    </row>
    <row r="354" spans="1:7" x14ac:dyDescent="0.25">
      <c r="A354" s="11">
        <v>42186</v>
      </c>
      <c r="B354" s="15">
        <v>0.73472222222222217</v>
      </c>
      <c r="C354" s="15">
        <v>0.74861111111111101</v>
      </c>
      <c r="D354" s="15">
        <f>(0.748611111111111-0.734722222222222)</f>
        <v>1.3888888888888951E-2</v>
      </c>
      <c r="E354" s="15">
        <f>ABS(0.013888888888889-0.0166666666666661)</f>
        <v>2.7777777777771018E-3</v>
      </c>
      <c r="F354" t="s">
        <v>10</v>
      </c>
      <c r="G354" s="17"/>
    </row>
    <row r="355" spans="1:7" x14ac:dyDescent="0.25">
      <c r="A355" s="11">
        <v>42186</v>
      </c>
      <c r="B355" s="15">
        <v>0.78541666666666676</v>
      </c>
      <c r="C355" s="15">
        <v>0.80208333333333337</v>
      </c>
      <c r="D355" s="15">
        <f>(0.802083333333333-0.785416666666667)</f>
        <v>1.6666666666666052E-2</v>
      </c>
      <c r="E355" s="15">
        <f>ABS(0.0166666666666661-0.0145833333333331)</f>
        <v>2.0833333333330015E-3</v>
      </c>
      <c r="F355" t="s">
        <v>10</v>
      </c>
      <c r="G355" s="17"/>
    </row>
    <row r="356" spans="1:7" x14ac:dyDescent="0.25">
      <c r="A356" s="11">
        <v>42186</v>
      </c>
      <c r="B356" s="15">
        <v>0.85</v>
      </c>
      <c r="C356" s="15">
        <v>0.86458333333333337</v>
      </c>
      <c r="D356" s="15">
        <f>(0.864583333333333-0.85)</f>
        <v>1.4583333333333059E-2</v>
      </c>
      <c r="E356" s="15">
        <f>ABS(0.0145833333333331-0.013888888888889)</f>
        <v>6.9444444444410024E-4</v>
      </c>
      <c r="F356" t="s">
        <v>10</v>
      </c>
      <c r="G356" s="17"/>
    </row>
    <row r="357" spans="1:7" x14ac:dyDescent="0.25">
      <c r="A357" s="11">
        <v>42186</v>
      </c>
      <c r="B357" s="15">
        <v>0.96527777777777779</v>
      </c>
      <c r="C357" s="15">
        <v>0.97916666666666663</v>
      </c>
      <c r="D357" s="15">
        <f>(0.979166666666667-0.965277777777778)</f>
        <v>1.3888888888888951E-2</v>
      </c>
      <c r="E357" s="15">
        <f>ABS(0.013888888888889-0.0180555555555499)</f>
        <v>4.1666666666608995E-3</v>
      </c>
      <c r="F357" t="s">
        <v>10</v>
      </c>
      <c r="G357" s="17"/>
    </row>
    <row r="358" spans="1:7" x14ac:dyDescent="0.25">
      <c r="A358" s="11">
        <v>42186</v>
      </c>
      <c r="B358" s="15">
        <v>1.0090277777777776</v>
      </c>
      <c r="C358" s="15">
        <v>1.0270833333333333</v>
      </c>
      <c r="D358" s="15">
        <f>(1.02708333333333-1.00902777777778)</f>
        <v>1.805555555554994E-2</v>
      </c>
      <c r="E358" s="15">
        <f>ABS(0.0180555555555499-0.01875)</f>
        <v>6.9444444445010065E-4</v>
      </c>
      <c r="F358" t="s">
        <v>10</v>
      </c>
      <c r="G358" s="17"/>
    </row>
    <row r="359" spans="1:7" x14ac:dyDescent="0.25">
      <c r="A359" s="11">
        <v>42186</v>
      </c>
      <c r="B359" s="15">
        <v>0.46319444444444446</v>
      </c>
      <c r="C359" s="15">
        <v>0.48194444444444445</v>
      </c>
      <c r="D359" s="15">
        <f>(0.481944444444444-0.463194444444444)</f>
        <v>1.8749999999999989E-2</v>
      </c>
      <c r="E359" s="15">
        <f>ABS(0.01875-0.051388888888889)</f>
        <v>3.2638888888888995E-2</v>
      </c>
      <c r="F359" t="s">
        <v>10</v>
      </c>
      <c r="G359" s="17"/>
    </row>
    <row r="360" spans="1:7" x14ac:dyDescent="0.25">
      <c r="A360" s="11">
        <v>42186</v>
      </c>
      <c r="B360" s="15">
        <v>0.5</v>
      </c>
      <c r="C360" s="15">
        <v>0.55138888888888882</v>
      </c>
      <c r="D360" s="15">
        <f>(0.551388888888889-0.5)</f>
        <v>5.1388888888889039E-2</v>
      </c>
      <c r="E360" s="15">
        <f>ABS(0.051388888888889-0.017361111111111)</f>
        <v>3.4027777777777997E-2</v>
      </c>
      <c r="F360" t="s">
        <v>10</v>
      </c>
      <c r="G360" s="17"/>
    </row>
    <row r="361" spans="1:7" x14ac:dyDescent="0.25">
      <c r="A361" s="11">
        <v>42186</v>
      </c>
      <c r="B361" s="15">
        <v>0.62361111111111112</v>
      </c>
      <c r="C361" s="15">
        <v>0.64097222222222217</v>
      </c>
      <c r="D361" s="15">
        <f>(0.640972222222222-0.623611111111111)</f>
        <v>1.7361111111111049E-2</v>
      </c>
      <c r="E361" s="15">
        <f>ABS(0.017361111111111-0.032638888888889)</f>
        <v>1.5277777777778001E-2</v>
      </c>
      <c r="F361" t="s">
        <v>10</v>
      </c>
      <c r="G361" s="17"/>
    </row>
    <row r="362" spans="1:7" x14ac:dyDescent="0.25">
      <c r="A362" s="11">
        <v>42186</v>
      </c>
      <c r="B362" s="15">
        <v>0.67222222222222217</v>
      </c>
      <c r="C362" s="15">
        <v>0.70486111111111116</v>
      </c>
      <c r="D362" s="15">
        <f>(0.704861111111111-0.672222222222222)</f>
        <v>3.2638888888888995E-2</v>
      </c>
      <c r="E362" s="15">
        <f>ABS(0.032638888888889-0.017361111111111)</f>
        <v>1.5277777777778001E-2</v>
      </c>
      <c r="F362" t="s">
        <v>10</v>
      </c>
      <c r="G362" s="17"/>
    </row>
    <row r="363" spans="1:7" x14ac:dyDescent="0.25">
      <c r="A363" s="11">
        <v>42186</v>
      </c>
      <c r="B363" s="15">
        <v>0.6972222222222223</v>
      </c>
      <c r="C363" s="15">
        <v>0.71458333333333324</v>
      </c>
      <c r="D363" s="15">
        <f>(0.714583333333333-0.697222222222222)</f>
        <v>1.7361111111111049E-2</v>
      </c>
      <c r="E363" s="15">
        <f>ABS(0.017361111111111-0.018055555555555)</f>
        <v>6.9444444444399789E-4</v>
      </c>
      <c r="F363" t="s">
        <v>10</v>
      </c>
      <c r="G363" s="17"/>
    </row>
    <row r="364" spans="1:7" x14ac:dyDescent="0.25">
      <c r="A364" s="11">
        <v>42186</v>
      </c>
      <c r="B364" s="15">
        <v>0.85</v>
      </c>
      <c r="C364" s="15">
        <v>0.86805555555555547</v>
      </c>
      <c r="D364" s="15">
        <f>(0.868055555555555-0.85)</f>
        <v>1.8055555555555047E-2</v>
      </c>
      <c r="E364" s="15">
        <f>ABS(0.018055555555555-0.020138888888891)</f>
        <v>2.0833333333360009E-3</v>
      </c>
      <c r="F364" t="s">
        <v>10</v>
      </c>
      <c r="G364" s="17"/>
    </row>
    <row r="365" spans="1:7" x14ac:dyDescent="0.25">
      <c r="A365" s="11">
        <v>42186</v>
      </c>
      <c r="B365" s="15">
        <v>0.98263888888888884</v>
      </c>
      <c r="C365" s="15">
        <v>1.0027777777777778</v>
      </c>
      <c r="D365" s="15">
        <f>(1.00277777777778-0.982638888888889)</f>
        <v>2.0138888888891038E-2</v>
      </c>
      <c r="E365" s="15">
        <f>ABS(0.020138888888891-0.019444444444445)</f>
        <v>6.9444444444599976E-4</v>
      </c>
      <c r="F365" t="s">
        <v>10</v>
      </c>
      <c r="G365" s="17"/>
    </row>
    <row r="366" spans="1:7" x14ac:dyDescent="0.25">
      <c r="A366" s="11">
        <v>42186</v>
      </c>
      <c r="B366" s="15">
        <v>0.66597222222222219</v>
      </c>
      <c r="C366" s="15">
        <v>0.68541666666666667</v>
      </c>
      <c r="D366" s="15">
        <f>(0.685416666666667-0.665972222222222)</f>
        <v>1.9444444444445041E-2</v>
      </c>
      <c r="E366" s="15">
        <f>ABS(0.019444444444445-0.0152777777777781)</f>
        <v>4.1666666666668999E-3</v>
      </c>
      <c r="F366" t="s">
        <v>10</v>
      </c>
      <c r="G366" s="17"/>
    </row>
    <row r="367" spans="1:7" x14ac:dyDescent="0.25">
      <c r="A367" s="11">
        <v>42186</v>
      </c>
      <c r="B367" s="15">
        <v>0.75763888888888886</v>
      </c>
      <c r="C367" s="15">
        <v>0.7729166666666667</v>
      </c>
      <c r="D367" s="15">
        <f>(0.772916666666667-0.757638888888889)</f>
        <v>1.5277777777778057E-2</v>
      </c>
      <c r="E367" s="15">
        <f>ABS(0.0152777777777781-0.03125)</f>
        <v>1.5972222222221902E-2</v>
      </c>
      <c r="F367" t="s">
        <v>10</v>
      </c>
      <c r="G367" s="17"/>
    </row>
    <row r="368" spans="1:7" x14ac:dyDescent="0.25">
      <c r="A368" s="11">
        <v>42186</v>
      </c>
      <c r="B368" s="15">
        <v>0.77638888888888891</v>
      </c>
      <c r="C368" s="15">
        <v>0.80763888888888891</v>
      </c>
      <c r="D368" s="15">
        <f>(0.807638888888889-0.776388888888889)</f>
        <v>3.125E-2</v>
      </c>
      <c r="E368" s="15">
        <f>ABS(0.03125-0.015972222222222)</f>
        <v>1.5277777777778001E-2</v>
      </c>
      <c r="F368" t="s">
        <v>10</v>
      </c>
      <c r="G368" s="17"/>
    </row>
    <row r="369" spans="1:7" x14ac:dyDescent="0.25">
      <c r="A369" s="11">
        <v>42186</v>
      </c>
      <c r="B369" s="15">
        <v>0.36388888888888887</v>
      </c>
      <c r="C369" s="15">
        <v>0.37986111111111115</v>
      </c>
      <c r="D369" s="15">
        <f>(0.379861111111111-0.363888888888889)</f>
        <v>1.5972222222221999E-2</v>
      </c>
      <c r="E369" s="15">
        <f>ABS(0.015972222222222-0.01875)</f>
        <v>2.7777777777780004E-3</v>
      </c>
      <c r="F369" t="s">
        <v>10</v>
      </c>
      <c r="G369" s="17"/>
    </row>
    <row r="370" spans="1:7" x14ac:dyDescent="0.25">
      <c r="A370" s="11">
        <v>42186</v>
      </c>
      <c r="B370" s="15">
        <v>0.43333333333333335</v>
      </c>
      <c r="C370" s="15">
        <v>0.45208333333333334</v>
      </c>
      <c r="D370" s="15">
        <f>(0.452083333333333-0.433333333333333)</f>
        <v>1.8749999999999989E-2</v>
      </c>
      <c r="E370" s="15">
        <f>ABS(D370-D371)</f>
        <v>6.9444444444440312E-3</v>
      </c>
      <c r="F370" t="s">
        <v>10</v>
      </c>
      <c r="G370" s="17"/>
    </row>
    <row r="371" spans="1:7" x14ac:dyDescent="0.25">
      <c r="A371" s="11">
        <v>42186</v>
      </c>
      <c r="B371" s="15">
        <v>0.62430555555555556</v>
      </c>
      <c r="C371" s="15">
        <v>0.65</v>
      </c>
      <c r="D371" s="15">
        <f>(0.65-0.624305555555556)</f>
        <v>2.569444444444402E-2</v>
      </c>
      <c r="E371" s="15">
        <f>ABS(0.025694444444444-0.0152777777777781)</f>
        <v>1.0416666666665899E-2</v>
      </c>
      <c r="F371" t="s">
        <v>10</v>
      </c>
      <c r="G371" s="17"/>
    </row>
    <row r="372" spans="1:7" x14ac:dyDescent="0.25">
      <c r="A372" s="11">
        <v>42186</v>
      </c>
      <c r="B372" s="15">
        <v>0.66388888888888886</v>
      </c>
      <c r="C372" s="15">
        <v>0.6791666666666667</v>
      </c>
      <c r="D372" s="15">
        <f>(0.679166666666667-0.663888888888889)</f>
        <v>1.5277777777778057E-2</v>
      </c>
      <c r="E372" s="15">
        <f>ABS(0.0152777777777781-0.0166666666666659)</f>
        <v>1.3888888888877998E-3</v>
      </c>
      <c r="F372" t="s">
        <v>10</v>
      </c>
      <c r="G372" s="17"/>
    </row>
    <row r="373" spans="1:7" x14ac:dyDescent="0.25">
      <c r="A373" s="11">
        <v>42186</v>
      </c>
      <c r="B373" s="15">
        <v>0.70416666666666661</v>
      </c>
      <c r="C373" s="15">
        <v>0.72083333333333333</v>
      </c>
      <c r="D373" s="15">
        <f>(0.720833333333333-0.704166666666667)</f>
        <v>1.6666666666665941E-2</v>
      </c>
      <c r="E373" s="15">
        <f>ABS(0.0166666666666659-0.015277777777777)</f>
        <v>1.3888888888888996E-3</v>
      </c>
      <c r="F373" t="s">
        <v>10</v>
      </c>
      <c r="G373" s="17"/>
    </row>
    <row r="374" spans="1:7" x14ac:dyDescent="0.25">
      <c r="A374" s="11">
        <v>42186</v>
      </c>
      <c r="B374" s="15">
        <v>0.47916666666666669</v>
      </c>
      <c r="C374" s="15">
        <v>0.49444444444444446</v>
      </c>
      <c r="D374" s="15">
        <f>(0.494444444444444-0.479166666666667)</f>
        <v>1.5277777777777002E-2</v>
      </c>
      <c r="E374" s="15">
        <f>ABS(0.015277777777777-0.040972222222222)</f>
        <v>2.5694444444444998E-2</v>
      </c>
      <c r="F374" t="s">
        <v>10</v>
      </c>
      <c r="G374" s="17"/>
    </row>
    <row r="375" spans="1:7" x14ac:dyDescent="0.25">
      <c r="A375" s="11">
        <v>42186</v>
      </c>
      <c r="B375" s="15">
        <v>0.58124999999999993</v>
      </c>
      <c r="C375" s="15">
        <v>0.62222222222222223</v>
      </c>
      <c r="D375" s="15">
        <f>(0.622222222222222-0.58125)</f>
        <v>4.0972222222221966E-2</v>
      </c>
      <c r="E375" s="15">
        <f>ABS(0.040972222222222-0.016666666666667)</f>
        <v>2.4305555555555001E-2</v>
      </c>
      <c r="F375" t="s">
        <v>10</v>
      </c>
      <c r="G375" s="17"/>
    </row>
    <row r="376" spans="1:7" x14ac:dyDescent="0.25">
      <c r="A376" s="11">
        <v>42186</v>
      </c>
      <c r="B376" s="15">
        <v>0.15138888888888888</v>
      </c>
      <c r="C376" s="15">
        <v>0.16805555555555554</v>
      </c>
      <c r="D376" s="15">
        <f>(0.168055555555556-0.151388888888889)</f>
        <v>1.6666666666667024E-2</v>
      </c>
      <c r="E376" s="15">
        <f>ABS(0.016666666666667-0.015972222222222)</f>
        <v>6.9444444444500056E-4</v>
      </c>
      <c r="F376" t="s">
        <v>10</v>
      </c>
      <c r="G376" s="17"/>
    </row>
    <row r="377" spans="1:7" x14ac:dyDescent="0.25">
      <c r="A377" s="11">
        <v>42186</v>
      </c>
      <c r="B377" s="15">
        <v>0.375</v>
      </c>
      <c r="C377" s="15">
        <v>0.39097222222222222</v>
      </c>
      <c r="D377" s="15">
        <f>(0.390972222222222-0.375)</f>
        <v>1.5972222222221999E-2</v>
      </c>
      <c r="E377" s="15">
        <f>ABS(0.015972222222222-0.042361111111111)</f>
        <v>2.6388888888889003E-2</v>
      </c>
      <c r="F377" t="s">
        <v>10</v>
      </c>
      <c r="G377" s="17"/>
    </row>
    <row r="378" spans="1:7" x14ac:dyDescent="0.25">
      <c r="A378" s="11">
        <v>42186</v>
      </c>
      <c r="B378" s="15">
        <v>0.4909722222222222</v>
      </c>
      <c r="C378" s="15">
        <v>0.53333333333333333</v>
      </c>
      <c r="D378" s="15">
        <f>(0.533333333333333-0.490972222222222)</f>
        <v>4.2361111111111016E-2</v>
      </c>
      <c r="E378" s="15">
        <f>ABS(0.042361111111111-0.023611111111111)</f>
        <v>1.8750000000000003E-2</v>
      </c>
      <c r="F378" t="s">
        <v>10</v>
      </c>
      <c r="G378" s="17"/>
    </row>
    <row r="379" spans="1:7" x14ac:dyDescent="0.25">
      <c r="A379" s="11">
        <v>42186</v>
      </c>
      <c r="B379" s="15">
        <v>0.6020833333333333</v>
      </c>
      <c r="C379" s="15">
        <v>0.62569444444444444</v>
      </c>
      <c r="D379" s="15">
        <f>(0.625694444444444-0.602083333333333)</f>
        <v>2.3611111111111027E-2</v>
      </c>
      <c r="E379" s="15">
        <f>ABS(0.023611111111111-0.029861111111112)</f>
        <v>6.2500000000010013E-3</v>
      </c>
      <c r="F379" t="s">
        <v>10</v>
      </c>
      <c r="G379" s="17"/>
    </row>
    <row r="380" spans="1:7" x14ac:dyDescent="0.25">
      <c r="A380" s="11">
        <v>42186</v>
      </c>
      <c r="B380" s="15">
        <v>0.65694444444444444</v>
      </c>
      <c r="C380" s="15">
        <v>0.68680555555555556</v>
      </c>
      <c r="D380" s="15">
        <f>(0.686805555555556-0.656944444444444)</f>
        <v>2.9861111111112004E-2</v>
      </c>
      <c r="E380" s="15">
        <f>ABS(0.029861111111112-0.022222222222223)</f>
        <v>7.6388888888890005E-3</v>
      </c>
      <c r="F380" t="s">
        <v>10</v>
      </c>
      <c r="G380" s="17"/>
    </row>
    <row r="381" spans="1:7" x14ac:dyDescent="0.25">
      <c r="A381" s="11">
        <v>42186</v>
      </c>
      <c r="B381" s="15">
        <v>0.68819444444444444</v>
      </c>
      <c r="C381" s="15">
        <v>0.7104166666666667</v>
      </c>
      <c r="D381" s="15">
        <f>(0.710416666666667-0.688194444444444)</f>
        <v>2.2222222222223031E-2</v>
      </c>
      <c r="E381" s="15">
        <f>ABS(0.022222222222223-0.022222222222223)</f>
        <v>0</v>
      </c>
      <c r="F381" t="s">
        <v>10</v>
      </c>
      <c r="G381" s="17"/>
    </row>
    <row r="382" spans="1:7" x14ac:dyDescent="0.25">
      <c r="A382" s="11">
        <v>42186</v>
      </c>
      <c r="B382" s="15">
        <v>0.77569444444444446</v>
      </c>
      <c r="C382" s="15">
        <v>0.79791666666666661</v>
      </c>
      <c r="D382" s="15">
        <f>(0.797916666666667-0.775694444444444)</f>
        <v>2.2222222222223031E-2</v>
      </c>
      <c r="E382" s="15">
        <f>ABS(0.022222222222223-0.020833333333333)</f>
        <v>1.3888888888900011E-3</v>
      </c>
      <c r="F382" t="s">
        <v>10</v>
      </c>
      <c r="G382" s="17"/>
    </row>
    <row r="383" spans="1:7" x14ac:dyDescent="0.25">
      <c r="A383" s="11">
        <v>42186</v>
      </c>
      <c r="B383" s="15">
        <v>0.87847222222222221</v>
      </c>
      <c r="C383" s="15">
        <v>0.89930555555555547</v>
      </c>
      <c r="D383" s="15">
        <f>(0.899305555555555-0.878472222222222)</f>
        <v>2.0833333333333037E-2</v>
      </c>
      <c r="E383" s="15">
        <f>ABS(0.020833333333333-0.0173611111111109)</f>
        <v>3.4722222222220989E-3</v>
      </c>
      <c r="F383" t="s">
        <v>10</v>
      </c>
      <c r="G383" s="17"/>
    </row>
    <row r="384" spans="1:7" x14ac:dyDescent="0.25">
      <c r="A384" s="11">
        <v>42186</v>
      </c>
      <c r="B384" s="15">
        <v>0.83263888888888893</v>
      </c>
      <c r="C384" s="15">
        <v>0.85</v>
      </c>
      <c r="D384" s="15">
        <f>(0.85-0.832638888888889)</f>
        <v>1.7361111111110938E-2</v>
      </c>
      <c r="E384" s="15">
        <f>ABS(0.0173611111111109-0.00972222222222197)</f>
        <v>7.6388888888889294E-3</v>
      </c>
      <c r="F384" t="s">
        <v>10</v>
      </c>
      <c r="G384" s="17"/>
    </row>
    <row r="385" spans="1:7" x14ac:dyDescent="0.25">
      <c r="A385" s="11">
        <v>42186</v>
      </c>
      <c r="B385" s="15">
        <v>0.90138888888888891</v>
      </c>
      <c r="C385" s="15">
        <v>0.91111111111111109</v>
      </c>
      <c r="D385" s="15">
        <f>(0.911111111111111-0.901388888888889)</f>
        <v>9.7222222222219656E-3</v>
      </c>
      <c r="E385" s="15">
        <f>ABS(0.00972222222222197-0.027777777777778)</f>
        <v>1.8055555555556026E-2</v>
      </c>
      <c r="F385" t="s">
        <v>10</v>
      </c>
      <c r="G385" s="17"/>
    </row>
    <row r="386" spans="1:7" x14ac:dyDescent="0.25">
      <c r="A386" s="11">
        <v>42186</v>
      </c>
      <c r="B386" s="15">
        <v>0.59027777777777779</v>
      </c>
      <c r="C386" s="15">
        <v>0.61805555555555558</v>
      </c>
      <c r="D386" s="15">
        <f>(0.618055555555556-0.590277777777778)</f>
        <v>2.7777777777778012E-2</v>
      </c>
      <c r="E386" s="15">
        <f>ABS(0.027777777777778-0.0215277777777779)</f>
        <v>6.2500000000000992E-3</v>
      </c>
      <c r="F386" t="s">
        <v>10</v>
      </c>
      <c r="G386" s="17"/>
    </row>
    <row r="387" spans="1:7" x14ac:dyDescent="0.25">
      <c r="A387" s="11">
        <v>42186</v>
      </c>
      <c r="B387" s="15">
        <v>0.58611111111111114</v>
      </c>
      <c r="C387" s="15">
        <v>0.60763888888888895</v>
      </c>
      <c r="D387" s="15">
        <f>(0.607638888888889-0.586111111111111)</f>
        <v>2.1527777777777923E-2</v>
      </c>
      <c r="E387" s="15">
        <f>ABS(0.0215277777777779-0.00763888888888908)</f>
        <v>1.3888888888888819E-2</v>
      </c>
      <c r="F387" t="s">
        <v>10</v>
      </c>
      <c r="G387" s="17"/>
    </row>
    <row r="388" spans="1:7" x14ac:dyDescent="0.25">
      <c r="A388" s="11">
        <v>42186</v>
      </c>
      <c r="B388" s="15">
        <v>0.60416666666666663</v>
      </c>
      <c r="C388" s="15">
        <v>0.6118055555555556</v>
      </c>
      <c r="D388" s="15">
        <f>(0.611805555555556-0.604166666666667)</f>
        <v>7.6388888888890838E-3</v>
      </c>
      <c r="E388" s="15">
        <f>ABS(0.00763888888888908-0.025694444444444)</f>
        <v>1.8055555555554919E-2</v>
      </c>
      <c r="F388" t="s">
        <v>10</v>
      </c>
      <c r="G388" s="17"/>
    </row>
    <row r="389" spans="1:7" x14ac:dyDescent="0.25">
      <c r="A389" s="11">
        <v>42186</v>
      </c>
      <c r="B389" s="15">
        <v>0.74861111111111101</v>
      </c>
      <c r="C389" s="15">
        <v>0.77430555555555547</v>
      </c>
      <c r="D389" s="15">
        <f>(0.774305555555555-0.748611111111111)</f>
        <v>2.569444444444402E-2</v>
      </c>
      <c r="E389" s="15">
        <f>ABS(0.025694444444444-0.01875)</f>
        <v>6.944444444444E-3</v>
      </c>
      <c r="F389" t="s">
        <v>10</v>
      </c>
      <c r="G389" s="17"/>
    </row>
    <row r="390" spans="1:7" x14ac:dyDescent="0.25">
      <c r="A390" s="11">
        <v>42186</v>
      </c>
      <c r="B390" s="15">
        <v>0.7631944444444444</v>
      </c>
      <c r="C390" s="15">
        <v>0.78194444444444444</v>
      </c>
      <c r="D390" s="15">
        <f>(0.781944444444444-0.763194444444444)</f>
        <v>1.8750000000000044E-2</v>
      </c>
      <c r="E390" s="15">
        <f>ABS(0.01875-0.013888888888889)</f>
        <v>4.8611111111110002E-3</v>
      </c>
      <c r="F390" t="s">
        <v>10</v>
      </c>
      <c r="G390" s="17"/>
    </row>
    <row r="391" spans="1:7" x14ac:dyDescent="0.25">
      <c r="A391" s="11">
        <v>42186</v>
      </c>
      <c r="B391" s="15">
        <v>0.79861111111111116</v>
      </c>
      <c r="C391" s="15">
        <v>0.8125</v>
      </c>
      <c r="D391" s="15">
        <f>(0.8125-0.798611111111111)</f>
        <v>1.3888888888888951E-2</v>
      </c>
      <c r="E391" s="15">
        <f>ABS(0.013888888888889-0.025694444444445)</f>
        <v>1.1805555555555999E-2</v>
      </c>
      <c r="F391" t="s">
        <v>10</v>
      </c>
      <c r="G391" s="17"/>
    </row>
    <row r="392" spans="1:7" x14ac:dyDescent="0.25">
      <c r="A392" s="11">
        <v>42186</v>
      </c>
      <c r="B392" s="15">
        <v>0.85625000000000007</v>
      </c>
      <c r="C392" s="15">
        <v>0.88194444444444453</v>
      </c>
      <c r="D392" s="15">
        <f>(0.881944444444445-0.85625)</f>
        <v>2.5694444444445019E-2</v>
      </c>
      <c r="E392" s="15">
        <f>ABS(0.025694444444445-0.0208333333333333)</f>
        <v>4.8611111111116975E-3</v>
      </c>
      <c r="F392" t="s">
        <v>10</v>
      </c>
      <c r="G392" s="17"/>
    </row>
    <row r="393" spans="1:7" x14ac:dyDescent="0.25">
      <c r="A393" s="11">
        <v>42186</v>
      </c>
      <c r="B393" s="15">
        <v>4.6527777777777779E-2</v>
      </c>
      <c r="C393" s="15">
        <v>6.7361111111111108E-2</v>
      </c>
      <c r="D393" s="15">
        <f>(0.0673611111111111-0.0465277777777778)</f>
        <v>2.0833333333333294E-2</v>
      </c>
      <c r="E393" s="15">
        <f>ABS(0.0208333333333333-0.018055555555556)</f>
        <v>2.7777777777772995E-3</v>
      </c>
      <c r="F393" t="s">
        <v>10</v>
      </c>
      <c r="G393" s="17"/>
    </row>
    <row r="394" spans="1:7" x14ac:dyDescent="0.25">
      <c r="A394" s="11">
        <v>42186</v>
      </c>
      <c r="B394" s="15">
        <v>0.43124999999999997</v>
      </c>
      <c r="C394" s="15">
        <v>0.44930555555555557</v>
      </c>
      <c r="D394" s="15">
        <f>(0.449305555555556-0.43125)</f>
        <v>1.8055555555555991E-2</v>
      </c>
      <c r="E394" s="15">
        <f>ABS(0.018055555555556-0.015277777777778)</f>
        <v>2.7777777777780021E-3</v>
      </c>
      <c r="F394" t="s">
        <v>10</v>
      </c>
      <c r="G394" s="17"/>
    </row>
    <row r="395" spans="1:7" x14ac:dyDescent="0.25">
      <c r="A395" s="11">
        <v>42186</v>
      </c>
      <c r="B395" s="15">
        <v>0.47638888888888892</v>
      </c>
      <c r="C395" s="15">
        <v>0.4916666666666667</v>
      </c>
      <c r="D395" s="15">
        <f>(0.491666666666667-0.476388888888889)</f>
        <v>1.5277777777778001E-2</v>
      </c>
      <c r="E395" s="15">
        <f>ABS(0.015277777777778-0.0249999999999999)</f>
        <v>9.7222222222219015E-3</v>
      </c>
      <c r="F395" t="s">
        <v>10</v>
      </c>
      <c r="G395" s="17"/>
    </row>
    <row r="396" spans="1:7" x14ac:dyDescent="0.25">
      <c r="A396" s="11">
        <v>42186</v>
      </c>
      <c r="B396" s="15">
        <v>0.51597222222222217</v>
      </c>
      <c r="C396" s="15">
        <v>0.54097222222222219</v>
      </c>
      <c r="D396" s="15">
        <f>(0.540972222222222-0.515972222222222)</f>
        <v>2.4999999999999911E-2</v>
      </c>
      <c r="E396" s="15">
        <f>ABS(0.0249999999999999-0.025694444444444)</f>
        <v>6.944444444440985E-4</v>
      </c>
      <c r="F396" t="s">
        <v>10</v>
      </c>
      <c r="G396" s="17"/>
    </row>
    <row r="397" spans="1:7" x14ac:dyDescent="0.25">
      <c r="A397" s="11">
        <v>42186</v>
      </c>
      <c r="B397" s="15">
        <v>0.52152777777777781</v>
      </c>
      <c r="C397" s="15">
        <v>0.54722222222222217</v>
      </c>
      <c r="D397" s="15">
        <f>(0.547222222222222-0.521527777777778)</f>
        <v>2.569444444444402E-2</v>
      </c>
      <c r="E397" s="15">
        <f>ABS(0.025694444444444-0.0249999999999999)</f>
        <v>6.944444444440985E-4</v>
      </c>
      <c r="F397" t="s">
        <v>10</v>
      </c>
      <c r="G397" s="17"/>
    </row>
    <row r="398" spans="1:7" x14ac:dyDescent="0.25">
      <c r="A398" s="11">
        <v>42186</v>
      </c>
      <c r="B398" s="15">
        <v>0.64236111111111105</v>
      </c>
      <c r="C398" s="15">
        <v>0.66736111111111107</v>
      </c>
      <c r="D398" s="15">
        <f>(0.667361111111111-0.642361111111111)</f>
        <v>2.4999999999999911E-2</v>
      </c>
      <c r="E398" s="15">
        <f>ABS(0.0249999999999999-0.0229166666666669)</f>
        <v>2.0833333333329998E-3</v>
      </c>
      <c r="F398" t="s">
        <v>10</v>
      </c>
      <c r="G398" s="17"/>
    </row>
    <row r="399" spans="1:7" x14ac:dyDescent="0.25">
      <c r="A399" s="11">
        <v>42186</v>
      </c>
      <c r="B399" s="15">
        <v>0.77222222222222225</v>
      </c>
      <c r="C399" s="15">
        <v>0.79513888888888884</v>
      </c>
      <c r="D399" s="15">
        <f>(0.795138888888889-0.772222222222222)</f>
        <v>2.2916666666666918E-2</v>
      </c>
      <c r="E399" s="15">
        <f>ABS(0.0229166666666669-0.020833333333333)</f>
        <v>2.0833333333339019E-3</v>
      </c>
      <c r="F399" t="s">
        <v>10</v>
      </c>
      <c r="G399" s="17"/>
    </row>
    <row r="400" spans="1:7" x14ac:dyDescent="0.25">
      <c r="A400" s="11">
        <v>42186</v>
      </c>
      <c r="B400" s="15">
        <v>0.85902777777777783</v>
      </c>
      <c r="C400" s="15">
        <v>0.87986111111111109</v>
      </c>
      <c r="D400" s="15">
        <f>(0.879861111111111-0.859027777777778)</f>
        <v>2.0833333333333037E-2</v>
      </c>
      <c r="E400" s="15">
        <f>ABS(0.020833333333333-0.0138888888888891)</f>
        <v>6.9444444444438994E-3</v>
      </c>
      <c r="F400" t="s">
        <v>10</v>
      </c>
      <c r="G400" s="17"/>
    </row>
    <row r="401" spans="1:7" x14ac:dyDescent="0.25">
      <c r="A401" s="11">
        <v>42186</v>
      </c>
      <c r="B401" s="15">
        <v>0.92013888888888884</v>
      </c>
      <c r="C401" s="15">
        <v>0.93402777777777779</v>
      </c>
      <c r="D401" s="15">
        <f>(0.934027777777778-0.920138888888889)</f>
        <v>1.3888888888889062E-2</v>
      </c>
      <c r="E401" s="15">
        <f>ABS(0.0138888888888891-0.0152777777777779)</f>
        <v>1.3888888888888007E-3</v>
      </c>
      <c r="F401" t="s">
        <v>10</v>
      </c>
      <c r="G401" s="17"/>
    </row>
    <row r="402" spans="1:7" x14ac:dyDescent="0.25">
      <c r="A402" s="11">
        <v>42186</v>
      </c>
      <c r="B402" s="15">
        <v>0.93263888888888891</v>
      </c>
      <c r="C402" s="15">
        <v>0.94791666666666663</v>
      </c>
      <c r="D402" s="15">
        <f>(0.947916666666667-0.932638888888889)</f>
        <v>1.5277777777777946E-2</v>
      </c>
      <c r="E402" s="15">
        <f>ABS(0.0152777777777779-0.016666666666666)</f>
        <v>1.3888888888880999E-3</v>
      </c>
      <c r="F402" t="s">
        <v>10</v>
      </c>
      <c r="G402" s="17"/>
    </row>
    <row r="403" spans="1:7" x14ac:dyDescent="0.25">
      <c r="A403" s="11">
        <v>42186</v>
      </c>
      <c r="B403" s="15">
        <v>0.14305555555555557</v>
      </c>
      <c r="C403" s="15">
        <v>0.15972222222222224</v>
      </c>
      <c r="D403" s="15">
        <f>(0.159722222222222-0.143055555555556)</f>
        <v>1.6666666666665997E-2</v>
      </c>
      <c r="E403" s="15">
        <f>ABS(0.016666666666666-0.025694444444444)</f>
        <v>9.027777777777999E-3</v>
      </c>
      <c r="F403" t="s">
        <v>10</v>
      </c>
      <c r="G403" s="17"/>
    </row>
    <row r="404" spans="1:7" x14ac:dyDescent="0.25">
      <c r="A404" s="11">
        <v>42186</v>
      </c>
      <c r="B404" s="15">
        <v>0.38750000000000001</v>
      </c>
      <c r="C404" s="15">
        <v>0.41319444444444442</v>
      </c>
      <c r="D404" s="15">
        <f>(0.413194444444444-0.3875)</f>
        <v>2.5694444444443965E-2</v>
      </c>
      <c r="E404" s="15">
        <f>ABS(0.025694444444444-0.040277777777778)</f>
        <v>1.4583333333334003E-2</v>
      </c>
      <c r="F404" t="s">
        <v>10</v>
      </c>
      <c r="G404" s="17"/>
    </row>
    <row r="405" spans="1:7" x14ac:dyDescent="0.25">
      <c r="A405" s="11">
        <v>42186</v>
      </c>
      <c r="B405" s="15">
        <v>0.3979166666666667</v>
      </c>
      <c r="C405" s="15">
        <v>0.4381944444444445</v>
      </c>
      <c r="D405" s="15">
        <f>(0.438194444444445-0.397916666666667)</f>
        <v>4.0277777777778023E-2</v>
      </c>
      <c r="E405" s="15">
        <f>ABS(0.040277777777778-0.022222222222222)</f>
        <v>1.8055555555556001E-2</v>
      </c>
      <c r="F405" t="s">
        <v>10</v>
      </c>
      <c r="G405" s="17"/>
    </row>
    <row r="406" spans="1:7" x14ac:dyDescent="0.25">
      <c r="A406" s="11">
        <v>42186</v>
      </c>
      <c r="B406" s="15">
        <v>0.4548611111111111</v>
      </c>
      <c r="C406" s="15">
        <v>0.4770833333333333</v>
      </c>
      <c r="D406" s="15">
        <f>(0.477083333333333-0.454861111111111)</f>
        <v>2.2222222222222032E-2</v>
      </c>
      <c r="E406" s="15">
        <f>ABS(0.022222222222222-0.026388888888889)</f>
        <v>4.1666666666669988E-3</v>
      </c>
      <c r="F406" t="s">
        <v>10</v>
      </c>
      <c r="G406" s="17"/>
    </row>
    <row r="407" spans="1:7" x14ac:dyDescent="0.25">
      <c r="A407" s="11">
        <v>42186</v>
      </c>
      <c r="B407" s="15">
        <v>0.54652777777777783</v>
      </c>
      <c r="C407" s="15">
        <v>0.57291666666666663</v>
      </c>
      <c r="D407" s="15">
        <f>(0.572916666666667-0.546527777777778)</f>
        <v>2.6388888888889017E-2</v>
      </c>
      <c r="E407" s="15">
        <f>ABS(0.026388888888889-0.027083333333334)</f>
        <v>6.9444444444500056E-4</v>
      </c>
      <c r="F407" t="s">
        <v>10</v>
      </c>
      <c r="G407" s="17"/>
    </row>
    <row r="408" spans="1:7" x14ac:dyDescent="0.25">
      <c r="A408" s="11">
        <v>42186</v>
      </c>
      <c r="B408" s="15">
        <v>0.54583333333333328</v>
      </c>
      <c r="C408" s="15">
        <v>0.57291666666666663</v>
      </c>
      <c r="D408" s="15">
        <f>(0.572916666666667-0.545833333333333)</f>
        <v>2.7083333333334014E-2</v>
      </c>
      <c r="E408" s="15">
        <f>ABS(0.027083333333334-0.018055555555555)</f>
        <v>9.0277777777790016E-3</v>
      </c>
      <c r="F408" t="s">
        <v>10</v>
      </c>
      <c r="G408" s="17"/>
    </row>
    <row r="409" spans="1:7" x14ac:dyDescent="0.25">
      <c r="A409" s="11">
        <v>42186</v>
      </c>
      <c r="B409" s="15">
        <v>0.81388888888888899</v>
      </c>
      <c r="C409" s="15">
        <v>0.83194444444444438</v>
      </c>
      <c r="D409" s="15">
        <f>(0.831944444444444-0.813888888888889)</f>
        <v>1.8055555555555047E-2</v>
      </c>
      <c r="E409" s="15">
        <f>ABS(0.018055555555555-0.022222222222222)</f>
        <v>4.1666666666670023E-3</v>
      </c>
      <c r="F409" t="s">
        <v>10</v>
      </c>
      <c r="G409" s="17"/>
    </row>
    <row r="410" spans="1:7" x14ac:dyDescent="0.25">
      <c r="A410" s="11">
        <v>42186</v>
      </c>
      <c r="B410" s="15">
        <v>0.76041666666666663</v>
      </c>
      <c r="C410" s="15">
        <v>0.78263888888888899</v>
      </c>
      <c r="D410" s="15">
        <f>(0.782638888888889-0.760416666666667)</f>
        <v>2.2222222222222032E-2</v>
      </c>
      <c r="E410" s="15">
        <f>ABS(0.022222222222222-0.01875)</f>
        <v>3.4722222222220017E-3</v>
      </c>
      <c r="F410" t="s">
        <v>10</v>
      </c>
      <c r="G410" s="17"/>
    </row>
    <row r="411" spans="1:7" x14ac:dyDescent="0.25">
      <c r="A411" s="11">
        <v>42186</v>
      </c>
      <c r="B411" s="15">
        <v>4.6527777777777779E-2</v>
      </c>
      <c r="C411" s="15">
        <v>6.5277777777777782E-2</v>
      </c>
      <c r="D411" s="15">
        <f>(0.0652777777777778-0.0465277777777778)</f>
        <v>1.8749999999999996E-2</v>
      </c>
      <c r="E411" s="15">
        <f>ABS(0.01875-0.022222222222222)</f>
        <v>3.4722222222220017E-3</v>
      </c>
      <c r="F411" t="s">
        <v>10</v>
      </c>
      <c r="G411" s="17"/>
    </row>
    <row r="412" spans="1:7" x14ac:dyDescent="0.25">
      <c r="A412" s="11">
        <v>42186</v>
      </c>
      <c r="B412" s="15">
        <v>0.33124999999999999</v>
      </c>
      <c r="C412" s="15">
        <v>0.35347222222222219</v>
      </c>
      <c r="D412" s="15">
        <f>(0.353472222222222-0.33125)</f>
        <v>2.2222222222222032E-2</v>
      </c>
      <c r="E412" s="15">
        <f>ABS(0.022222222222222-0.018055555555555)</f>
        <v>4.1666666666670023E-3</v>
      </c>
      <c r="F412" t="s">
        <v>10</v>
      </c>
      <c r="G412" s="17"/>
    </row>
    <row r="413" spans="1:7" x14ac:dyDescent="0.25">
      <c r="A413" s="11">
        <v>42186</v>
      </c>
      <c r="B413" s="15">
        <v>0.40902777777777777</v>
      </c>
      <c r="C413" s="15">
        <v>0.42708333333333331</v>
      </c>
      <c r="D413" s="15">
        <f>(0.427083333333333-0.409027777777778)</f>
        <v>1.8055555555554992E-2</v>
      </c>
      <c r="E413" s="15">
        <f>ABS(0.018055555555555-0.025694444444444)</f>
        <v>7.6388888888890005E-3</v>
      </c>
      <c r="F413" t="s">
        <v>10</v>
      </c>
      <c r="G413" s="17"/>
    </row>
    <row r="414" spans="1:7" x14ac:dyDescent="0.25">
      <c r="A414" s="11">
        <v>42186</v>
      </c>
      <c r="B414" s="15">
        <v>0.53402777777777777</v>
      </c>
      <c r="C414" s="15">
        <v>0.55972222222222223</v>
      </c>
      <c r="D414" s="15">
        <f>(0.559722222222222-0.534027777777778)</f>
        <v>2.569444444444402E-2</v>
      </c>
      <c r="E414" s="15">
        <f>ABS(0.025694444444444-0.0159722222222229)</f>
        <v>9.7222222222210983E-3</v>
      </c>
      <c r="F414" t="s">
        <v>10</v>
      </c>
      <c r="G414" s="17"/>
    </row>
    <row r="415" spans="1:7" x14ac:dyDescent="0.25">
      <c r="A415" s="11">
        <v>42186</v>
      </c>
      <c r="B415" s="15">
        <v>0.58333333333333337</v>
      </c>
      <c r="C415" s="15">
        <v>0.59930555555555554</v>
      </c>
      <c r="D415" s="15">
        <f>(0.599305555555556-0.583333333333333)</f>
        <v>1.5972222222222943E-2</v>
      </c>
      <c r="E415" s="15">
        <f>ABS(0.0159722222222229-0.0173611111111109)</f>
        <v>1.3888888888879992E-3</v>
      </c>
      <c r="F415" t="s">
        <v>10</v>
      </c>
      <c r="G415" s="17"/>
    </row>
    <row r="416" spans="1:7" x14ac:dyDescent="0.25">
      <c r="A416" s="11">
        <v>42186</v>
      </c>
      <c r="B416" s="15">
        <v>0.5180555555555556</v>
      </c>
      <c r="C416" s="15">
        <v>0.53541666666666665</v>
      </c>
      <c r="D416" s="15">
        <f>(0.535416666666667-0.518055555555556)</f>
        <v>1.7361111111110938E-2</v>
      </c>
      <c r="E416" s="15">
        <f>ABS(0.0173611111111109-0.0166666666666671)</f>
        <v>6.9444444444380013E-4</v>
      </c>
      <c r="F416" t="s">
        <v>10</v>
      </c>
      <c r="G416" s="17"/>
    </row>
    <row r="417" spans="1:7" x14ac:dyDescent="0.25">
      <c r="A417" s="11">
        <v>42186</v>
      </c>
      <c r="B417" s="15">
        <v>0.53194444444444444</v>
      </c>
      <c r="C417" s="15">
        <v>0.54861111111111105</v>
      </c>
      <c r="D417" s="15">
        <f>(0.548611111111111-0.531944444444444)</f>
        <v>1.6666666666667052E-2</v>
      </c>
      <c r="E417" s="15">
        <f>ABS(0.0166666666666671-0.0236111111111109)</f>
        <v>6.9444444444437987E-3</v>
      </c>
      <c r="F417" t="s">
        <v>10</v>
      </c>
      <c r="G417" s="17"/>
    </row>
    <row r="418" spans="1:7" x14ac:dyDescent="0.25">
      <c r="A418" s="11">
        <v>42186</v>
      </c>
      <c r="B418" s="15">
        <v>0.5854166666666667</v>
      </c>
      <c r="C418" s="15">
        <v>0.60902777777777783</v>
      </c>
      <c r="D418" s="15">
        <f>(0.609027777777778-0.585416666666667)</f>
        <v>2.3611111111110916E-2</v>
      </c>
      <c r="E418" s="15">
        <f>ABS(0.0236111111111109-0.0166666666666659)</f>
        <v>6.9444444444449992E-3</v>
      </c>
      <c r="F418" t="s">
        <v>10</v>
      </c>
      <c r="G418" s="17"/>
    </row>
    <row r="419" spans="1:7" x14ac:dyDescent="0.25">
      <c r="A419" s="11">
        <v>42186</v>
      </c>
      <c r="B419" s="15">
        <v>0.7729166666666667</v>
      </c>
      <c r="C419" s="15">
        <v>0.7895833333333333</v>
      </c>
      <c r="D419" s="15">
        <f>(0.789583333333333-0.772916666666667)</f>
        <v>1.6666666666665941E-2</v>
      </c>
      <c r="E419" s="15">
        <f>ABS(0.0166666666666659-0.020833333333333)</f>
        <v>4.1666666666670994E-3</v>
      </c>
      <c r="F419" t="s">
        <v>10</v>
      </c>
      <c r="G419" s="17"/>
    </row>
    <row r="420" spans="1:7" x14ac:dyDescent="0.25">
      <c r="A420" s="11">
        <v>42186</v>
      </c>
      <c r="B420" s="15">
        <v>0.85069444444444453</v>
      </c>
      <c r="C420" s="15">
        <v>0.87152777777777779</v>
      </c>
      <c r="D420" s="15">
        <f>(0.871527777777778-0.850694444444445)</f>
        <v>2.0833333333333037E-2</v>
      </c>
      <c r="E420" s="15">
        <f>ABS(0.020833333333333-0.021527777777777)</f>
        <v>6.9444444444400136E-4</v>
      </c>
      <c r="F420" t="s">
        <v>10</v>
      </c>
      <c r="G420" s="17"/>
    </row>
    <row r="421" spans="1:7" x14ac:dyDescent="0.25">
      <c r="A421" s="11">
        <v>42186</v>
      </c>
      <c r="B421" s="15">
        <v>0.87291666666666667</v>
      </c>
      <c r="C421" s="15">
        <v>0.89444444444444438</v>
      </c>
      <c r="D421" s="15">
        <f>(0.894444444444444-0.872916666666667)</f>
        <v>2.1527777777777035E-2</v>
      </c>
      <c r="E421" s="15">
        <f>ABS(0.021527777777777-0.0145833333333331)</f>
        <v>6.9444444444439011E-3</v>
      </c>
      <c r="F421" t="s">
        <v>10</v>
      </c>
      <c r="G421" s="17"/>
    </row>
    <row r="422" spans="1:7" x14ac:dyDescent="0.25">
      <c r="A422" s="11">
        <v>42186</v>
      </c>
      <c r="B422" s="15">
        <v>0.98263888888888884</v>
      </c>
      <c r="C422" s="15">
        <v>0.99722222222222223</v>
      </c>
      <c r="D422" s="15">
        <f>(0.997222222222222-0.982638888888889)</f>
        <v>1.4583333333333059E-2</v>
      </c>
      <c r="E422" s="15">
        <f>ABS(0.0145833333333331-0.01875)</f>
        <v>4.1666666666668999E-3</v>
      </c>
      <c r="F422" t="s">
        <v>10</v>
      </c>
      <c r="G422" s="17"/>
    </row>
    <row r="423" spans="1:7" x14ac:dyDescent="0.25">
      <c r="A423" s="11">
        <v>42186</v>
      </c>
      <c r="B423" s="15">
        <v>0.59722222222222221</v>
      </c>
      <c r="C423" s="15">
        <v>0.61597222222222225</v>
      </c>
      <c r="D423" s="15">
        <f>(0.615972222222222-0.597222222222222)</f>
        <v>1.8750000000000044E-2</v>
      </c>
      <c r="E423" s="15">
        <f>ABS(0.01875-0.01875)</f>
        <v>0</v>
      </c>
      <c r="F423" t="s">
        <v>10</v>
      </c>
      <c r="G423" s="17"/>
    </row>
    <row r="424" spans="1:7" x14ac:dyDescent="0.25">
      <c r="A424" s="11">
        <v>42186</v>
      </c>
      <c r="B424" s="15">
        <v>0.62916666666666665</v>
      </c>
      <c r="C424" s="15">
        <v>0.6479166666666667</v>
      </c>
      <c r="D424" s="15">
        <f>(0.647916666666667-0.629166666666667)</f>
        <v>1.8750000000000044E-2</v>
      </c>
      <c r="E424" s="15">
        <f>ABS(0.01875-0.0159722222222221)</f>
        <v>2.7777777777778997E-3</v>
      </c>
      <c r="F424" t="s">
        <v>10</v>
      </c>
      <c r="G424" s="17"/>
    </row>
    <row r="425" spans="1:7" x14ac:dyDescent="0.25">
      <c r="A425" s="11">
        <v>42186</v>
      </c>
      <c r="B425" s="15">
        <v>0.8833333333333333</v>
      </c>
      <c r="C425" s="15">
        <v>0.89930555555555547</v>
      </c>
      <c r="D425" s="15">
        <f>(0.899305555555555-0.883333333333333)</f>
        <v>1.5972222222222054E-2</v>
      </c>
      <c r="E425" s="15">
        <f>ABS(0.0159722222222221-0.01875)</f>
        <v>2.7777777777778997E-3</v>
      </c>
      <c r="F425" t="s">
        <v>10</v>
      </c>
      <c r="G425" s="17"/>
    </row>
    <row r="426" spans="1:7" x14ac:dyDescent="0.25">
      <c r="A426" s="11">
        <v>42186</v>
      </c>
      <c r="B426" s="15">
        <v>0.3298611111111111</v>
      </c>
      <c r="C426" s="15">
        <v>0.34861111111111115</v>
      </c>
      <c r="D426" s="15">
        <f>(0.348611111111111-0.329861111111111)</f>
        <v>1.8749999999999989E-2</v>
      </c>
      <c r="E426" s="15">
        <f>ABS(0.01875-0.03125)</f>
        <v>1.2500000000000001E-2</v>
      </c>
      <c r="F426" t="s">
        <v>10</v>
      </c>
      <c r="G426" s="17"/>
    </row>
    <row r="427" spans="1:7" x14ac:dyDescent="0.25">
      <c r="A427" s="11">
        <v>42186</v>
      </c>
      <c r="B427" s="15">
        <v>0.45763888888888887</v>
      </c>
      <c r="C427" s="15">
        <v>0.48888888888888887</v>
      </c>
      <c r="D427" s="15">
        <f>(0.488888888888889-0.457638888888889)</f>
        <v>3.125E-2</v>
      </c>
      <c r="E427" s="15">
        <f>ABS(0.03125-0.01875)</f>
        <v>1.2500000000000001E-2</v>
      </c>
      <c r="F427" t="s">
        <v>10</v>
      </c>
      <c r="G427" s="17"/>
    </row>
    <row r="428" spans="1:7" x14ac:dyDescent="0.25">
      <c r="A428" s="11">
        <v>42186</v>
      </c>
      <c r="B428" s="15">
        <v>0.49722222222222223</v>
      </c>
      <c r="C428" s="15">
        <v>0.51597222222222217</v>
      </c>
      <c r="D428" s="15">
        <f>(0.515972222222222-0.497222222222222)</f>
        <v>1.8750000000000044E-2</v>
      </c>
      <c r="E428" s="15">
        <f>ABS(0.01875-0.0159722222222221)</f>
        <v>2.7777777777778997E-3</v>
      </c>
      <c r="F428" t="s">
        <v>10</v>
      </c>
      <c r="G428" s="17"/>
    </row>
    <row r="429" spans="1:7" x14ac:dyDescent="0.25">
      <c r="A429" s="11">
        <v>42186</v>
      </c>
      <c r="B429" s="15">
        <v>0.53749999999999998</v>
      </c>
      <c r="C429" s="15">
        <v>0.55347222222222225</v>
      </c>
      <c r="D429" s="15">
        <f>(0.553472222222222-0.5375)</f>
        <v>1.5972222222222054E-2</v>
      </c>
      <c r="E429" s="15">
        <f>ABS(0.0159722222222221-0.0152777777777781)</f>
        <v>6.9444444444399962E-4</v>
      </c>
      <c r="F429" t="s">
        <v>10</v>
      </c>
      <c r="G429" s="17"/>
    </row>
    <row r="430" spans="1:7" x14ac:dyDescent="0.25">
      <c r="A430" s="11">
        <v>42186</v>
      </c>
      <c r="B430" s="15">
        <v>0.54652777777777783</v>
      </c>
      <c r="C430" s="15">
        <v>0.56180555555555556</v>
      </c>
      <c r="D430" s="15">
        <f>(0.561805555555556-0.546527777777778)</f>
        <v>1.5277777777778057E-2</v>
      </c>
      <c r="E430" s="15">
        <f>ABS(0.0152777777777781-0.0166666666666671)</f>
        <v>1.3888888888890002E-3</v>
      </c>
      <c r="F430" t="s">
        <v>10</v>
      </c>
      <c r="G430" s="17"/>
    </row>
    <row r="431" spans="1:7" x14ac:dyDescent="0.25">
      <c r="A431" s="11">
        <v>42186</v>
      </c>
      <c r="B431" s="15">
        <v>0.69236111111111109</v>
      </c>
      <c r="C431" s="15">
        <v>0.7090277777777777</v>
      </c>
      <c r="D431" s="15">
        <f>(0.709027777777778-0.692361111111111)</f>
        <v>1.6666666666667052E-2</v>
      </c>
      <c r="E431" s="15">
        <f>ABS(0.0166666666666671-0.0138888888888891)</f>
        <v>2.7777777777780004E-3</v>
      </c>
      <c r="F431" t="s">
        <v>10</v>
      </c>
      <c r="G431" s="17"/>
    </row>
    <row r="432" spans="1:7" x14ac:dyDescent="0.25">
      <c r="A432" s="11">
        <v>42186</v>
      </c>
      <c r="B432" s="15">
        <v>0.66597222222222219</v>
      </c>
      <c r="C432" s="15">
        <v>0.67986111111111114</v>
      </c>
      <c r="D432" s="15">
        <f>(0.679861111111111-0.665972222222222)</f>
        <v>1.3888888888889062E-2</v>
      </c>
      <c r="E432" s="15">
        <f>ABS(0.0138888888888891-0.0187499999999999)</f>
        <v>4.8611111111107989E-3</v>
      </c>
      <c r="F432" t="s">
        <v>10</v>
      </c>
      <c r="G432" s="17"/>
    </row>
    <row r="433" spans="1:7" x14ac:dyDescent="0.25">
      <c r="A433" s="11">
        <v>42186</v>
      </c>
      <c r="B433" s="15">
        <v>0.7416666666666667</v>
      </c>
      <c r="C433" s="15">
        <v>0.76041666666666663</v>
      </c>
      <c r="D433" s="15">
        <f>(0.760416666666667-0.741666666666667)</f>
        <v>1.8749999999999933E-2</v>
      </c>
      <c r="E433" s="15">
        <f>ABS(0.0187499999999999-0.0166666666666669)</f>
        <v>2.0833333333329998E-3</v>
      </c>
      <c r="F433" t="s">
        <v>10</v>
      </c>
      <c r="G433" s="17"/>
    </row>
    <row r="434" spans="1:7" x14ac:dyDescent="0.25">
      <c r="A434" s="11">
        <v>42186</v>
      </c>
      <c r="B434" s="15">
        <v>0.83611111111111114</v>
      </c>
      <c r="C434" s="15">
        <v>0.85277777777777775</v>
      </c>
      <c r="D434" s="15">
        <f>(0.852777777777778-0.836111111111111)</f>
        <v>1.6666666666666941E-2</v>
      </c>
      <c r="E434" s="15">
        <f>ABS(0.0166666666666669-0.00833333333333297)</f>
        <v>8.3333333333339282E-3</v>
      </c>
      <c r="F434" t="s">
        <v>10</v>
      </c>
      <c r="G434" s="17"/>
    </row>
    <row r="435" spans="1:7" x14ac:dyDescent="0.25">
      <c r="A435" s="11">
        <v>42186</v>
      </c>
      <c r="B435" s="15">
        <v>0.85</v>
      </c>
      <c r="C435" s="15">
        <v>0.85833333333333339</v>
      </c>
      <c r="D435" s="15">
        <f>(0.858333333333333-0.85)</f>
        <v>8.3333333333329707E-3</v>
      </c>
      <c r="E435" s="15">
        <f>ABS(0.00833333333333297-0.0152777777777781)</f>
        <v>6.9444444444451293E-3</v>
      </c>
      <c r="F435" t="s">
        <v>10</v>
      </c>
      <c r="G435" s="17"/>
    </row>
    <row r="436" spans="1:7" x14ac:dyDescent="0.25">
      <c r="A436" s="11">
        <v>42186</v>
      </c>
      <c r="B436" s="15">
        <v>0.97499999999999998</v>
      </c>
      <c r="C436" s="15">
        <v>0.9902777777777777</v>
      </c>
      <c r="D436" s="15">
        <f>(0.990277777777778-0.975)</f>
        <v>1.5277777777778057E-2</v>
      </c>
      <c r="E436" s="15">
        <f>ABS(0.0152777777777781-0.017361111111112)</f>
        <v>2.0833333333339001E-3</v>
      </c>
      <c r="F436" t="s">
        <v>10</v>
      </c>
      <c r="G436" s="17"/>
    </row>
    <row r="437" spans="1:7" x14ac:dyDescent="0.25">
      <c r="A437" s="11">
        <v>42186</v>
      </c>
      <c r="B437" s="15">
        <v>0.38194444444444442</v>
      </c>
      <c r="C437" s="15">
        <v>0.39930555555555558</v>
      </c>
      <c r="D437" s="15">
        <f>(0.399305555555556-0.381944444444444)</f>
        <v>1.7361111111112049E-2</v>
      </c>
      <c r="E437" s="15">
        <f>ABS(0.017361111111112-0.0187499999999999)</f>
        <v>1.3888888888878986E-3</v>
      </c>
      <c r="F437" t="s">
        <v>10</v>
      </c>
      <c r="G437" s="17"/>
    </row>
    <row r="438" spans="1:7" x14ac:dyDescent="0.25">
      <c r="A438" s="11">
        <v>42186</v>
      </c>
      <c r="B438" s="15">
        <v>0.67847222222222225</v>
      </c>
      <c r="C438" s="15">
        <v>0.6972222222222223</v>
      </c>
      <c r="D438" s="15">
        <f>(0.697222222222222-0.678472222222222)</f>
        <v>1.8749999999999933E-2</v>
      </c>
      <c r="E438" s="15">
        <f>ABS(0.0187499999999999-0.01875)</f>
        <v>1.0061396160665481E-16</v>
      </c>
      <c r="F438" t="s">
        <v>10</v>
      </c>
      <c r="G438" s="17"/>
    </row>
    <row r="439" spans="1:7" x14ac:dyDescent="0.25">
      <c r="A439" s="11">
        <v>42186</v>
      </c>
      <c r="B439" s="15">
        <v>0.71597222222222223</v>
      </c>
      <c r="C439" s="15">
        <v>0.73472222222222217</v>
      </c>
      <c r="D439" s="15">
        <f>(0.734722222222222-0.715972222222222)</f>
        <v>1.8750000000000044E-2</v>
      </c>
      <c r="E439" s="15">
        <f>ABS(0.01875-0.017361111111111)</f>
        <v>1.3888888888889984E-3</v>
      </c>
      <c r="F439" t="s">
        <v>10</v>
      </c>
      <c r="G439" s="17"/>
    </row>
    <row r="440" spans="1:7" x14ac:dyDescent="0.25">
      <c r="A440" s="11">
        <v>42186</v>
      </c>
      <c r="B440" s="6">
        <v>0.81388888888888899</v>
      </c>
      <c r="C440" s="15">
        <v>0.83124999999999993</v>
      </c>
      <c r="D440" s="15">
        <f>(0.83125-0.813888888888889)</f>
        <v>1.7361111111111049E-2</v>
      </c>
      <c r="E440" s="15">
        <f>ABS(0.017361111111111-0.00902777777777797)</f>
        <v>8.3333333333330314E-3</v>
      </c>
      <c r="F440" t="s">
        <v>10</v>
      </c>
      <c r="G440" s="17"/>
    </row>
    <row r="441" spans="1:7" x14ac:dyDescent="0.25">
      <c r="A441" s="11">
        <v>42186</v>
      </c>
      <c r="B441" s="15">
        <v>0.89513888888888893</v>
      </c>
      <c r="C441" s="15">
        <v>0.90416666666666667</v>
      </c>
      <c r="D441" s="15">
        <f>(0.904166666666667-0.895138888888889)</f>
        <v>9.0277777777779677E-3</v>
      </c>
      <c r="E441" s="15">
        <f>ABS(0.00902777777777797-0.038194444444445)</f>
        <v>2.9166666666667035E-2</v>
      </c>
      <c r="F441" t="s">
        <v>10</v>
      </c>
      <c r="G441" s="17"/>
    </row>
    <row r="442" spans="1:7" x14ac:dyDescent="0.25">
      <c r="A442" s="11">
        <v>42186</v>
      </c>
      <c r="B442" s="15">
        <v>0.8833333333333333</v>
      </c>
      <c r="C442" s="15">
        <v>0.92152777777777783</v>
      </c>
      <c r="D442" s="15">
        <f>(0.921527777777778-0.883333333333333)</f>
        <v>3.8194444444444975E-2</v>
      </c>
      <c r="E442" s="15">
        <f>ABS(0.038194444444445-0.00972222222222208)</f>
        <v>2.8472222222222923E-2</v>
      </c>
      <c r="F442" t="s">
        <v>10</v>
      </c>
      <c r="G442" s="17"/>
    </row>
    <row r="443" spans="1:7" x14ac:dyDescent="0.25">
      <c r="A443" s="11">
        <v>42186</v>
      </c>
      <c r="B443" s="15">
        <v>0.97499999999999998</v>
      </c>
      <c r="C443" s="15">
        <v>0.98472222222222217</v>
      </c>
      <c r="D443" s="15">
        <f>(0.984722222222222-0.975)</f>
        <v>9.7222222222220767E-3</v>
      </c>
      <c r="E443" s="15">
        <f>ABS(0.00972222222222208-0.015277777777777)</f>
        <v>5.55555555555492E-3</v>
      </c>
      <c r="F443" t="s">
        <v>10</v>
      </c>
      <c r="G443" s="17"/>
    </row>
    <row r="444" spans="1:7" x14ac:dyDescent="0.25">
      <c r="A444" s="11">
        <v>42186</v>
      </c>
      <c r="B444" s="15">
        <v>0.14166666666666666</v>
      </c>
      <c r="C444" s="15">
        <v>0.15694444444444444</v>
      </c>
      <c r="D444" s="15">
        <f>(0.156944444444444-0.141666666666667)</f>
        <v>1.5277777777777002E-2</v>
      </c>
      <c r="E444" s="15">
        <f>ABS(0.015277777777777-0.015972222222222)</f>
        <v>6.9444444444499882E-4</v>
      </c>
      <c r="F444" t="s">
        <v>10</v>
      </c>
      <c r="G444" s="17"/>
    </row>
    <row r="445" spans="1:7" x14ac:dyDescent="0.25">
      <c r="A445" s="11">
        <v>42186</v>
      </c>
      <c r="B445" s="15">
        <v>0.31805555555555554</v>
      </c>
      <c r="C445" s="15">
        <v>0.33402777777777781</v>
      </c>
      <c r="D445" s="15">
        <f>(0.334027777777778-0.318055555555556)</f>
        <v>1.5972222222221999E-2</v>
      </c>
      <c r="E445" s="15">
        <f>ABS(0.015972222222222-0.033333333333333)</f>
        <v>1.7361111111111001E-2</v>
      </c>
      <c r="F445" t="s">
        <v>10</v>
      </c>
      <c r="G445" s="17"/>
    </row>
    <row r="446" spans="1:7" x14ac:dyDescent="0.25">
      <c r="A446" s="11">
        <v>42186</v>
      </c>
      <c r="B446" s="15">
        <v>0.33402777777777781</v>
      </c>
      <c r="C446" s="15">
        <v>0.36736111111111108</v>
      </c>
      <c r="D446" s="15">
        <f>(0.367361111111111-0.334027777777778)</f>
        <v>3.3333333333333048E-2</v>
      </c>
      <c r="E446" s="15">
        <f>ABS(0.033333333333333-0.0145833333333339)</f>
        <v>1.8749999999999101E-2</v>
      </c>
      <c r="F446" t="s">
        <v>10</v>
      </c>
      <c r="G446" s="17"/>
    </row>
    <row r="447" spans="1:7" x14ac:dyDescent="0.25">
      <c r="A447" s="11">
        <v>42186</v>
      </c>
      <c r="B447" s="15">
        <v>0.65208333333333335</v>
      </c>
      <c r="C447" s="15">
        <v>0.66666666666666663</v>
      </c>
      <c r="D447" s="15">
        <f>(0.666666666666667-0.652083333333333)</f>
        <v>1.4583333333333948E-2</v>
      </c>
      <c r="E447" s="15">
        <f>ABS(0.0145833333333339-0.0145833333333331)</f>
        <v>8.0144224590128488E-16</v>
      </c>
      <c r="F447" t="s">
        <v>10</v>
      </c>
      <c r="G447" s="17"/>
    </row>
    <row r="448" spans="1:7" x14ac:dyDescent="0.25">
      <c r="A448" s="11">
        <v>42186</v>
      </c>
      <c r="B448" s="6">
        <v>0.91388888888888886</v>
      </c>
      <c r="C448" s="15">
        <v>0.92847222222222225</v>
      </c>
      <c r="D448" s="15">
        <f>(0.928472222222222-0.913888888888889)</f>
        <v>1.4583333333333059E-2</v>
      </c>
      <c r="E448" s="15">
        <f>ABS(0.0145833333333331-0.019444444444445)</f>
        <v>4.8611111111119005E-3</v>
      </c>
      <c r="F448" t="s">
        <v>10</v>
      </c>
      <c r="G448" s="17"/>
    </row>
    <row r="449" spans="1:7" x14ac:dyDescent="0.25">
      <c r="A449" s="11">
        <v>42186</v>
      </c>
      <c r="B449" s="6">
        <v>0.81458333333333333</v>
      </c>
      <c r="C449" s="15">
        <v>0.8340277777777777</v>
      </c>
      <c r="D449" s="15">
        <f>(0.834027777777778-0.814583333333333)</f>
        <v>1.9444444444445041E-2</v>
      </c>
      <c r="E449" s="15">
        <f>ABS(0.019444444444445-0.024305555555555)</f>
        <v>4.861111111110001E-3</v>
      </c>
      <c r="F449" t="s">
        <v>10</v>
      </c>
      <c r="G449" s="17"/>
    </row>
    <row r="450" spans="1:7" x14ac:dyDescent="0.25">
      <c r="A450" s="11">
        <v>42186</v>
      </c>
      <c r="B450" s="6">
        <v>0.79166666666666663</v>
      </c>
      <c r="C450" s="15">
        <v>0.81597222222222221</v>
      </c>
      <c r="D450" s="15">
        <f>(0.815972222222222-0.791666666666667)</f>
        <v>2.4305555555555025E-2</v>
      </c>
      <c r="E450" s="15">
        <f>ABS(0.024305555555555-0.038194444444445)</f>
        <v>1.3888888888890002E-2</v>
      </c>
      <c r="F450" t="s">
        <v>10</v>
      </c>
      <c r="G450" s="17"/>
    </row>
    <row r="451" spans="1:7" x14ac:dyDescent="0.25">
      <c r="A451" s="11">
        <v>42186</v>
      </c>
      <c r="B451" s="6">
        <v>0.77083333333333337</v>
      </c>
      <c r="C451" s="15">
        <v>0.80902777777777779</v>
      </c>
      <c r="D451" s="15">
        <f>(0.809027777777778-0.770833333333333)</f>
        <v>3.8194444444444975E-2</v>
      </c>
      <c r="E451" s="15">
        <f>ABS(0.038194444444445-0.0159722222222219)</f>
        <v>2.2222222222223104E-2</v>
      </c>
      <c r="F451" t="s">
        <v>10</v>
      </c>
      <c r="G451" s="17"/>
    </row>
    <row r="452" spans="1:7" x14ac:dyDescent="0.25">
      <c r="A452" s="11">
        <v>42186</v>
      </c>
      <c r="B452" s="15">
        <v>0.70416666666666661</v>
      </c>
      <c r="C452" s="15">
        <v>0.72013888888888899</v>
      </c>
      <c r="D452" s="15">
        <f>(0.720138888888889-0.704166666666667)</f>
        <v>1.5972222222221943E-2</v>
      </c>
      <c r="E452" s="15">
        <f>ABS(0.0159722222222219-0.01875)</f>
        <v>2.777777777778101E-3</v>
      </c>
      <c r="F452" t="s">
        <v>10</v>
      </c>
      <c r="G452" s="17"/>
    </row>
    <row r="453" spans="1:7" x14ac:dyDescent="0.25">
      <c r="A453" s="11">
        <v>42186</v>
      </c>
      <c r="B453" s="15">
        <v>0.3972222222222222</v>
      </c>
      <c r="C453" s="15">
        <v>0.41597222222222219</v>
      </c>
      <c r="D453" s="15">
        <f>(0.415972222222222-0.397222222222222)</f>
        <v>1.8750000000000044E-2</v>
      </c>
      <c r="E453" s="15">
        <f>ABS(0.01875-0.0125)</f>
        <v>6.2499999999999986E-3</v>
      </c>
      <c r="F453" t="s">
        <v>10</v>
      </c>
      <c r="G453" s="17"/>
    </row>
    <row r="454" spans="1:7" x14ac:dyDescent="0.25">
      <c r="A454" s="11">
        <v>42186</v>
      </c>
      <c r="B454" s="15">
        <v>0.48125000000000001</v>
      </c>
      <c r="C454" s="15">
        <v>0.49374999999999997</v>
      </c>
      <c r="D454" s="15">
        <f>(0.49375-0.48125)</f>
        <v>1.2500000000000011E-2</v>
      </c>
      <c r="E454" s="15">
        <f>ABS(0.0125-0.022916666666666)</f>
        <v>1.0416666666665998E-2</v>
      </c>
      <c r="F454" t="s">
        <v>10</v>
      </c>
      <c r="G454" s="17"/>
    </row>
    <row r="455" spans="1:7" x14ac:dyDescent="0.25">
      <c r="A455" s="11">
        <v>42186</v>
      </c>
      <c r="B455" s="15">
        <v>0.56527777777777777</v>
      </c>
      <c r="C455" s="15">
        <v>0.58819444444444446</v>
      </c>
      <c r="D455" s="15">
        <f>(0.588194444444444-0.565277777777778)</f>
        <v>2.291666666666603E-2</v>
      </c>
      <c r="E455" s="15">
        <f>ABS(0.022916666666666-0.0236111111111109)</f>
        <v>6.9444444444489994E-4</v>
      </c>
      <c r="F455" t="s">
        <v>10</v>
      </c>
      <c r="G455" s="17"/>
    </row>
    <row r="456" spans="1:7" x14ac:dyDescent="0.25">
      <c r="A456" s="11">
        <v>42186</v>
      </c>
      <c r="B456" s="15">
        <v>0.64652777777777781</v>
      </c>
      <c r="C456" s="15">
        <v>0.67013888888888884</v>
      </c>
      <c r="D456" s="15">
        <f>(0.670138888888889-0.646527777777778)</f>
        <v>2.3611111111110916E-2</v>
      </c>
      <c r="E456" s="15">
        <f>ABS(0.0236111111111109-0.0166666666666671)</f>
        <v>6.9444444444437987E-3</v>
      </c>
      <c r="F456" t="s">
        <v>10</v>
      </c>
      <c r="G456" s="17"/>
    </row>
    <row r="457" spans="1:7" x14ac:dyDescent="0.25">
      <c r="A457" s="11">
        <v>42186</v>
      </c>
      <c r="B457" s="15">
        <v>0.73333333333333339</v>
      </c>
      <c r="C457" s="15">
        <v>0.75</v>
      </c>
      <c r="D457" s="15">
        <f>(0.75-0.733333333333333)</f>
        <v>1.6666666666667052E-2</v>
      </c>
      <c r="E457" s="15">
        <f>ABS(0.0166666666666671-0.0145833333333329)</f>
        <v>2.0833333333342002E-3</v>
      </c>
      <c r="F457" t="s">
        <v>10</v>
      </c>
      <c r="G457" s="17"/>
    </row>
    <row r="458" spans="1:7" x14ac:dyDescent="0.25">
      <c r="A458" s="11">
        <v>42186</v>
      </c>
      <c r="B458" s="15">
        <v>0.77777777777777779</v>
      </c>
      <c r="C458" s="15">
        <v>0.79236111111111107</v>
      </c>
      <c r="D458" s="15">
        <f>(0.792361111111111-0.777777777777778)</f>
        <v>1.4583333333332948E-2</v>
      </c>
      <c r="E458" s="15">
        <f>ABS(0.0145833333333329-0.0152777777777779)</f>
        <v>6.9444444444500056E-4</v>
      </c>
      <c r="F458" t="s">
        <v>10</v>
      </c>
      <c r="G458" s="17"/>
    </row>
    <row r="459" spans="1:7" x14ac:dyDescent="0.25">
      <c r="A459" s="11">
        <v>42186</v>
      </c>
      <c r="B459" s="15">
        <v>0.79861111111111116</v>
      </c>
      <c r="C459" s="15">
        <v>0.81388888888888899</v>
      </c>
      <c r="D459" s="15">
        <f>(0.813888888888889-0.798611111111111)</f>
        <v>1.5277777777777946E-2</v>
      </c>
      <c r="E459" s="15">
        <f>ABS(0.0152777777777779-0.026388888888889)</f>
        <v>1.1111111111111099E-2</v>
      </c>
      <c r="F459" t="s">
        <v>10</v>
      </c>
      <c r="G459" s="17"/>
    </row>
    <row r="460" spans="1:7" x14ac:dyDescent="0.25">
      <c r="A460" s="11">
        <v>42186</v>
      </c>
      <c r="B460" s="15">
        <v>0.8125</v>
      </c>
      <c r="C460" s="15">
        <v>0.83888888888888891</v>
      </c>
      <c r="D460" s="15">
        <f>(0.838888888888889-0.8125)</f>
        <v>2.6388888888889017E-2</v>
      </c>
      <c r="E460" s="15">
        <f>ABS(0.026388888888889-0.0152777777777779)</f>
        <v>1.1111111111111099E-2</v>
      </c>
      <c r="F460" t="s">
        <v>10</v>
      </c>
      <c r="G460" s="17"/>
    </row>
    <row r="461" spans="1:7" x14ac:dyDescent="0.25">
      <c r="A461" s="11">
        <v>42186</v>
      </c>
      <c r="B461" s="15">
        <v>0.86458333333333337</v>
      </c>
      <c r="C461" s="15">
        <v>0.87986111111111109</v>
      </c>
      <c r="D461" s="15">
        <f>(0.879861111111111-0.864583333333333)</f>
        <v>1.5277777777777946E-2</v>
      </c>
      <c r="E461" s="15">
        <f>ABS(0.0152777777777779-0.040972222222222)</f>
        <v>2.56944444444441E-2</v>
      </c>
      <c r="F461" t="s">
        <v>10</v>
      </c>
      <c r="G461" s="17"/>
    </row>
    <row r="462" spans="1:7" x14ac:dyDescent="0.25">
      <c r="A462" s="11">
        <v>42186</v>
      </c>
      <c r="B462" s="15">
        <v>0.34236111111111112</v>
      </c>
      <c r="C462" s="15">
        <v>0.3833333333333333</v>
      </c>
      <c r="D462" s="15">
        <f>(0.383333333333333-0.342361111111111)</f>
        <v>4.0972222222222021E-2</v>
      </c>
      <c r="E462" s="15">
        <f>ABS(0.040972222222222-0.016666666666666)</f>
        <v>2.4305555555556E-2</v>
      </c>
      <c r="F462" t="s">
        <v>10</v>
      </c>
      <c r="G462" s="17"/>
    </row>
    <row r="463" spans="1:7" x14ac:dyDescent="0.25">
      <c r="A463" s="11">
        <v>42186</v>
      </c>
      <c r="B463" s="15">
        <v>0.46180555555555558</v>
      </c>
      <c r="C463" s="15">
        <v>0.47847222222222219</v>
      </c>
      <c r="D463" s="15">
        <f>(0.478472222222222-0.461805555555556)</f>
        <v>1.6666666666665997E-2</v>
      </c>
      <c r="E463" s="15">
        <f>ABS(0.016666666666666-0.0152777777777769)</f>
        <v>1.3888888888891008E-3</v>
      </c>
      <c r="F463" t="s">
        <v>10</v>
      </c>
      <c r="G463" s="17"/>
    </row>
    <row r="464" spans="1:7" x14ac:dyDescent="0.25">
      <c r="A464" s="11">
        <v>42186</v>
      </c>
      <c r="B464" s="15">
        <v>0.74930555555555556</v>
      </c>
      <c r="C464" s="15">
        <v>0.76458333333333339</v>
      </c>
      <c r="D464" s="15">
        <f>(0.764583333333333-0.749305555555556)</f>
        <v>1.5277777777776946E-2</v>
      </c>
      <c r="E464" s="15">
        <f>ABS(0.0152777777777769-0.013194444444444)</f>
        <v>2.0833333333328992E-3</v>
      </c>
      <c r="F464" t="s">
        <v>10</v>
      </c>
      <c r="G464" s="17"/>
    </row>
    <row r="465" spans="1:7" x14ac:dyDescent="0.25">
      <c r="A465" s="11">
        <v>42186</v>
      </c>
      <c r="B465" s="15">
        <v>0.78125</v>
      </c>
      <c r="C465" s="15">
        <v>0.7944444444444444</v>
      </c>
      <c r="D465" s="15">
        <f>(0.794444444444444-0.78125)</f>
        <v>1.3194444444443953E-2</v>
      </c>
      <c r="E465" s="15">
        <f>ABS(0.013194444444444-0.0104166666666661)</f>
        <v>2.7777777777778997E-3</v>
      </c>
      <c r="F465" t="s">
        <v>10</v>
      </c>
      <c r="G465" s="17"/>
    </row>
    <row r="466" spans="1:7" x14ac:dyDescent="0.25">
      <c r="A466" s="11">
        <v>42186</v>
      </c>
      <c r="B466" s="15">
        <v>0.88402777777777775</v>
      </c>
      <c r="C466" s="15">
        <v>0.89444444444444438</v>
      </c>
      <c r="D466" s="15">
        <f>(0.894444444444444-0.884027777777778)</f>
        <v>1.0416666666666075E-2</v>
      </c>
      <c r="E466" s="15">
        <f>ABS(0.0104166666666661-0.0138888888888888)</f>
        <v>3.4722222222226991E-3</v>
      </c>
      <c r="F466" t="s">
        <v>10</v>
      </c>
      <c r="G466" s="17"/>
    </row>
    <row r="467" spans="1:7" x14ac:dyDescent="0.25">
      <c r="A467" s="11">
        <v>42186</v>
      </c>
      <c r="B467" s="15">
        <v>0.90763888888888899</v>
      </c>
      <c r="C467" s="15">
        <v>0.92291666666666661</v>
      </c>
      <c r="D467" s="15">
        <f>(0.922916666666667-0.907638888888889)</f>
        <v>1.5277777777778057E-2</v>
      </c>
      <c r="E467" s="15">
        <f>ABS(0.0152777777777781-0.019444444444445)</f>
        <v>4.1666666666668999E-3</v>
      </c>
      <c r="F467" t="s">
        <v>10</v>
      </c>
      <c r="G467" s="17"/>
    </row>
    <row r="468" spans="1:7" x14ac:dyDescent="0.25">
      <c r="A468" s="11">
        <v>42186</v>
      </c>
      <c r="B468" s="15">
        <v>0.23958333333333334</v>
      </c>
      <c r="C468" s="15">
        <v>0.2590277777777778</v>
      </c>
      <c r="D468" s="15">
        <f>(0.259027777777778-0.239583333333333)</f>
        <v>1.9444444444445014E-2</v>
      </c>
      <c r="E468" s="15">
        <f>ABS(0.019444444444445-0.022916666666667)</f>
        <v>3.4722222222220017E-3</v>
      </c>
      <c r="F468" t="s">
        <v>10</v>
      </c>
      <c r="G468" s="17"/>
    </row>
    <row r="469" spans="1:7" x14ac:dyDescent="0.25">
      <c r="A469" s="11">
        <v>42186</v>
      </c>
      <c r="B469" s="15">
        <v>0.34861111111111115</v>
      </c>
      <c r="C469" s="15">
        <v>0.37152777777777773</v>
      </c>
      <c r="D469" s="15">
        <f>(0.371527777777778-0.348611111111111)</f>
        <v>2.2916666666667029E-2</v>
      </c>
      <c r="E469" s="15">
        <f>ABS(0.022916666666667-0.0159722222222221)</f>
        <v>6.944444444444902E-3</v>
      </c>
      <c r="F469" t="s">
        <v>10</v>
      </c>
      <c r="G469" s="17"/>
    </row>
    <row r="470" spans="1:7" x14ac:dyDescent="0.25">
      <c r="A470" s="11">
        <v>42186</v>
      </c>
      <c r="B470" s="15">
        <v>0.59652777777777777</v>
      </c>
      <c r="C470" s="15">
        <v>0.61249999999999993</v>
      </c>
      <c r="D470" s="15">
        <f>(0.6125-0.596527777777778)</f>
        <v>1.5972222222222054E-2</v>
      </c>
      <c r="E470" s="15">
        <f>ABS(0.0159722222222221-0.0173611111111109)</f>
        <v>1.3888888888888007E-3</v>
      </c>
      <c r="F470" t="s">
        <v>10</v>
      </c>
      <c r="G470" s="16"/>
    </row>
    <row r="471" spans="1:7" x14ac:dyDescent="0.25">
      <c r="A471" s="11">
        <v>42186</v>
      </c>
      <c r="B471" s="15">
        <v>0.65347222222222223</v>
      </c>
      <c r="C471" s="15">
        <v>0.67083333333333339</v>
      </c>
      <c r="D471" s="15">
        <f>(0.670833333333333-0.653472222222222)</f>
        <v>1.7361111111110938E-2</v>
      </c>
      <c r="E471" s="15">
        <f>ABS(0.0173611111111109-0.020138888888889)</f>
        <v>2.777777777778101E-3</v>
      </c>
      <c r="F471" t="s">
        <v>10</v>
      </c>
      <c r="G471" s="16"/>
    </row>
    <row r="472" spans="1:7" x14ac:dyDescent="0.25">
      <c r="A472" s="11">
        <v>42186</v>
      </c>
      <c r="B472" s="15">
        <v>0.76458333333333339</v>
      </c>
      <c r="C472" s="15">
        <v>0.78472222222222221</v>
      </c>
      <c r="D472" s="15">
        <f>(0.784722222222222-0.764583333333333)</f>
        <v>2.0138888888889039E-2</v>
      </c>
      <c r="E472" s="15">
        <f>ABS(0.020138888888889-0.0201388888888889)</f>
        <v>1.0061396160665481E-16</v>
      </c>
      <c r="F472" t="s">
        <v>10</v>
      </c>
      <c r="G472" s="16"/>
    </row>
    <row r="473" spans="1:7" x14ac:dyDescent="0.25">
      <c r="A473" s="11">
        <v>42186</v>
      </c>
      <c r="B473" s="15">
        <v>0.89583333333333337</v>
      </c>
      <c r="C473" s="15">
        <v>0.9159722222222223</v>
      </c>
      <c r="D473" s="15">
        <f>(0.915972222222222-0.895833333333333)</f>
        <v>2.0138888888888928E-2</v>
      </c>
      <c r="E473" s="15">
        <f>ABS(0.0201388888888889-0.0159722222222221)</f>
        <v>4.166666666666801E-3</v>
      </c>
      <c r="F473" t="s">
        <v>10</v>
      </c>
      <c r="G473" s="16"/>
    </row>
    <row r="474" spans="1:7" x14ac:dyDescent="0.25">
      <c r="A474" s="11">
        <v>42186</v>
      </c>
      <c r="B474" s="15">
        <v>0.88541666666666663</v>
      </c>
      <c r="C474" s="15">
        <v>0.90138888888888891</v>
      </c>
      <c r="D474" s="15">
        <f>(0.901388888888889-0.885416666666667)</f>
        <v>1.5972222222222054E-2</v>
      </c>
      <c r="E474" s="15">
        <f>ABS(0.0159722222222221-0.018055555555556)</f>
        <v>2.0833333333339019E-3</v>
      </c>
      <c r="F474" t="s">
        <v>10</v>
      </c>
      <c r="G474" s="16"/>
    </row>
    <row r="475" spans="1:7" x14ac:dyDescent="0.25">
      <c r="A475" s="11">
        <v>42186</v>
      </c>
      <c r="B475" s="15">
        <v>0.96875</v>
      </c>
      <c r="C475" s="15">
        <v>0.9868055555555556</v>
      </c>
      <c r="D475" s="15">
        <f>(0.986805555555556-0.96875)</f>
        <v>1.8055555555556047E-2</v>
      </c>
      <c r="E475" s="15">
        <f>ABS(0.018055555555556-0.027777777777777)</f>
        <v>9.7222222222209977E-3</v>
      </c>
      <c r="F475" t="s">
        <v>10</v>
      </c>
      <c r="G475" s="16"/>
    </row>
    <row r="476" spans="1:7" x14ac:dyDescent="0.25">
      <c r="A476" s="11">
        <v>42186</v>
      </c>
      <c r="B476" s="15">
        <v>0.27291666666666664</v>
      </c>
      <c r="C476" s="15">
        <v>0.30069444444444443</v>
      </c>
      <c r="D476" s="15">
        <f>(0.300694444444444-0.272916666666667)</f>
        <v>2.7777777777777013E-2</v>
      </c>
      <c r="E476" s="15">
        <f>ABS(0.027777777777777-0.015972222222222)</f>
        <v>1.1805555555555E-2</v>
      </c>
      <c r="F476" t="s">
        <v>10</v>
      </c>
      <c r="G476" s="16"/>
    </row>
    <row r="477" spans="1:7" x14ac:dyDescent="0.25">
      <c r="A477" s="11">
        <v>42186</v>
      </c>
      <c r="B477" s="15">
        <v>0.15625</v>
      </c>
      <c r="C477" s="15">
        <v>0.17222222222222225</v>
      </c>
      <c r="D477" s="15">
        <f>(0.172222222222222-0.15625)</f>
        <v>1.5972222222221999E-2</v>
      </c>
      <c r="E477" s="15">
        <f>ABS(0.015972222222222-0.018055555555556)</f>
        <v>2.0833333333340025E-3</v>
      </c>
      <c r="F477" t="s">
        <v>10</v>
      </c>
      <c r="G477" s="16"/>
    </row>
    <row r="478" spans="1:7" x14ac:dyDescent="0.25">
      <c r="A478" s="11">
        <v>42186</v>
      </c>
      <c r="B478" s="15">
        <v>0.28194444444444444</v>
      </c>
      <c r="C478" s="15">
        <v>0.3</v>
      </c>
      <c r="D478" s="15">
        <f>(0.3-0.281944444444444)</f>
        <v>1.8055555555555991E-2</v>
      </c>
      <c r="E478" s="15">
        <f>ABS(0.018055555555556-0.024305555555556)</f>
        <v>6.2499999999999986E-3</v>
      </c>
      <c r="F478" t="s">
        <v>10</v>
      </c>
      <c r="G478" s="16"/>
    </row>
    <row r="479" spans="1:7" x14ac:dyDescent="0.25">
      <c r="A479" s="11">
        <v>42186</v>
      </c>
      <c r="B479" s="15">
        <v>0.48194444444444445</v>
      </c>
      <c r="C479" s="15">
        <v>0.50624999999999998</v>
      </c>
      <c r="D479" s="15">
        <f>(0.50625-0.481944444444444)</f>
        <v>2.4305555555555969E-2</v>
      </c>
      <c r="E479" s="15">
        <f>ABS(0.024305555555556-0.022916666666667)</f>
        <v>1.3888888888889984E-3</v>
      </c>
      <c r="F479" t="s">
        <v>10</v>
      </c>
      <c r="G479" s="16"/>
    </row>
    <row r="480" spans="1:7" x14ac:dyDescent="0.25">
      <c r="A480" s="11">
        <v>42186</v>
      </c>
      <c r="B480" s="15">
        <v>0.54097222222222219</v>
      </c>
      <c r="C480" s="15">
        <v>0.56388888888888888</v>
      </c>
      <c r="D480" s="15">
        <f>(0.563888888888889-0.540972222222222)</f>
        <v>2.2916666666667029E-2</v>
      </c>
      <c r="E480" s="15">
        <f>ABS(0.022916666666667-0.0201388888888889)</f>
        <v>2.777777777778101E-3</v>
      </c>
      <c r="F480" t="s">
        <v>10</v>
      </c>
      <c r="G480" s="16"/>
    </row>
    <row r="481" spans="1:7" x14ac:dyDescent="0.25">
      <c r="A481" s="11">
        <v>42186</v>
      </c>
      <c r="B481" s="15">
        <v>0.57916666666666672</v>
      </c>
      <c r="C481" s="15">
        <v>0.59930555555555554</v>
      </c>
      <c r="D481" s="15">
        <f>(0.599305555555556-0.579166666666667)</f>
        <v>2.0138888888888928E-2</v>
      </c>
      <c r="E481" s="15">
        <f>ABS(0.0201388888888889-0.018055555555556)</f>
        <v>2.0833333333328992E-3</v>
      </c>
      <c r="F481" t="s">
        <v>10</v>
      </c>
      <c r="G481" s="16"/>
    </row>
    <row r="482" spans="1:7" x14ac:dyDescent="0.25">
      <c r="A482" s="11">
        <v>42186</v>
      </c>
      <c r="B482" s="15">
        <v>0.60625000000000007</v>
      </c>
      <c r="C482" s="15">
        <v>0.62430555555555556</v>
      </c>
      <c r="D482" s="15">
        <f>(0.624305555555556-0.60625)</f>
        <v>1.8055555555556047E-2</v>
      </c>
      <c r="E482" s="15">
        <f>ABS(0.018055555555556-0.0173611111111119)</f>
        <v>6.9444444444410197E-4</v>
      </c>
      <c r="F482" t="s">
        <v>10</v>
      </c>
      <c r="G482" s="16"/>
    </row>
    <row r="483" spans="1:7" x14ac:dyDescent="0.25">
      <c r="A483" s="11">
        <v>42186</v>
      </c>
      <c r="B483" s="15">
        <v>0.61319444444444449</v>
      </c>
      <c r="C483" s="15">
        <v>0.63055555555555554</v>
      </c>
      <c r="D483" s="15">
        <f>(0.630555555555556-0.613194444444444)</f>
        <v>1.7361111111111938E-2</v>
      </c>
      <c r="E483" s="15">
        <f>ABS(0.0173611111111119-0.023611111111112)</f>
        <v>6.2500000000000992E-3</v>
      </c>
      <c r="F483" t="s">
        <v>10</v>
      </c>
      <c r="G483" s="16"/>
    </row>
    <row r="484" spans="1:7" x14ac:dyDescent="0.25">
      <c r="A484" s="11">
        <v>42186</v>
      </c>
      <c r="B484" s="15">
        <v>0.68194444444444446</v>
      </c>
      <c r="C484" s="15">
        <v>0.7055555555555556</v>
      </c>
      <c r="D484" s="15">
        <f>(0.705555555555556-0.681944444444444)</f>
        <v>2.3611111111112026E-2</v>
      </c>
      <c r="E484" s="15">
        <f>ABS(0.023611111111112-0.021527777777777)</f>
        <v>2.0833333333349982E-3</v>
      </c>
      <c r="F484" t="s">
        <v>10</v>
      </c>
      <c r="G484" s="16"/>
    </row>
    <row r="485" spans="1:7" x14ac:dyDescent="0.25">
      <c r="A485" s="11">
        <v>42186</v>
      </c>
      <c r="B485" s="15">
        <v>0.69930555555555562</v>
      </c>
      <c r="C485" s="15">
        <v>0.72083333333333333</v>
      </c>
      <c r="D485" s="15">
        <f>(0.720833333333333-0.699305555555556)</f>
        <v>2.1527777777777035E-2</v>
      </c>
      <c r="E485" s="15">
        <f>ABS(0.021527777777777-0.0166666666666669)</f>
        <v>4.8611111111101016E-3</v>
      </c>
      <c r="F485" t="s">
        <v>10</v>
      </c>
      <c r="G485" s="16"/>
    </row>
    <row r="486" spans="1:7" x14ac:dyDescent="0.25">
      <c r="A486" s="11">
        <v>42186</v>
      </c>
      <c r="B486" s="15">
        <v>0.92569444444444438</v>
      </c>
      <c r="C486" s="15">
        <v>0.94236111111111109</v>
      </c>
      <c r="D486" s="15">
        <f>(0.942361111111111-0.925694444444444)</f>
        <v>1.6666666666666941E-2</v>
      </c>
      <c r="E486" s="15">
        <f>ABS(0.0166666666666669-0.0208333333333399)</f>
        <v>4.166666666673001E-3</v>
      </c>
      <c r="F486" t="s">
        <v>10</v>
      </c>
      <c r="G486" s="17"/>
    </row>
    <row r="487" spans="1:7" x14ac:dyDescent="0.25">
      <c r="A487" s="11">
        <v>42186</v>
      </c>
      <c r="B487" s="15">
        <v>1.0131944444444445</v>
      </c>
      <c r="C487" s="15">
        <v>1.0340277777777778</v>
      </c>
      <c r="D487" s="15">
        <f>(1.03402777777778-1.01319444444444)</f>
        <v>2.0833333333339921E-2</v>
      </c>
      <c r="E487" s="15">
        <f>ABS(0.0208333333333399-0.0222222222222222)</f>
        <v>1.3888888888822989E-3</v>
      </c>
      <c r="F487" t="s">
        <v>10</v>
      </c>
      <c r="G487" s="16"/>
    </row>
    <row r="488" spans="1:7" x14ac:dyDescent="0.25">
      <c r="A488" s="11">
        <v>42186</v>
      </c>
      <c r="B488" s="15">
        <v>7.2916666666666671E-2</v>
      </c>
      <c r="C488" s="15">
        <v>9.5138888888888884E-2</v>
      </c>
      <c r="D488" s="15">
        <f>(0.0951388888888889-0.0729166666666667)</f>
        <v>2.2222222222222199E-2</v>
      </c>
      <c r="E488" s="15">
        <f>ABS(0.0222222222222222-0.018055555555556)</f>
        <v>4.1666666666661974E-3</v>
      </c>
      <c r="F488" t="s">
        <v>10</v>
      </c>
      <c r="G488" s="16"/>
    </row>
    <row r="489" spans="1:7" x14ac:dyDescent="0.25">
      <c r="A489" s="11">
        <v>42186</v>
      </c>
      <c r="B489" s="15">
        <v>0.10694444444444444</v>
      </c>
      <c r="C489" s="15">
        <v>0.125</v>
      </c>
      <c r="D489" s="15">
        <f>(0.125-0.106944444444444)</f>
        <v>1.8055555555556005E-2</v>
      </c>
      <c r="E489" s="15">
        <f>ABS(0.018055555555556-0.01875)</f>
        <v>6.9444444444399789E-4</v>
      </c>
      <c r="F489" t="s">
        <v>10</v>
      </c>
      <c r="G489" s="16"/>
    </row>
    <row r="490" spans="1:7" x14ac:dyDescent="0.25">
      <c r="A490" s="11">
        <v>42186</v>
      </c>
      <c r="B490" s="15">
        <v>0.13541666666666666</v>
      </c>
      <c r="C490" s="15">
        <v>0.15416666666666667</v>
      </c>
      <c r="D490" s="15">
        <f>(0.154166666666667-0.135416666666667)</f>
        <v>1.8750000000000017E-2</v>
      </c>
      <c r="E490" s="15">
        <f>ABS(0.01875-0.015972222222222)</f>
        <v>2.7777777777780004E-3</v>
      </c>
      <c r="F490" t="s">
        <v>10</v>
      </c>
      <c r="G490" s="16"/>
    </row>
    <row r="491" spans="1:7" x14ac:dyDescent="0.25">
      <c r="A491" s="11">
        <v>42186</v>
      </c>
      <c r="B491" s="15">
        <v>0.20625000000000002</v>
      </c>
      <c r="C491" s="15">
        <v>0.22222222222222221</v>
      </c>
      <c r="D491" s="15">
        <f>(0.222222222222222-0.20625)</f>
        <v>1.5972222222221999E-2</v>
      </c>
      <c r="E491" s="15">
        <f>ABS(0.015972222222222-0.010416666666667)</f>
        <v>5.5555555555549998E-3</v>
      </c>
      <c r="F491" t="s">
        <v>10</v>
      </c>
      <c r="G491" s="17"/>
    </row>
    <row r="492" spans="1:7" x14ac:dyDescent="0.25">
      <c r="A492" s="11">
        <v>42186</v>
      </c>
      <c r="B492" s="15">
        <v>0.4770833333333333</v>
      </c>
      <c r="C492" s="15">
        <v>0.48749999999999999</v>
      </c>
      <c r="D492" s="15">
        <f>(0.4875-0.477083333333333)</f>
        <v>1.0416666666666963E-2</v>
      </c>
      <c r="E492" s="15">
        <f>ABS(0.010416666666667-0.023611111111112)</f>
        <v>1.3194444444445E-2</v>
      </c>
      <c r="F492" t="s">
        <v>10</v>
      </c>
      <c r="G492" s="16"/>
    </row>
    <row r="493" spans="1:7" x14ac:dyDescent="0.25">
      <c r="A493" s="11">
        <v>42186</v>
      </c>
      <c r="B493" s="15">
        <v>0.56944444444444442</v>
      </c>
      <c r="C493" s="15">
        <v>0.59305555555555556</v>
      </c>
      <c r="D493" s="15">
        <f>(0.593055555555556-0.569444444444444)</f>
        <v>2.3611111111112026E-2</v>
      </c>
      <c r="E493" s="15">
        <f>ABS(0.023611111111112-0.0166666666666669)</f>
        <v>6.9444444444450998E-3</v>
      </c>
      <c r="F493" t="s">
        <v>10</v>
      </c>
      <c r="G493" s="16"/>
    </row>
    <row r="494" spans="1:7" x14ac:dyDescent="0.25">
      <c r="A494" s="11">
        <v>42186</v>
      </c>
      <c r="B494" s="15">
        <v>0.80138888888888893</v>
      </c>
      <c r="C494" s="15">
        <v>0.81805555555555554</v>
      </c>
      <c r="D494" s="15">
        <f>(0.818055555555556-0.801388888888889)</f>
        <v>1.6666666666666941E-2</v>
      </c>
      <c r="E494" s="15">
        <f>ABS(0.0166666666666669-0.0159722222222219)</f>
        <v>6.9444444444500056E-4</v>
      </c>
      <c r="F494" t="s">
        <v>10</v>
      </c>
      <c r="G494" s="16"/>
    </row>
    <row r="495" spans="1:7" x14ac:dyDescent="0.25">
      <c r="A495" s="11">
        <v>42186</v>
      </c>
      <c r="B495" s="15">
        <v>0.8354166666666667</v>
      </c>
      <c r="C495" s="15">
        <v>0.85138888888888886</v>
      </c>
      <c r="D495" s="15">
        <f>(0.851388888888889-0.835416666666667)</f>
        <v>1.5972222222221943E-2</v>
      </c>
      <c r="E495" s="15">
        <f>ABS(0.0159722222222219-0.013888888888889)</f>
        <v>2.0833333333328992E-3</v>
      </c>
      <c r="F495" t="s">
        <v>10</v>
      </c>
      <c r="G495" s="16"/>
    </row>
    <row r="496" spans="1:7" x14ac:dyDescent="0.25">
      <c r="A496" s="11">
        <v>42186</v>
      </c>
      <c r="B496" s="15">
        <v>0.31875000000000003</v>
      </c>
      <c r="C496" s="15">
        <v>0.33263888888888887</v>
      </c>
      <c r="D496" s="15">
        <f>(0.332638888888889-0.31875)</f>
        <v>1.3888888888889006E-2</v>
      </c>
      <c r="E496" s="15">
        <f>ABS(0.013888888888889-0.018055555555555)</f>
        <v>4.1666666666659996E-3</v>
      </c>
      <c r="F496" t="s">
        <v>10</v>
      </c>
      <c r="G496" s="16"/>
    </row>
    <row r="497" spans="1:7" x14ac:dyDescent="0.25">
      <c r="A497" s="11">
        <v>42186</v>
      </c>
      <c r="B497" s="15">
        <v>0.37013888888888885</v>
      </c>
      <c r="C497" s="15">
        <v>0.38819444444444445</v>
      </c>
      <c r="D497" s="15">
        <f>(0.388194444444444-0.370138888888889)</f>
        <v>1.8055555555554992E-2</v>
      </c>
      <c r="E497" s="15">
        <f>ABS(0.018055555555555-0.019444444444444)</f>
        <v>1.3888888888890019E-3</v>
      </c>
      <c r="F497" t="s">
        <v>10</v>
      </c>
      <c r="G497" s="16"/>
    </row>
    <row r="498" spans="1:7" x14ac:dyDescent="0.25">
      <c r="A498" s="11">
        <v>42186</v>
      </c>
      <c r="B498" s="15">
        <v>0.39999999999999997</v>
      </c>
      <c r="C498" s="15">
        <v>0.41944444444444445</v>
      </c>
      <c r="D498" s="15">
        <f>(0.419444444444444-0.4)</f>
        <v>1.9444444444443987E-2</v>
      </c>
      <c r="E498" s="15">
        <f>ABS(0.019444444444444-0.019444444444444)</f>
        <v>0</v>
      </c>
      <c r="F498" t="s">
        <v>10</v>
      </c>
      <c r="G498" s="16"/>
    </row>
    <row r="499" spans="1:7" x14ac:dyDescent="0.25">
      <c r="A499" s="11">
        <v>42186</v>
      </c>
      <c r="B499" s="15">
        <v>0.43888888888888888</v>
      </c>
      <c r="C499" s="15">
        <v>0.45833333333333331</v>
      </c>
      <c r="D499" s="15">
        <f>(0.458333333333333-0.438888888888889)</f>
        <v>1.9444444444443987E-2</v>
      </c>
      <c r="E499" s="15">
        <f>ABS(0.019444444444444-0.025)</f>
        <v>5.5555555555560007E-3</v>
      </c>
      <c r="F499" t="s">
        <v>10</v>
      </c>
      <c r="G499" s="16"/>
    </row>
    <row r="500" spans="1:7" x14ac:dyDescent="0.25">
      <c r="A500" s="11">
        <v>42186</v>
      </c>
      <c r="B500" s="15">
        <v>0.52847222222222223</v>
      </c>
      <c r="C500" s="15">
        <v>0.55347222222222225</v>
      </c>
      <c r="D500" s="15">
        <f>(0.553472222222222-0.528472222222222)</f>
        <v>2.5000000000000022E-2</v>
      </c>
      <c r="E500" s="15">
        <f>ABS(0.025-0.0125000000000001)</f>
        <v>1.2499999999999902E-2</v>
      </c>
      <c r="F500" t="s">
        <v>10</v>
      </c>
      <c r="G500" s="16"/>
    </row>
    <row r="501" spans="1:7" x14ac:dyDescent="0.25">
      <c r="A501" s="11">
        <v>42186</v>
      </c>
      <c r="B501" s="15">
        <v>0.72499999999999998</v>
      </c>
      <c r="C501" s="15">
        <v>0.73749999999999993</v>
      </c>
      <c r="D501" s="15">
        <f>(0.7375-0.725)</f>
        <v>1.2500000000000067E-2</v>
      </c>
      <c r="E501" s="15">
        <f>ABS(0.0125000000000001-0.00694444444444398)</f>
        <v>5.5555555555561196E-3</v>
      </c>
      <c r="F501" t="s">
        <v>10</v>
      </c>
      <c r="G501" s="16"/>
    </row>
    <row r="502" spans="1:7" x14ac:dyDescent="0.25">
      <c r="A502" s="11">
        <v>42186</v>
      </c>
      <c r="B502" s="15">
        <v>0.84305555555555556</v>
      </c>
      <c r="C502" s="15">
        <v>0.85</v>
      </c>
      <c r="D502" s="15">
        <f>(0.85-0.843055555555556)</f>
        <v>6.9444444444439757E-3</v>
      </c>
      <c r="E502" s="15">
        <f>ABS(0.00694444444444398-0.0145833333333331)</f>
        <v>7.6388888888891194E-3</v>
      </c>
      <c r="F502" t="s">
        <v>10</v>
      </c>
      <c r="G502" s="16"/>
    </row>
    <row r="503" spans="1:7" x14ac:dyDescent="0.25">
      <c r="A503" s="11">
        <v>42186</v>
      </c>
      <c r="B503" s="15">
        <v>0.9916666666666667</v>
      </c>
      <c r="C503" s="15">
        <v>1.0062499999999999</v>
      </c>
      <c r="D503" s="15">
        <f>(1.00625-0.991666666666667)</f>
        <v>1.4583333333333059E-2</v>
      </c>
      <c r="E503" s="15">
        <f>ABS(0.0145833333333331-0.01875)</f>
        <v>4.1666666666668999E-3</v>
      </c>
      <c r="F503" t="s">
        <v>10</v>
      </c>
      <c r="G503" s="16"/>
    </row>
    <row r="504" spans="1:7" x14ac:dyDescent="0.25">
      <c r="A504" s="11">
        <v>42186</v>
      </c>
      <c r="B504" s="15">
        <v>0.16805555555555554</v>
      </c>
      <c r="C504" s="15">
        <v>0.18680555555555556</v>
      </c>
      <c r="D504" s="15">
        <f>(0.186805555555556-0.168055555555556)</f>
        <v>1.8749999999999989E-2</v>
      </c>
      <c r="E504" s="15">
        <f>ABS(0.01875-0.01875)</f>
        <v>0</v>
      </c>
      <c r="F504" t="s">
        <v>10</v>
      </c>
      <c r="G504" s="16"/>
    </row>
    <row r="505" spans="1:7" x14ac:dyDescent="0.25">
      <c r="A505" s="11">
        <v>42186</v>
      </c>
      <c r="B505" s="15">
        <v>0.27638888888888885</v>
      </c>
      <c r="C505" s="15">
        <v>0.2951388888888889</v>
      </c>
      <c r="D505" s="15">
        <f>(0.295138888888889-0.276388888888889)</f>
        <v>1.8749999999999989E-2</v>
      </c>
      <c r="E505" s="15">
        <f>ABS(0.01875-0.017361111111111)</f>
        <v>1.3888888888889984E-3</v>
      </c>
      <c r="F505" t="s">
        <v>10</v>
      </c>
      <c r="G505" s="16"/>
    </row>
    <row r="506" spans="1:7" x14ac:dyDescent="0.25">
      <c r="A506" s="11">
        <v>42186</v>
      </c>
      <c r="B506" s="15">
        <v>0.4604166666666667</v>
      </c>
      <c r="C506" s="15">
        <v>0.4777777777777778</v>
      </c>
      <c r="D506" s="15">
        <f>(0.477777777777778-0.460416666666667)</f>
        <v>1.7361111111111049E-2</v>
      </c>
      <c r="E506" s="15">
        <f>ABS(0.017361111111111-0.0166666666666669)</f>
        <v>6.9444444444410197E-4</v>
      </c>
      <c r="F506" t="s">
        <v>10</v>
      </c>
      <c r="G506" s="16"/>
    </row>
    <row r="507" spans="1:7" x14ac:dyDescent="0.25">
      <c r="A507" s="11">
        <v>42186</v>
      </c>
      <c r="B507" s="15">
        <v>0.52222222222222225</v>
      </c>
      <c r="C507" s="15">
        <v>0.53888888888888886</v>
      </c>
      <c r="D507" s="15">
        <f>(0.538888888888889-0.522222222222222)</f>
        <v>1.6666666666666941E-2</v>
      </c>
      <c r="E507" s="15">
        <f>ABS(0.0166666666666669-0.0166666666666669)</f>
        <v>0</v>
      </c>
      <c r="F507" t="s">
        <v>10</v>
      </c>
      <c r="G507" s="16"/>
    </row>
    <row r="508" spans="1:7" x14ac:dyDescent="0.25">
      <c r="A508" s="11">
        <v>42186</v>
      </c>
      <c r="B508" s="15">
        <v>0.80694444444444446</v>
      </c>
      <c r="C508" s="15">
        <v>0.82361111111111107</v>
      </c>
      <c r="D508" s="15">
        <f>(0.823611111111111-0.806944444444444)</f>
        <v>1.6666666666666941E-2</v>
      </c>
      <c r="E508" s="15">
        <f>ABS(0.0166666666666669-0.0166666666666661)</f>
        <v>7.9797279894933126E-16</v>
      </c>
      <c r="F508" t="s">
        <v>10</v>
      </c>
      <c r="G508" s="16"/>
    </row>
    <row r="509" spans="1:7" x14ac:dyDescent="0.25">
      <c r="A509" s="11">
        <v>42186</v>
      </c>
      <c r="B509" s="15">
        <v>0.4604166666666667</v>
      </c>
      <c r="C509" s="15">
        <v>0.4770833333333333</v>
      </c>
      <c r="D509" s="15">
        <f>(0.477083333333333-0.460416666666667)</f>
        <v>1.6666666666666052E-2</v>
      </c>
      <c r="E509" s="15">
        <f>ABS(0.0166666666666661-0.016666666666667)</f>
        <v>8.9858676055598607E-16</v>
      </c>
      <c r="F509" t="s">
        <v>10</v>
      </c>
      <c r="G509" s="16"/>
    </row>
    <row r="510" spans="1:7" x14ac:dyDescent="0.25">
      <c r="A510" s="11">
        <v>42186</v>
      </c>
      <c r="B510" s="15">
        <v>0.47222222222222227</v>
      </c>
      <c r="C510" s="15">
        <v>0.48888888888888887</v>
      </c>
      <c r="D510" s="15">
        <f>(0.488888888888889-0.472222222222222)</f>
        <v>1.6666666666666996E-2</v>
      </c>
      <c r="E510" s="15"/>
      <c r="F510" t="s">
        <v>10</v>
      </c>
      <c r="G510" s="16"/>
    </row>
    <row r="511" spans="1:7" x14ac:dyDescent="0.25">
      <c r="A511" s="11">
        <v>42186</v>
      </c>
      <c r="B511" s="10">
        <v>0.84652777777777777</v>
      </c>
      <c r="C511" s="10">
        <v>0.8534722222222223</v>
      </c>
      <c r="D511" s="10">
        <f>(0.853472222222222-0.846527777777778)</f>
        <v>6.9444444444439757E-3</v>
      </c>
      <c r="E511" s="10">
        <f>ABS(0.00694444444444398-0.034722222222222)</f>
        <v>2.7777777777778023E-2</v>
      </c>
      <c r="F511" t="s">
        <v>8</v>
      </c>
      <c r="G511" s="16"/>
    </row>
    <row r="512" spans="1:7" x14ac:dyDescent="0.25">
      <c r="A512" s="11">
        <v>42186</v>
      </c>
      <c r="B512" s="10">
        <v>0.28125</v>
      </c>
      <c r="C512" s="10">
        <v>0.31597222222222221</v>
      </c>
      <c r="D512" s="10">
        <f>(0.315972222222222-0.28125)</f>
        <v>3.4722222222221988E-2</v>
      </c>
      <c r="E512" s="10">
        <f>ABS(0.034722222222222-0.019444444444444)</f>
        <v>1.5277777777778001E-2</v>
      </c>
      <c r="F512" t="s">
        <v>8</v>
      </c>
      <c r="G512" s="16"/>
    </row>
    <row r="513" spans="1:7" x14ac:dyDescent="0.25">
      <c r="A513" s="11">
        <v>42186</v>
      </c>
      <c r="B513" s="10">
        <v>0.34027777777777773</v>
      </c>
      <c r="C513" s="10">
        <v>0.35972222222222222</v>
      </c>
      <c r="D513" s="10">
        <f>(0.359722222222222-0.340277777777778)</f>
        <v>1.9444444444443987E-2</v>
      </c>
      <c r="E513" s="10">
        <f>ABS(0.019444444444444-0.038888888888889)</f>
        <v>1.9444444444445E-2</v>
      </c>
      <c r="F513" t="s">
        <v>8</v>
      </c>
      <c r="G513" s="16"/>
    </row>
    <row r="514" spans="1:7" x14ac:dyDescent="0.25">
      <c r="A514" s="11">
        <v>42186</v>
      </c>
      <c r="B514" s="10">
        <v>0.75347222222222221</v>
      </c>
      <c r="C514" s="10">
        <v>0.79236111111111107</v>
      </c>
      <c r="D514" s="10">
        <f>(0.792361111111111-0.753472222222222)</f>
        <v>3.8888888888888973E-2</v>
      </c>
      <c r="E514" s="10">
        <f>ABS(0.038888888888889-0.010416666666667)</f>
        <v>2.8472222222222003E-2</v>
      </c>
      <c r="F514" t="s">
        <v>8</v>
      </c>
      <c r="G514" s="16"/>
    </row>
    <row r="515" spans="1:7" x14ac:dyDescent="0.25">
      <c r="A515" s="11">
        <v>42186</v>
      </c>
      <c r="B515" s="10">
        <v>0.18819444444444444</v>
      </c>
      <c r="C515" s="10">
        <v>0.1986111111111111</v>
      </c>
      <c r="D515" s="10">
        <f>(0.198611111111111-0.188194444444444)</f>
        <v>1.041666666666699E-2</v>
      </c>
      <c r="E515" s="10">
        <f>ABS(0.010416666666667-0.015972222222222)</f>
        <v>5.5555555555549998E-3</v>
      </c>
      <c r="F515" t="s">
        <v>8</v>
      </c>
      <c r="G515" s="16"/>
    </row>
    <row r="516" spans="1:7" x14ac:dyDescent="0.25">
      <c r="A516" s="11">
        <v>42186</v>
      </c>
      <c r="B516" s="10">
        <v>0.4368055555555555</v>
      </c>
      <c r="C516" s="10">
        <v>0.45277777777777778</v>
      </c>
      <c r="D516" s="10">
        <f>(0.452777777777778-0.436805555555556)</f>
        <v>1.5972222222221999E-2</v>
      </c>
      <c r="E516" s="10">
        <f>ABS(0.015972222222222-0.016666666666667)</f>
        <v>6.9444444444500056E-4</v>
      </c>
      <c r="F516" t="s">
        <v>8</v>
      </c>
      <c r="G516" s="16"/>
    </row>
    <row r="517" spans="1:7" x14ac:dyDescent="0.25">
      <c r="A517" s="11">
        <v>42186</v>
      </c>
      <c r="B517" s="10">
        <v>0.42083333333333334</v>
      </c>
      <c r="C517" s="10">
        <v>0.4375</v>
      </c>
      <c r="D517" s="10">
        <f>(0.4375-0.420833333333333)</f>
        <v>1.6666666666666996E-2</v>
      </c>
      <c r="E517" s="10">
        <f>ABS(0.016666666666667-0.0125)</f>
        <v>4.1666666666669988E-3</v>
      </c>
      <c r="F517" t="s">
        <v>8</v>
      </c>
      <c r="G517" s="16"/>
    </row>
    <row r="518" spans="1:7" x14ac:dyDescent="0.25">
      <c r="A518" s="11">
        <v>42186</v>
      </c>
      <c r="B518" s="10">
        <v>0.90416666666666667</v>
      </c>
      <c r="C518" s="10">
        <v>0.91666666666666663</v>
      </c>
      <c r="D518" s="10">
        <f>(0.916666666666667-0.904166666666667)</f>
        <v>1.2499999999999956E-2</v>
      </c>
      <c r="E518" s="10">
        <f>ABS(0.0125-0.0125000000000001)</f>
        <v>9.8879238130678004E-17</v>
      </c>
      <c r="F518" t="s">
        <v>8</v>
      </c>
      <c r="G518" s="16"/>
    </row>
    <row r="519" spans="1:7" x14ac:dyDescent="0.25">
      <c r="A519" s="11">
        <v>42186</v>
      </c>
      <c r="B519" s="10">
        <v>0.91736111111111107</v>
      </c>
      <c r="C519" s="10">
        <v>0.92986111111111114</v>
      </c>
      <c r="D519" s="10">
        <f>(0.929861111111111-0.917361111111111)</f>
        <v>1.2500000000000067E-2</v>
      </c>
      <c r="E519" s="10">
        <f>ABS(0.0125000000000001-0.0173611111111109)</f>
        <v>4.8611111111108007E-3</v>
      </c>
      <c r="F519" t="s">
        <v>8</v>
      </c>
      <c r="G519" s="16"/>
    </row>
    <row r="520" spans="1:7" x14ac:dyDescent="0.25">
      <c r="A520" s="11">
        <v>42186</v>
      </c>
      <c r="B520" s="10">
        <v>0.67638888888888893</v>
      </c>
      <c r="C520" s="10">
        <v>0.69374999999999998</v>
      </c>
      <c r="D520" s="10">
        <f>(0.69375-0.676388888888889)</f>
        <v>1.7361111111110938E-2</v>
      </c>
      <c r="E520" s="10">
        <f>ABS(0.0173611111111109-0.0125)</f>
        <v>4.8611111111108996E-3</v>
      </c>
      <c r="F520" t="s">
        <v>8</v>
      </c>
      <c r="G520" s="16"/>
    </row>
    <row r="521" spans="1:7" x14ac:dyDescent="0.25">
      <c r="A521" s="11">
        <v>42186</v>
      </c>
      <c r="B521" s="10">
        <v>0.77638888888888891</v>
      </c>
      <c r="C521" s="10">
        <v>0.78888888888888886</v>
      </c>
      <c r="D521" s="10">
        <f>(0.788888888888889-0.776388888888889)</f>
        <v>1.2499999999999956E-2</v>
      </c>
      <c r="E521" s="10">
        <f>ABS(0.0125-0.041666666666667)</f>
        <v>2.9166666666666997E-2</v>
      </c>
      <c r="F521" t="s">
        <v>8</v>
      </c>
      <c r="G521" s="16"/>
    </row>
    <row r="522" spans="1:7" x14ac:dyDescent="0.25">
      <c r="A522" s="11">
        <v>42186</v>
      </c>
      <c r="B522" s="10">
        <v>0.84375</v>
      </c>
      <c r="C522" s="10">
        <v>0.88541666666666663</v>
      </c>
      <c r="D522" s="10">
        <f>(0.885416666666667-0.84375)</f>
        <v>4.1666666666666963E-2</v>
      </c>
      <c r="E522" s="10">
        <f>ABS(0.041666666666667-0.0194444444444449)</f>
        <v>2.2222222222222098E-2</v>
      </c>
      <c r="F522" t="s">
        <v>8</v>
      </c>
      <c r="G522" s="16"/>
    </row>
    <row r="523" spans="1:7" x14ac:dyDescent="0.25">
      <c r="A523" s="11">
        <v>42186</v>
      </c>
      <c r="B523" s="10">
        <v>0.52708333333333335</v>
      </c>
      <c r="C523" s="10">
        <v>0.54652777777777783</v>
      </c>
      <c r="D523" s="10">
        <f>(0.546527777777778-0.527083333333333)</f>
        <v>1.944444444444493E-2</v>
      </c>
      <c r="E523" s="10">
        <f>ABS(0.0194444444444449-0.022222222222223)</f>
        <v>2.777777777778101E-3</v>
      </c>
      <c r="F523" t="s">
        <v>8</v>
      </c>
      <c r="G523" s="16"/>
    </row>
    <row r="524" spans="1:7" x14ac:dyDescent="0.25">
      <c r="A524" s="11">
        <v>42186</v>
      </c>
      <c r="B524" s="10">
        <v>0.65694444444444444</v>
      </c>
      <c r="C524" s="10">
        <v>0.6791666666666667</v>
      </c>
      <c r="D524" s="10">
        <f>(0.679166666666667-0.656944444444444)</f>
        <v>2.2222222222223031E-2</v>
      </c>
      <c r="E524" s="10">
        <f>ABS(0.022222222222223-0.0125)</f>
        <v>9.7222222222229995E-3</v>
      </c>
      <c r="F524" t="s">
        <v>8</v>
      </c>
      <c r="G524" s="16"/>
    </row>
    <row r="525" spans="1:7" x14ac:dyDescent="0.25">
      <c r="A525" s="11">
        <v>42186</v>
      </c>
      <c r="B525" s="10">
        <v>0.68958333333333333</v>
      </c>
      <c r="C525" s="10">
        <v>0.70208333333333339</v>
      </c>
      <c r="D525" s="10">
        <f>(0.702083333333333-0.689583333333333)</f>
        <v>1.2499999999999956E-2</v>
      </c>
      <c r="E525" s="10">
        <f>ABS(0.0125-0.011805555555556)</f>
        <v>6.9444444444400136E-4</v>
      </c>
      <c r="F525" t="s">
        <v>8</v>
      </c>
      <c r="G525" s="16"/>
    </row>
    <row r="526" spans="1:7" x14ac:dyDescent="0.25">
      <c r="A526" s="11">
        <v>42186</v>
      </c>
      <c r="B526" s="10">
        <v>0.77569444444444446</v>
      </c>
      <c r="C526" s="10">
        <v>0.78749999999999998</v>
      </c>
      <c r="D526" s="10">
        <f>(0.7875-0.775694444444444)</f>
        <v>1.1805555555555958E-2</v>
      </c>
      <c r="E526" s="10">
        <f>ABS(0.011805555555556-0.0173611111111109)</f>
        <v>5.5555555555549009E-3</v>
      </c>
      <c r="F526" t="s">
        <v>8</v>
      </c>
      <c r="G526" s="16"/>
    </row>
    <row r="527" spans="1:7" x14ac:dyDescent="0.25">
      <c r="A527" s="11">
        <v>42186</v>
      </c>
      <c r="B527" s="15">
        <v>0.51597222222222217</v>
      </c>
      <c r="C527" s="15">
        <v>0.53333333333333333</v>
      </c>
      <c r="D527" s="15">
        <f>(0.533333333333333-0.515972222222222)</f>
        <v>1.7361111111110938E-2</v>
      </c>
      <c r="E527" s="15">
        <f>ABS(0.0173611111111109-0.0159722222222219)</f>
        <v>1.3888888888890019E-3</v>
      </c>
      <c r="F527" t="s">
        <v>8</v>
      </c>
      <c r="G527" s="16"/>
    </row>
    <row r="528" spans="1:7" x14ac:dyDescent="0.25">
      <c r="A528" s="11">
        <v>42186</v>
      </c>
      <c r="B528" s="15">
        <v>0.64236111111111105</v>
      </c>
      <c r="C528" s="10">
        <v>0.65833333333333333</v>
      </c>
      <c r="D528" s="10">
        <f>(0.658333333333333-0.642361111111111)</f>
        <v>1.5972222222221943E-2</v>
      </c>
      <c r="E528" s="10">
        <f>ABS(0.0159722222222219-0.0187499999999999)</f>
        <v>2.7777777777780004E-3</v>
      </c>
      <c r="F528" t="s">
        <v>8</v>
      </c>
      <c r="G528" s="16"/>
    </row>
    <row r="529" spans="1:7" x14ac:dyDescent="0.25">
      <c r="A529" s="11">
        <v>42186</v>
      </c>
      <c r="B529" s="15">
        <v>0.77222222222222225</v>
      </c>
      <c r="C529" s="10">
        <v>0.7909722222222223</v>
      </c>
      <c r="D529" s="10">
        <f>(0.790972222222222-0.772222222222222)</f>
        <v>1.8749999999999933E-2</v>
      </c>
      <c r="E529" s="10">
        <f>ABS(0.0187499999999999-0.029861111111111)</f>
        <v>1.1111111111111103E-2</v>
      </c>
      <c r="F529" t="s">
        <v>8</v>
      </c>
      <c r="G529" s="16"/>
    </row>
    <row r="530" spans="1:7" x14ac:dyDescent="0.25">
      <c r="A530" s="11">
        <v>42186</v>
      </c>
      <c r="B530" s="10">
        <v>0.38750000000000001</v>
      </c>
      <c r="C530" s="10">
        <v>0.41736111111111113</v>
      </c>
      <c r="D530" s="10">
        <f>(0.417361111111111-0.3875)</f>
        <v>2.9861111111111005E-2</v>
      </c>
      <c r="E530" s="10">
        <f>ABS(0.029861111111111-0.0152777777777781)</f>
        <v>1.4583333333332902E-2</v>
      </c>
      <c r="F530" t="s">
        <v>8</v>
      </c>
      <c r="G530" s="16"/>
    </row>
    <row r="531" spans="1:7" x14ac:dyDescent="0.25">
      <c r="A531" s="11">
        <v>42186</v>
      </c>
      <c r="B531" s="15">
        <v>0.54652777777777783</v>
      </c>
      <c r="C531" s="10">
        <v>0.56180555555555556</v>
      </c>
      <c r="D531" s="10">
        <f>(0.561805555555556-0.546527777777778)</f>
        <v>1.5277777777778057E-2</v>
      </c>
      <c r="E531" s="10">
        <f>ABS(0.0152777777777781-0.022222222222222)</f>
        <v>6.9444444444439011E-3</v>
      </c>
      <c r="F531" t="s">
        <v>8</v>
      </c>
      <c r="G531" s="16"/>
    </row>
    <row r="532" spans="1:7" x14ac:dyDescent="0.25">
      <c r="A532" s="11">
        <v>42186</v>
      </c>
      <c r="B532" s="15">
        <v>0.76041666666666663</v>
      </c>
      <c r="C532" s="15">
        <v>0.78263888888888899</v>
      </c>
      <c r="D532" s="15">
        <f>(0.782638888888889-0.760416666666667)</f>
        <v>2.2222222222222032E-2</v>
      </c>
      <c r="E532" s="15">
        <f>ABS(0.022222222222222-0.013194444444445)</f>
        <v>9.0277777777770015E-3</v>
      </c>
      <c r="F532" t="s">
        <v>8</v>
      </c>
      <c r="G532" s="16"/>
    </row>
    <row r="533" spans="1:7" x14ac:dyDescent="0.25">
      <c r="A533" s="11">
        <v>42186</v>
      </c>
      <c r="B533" s="15">
        <v>0.58333333333333337</v>
      </c>
      <c r="C533" s="10">
        <v>0.59652777777777777</v>
      </c>
      <c r="D533" s="10">
        <f>(0.596527777777778-0.583333333333333)</f>
        <v>1.3194444444444953E-2</v>
      </c>
      <c r="E533" s="10">
        <f>ABS(0.013194444444445-0.0159722222222221)</f>
        <v>2.7777777777771E-3</v>
      </c>
      <c r="F533" t="s">
        <v>8</v>
      </c>
      <c r="G533" s="16"/>
    </row>
    <row r="534" spans="1:7" x14ac:dyDescent="0.25">
      <c r="A534" s="11">
        <v>42186</v>
      </c>
      <c r="B534" s="15">
        <v>0.8833333333333333</v>
      </c>
      <c r="C534" s="10">
        <v>0.89930555555555547</v>
      </c>
      <c r="D534" s="10">
        <f>(0.899305555555555-0.883333333333333)</f>
        <v>1.5972222222222054E-2</v>
      </c>
      <c r="E534" s="10">
        <f>ABS(0.0159722222222221-0.020833333333334)</f>
        <v>4.8611111111118988E-3</v>
      </c>
      <c r="F534" t="s">
        <v>8</v>
      </c>
      <c r="G534" s="16"/>
    </row>
    <row r="535" spans="1:7" x14ac:dyDescent="0.25">
      <c r="A535" s="11">
        <v>42186</v>
      </c>
      <c r="B535" s="10">
        <v>0.22708333333333333</v>
      </c>
      <c r="C535" s="10">
        <v>0.24791666666666667</v>
      </c>
      <c r="D535" s="10">
        <f>(0.247916666666667-0.227083333333333)</f>
        <v>2.0833333333334009E-2</v>
      </c>
      <c r="E535" s="10">
        <f>ABS(0.020833333333334-0.0187499999999999)</f>
        <v>2.0833333333340996E-3</v>
      </c>
      <c r="F535" t="s">
        <v>8</v>
      </c>
      <c r="G535" s="16"/>
    </row>
    <row r="536" spans="1:7" x14ac:dyDescent="0.25">
      <c r="A536" s="11">
        <v>42186</v>
      </c>
      <c r="B536" s="10">
        <v>0.71250000000000002</v>
      </c>
      <c r="C536" s="10">
        <v>0.73125000000000007</v>
      </c>
      <c r="D536" s="10">
        <f>(0.73125-0.7125)</f>
        <v>1.8749999999999933E-2</v>
      </c>
      <c r="E536" s="10">
        <f>ABS(0.0187499999999999-0.0145833333333339)</f>
        <v>4.1666666666659979E-3</v>
      </c>
      <c r="F536" t="s">
        <v>8</v>
      </c>
      <c r="G536" s="16"/>
    </row>
    <row r="537" spans="1:7" x14ac:dyDescent="0.25">
      <c r="A537" s="11">
        <v>42186</v>
      </c>
      <c r="B537" s="15">
        <v>0.65208333333333335</v>
      </c>
      <c r="C537" s="10">
        <v>0.66666666666666663</v>
      </c>
      <c r="D537" s="10">
        <f>(0.666666666666667-0.652083333333333)</f>
        <v>1.4583333333333948E-2</v>
      </c>
      <c r="E537" s="10">
        <f>ABS(0.0145833333333339-0.00694444444444398)</f>
        <v>7.6388888888899208E-3</v>
      </c>
      <c r="F537" t="s">
        <v>8</v>
      </c>
      <c r="G537" s="16"/>
    </row>
    <row r="538" spans="1:7" x14ac:dyDescent="0.25">
      <c r="A538" s="11">
        <v>42186</v>
      </c>
      <c r="B538" s="10">
        <v>0.48125000000000001</v>
      </c>
      <c r="C538" s="10">
        <v>0.48819444444444443</v>
      </c>
      <c r="D538" s="10">
        <f>(0.488194444444444-0.48125)</f>
        <v>6.9444444444439757E-3</v>
      </c>
      <c r="E538" s="10">
        <f>ABS(0.00694444444444398-0.0131944444444441)</f>
        <v>6.2500000000001192E-3</v>
      </c>
      <c r="F538" t="s">
        <v>8</v>
      </c>
      <c r="G538" s="16"/>
    </row>
    <row r="539" spans="1:7" x14ac:dyDescent="0.25">
      <c r="A539" s="11">
        <v>42186</v>
      </c>
      <c r="B539" s="10">
        <v>0.56527777777777777</v>
      </c>
      <c r="C539" s="10">
        <v>0.57847222222222217</v>
      </c>
      <c r="D539" s="10">
        <f>(0.578472222222222-0.565277777777778)</f>
        <v>1.3194444444444065E-2</v>
      </c>
      <c r="E539" s="10">
        <f>ABS(0.0131944444444441-0.0159722222222221)</f>
        <v>2.7777777777780004E-3</v>
      </c>
      <c r="F539" t="s">
        <v>8</v>
      </c>
      <c r="G539" s="16"/>
    </row>
    <row r="540" spans="1:7" x14ac:dyDescent="0.25">
      <c r="A540" s="11">
        <v>42186</v>
      </c>
      <c r="B540" s="10">
        <v>0.84791666666666676</v>
      </c>
      <c r="C540" s="10">
        <v>0.86388888888888893</v>
      </c>
      <c r="D540" s="10">
        <f>(0.863888888888889-0.847916666666667)</f>
        <v>1.5972222222222054E-2</v>
      </c>
      <c r="E540" s="10">
        <f>ABS(0.0159722222222221-0.018055555555556)</f>
        <v>2.0833333333339019E-3</v>
      </c>
      <c r="F540" t="s">
        <v>8</v>
      </c>
      <c r="G540" s="16"/>
    </row>
    <row r="541" spans="1:7" x14ac:dyDescent="0.25">
      <c r="A541" s="11">
        <v>42186</v>
      </c>
      <c r="B541" s="10">
        <v>0.78125</v>
      </c>
      <c r="C541" s="10">
        <v>0.7993055555555556</v>
      </c>
      <c r="D541" s="10">
        <f>(0.799305555555556-0.78125)</f>
        <v>1.8055555555556047E-2</v>
      </c>
      <c r="E541" s="10">
        <f>ABS(0.018055555555556-0.010416666666666)</f>
        <v>7.6388888888900015E-3</v>
      </c>
      <c r="F541" t="s">
        <v>8</v>
      </c>
      <c r="G541" s="16"/>
    </row>
    <row r="542" spans="1:7" x14ac:dyDescent="0.25">
      <c r="A542" s="11">
        <v>42186</v>
      </c>
      <c r="B542" s="10">
        <v>0.59652777777777777</v>
      </c>
      <c r="C542" s="10">
        <v>0.6069444444444444</v>
      </c>
      <c r="D542" s="10">
        <f>(0.606944444444444-0.596527777777778)</f>
        <v>1.0416666666665964E-2</v>
      </c>
      <c r="E542" s="10">
        <f>ABS(0.010416666666666-0.018055555555556)</f>
        <v>7.6388888888900015E-3</v>
      </c>
      <c r="F542" t="s">
        <v>8</v>
      </c>
      <c r="G542" s="16"/>
    </row>
    <row r="543" spans="1:7" x14ac:dyDescent="0.25">
      <c r="A543" s="11">
        <v>42186</v>
      </c>
      <c r="B543" s="10">
        <v>0.2673611111111111</v>
      </c>
      <c r="C543" s="10">
        <v>0.28541666666666665</v>
      </c>
      <c r="D543" s="10">
        <f>(0.285416666666667-0.267361111111111)</f>
        <v>1.8055555555555991E-2</v>
      </c>
      <c r="E543" s="10">
        <f>ABS(0.018055555555556-0.0138888888888891)</f>
        <v>4.1666666666669017E-3</v>
      </c>
      <c r="F543" t="s">
        <v>8</v>
      </c>
      <c r="G543" s="16"/>
    </row>
    <row r="544" spans="1:7" x14ac:dyDescent="0.25">
      <c r="A544" s="11">
        <v>42186</v>
      </c>
      <c r="B544" s="10">
        <v>0.60625000000000007</v>
      </c>
      <c r="C544" s="10">
        <v>0.62013888888888891</v>
      </c>
      <c r="D544" s="10">
        <f>(0.620138888888889-0.60625)</f>
        <v>1.3888888888889062E-2</v>
      </c>
      <c r="E544" s="10">
        <f>ABS(0.0138888888888891-0.0152777777777769)</f>
        <v>1.3888888888877998E-3</v>
      </c>
      <c r="F544" t="s">
        <v>8</v>
      </c>
      <c r="G544" s="16"/>
    </row>
    <row r="545" spans="1:7" x14ac:dyDescent="0.25">
      <c r="A545" s="11">
        <v>42186</v>
      </c>
      <c r="B545" s="10">
        <v>0.52916666666666667</v>
      </c>
      <c r="C545" s="10">
        <v>0.5444444444444444</v>
      </c>
      <c r="D545" s="10">
        <f>(0.544444444444444-0.529166666666667)</f>
        <v>1.5277777777776946E-2</v>
      </c>
      <c r="E545" s="10">
        <f>ABS(0.0152777777777769-0.00486111111111098)</f>
        <v>1.0416666666665918E-2</v>
      </c>
      <c r="F545" t="s">
        <v>8</v>
      </c>
      <c r="G545" s="16"/>
    </row>
    <row r="546" spans="1:7" x14ac:dyDescent="0.25">
      <c r="A546" s="11">
        <v>42186</v>
      </c>
      <c r="B546" s="10">
        <v>0.76874999999999993</v>
      </c>
      <c r="C546" s="10">
        <v>0.77361111111111114</v>
      </c>
      <c r="D546" s="10">
        <f>(0.773611111111111-0.76875)</f>
        <v>4.8611111111109828E-3</v>
      </c>
      <c r="E546" s="10">
        <f>ABS(0.00486111111111098-0.0125)</f>
        <v>7.6388888888890205E-3</v>
      </c>
      <c r="F546" t="s">
        <v>8</v>
      </c>
      <c r="G546" s="16"/>
    </row>
    <row r="547" spans="1:7" x14ac:dyDescent="0.25">
      <c r="A547" s="11">
        <v>42186</v>
      </c>
      <c r="B547" s="10">
        <v>0.8354166666666667</v>
      </c>
      <c r="C547" s="10">
        <v>0.84791666666666676</v>
      </c>
      <c r="D547" s="10">
        <f>(0.847916666666667-0.835416666666667)</f>
        <v>1.2499999999999956E-2</v>
      </c>
      <c r="E547" s="10">
        <f>ABS(0.0125-0.018055555555555)</f>
        <v>5.5555555555549981E-3</v>
      </c>
      <c r="F547" t="s">
        <v>8</v>
      </c>
      <c r="G547" s="16"/>
    </row>
    <row r="548" spans="1:7" x14ac:dyDescent="0.25">
      <c r="A548" s="11">
        <v>42186</v>
      </c>
      <c r="B548" s="15">
        <v>0.37013888888888885</v>
      </c>
      <c r="C548" s="10">
        <v>0.38819444444444445</v>
      </c>
      <c r="D548" s="10">
        <f>(0.388194444444444-0.370138888888889)</f>
        <v>1.8055555555554992E-2</v>
      </c>
      <c r="E548" s="10">
        <f>ABS(0.018055555555555-0.00624999999999998)</f>
        <v>1.1805555555555017E-2</v>
      </c>
      <c r="F548" t="s">
        <v>8</v>
      </c>
      <c r="G548" s="16"/>
    </row>
    <row r="549" spans="1:7" x14ac:dyDescent="0.25">
      <c r="A549" s="11">
        <v>42186</v>
      </c>
      <c r="B549" s="10">
        <v>0.58124999999999993</v>
      </c>
      <c r="C549" s="10">
        <v>0.58750000000000002</v>
      </c>
      <c r="D549" s="10">
        <f>(0.5875-0.58125)</f>
        <v>6.2499999999999778E-3</v>
      </c>
      <c r="E549" s="10"/>
      <c r="F549" t="s">
        <v>8</v>
      </c>
      <c r="G549" s="16"/>
    </row>
    <row r="550" spans="1:7" x14ac:dyDescent="0.25">
      <c r="A550" s="11">
        <v>42186</v>
      </c>
      <c r="B550" s="10">
        <v>6.1111111111111116E-2</v>
      </c>
      <c r="C550" s="10">
        <v>9.375E-2</v>
      </c>
      <c r="D550" s="10">
        <f>(0.09375-0.0611111111111111)</f>
        <v>3.2638888888888898E-2</v>
      </c>
      <c r="E550" s="10">
        <f>ABS(0.0326388888888889-0.0145833333333331)</f>
        <v>1.8055555555555797E-2</v>
      </c>
      <c r="F550" t="s">
        <v>11</v>
      </c>
      <c r="G550" s="16"/>
    </row>
    <row r="551" spans="1:7" x14ac:dyDescent="0.25">
      <c r="A551" s="11">
        <v>42186</v>
      </c>
      <c r="B551" s="10">
        <v>0.84652777777777777</v>
      </c>
      <c r="C551" s="10">
        <v>0.86111111111111116</v>
      </c>
      <c r="D551" s="10">
        <f>(0.861111111111111-0.846527777777778)</f>
        <v>1.4583333333333059E-2</v>
      </c>
      <c r="E551" s="10">
        <f>ABS(0.0145833333333331-0.0201388888888889)</f>
        <v>5.5555555555558012E-3</v>
      </c>
      <c r="F551" t="s">
        <v>11</v>
      </c>
      <c r="G551" s="16"/>
    </row>
    <row r="552" spans="1:7" x14ac:dyDescent="0.25">
      <c r="A552" s="11">
        <v>42186</v>
      </c>
      <c r="B552" s="10">
        <v>0.55277777777777781</v>
      </c>
      <c r="C552" s="10">
        <v>0.57291666666666663</v>
      </c>
      <c r="D552" s="10">
        <f>(0.572916666666667-0.552777777777778)</f>
        <v>2.0138888888888928E-2</v>
      </c>
      <c r="E552" s="10">
        <f>ABS(0.0201388888888889-0.0243055555555559)</f>
        <v>4.1666666666669988E-3</v>
      </c>
      <c r="F552" t="s">
        <v>11</v>
      </c>
      <c r="G552" s="16"/>
    </row>
    <row r="553" spans="1:7" x14ac:dyDescent="0.25">
      <c r="A553" s="11">
        <v>42186</v>
      </c>
      <c r="B553" s="10">
        <v>0.61458333333333337</v>
      </c>
      <c r="C553" s="10">
        <v>0.63888888888888895</v>
      </c>
      <c r="D553" s="10">
        <f>(0.638888888888889-0.614583333333333)</f>
        <v>2.4305555555555913E-2</v>
      </c>
      <c r="E553" s="10">
        <f>ABS(0.0243055555555559-0.017361111111111)</f>
        <v>6.9444444444448986E-3</v>
      </c>
      <c r="F553" t="s">
        <v>11</v>
      </c>
      <c r="G553" s="16"/>
    </row>
    <row r="554" spans="1:7" x14ac:dyDescent="0.25">
      <c r="A554" s="11">
        <v>42186</v>
      </c>
      <c r="B554" s="10">
        <v>0.77986111111111101</v>
      </c>
      <c r="C554" s="10">
        <v>0.79722222222222217</v>
      </c>
      <c r="D554" s="10">
        <f>(0.797222222222222-0.779861111111111)</f>
        <v>1.7361111111111049E-2</v>
      </c>
      <c r="E554" s="10">
        <f>ABS(0.017361111111111-0.0187499999999999)</f>
        <v>1.3888888888888978E-3</v>
      </c>
      <c r="F554" t="s">
        <v>11</v>
      </c>
      <c r="G554" s="16"/>
    </row>
    <row r="555" spans="1:7" x14ac:dyDescent="0.25">
      <c r="A555" s="11">
        <v>42186</v>
      </c>
      <c r="B555" s="10">
        <v>0.83958333333333324</v>
      </c>
      <c r="C555" s="10">
        <v>0.85833333333333339</v>
      </c>
      <c r="D555" s="10">
        <f>(0.858333333333333-0.839583333333333)</f>
        <v>1.8749999999999933E-2</v>
      </c>
      <c r="E555" s="10">
        <f>ABS(0.0187499999999999-0.0388888888888891)</f>
        <v>2.0138888888889199E-2</v>
      </c>
      <c r="F555" t="s">
        <v>11</v>
      </c>
      <c r="G555" s="16"/>
    </row>
    <row r="556" spans="1:7" x14ac:dyDescent="0.25">
      <c r="A556" s="11">
        <v>42186</v>
      </c>
      <c r="B556" s="10">
        <v>0.5131944444444444</v>
      </c>
      <c r="C556" s="10">
        <v>0.55208333333333337</v>
      </c>
      <c r="D556" s="10">
        <f>(0.552083333333333-0.513194444444444)</f>
        <v>3.8888888888889084E-2</v>
      </c>
      <c r="E556" s="10">
        <f>ABS(0.0388888888888891-0.022222222222222)</f>
        <v>1.6666666666667097E-2</v>
      </c>
      <c r="F556" t="s">
        <v>11</v>
      </c>
      <c r="G556" s="16"/>
    </row>
    <row r="557" spans="1:7" x14ac:dyDescent="0.25">
      <c r="A557" s="11">
        <v>42186</v>
      </c>
      <c r="B557" s="10">
        <v>0.63541666666666663</v>
      </c>
      <c r="C557" s="10">
        <v>0.65763888888888888</v>
      </c>
      <c r="D557" s="10">
        <f>(0.657638888888889-0.635416666666667)</f>
        <v>2.2222222222222032E-2</v>
      </c>
      <c r="E557" s="10">
        <f>ABS(0.022222222222222-0.051388888888889)</f>
        <v>2.9166666666666997E-2</v>
      </c>
      <c r="F557" t="s">
        <v>11</v>
      </c>
      <c r="G557" s="16"/>
    </row>
    <row r="558" spans="1:7" x14ac:dyDescent="0.25">
      <c r="A558" s="11">
        <v>42186</v>
      </c>
      <c r="B558" s="10">
        <v>0.74861111111111101</v>
      </c>
      <c r="C558" s="10">
        <v>0.79999999999999993</v>
      </c>
      <c r="D558" s="10">
        <f>(0.8-0.748611111111111)</f>
        <v>5.1388888888889039E-2</v>
      </c>
      <c r="E558" s="10">
        <f>ABS(0.051388888888889-0.0187499999999999)</f>
        <v>3.2638888888889099E-2</v>
      </c>
      <c r="F558" t="s">
        <v>11</v>
      </c>
      <c r="G558" s="16"/>
    </row>
    <row r="559" spans="1:7" x14ac:dyDescent="0.25">
      <c r="A559" s="11">
        <v>42186</v>
      </c>
      <c r="B559" s="10">
        <v>0.89513888888888893</v>
      </c>
      <c r="C559" s="10">
        <v>0.91388888888888886</v>
      </c>
      <c r="D559" s="10">
        <f>(0.913888888888889-0.895138888888889)</f>
        <v>1.8749999999999933E-2</v>
      </c>
      <c r="E559" s="10">
        <f>ABS(0.0187499999999999-0.0333333333333319)</f>
        <v>1.4583333333332005E-2</v>
      </c>
      <c r="F559" t="s">
        <v>11</v>
      </c>
      <c r="G559" s="16"/>
    </row>
    <row r="560" spans="1:7" x14ac:dyDescent="0.25">
      <c r="A560" s="11">
        <v>42186</v>
      </c>
      <c r="B560" s="10">
        <v>0.9902777777777777</v>
      </c>
      <c r="C560" s="10">
        <v>1.023611111111111</v>
      </c>
      <c r="D560" s="10">
        <f>(1.02361111111111-0.990277777777778)</f>
        <v>3.3333333333331883E-2</v>
      </c>
      <c r="E560" s="10">
        <f>ABS(0.0333333333333319-0.015972222222223)</f>
        <v>1.7361111111108902E-2</v>
      </c>
      <c r="F560" t="s">
        <v>11</v>
      </c>
      <c r="G560" s="16"/>
    </row>
    <row r="561" spans="1:7" x14ac:dyDescent="0.25">
      <c r="A561" s="11">
        <v>42186</v>
      </c>
      <c r="B561" s="10">
        <v>0.18819444444444444</v>
      </c>
      <c r="C561" s="10">
        <v>0.20416666666666669</v>
      </c>
      <c r="D561" s="10">
        <f>(0.204166666666667-0.188194444444444)</f>
        <v>1.5972222222222998E-2</v>
      </c>
      <c r="E561" s="10">
        <f>ABS(0.015972222222223-0.018055555555556)</f>
        <v>2.0833333333329998E-3</v>
      </c>
      <c r="F561" t="s">
        <v>11</v>
      </c>
      <c r="G561" s="16"/>
    </row>
    <row r="562" spans="1:7" x14ac:dyDescent="0.25">
      <c r="A562" s="11">
        <v>42186</v>
      </c>
      <c r="B562" s="10">
        <v>0.24861111111111112</v>
      </c>
      <c r="C562" s="10">
        <v>0.26666666666666666</v>
      </c>
      <c r="D562" s="10">
        <f>(0.266666666666667-0.248611111111111)</f>
        <v>1.8055555555555991E-2</v>
      </c>
      <c r="E562" s="10">
        <f>ABS(0.018055555555556-0.0187499999999999)</f>
        <v>6.9444444444389727E-4</v>
      </c>
      <c r="F562" t="s">
        <v>11</v>
      </c>
      <c r="G562" s="16"/>
    </row>
    <row r="563" spans="1:7" x14ac:dyDescent="0.25">
      <c r="A563" s="11">
        <v>42186</v>
      </c>
      <c r="B563" s="10">
        <v>0.73472222222222217</v>
      </c>
      <c r="C563" s="10">
        <v>0.75347222222222221</v>
      </c>
      <c r="D563" s="10">
        <f>(0.753472222222222-0.734722222222222)</f>
        <v>1.8749999999999933E-2</v>
      </c>
      <c r="E563" s="10">
        <f>ABS(0.0187499999999999-0.018055555555555)</f>
        <v>6.9444444444489994E-4</v>
      </c>
      <c r="F563" t="s">
        <v>11</v>
      </c>
      <c r="G563" s="16"/>
    </row>
    <row r="564" spans="1:7" x14ac:dyDescent="0.25">
      <c r="A564" s="11">
        <v>42186</v>
      </c>
      <c r="B564" s="10">
        <v>0.78541666666666676</v>
      </c>
      <c r="C564" s="10">
        <v>0.80347222222222225</v>
      </c>
      <c r="D564" s="10">
        <f>(0.803472222222222-0.785416666666667)</f>
        <v>1.8055555555555047E-2</v>
      </c>
      <c r="E564" s="10">
        <f>ABS(0.018055555555555-0.020138888888889)</f>
        <v>2.0833333333340025E-3</v>
      </c>
      <c r="F564" t="s">
        <v>11</v>
      </c>
      <c r="G564" s="16"/>
    </row>
    <row r="565" spans="1:7" x14ac:dyDescent="0.25">
      <c r="A565" s="11">
        <v>42186</v>
      </c>
      <c r="B565" s="10">
        <v>0.98611111111111116</v>
      </c>
      <c r="C565" s="10">
        <v>1.0062499999999999</v>
      </c>
      <c r="D565" s="10">
        <f>(1.00625-0.986111111111111)</f>
        <v>2.0138888888889039E-2</v>
      </c>
      <c r="E565" s="10">
        <f>ABS(0.020138888888889-0.020833333333333)</f>
        <v>6.9444444444399789E-4</v>
      </c>
      <c r="F565" t="s">
        <v>11</v>
      </c>
      <c r="G565" s="16"/>
    </row>
    <row r="566" spans="1:7" x14ac:dyDescent="0.25">
      <c r="A566" s="11">
        <v>42186</v>
      </c>
      <c r="B566" s="10">
        <v>0.96527777777777779</v>
      </c>
      <c r="C566" s="10">
        <v>0.98611111111111116</v>
      </c>
      <c r="D566" s="10">
        <f>(0.986111111111111-0.965277777777778)</f>
        <v>2.0833333333333037E-2</v>
      </c>
      <c r="E566" s="10">
        <f>ABS(0.020833333333333-0.041666666666667)</f>
        <v>2.0833333333333998E-2</v>
      </c>
      <c r="F566" t="s">
        <v>11</v>
      </c>
      <c r="G566" s="16"/>
    </row>
    <row r="567" spans="1:7" x14ac:dyDescent="0.25">
      <c r="A567" s="11">
        <v>42186</v>
      </c>
      <c r="B567" s="10">
        <v>0.21458333333333335</v>
      </c>
      <c r="C567" s="10">
        <v>0.25625000000000003</v>
      </c>
      <c r="D567" s="10">
        <f>(0.25625-0.214583333333333)</f>
        <v>4.166666666666699E-2</v>
      </c>
      <c r="E567" s="10">
        <f>ABS(0.041666666666667-0.032638888888889)</f>
        <v>9.0277777777779955E-3</v>
      </c>
      <c r="F567" t="s">
        <v>11</v>
      </c>
      <c r="G567" s="16"/>
    </row>
    <row r="568" spans="1:7" x14ac:dyDescent="0.25">
      <c r="A568" s="11">
        <v>42186</v>
      </c>
      <c r="B568" s="10">
        <v>0.67222222222222217</v>
      </c>
      <c r="C568" s="10">
        <v>0.70486111111111116</v>
      </c>
      <c r="D568" s="10">
        <f>(0.704861111111111-0.672222222222222)</f>
        <v>3.2638888888888995E-2</v>
      </c>
      <c r="E568" s="10">
        <f>ABS(0.032638888888889-0.019444444444445)</f>
        <v>1.3194444444444002E-2</v>
      </c>
      <c r="F568" t="s">
        <v>11</v>
      </c>
      <c r="G568" s="16"/>
    </row>
    <row r="569" spans="1:7" x14ac:dyDescent="0.25">
      <c r="A569" s="11">
        <v>42186</v>
      </c>
      <c r="B569" s="10">
        <v>0.6972222222222223</v>
      </c>
      <c r="C569" s="10">
        <v>0.71666666666666667</v>
      </c>
      <c r="D569" s="10">
        <f>(0.716666666666667-0.697222222222222)</f>
        <v>1.9444444444445041E-2</v>
      </c>
      <c r="E569" s="10">
        <f>ABS(0.019444444444445-0.0222222222222201)</f>
        <v>2.7777777777750999E-3</v>
      </c>
      <c r="F569" t="s">
        <v>11</v>
      </c>
      <c r="G569" s="16"/>
    </row>
    <row r="570" spans="1:7" x14ac:dyDescent="0.25">
      <c r="A570" s="11">
        <v>42186</v>
      </c>
      <c r="B570" s="10">
        <v>0.98125000000000007</v>
      </c>
      <c r="C570" s="10">
        <v>1.0034722222222221</v>
      </c>
      <c r="D570" s="10">
        <f>(1.00347222222222-0.98125)</f>
        <v>2.2222222222220145E-2</v>
      </c>
      <c r="E570" s="10">
        <f>ABS(0.0222222222222201-0.0402777777777811)</f>
        <v>1.8055555555560997E-2</v>
      </c>
      <c r="F570" t="s">
        <v>11</v>
      </c>
      <c r="G570" s="16"/>
    </row>
    <row r="571" spans="1:7" x14ac:dyDescent="0.25">
      <c r="A571" s="11">
        <v>42186</v>
      </c>
      <c r="B571" s="10">
        <v>0.98263888888888884</v>
      </c>
      <c r="C571" s="10">
        <v>1.0229166666666667</v>
      </c>
      <c r="D571" s="10">
        <f>(1.02291666666667-0.982638888888889)</f>
        <v>4.0277777777781076E-2</v>
      </c>
      <c r="E571" s="10">
        <f>ABS(0.0402777777777811-0.0173611111111109)</f>
        <v>2.2916666666670197E-2</v>
      </c>
      <c r="F571" t="s">
        <v>11</v>
      </c>
      <c r="G571" s="16"/>
    </row>
    <row r="572" spans="1:7" x14ac:dyDescent="0.25">
      <c r="A572" s="11">
        <v>42186</v>
      </c>
      <c r="B572" s="10">
        <v>0.67638888888888893</v>
      </c>
      <c r="C572" s="10">
        <v>0.69374999999999998</v>
      </c>
      <c r="D572" s="10">
        <f>(0.69375-0.676388888888889)</f>
        <v>1.7361111111110938E-2</v>
      </c>
      <c r="E572" s="10">
        <f>ABS(0.0173611111111109-0.023611111111111)</f>
        <v>6.2500000000000992E-3</v>
      </c>
      <c r="F572" t="s">
        <v>11</v>
      </c>
      <c r="G572" s="16"/>
    </row>
    <row r="573" spans="1:7" x14ac:dyDescent="0.25">
      <c r="A573" s="11">
        <v>42186</v>
      </c>
      <c r="B573" s="10">
        <v>0.66597222222222219</v>
      </c>
      <c r="C573" s="10">
        <v>0.68958333333333333</v>
      </c>
      <c r="D573" s="10">
        <f>(0.689583333333333-0.665972222222222)</f>
        <v>2.3611111111111027E-2</v>
      </c>
      <c r="E573" s="10">
        <f>ABS(0.023611111111111-0.020138888888889)</f>
        <v>3.4722222222219983E-3</v>
      </c>
      <c r="F573" t="s">
        <v>11</v>
      </c>
      <c r="G573" s="17"/>
    </row>
    <row r="574" spans="1:7" x14ac:dyDescent="0.25">
      <c r="A574" s="11">
        <v>42186</v>
      </c>
      <c r="B574" s="10">
        <v>0.75763888888888886</v>
      </c>
      <c r="C574" s="10">
        <v>0.77777777777777779</v>
      </c>
      <c r="D574" s="10">
        <f>(0.777777777777778-0.757638888888889)</f>
        <v>2.0138888888889039E-2</v>
      </c>
      <c r="E574" s="10">
        <f>ABS(0.020138888888889-0.013194444444444)</f>
        <v>6.9444444444450009E-3</v>
      </c>
      <c r="F574" t="s">
        <v>11</v>
      </c>
      <c r="G574" s="16"/>
    </row>
    <row r="575" spans="1:7" x14ac:dyDescent="0.25">
      <c r="A575" s="11">
        <v>42186</v>
      </c>
      <c r="B575" s="10">
        <v>0.84305555555555556</v>
      </c>
      <c r="C575" s="10">
        <v>0.85625000000000007</v>
      </c>
      <c r="D575" s="10">
        <f>(0.85625-0.843055555555556)</f>
        <v>1.3194444444443953E-2</v>
      </c>
      <c r="E575" s="10">
        <f>ABS(0.013194444444444-0.022916666666667)</f>
        <v>9.7222222222230013E-3</v>
      </c>
      <c r="F575" t="s">
        <v>11</v>
      </c>
      <c r="G575" s="16"/>
    </row>
    <row r="576" spans="1:7" x14ac:dyDescent="0.25">
      <c r="A576" s="11">
        <v>42186</v>
      </c>
      <c r="B576" s="10">
        <v>0.36388888888888887</v>
      </c>
      <c r="C576" s="10">
        <v>0.38680555555555557</v>
      </c>
      <c r="D576" s="10">
        <f>(0.386805555555556-0.363888888888889)</f>
        <v>2.2916666666667029E-2</v>
      </c>
      <c r="E576" s="10">
        <f>ABS(0.022916666666667-0.029861111111111)</f>
        <v>6.944444444444E-3</v>
      </c>
      <c r="F576" t="s">
        <v>11</v>
      </c>
      <c r="G576" s="16"/>
    </row>
    <row r="577" spans="1:7" x14ac:dyDescent="0.25">
      <c r="A577" s="11">
        <v>42186</v>
      </c>
      <c r="B577" s="10">
        <v>0.47916666666666669</v>
      </c>
      <c r="C577" s="10">
        <v>0.50902777777777775</v>
      </c>
      <c r="D577" s="10">
        <f>(0.509027777777778-0.479166666666667)</f>
        <v>2.986111111111095E-2</v>
      </c>
      <c r="E577" s="10">
        <f>ABS(0.029861111111111-0.0194444444444439)</f>
        <v>1.0416666666667102E-2</v>
      </c>
      <c r="F577" t="s">
        <v>11</v>
      </c>
      <c r="G577" s="16"/>
    </row>
    <row r="578" spans="1:7" x14ac:dyDescent="0.25">
      <c r="A578" s="11">
        <v>42186</v>
      </c>
      <c r="B578" s="10">
        <v>0.8340277777777777</v>
      </c>
      <c r="C578" s="10">
        <v>0.8534722222222223</v>
      </c>
      <c r="D578" s="10">
        <f>(0.853472222222222-0.834027777777778)</f>
        <v>1.9444444444443931E-2</v>
      </c>
      <c r="E578" s="10">
        <f>ABS(0.0194444444444439-0.018055555555556)</f>
        <v>1.3888888888878986E-3</v>
      </c>
      <c r="F578" t="s">
        <v>11</v>
      </c>
      <c r="G578" s="16"/>
    </row>
    <row r="579" spans="1:7" x14ac:dyDescent="0.25">
      <c r="A579" s="11">
        <v>42186</v>
      </c>
      <c r="B579" s="10">
        <v>0.3888888888888889</v>
      </c>
      <c r="C579" s="10">
        <v>0.4069444444444445</v>
      </c>
      <c r="D579" s="10">
        <f>(0.406944444444445-0.388888888888889)</f>
        <v>1.8055555555555991E-2</v>
      </c>
      <c r="E579" s="10">
        <f>ABS(0.018055555555556-0.023611111111111)</f>
        <v>5.5555555555549981E-3</v>
      </c>
      <c r="F579" t="s">
        <v>11</v>
      </c>
      <c r="G579" s="16"/>
    </row>
    <row r="580" spans="1:7" x14ac:dyDescent="0.25">
      <c r="A580" s="11">
        <v>42186</v>
      </c>
      <c r="B580" s="6">
        <v>0.375</v>
      </c>
      <c r="C580" s="10">
        <v>0.39861111111111108</v>
      </c>
      <c r="D580" s="10">
        <f>(0.398611111111111-0.375)</f>
        <v>2.3611111111111027E-2</v>
      </c>
      <c r="E580" s="10">
        <f>ABS(0.023611111111111-0.0229166666666659)</f>
        <v>6.9444444444510117E-4</v>
      </c>
      <c r="F580" t="s">
        <v>11</v>
      </c>
      <c r="G580" s="16"/>
    </row>
    <row r="581" spans="1:7" x14ac:dyDescent="0.25">
      <c r="A581" s="11">
        <v>42186</v>
      </c>
      <c r="B581" s="10">
        <v>0.57916666666666672</v>
      </c>
      <c r="C581" s="10">
        <v>0.6020833333333333</v>
      </c>
      <c r="D581" s="10">
        <f>(0.602083333333333-0.579166666666667)</f>
        <v>2.2916666666665919E-2</v>
      </c>
      <c r="E581" s="10">
        <f>ABS(0.0229166666666659-0.022916666666667)</f>
        <v>1.1032841307212493E-15</v>
      </c>
      <c r="F581" t="s">
        <v>11</v>
      </c>
      <c r="G581" s="16"/>
    </row>
    <row r="582" spans="1:7" x14ac:dyDescent="0.25">
      <c r="A582" s="11">
        <v>42186</v>
      </c>
      <c r="B582" s="6">
        <v>0.68819444444444444</v>
      </c>
      <c r="C582" s="10">
        <v>0.71111111111111114</v>
      </c>
      <c r="D582" s="10">
        <f>(0.711111111111111-0.688194444444444)</f>
        <v>2.2916666666667029E-2</v>
      </c>
      <c r="E582" s="10">
        <f>ABS(0.022916666666667-0.029166666666667)</f>
        <v>6.2499999999999986E-3</v>
      </c>
      <c r="F582" t="s">
        <v>11</v>
      </c>
      <c r="G582" s="16"/>
    </row>
    <row r="583" spans="1:7" x14ac:dyDescent="0.25">
      <c r="A583" s="11">
        <v>42186</v>
      </c>
      <c r="B583" s="6">
        <v>0.77569444444444446</v>
      </c>
      <c r="C583" s="10">
        <v>0.80486111111111114</v>
      </c>
      <c r="D583" s="10">
        <f>(0.804861111111111-0.775694444444444)</f>
        <v>2.9166666666667007E-2</v>
      </c>
      <c r="E583" s="10">
        <f>ABS(0.029166666666667-0.0187499999999999)</f>
        <v>1.0416666666667102E-2</v>
      </c>
      <c r="F583" t="s">
        <v>11</v>
      </c>
      <c r="G583" s="16"/>
    </row>
    <row r="584" spans="1:7" x14ac:dyDescent="0.25">
      <c r="A584" s="11">
        <v>42186</v>
      </c>
      <c r="B584" s="6">
        <v>0.83263888888888893</v>
      </c>
      <c r="C584" s="10">
        <v>0.85138888888888886</v>
      </c>
      <c r="D584" s="10">
        <f>(0.851388888888889-0.832638888888889)</f>
        <v>1.8749999999999933E-2</v>
      </c>
      <c r="E584" s="10">
        <f>ABS(0.0187499999999999-0.025)</f>
        <v>6.2500000000001027E-3</v>
      </c>
      <c r="F584" t="s">
        <v>11</v>
      </c>
      <c r="G584" s="16"/>
    </row>
    <row r="585" spans="1:7" x14ac:dyDescent="0.25">
      <c r="A585" s="11">
        <v>42186</v>
      </c>
      <c r="B585" s="10">
        <v>0.63124999999999998</v>
      </c>
      <c r="C585" s="10">
        <v>0.65625</v>
      </c>
      <c r="D585" s="10">
        <f>(0.65625-0.63125)</f>
        <v>2.5000000000000022E-2</v>
      </c>
      <c r="E585" s="10">
        <f>ABS(0.025-0.0229166666666669)</f>
        <v>2.0833333333331004E-3</v>
      </c>
      <c r="F585" t="s">
        <v>11</v>
      </c>
      <c r="G585" s="16"/>
    </row>
    <row r="586" spans="1:7" x14ac:dyDescent="0.25">
      <c r="A586" s="11">
        <v>42186</v>
      </c>
      <c r="B586" s="10">
        <v>0.67222222222222217</v>
      </c>
      <c r="C586" s="10">
        <v>0.69513888888888886</v>
      </c>
      <c r="D586" s="10">
        <f>(0.695138888888889-0.672222222222222)</f>
        <v>2.2916666666666918E-2</v>
      </c>
      <c r="E586" s="10">
        <f>ABS(0.0229166666666669-0.020138888888889)</f>
        <v>2.7777777777778997E-3</v>
      </c>
      <c r="F586" t="s">
        <v>11</v>
      </c>
      <c r="G586" s="16"/>
    </row>
    <row r="587" spans="1:7" x14ac:dyDescent="0.25">
      <c r="A587" s="11">
        <v>42186</v>
      </c>
      <c r="B587" s="15">
        <v>0.74861111111111101</v>
      </c>
      <c r="C587" s="10">
        <v>0.76874999999999993</v>
      </c>
      <c r="D587" s="10">
        <f>(0.76875-0.748611111111111)</f>
        <v>2.0138888888889039E-2</v>
      </c>
      <c r="E587" s="10">
        <f>ABS(0.020138888888889-0.027083333333333)</f>
        <v>6.944444444444E-3</v>
      </c>
      <c r="F587" t="s">
        <v>11</v>
      </c>
      <c r="G587" s="16"/>
    </row>
    <row r="588" spans="1:7" x14ac:dyDescent="0.25">
      <c r="A588" s="11">
        <v>42186</v>
      </c>
      <c r="B588" s="15">
        <v>0.85625000000000007</v>
      </c>
      <c r="C588" s="10">
        <v>0.8833333333333333</v>
      </c>
      <c r="D588" s="10">
        <f>(0.883333333333333-0.85625)</f>
        <v>2.7083333333333015E-2</v>
      </c>
      <c r="E588" s="10">
        <f>ABS(0.027083333333333-0.0131944444444445)</f>
        <v>1.3888888888888501E-2</v>
      </c>
      <c r="F588" t="s">
        <v>11</v>
      </c>
      <c r="G588" s="16"/>
    </row>
    <row r="589" spans="1:7" x14ac:dyDescent="0.25">
      <c r="A589" s="11">
        <v>42186</v>
      </c>
      <c r="B589" s="10">
        <v>8.4722222222222213E-2</v>
      </c>
      <c r="C589" s="10">
        <v>9.7916666666666666E-2</v>
      </c>
      <c r="D589" s="10">
        <f>(0.0979166666666667-0.0847222222222222)</f>
        <v>1.3194444444444495E-2</v>
      </c>
      <c r="E589" s="10">
        <f>ABS(0.0131944444444445-0.0131944444444441)</f>
        <v>4.0072112295064244E-16</v>
      </c>
      <c r="F589" t="s">
        <v>11</v>
      </c>
      <c r="G589" s="16"/>
    </row>
    <row r="590" spans="1:7" x14ac:dyDescent="0.25">
      <c r="A590" s="11">
        <v>42186</v>
      </c>
      <c r="B590" s="10">
        <v>0.65902777777777777</v>
      </c>
      <c r="C590" s="10">
        <v>0.67222222222222217</v>
      </c>
      <c r="D590" s="10">
        <f>(0.672222222222222-0.659027777777778)</f>
        <v>1.3194444444444065E-2</v>
      </c>
      <c r="E590" s="10">
        <f>ABS(0.0131944444444441-0.0249999999999999)</f>
        <v>1.1805555555555802E-2</v>
      </c>
      <c r="F590" t="s">
        <v>11</v>
      </c>
      <c r="G590" s="16"/>
    </row>
    <row r="591" spans="1:7" x14ac:dyDescent="0.25">
      <c r="A591" s="11">
        <v>42186</v>
      </c>
      <c r="B591" s="15">
        <v>0.64236111111111105</v>
      </c>
      <c r="C591" s="10">
        <v>0.66736111111111107</v>
      </c>
      <c r="D591" s="10">
        <f>(0.667361111111111-0.642361111111111)</f>
        <v>2.4999999999999911E-2</v>
      </c>
      <c r="E591" s="10">
        <f>ABS(0.0249999999999999-0.025694444444444)</f>
        <v>6.944444444440985E-4</v>
      </c>
      <c r="F591" t="s">
        <v>11</v>
      </c>
      <c r="G591" s="16"/>
    </row>
    <row r="592" spans="1:7" x14ac:dyDescent="0.25">
      <c r="A592" s="11">
        <v>42186</v>
      </c>
      <c r="B592" s="15">
        <v>0.85902777777777783</v>
      </c>
      <c r="C592" s="10">
        <v>0.8847222222222223</v>
      </c>
      <c r="D592" s="10">
        <f>(0.884722222222222-0.859027777777778)</f>
        <v>2.569444444444402E-2</v>
      </c>
      <c r="E592" s="10">
        <f>ABS(0.025694444444444-0.0236111111111099)</f>
        <v>2.0833333333340996E-3</v>
      </c>
      <c r="F592" t="s">
        <v>11</v>
      </c>
      <c r="G592" s="16"/>
    </row>
    <row r="593" spans="1:7" x14ac:dyDescent="0.25">
      <c r="A593" s="11">
        <v>42186</v>
      </c>
      <c r="B593" s="10">
        <v>1.0062499999999999</v>
      </c>
      <c r="C593" s="10">
        <v>1.0298611111111111</v>
      </c>
      <c r="D593" s="10">
        <f>(1.02986111111111-1.00625)</f>
        <v>2.3611111111109917E-2</v>
      </c>
      <c r="E593" s="10">
        <f>ABS(0.0236111111111099-0.029861111111111)</f>
        <v>6.2500000000011019E-3</v>
      </c>
      <c r="F593" t="s">
        <v>11</v>
      </c>
      <c r="G593" s="16"/>
    </row>
    <row r="594" spans="1:7" x14ac:dyDescent="0.25">
      <c r="A594" s="11">
        <v>42186</v>
      </c>
      <c r="B594" s="10">
        <v>0.2638888888888889</v>
      </c>
      <c r="C594" s="10">
        <v>0.29375000000000001</v>
      </c>
      <c r="D594" s="10">
        <f>(0.29375-0.263888888888889)</f>
        <v>2.9861111111111005E-2</v>
      </c>
      <c r="E594" s="10">
        <f>ABS(0.029861111111111-0.029166666666667)</f>
        <v>6.9444444444400136E-4</v>
      </c>
      <c r="F594" t="s">
        <v>11</v>
      </c>
      <c r="G594" s="16"/>
    </row>
    <row r="595" spans="1:7" x14ac:dyDescent="0.25">
      <c r="A595" s="11">
        <v>42186</v>
      </c>
      <c r="B595" s="15">
        <v>0.38750000000000001</v>
      </c>
      <c r="C595" s="10">
        <v>0.41666666666666669</v>
      </c>
      <c r="D595" s="10">
        <f>(0.416666666666667-0.3875)</f>
        <v>2.9166666666667007E-2</v>
      </c>
      <c r="E595" s="10">
        <f>ABS(0.029166666666667-0.021527777777777)</f>
        <v>7.6388888888899997E-3</v>
      </c>
      <c r="F595" t="s">
        <v>11</v>
      </c>
      <c r="G595" s="16"/>
    </row>
    <row r="596" spans="1:7" x14ac:dyDescent="0.25">
      <c r="A596" s="11">
        <v>42186</v>
      </c>
      <c r="B596" s="10">
        <v>0.45555555555555555</v>
      </c>
      <c r="C596" s="10">
        <v>0.4770833333333333</v>
      </c>
      <c r="D596" s="10">
        <f>(0.477083333333333-0.455555555555556)</f>
        <v>2.1527777777777035E-2</v>
      </c>
      <c r="E596" s="10">
        <f>ABS(0.021527777777777-0.026388888888889)</f>
        <v>4.8611111111119994E-3</v>
      </c>
      <c r="F596" t="s">
        <v>11</v>
      </c>
      <c r="G596" s="16"/>
    </row>
    <row r="597" spans="1:7" x14ac:dyDescent="0.25">
      <c r="A597" s="11">
        <v>42186</v>
      </c>
      <c r="B597" s="15">
        <v>0.3979166666666667</v>
      </c>
      <c r="C597" s="10">
        <v>0.42430555555555555</v>
      </c>
      <c r="D597" s="10">
        <f>(0.424305555555556-0.397916666666667)</f>
        <v>2.6388888888889017E-2</v>
      </c>
      <c r="E597" s="10">
        <f>ABS(0.026388888888889-0.0152777777777781)</f>
        <v>1.11111111111109E-2</v>
      </c>
      <c r="F597" t="s">
        <v>11</v>
      </c>
      <c r="G597" s="16"/>
    </row>
    <row r="598" spans="1:7" x14ac:dyDescent="0.25">
      <c r="A598" s="11">
        <v>42186</v>
      </c>
      <c r="B598" s="15">
        <v>0.54652777777777783</v>
      </c>
      <c r="C598" s="10">
        <v>0.56180555555555556</v>
      </c>
      <c r="D598" s="10">
        <f>(0.561805555555556-0.546527777777778)</f>
        <v>1.5277777777778057E-2</v>
      </c>
      <c r="E598" s="10">
        <f>ABS(0.0152777777777781-0.020833333333333)</f>
        <v>5.5555555555548992E-3</v>
      </c>
      <c r="F598" t="s">
        <v>11</v>
      </c>
      <c r="G598" s="16"/>
    </row>
    <row r="599" spans="1:7" x14ac:dyDescent="0.25">
      <c r="A599" s="11">
        <v>42186</v>
      </c>
      <c r="B599" s="15">
        <v>0.81388888888888899</v>
      </c>
      <c r="C599" s="10">
        <v>0.83472222222222225</v>
      </c>
      <c r="D599" s="10">
        <f>(0.834722222222222-0.813888888888889)</f>
        <v>2.0833333333333037E-2</v>
      </c>
      <c r="E599" s="10">
        <f>ABS(0.020833333333333-0.024305555555555)</f>
        <v>3.4722222222220017E-3</v>
      </c>
      <c r="F599" t="s">
        <v>11</v>
      </c>
      <c r="G599" s="16"/>
    </row>
    <row r="600" spans="1:7" x14ac:dyDescent="0.25">
      <c r="A600" s="11">
        <v>42186</v>
      </c>
      <c r="B600" s="15">
        <v>0.76041666666666663</v>
      </c>
      <c r="C600" s="10">
        <v>0.78472222222222221</v>
      </c>
      <c r="D600" s="10">
        <f>(0.784722222222222-0.760416666666667)</f>
        <v>2.4305555555555025E-2</v>
      </c>
      <c r="E600" s="10">
        <f>ABS(0.024305555555555-0.0270833333333333)</f>
        <v>2.7777777777782987E-3</v>
      </c>
      <c r="F600" t="s">
        <v>11</v>
      </c>
      <c r="G600" s="16"/>
    </row>
    <row r="601" spans="1:7" x14ac:dyDescent="0.25">
      <c r="A601" s="11">
        <v>42186</v>
      </c>
      <c r="B601" s="10">
        <v>6.3888888888888884E-2</v>
      </c>
      <c r="C601" s="10">
        <v>9.0972222222222218E-2</v>
      </c>
      <c r="D601" s="10">
        <f>(0.0909722222222222-0.0638888888888889)</f>
        <v>2.7083333333333307E-2</v>
      </c>
      <c r="E601" s="10">
        <f>ABS(0.0270833333333333-0.026388888888889)</f>
        <v>6.9444444444429973E-4</v>
      </c>
      <c r="F601" t="s">
        <v>11</v>
      </c>
      <c r="G601" s="16"/>
    </row>
    <row r="602" spans="1:7" x14ac:dyDescent="0.25">
      <c r="A602" s="11">
        <v>42186</v>
      </c>
      <c r="B602" s="10">
        <v>0.90625</v>
      </c>
      <c r="C602" s="10">
        <v>0.93263888888888891</v>
      </c>
      <c r="D602" s="10">
        <f>(0.932638888888889-0.90625)</f>
        <v>2.6388888888889017E-2</v>
      </c>
      <c r="E602" s="10">
        <f>ABS(0.026388888888889-0.00625000000000003)</f>
        <v>2.013888888888897E-2</v>
      </c>
      <c r="F602" t="s">
        <v>11</v>
      </c>
      <c r="G602" s="16"/>
    </row>
    <row r="603" spans="1:7" x14ac:dyDescent="0.25">
      <c r="A603" s="11">
        <v>42186</v>
      </c>
      <c r="B603" s="15">
        <v>0.33124999999999999</v>
      </c>
      <c r="C603" s="10">
        <v>0.33749999999999997</v>
      </c>
      <c r="D603" s="10">
        <f>(0.3375-0.33125)</f>
        <v>6.2500000000000333E-3</v>
      </c>
      <c r="E603" s="10">
        <f>ABS(0.00625000000000003-0.019444444444444)</f>
        <v>1.3194444444443971E-2</v>
      </c>
      <c r="F603" t="s">
        <v>11</v>
      </c>
      <c r="G603" s="16"/>
    </row>
    <row r="604" spans="1:7" x14ac:dyDescent="0.25">
      <c r="A604" s="11">
        <v>42186</v>
      </c>
      <c r="B604" s="15">
        <v>0.40902777777777777</v>
      </c>
      <c r="C604" s="10">
        <v>0.4284722222222222</v>
      </c>
      <c r="D604" s="10">
        <f>(0.428472222222222-0.409027777777778)</f>
        <v>1.9444444444443987E-2</v>
      </c>
      <c r="E604" s="10">
        <f>ABS(0.019444444444444-0.022916666666667)</f>
        <v>3.4722222222230009E-3</v>
      </c>
      <c r="F604" t="s">
        <v>11</v>
      </c>
      <c r="G604" s="16"/>
    </row>
    <row r="605" spans="1:7" x14ac:dyDescent="0.25">
      <c r="A605" s="11">
        <v>42186</v>
      </c>
      <c r="B605" s="10">
        <v>0.41875000000000001</v>
      </c>
      <c r="C605" s="10">
        <v>0.44166666666666665</v>
      </c>
      <c r="D605" s="10">
        <f>(0.441666666666667-0.41875)</f>
        <v>2.2916666666666974E-2</v>
      </c>
      <c r="E605" s="10">
        <f>ABS(0.022916666666667-0.0215277777777779)</f>
        <v>1.3888888888891025E-3</v>
      </c>
      <c r="F605" t="s">
        <v>11</v>
      </c>
      <c r="G605" s="16"/>
    </row>
    <row r="606" spans="1:7" x14ac:dyDescent="0.25">
      <c r="A606" s="11">
        <v>42186</v>
      </c>
      <c r="B606" s="10">
        <v>0.92361111111111116</v>
      </c>
      <c r="C606" s="10">
        <v>0.94513888888888886</v>
      </c>
      <c r="D606" s="10">
        <f>(0.945138888888889-0.923611111111111)</f>
        <v>2.1527777777777923E-2</v>
      </c>
      <c r="E606" s="10">
        <f>ABS(0.0215277777777779-0.0194444444444399)</f>
        <v>2.0833333333379993E-3</v>
      </c>
      <c r="F606" t="s">
        <v>11</v>
      </c>
      <c r="G606" s="16"/>
    </row>
    <row r="607" spans="1:7" x14ac:dyDescent="0.25">
      <c r="A607" s="11">
        <v>42186</v>
      </c>
      <c r="B607" s="10">
        <v>1.0041666666666667</v>
      </c>
      <c r="C607" s="10">
        <v>1.023611111111111</v>
      </c>
      <c r="D607" s="10">
        <f>(1.02361111111111-1.00416666666667)</f>
        <v>1.9444444444439934E-2</v>
      </c>
      <c r="E607" s="10">
        <f>ABS(0.0194444444444399-0.019444444444445)</f>
        <v>5.1000870193718129E-15</v>
      </c>
      <c r="F607" t="s">
        <v>11</v>
      </c>
      <c r="G607" s="16"/>
    </row>
    <row r="608" spans="1:7" x14ac:dyDescent="0.25">
      <c r="A608" s="11">
        <v>42186</v>
      </c>
      <c r="B608" s="10">
        <v>0.24097222222222223</v>
      </c>
      <c r="C608" s="10">
        <v>0.26041666666666669</v>
      </c>
      <c r="D608" s="10">
        <f>(0.260416666666667-0.240972222222222)</f>
        <v>1.9444444444445014E-2</v>
      </c>
      <c r="E608" s="10">
        <f>ABS(0.019444444444445-0.0215277777777769)</f>
        <v>2.0833333333319E-3</v>
      </c>
      <c r="F608" t="s">
        <v>11</v>
      </c>
      <c r="G608" s="16"/>
    </row>
    <row r="609" spans="1:7" x14ac:dyDescent="0.25">
      <c r="A609" s="11">
        <v>42186</v>
      </c>
      <c r="B609" s="10">
        <v>0.5180555555555556</v>
      </c>
      <c r="C609" s="10">
        <v>0.5395833333333333</v>
      </c>
      <c r="D609" s="10">
        <f>(0.539583333333333-0.518055555555556)</f>
        <v>2.1527777777776924E-2</v>
      </c>
      <c r="E609" s="10">
        <f>ABS(0.0215277777777769-0.0236111111111109)</f>
        <v>2.083333333333999E-3</v>
      </c>
      <c r="F609" t="s">
        <v>11</v>
      </c>
      <c r="G609" s="16"/>
    </row>
    <row r="610" spans="1:7" x14ac:dyDescent="0.25">
      <c r="A610" s="11">
        <v>42186</v>
      </c>
      <c r="B610" s="15">
        <v>0.5854166666666667</v>
      </c>
      <c r="C610" s="10">
        <v>0.60902777777777783</v>
      </c>
      <c r="D610" s="10">
        <f>(0.609027777777778-0.585416666666667)</f>
        <v>2.3611111111110916E-2</v>
      </c>
      <c r="E610" s="10">
        <f>ABS(0.0236111111111109-0.019444444444444)</f>
        <v>4.1666666666668982E-3</v>
      </c>
      <c r="F610" t="s">
        <v>11</v>
      </c>
      <c r="G610" s="16"/>
    </row>
    <row r="611" spans="1:7" x14ac:dyDescent="0.25">
      <c r="A611" s="11">
        <v>42186</v>
      </c>
      <c r="B611" s="15">
        <v>0.85069444444444453</v>
      </c>
      <c r="C611" s="10">
        <v>0.87013888888888891</v>
      </c>
      <c r="D611" s="10">
        <f>(0.870138888888889-0.850694444444445)</f>
        <v>1.9444444444444042E-2</v>
      </c>
      <c r="E611" s="10">
        <f>ABS(0.019444444444444-0.021527777777777)</f>
        <v>2.0833333333329998E-3</v>
      </c>
      <c r="F611" t="s">
        <v>11</v>
      </c>
      <c r="G611" s="16"/>
    </row>
    <row r="612" spans="1:7" x14ac:dyDescent="0.25">
      <c r="A612" s="11">
        <v>42186</v>
      </c>
      <c r="B612" s="15">
        <v>0.87291666666666667</v>
      </c>
      <c r="C612" s="15">
        <v>0.89444444444444438</v>
      </c>
      <c r="D612" s="15">
        <f>(0.894444444444444-0.872916666666667)</f>
        <v>2.1527777777777035E-2</v>
      </c>
      <c r="E612" s="15">
        <f>ABS(0.021527777777777-0.022222222222223)</f>
        <v>6.9444444444599976E-4</v>
      </c>
      <c r="F612" t="s">
        <v>11</v>
      </c>
      <c r="G612" s="16"/>
    </row>
    <row r="613" spans="1:7" x14ac:dyDescent="0.25">
      <c r="A613" s="11">
        <v>42186</v>
      </c>
      <c r="B613" s="10">
        <v>0.93819444444444444</v>
      </c>
      <c r="C613" s="10">
        <v>0.9604166666666667</v>
      </c>
      <c r="D613" s="10">
        <f>(0.960416666666667-0.938194444444444)</f>
        <v>2.2222222222223031E-2</v>
      </c>
      <c r="E613" s="10">
        <f>ABS(0.022222222222223-0.021527777777778)</f>
        <v>6.9444444444500056E-4</v>
      </c>
      <c r="F613" t="s">
        <v>11</v>
      </c>
      <c r="G613" s="16"/>
    </row>
    <row r="614" spans="1:7" x14ac:dyDescent="0.25">
      <c r="A614" s="11">
        <v>42186</v>
      </c>
      <c r="B614" s="15">
        <v>0.8833333333333333</v>
      </c>
      <c r="C614" s="10">
        <v>0.90486111111111101</v>
      </c>
      <c r="D614" s="10">
        <f>(0.904861111111111-0.883333333333333)</f>
        <v>2.1527777777778034E-2</v>
      </c>
      <c r="E614" s="10">
        <f>ABS(0.021527777777778-0.020138888888889)</f>
        <v>1.3888888888889984E-3</v>
      </c>
      <c r="F614" t="s">
        <v>11</v>
      </c>
      <c r="G614" s="16"/>
    </row>
    <row r="615" spans="1:7" x14ac:dyDescent="0.25">
      <c r="A615" s="11">
        <v>42186</v>
      </c>
      <c r="B615" s="15">
        <v>0.69236111111111109</v>
      </c>
      <c r="C615" s="10">
        <v>0.71250000000000002</v>
      </c>
      <c r="D615" s="10">
        <f>(0.7125-0.692361111111111)</f>
        <v>2.0138888888889039E-2</v>
      </c>
      <c r="E615" s="10">
        <f>ABS(0.020138888888889-0.018055555555556)</f>
        <v>2.0833333333329998E-3</v>
      </c>
      <c r="F615" t="s">
        <v>11</v>
      </c>
      <c r="G615" s="16"/>
    </row>
    <row r="616" spans="1:7" x14ac:dyDescent="0.25">
      <c r="A616" s="11">
        <v>42186</v>
      </c>
      <c r="B616" s="15">
        <v>0.66597222222222219</v>
      </c>
      <c r="C616" s="10">
        <v>0.68402777777777779</v>
      </c>
      <c r="D616" s="10">
        <f>(0.684027777777778-0.665972222222222)</f>
        <v>1.8055555555556047E-2</v>
      </c>
      <c r="E616" s="10">
        <f>ABS(0.018055555555556-0.0208333333333329)</f>
        <v>2.7777777777768971E-3</v>
      </c>
      <c r="F616" t="s">
        <v>11</v>
      </c>
      <c r="G616" s="16"/>
    </row>
    <row r="617" spans="1:7" x14ac:dyDescent="0.25">
      <c r="A617" s="11">
        <v>42186</v>
      </c>
      <c r="B617" s="15">
        <v>0.7416666666666667</v>
      </c>
      <c r="C617" s="10">
        <v>0.76250000000000007</v>
      </c>
      <c r="D617" s="10">
        <f>(0.7625-0.741666666666667)</f>
        <v>2.0833333333332926E-2</v>
      </c>
      <c r="E617" s="10">
        <f>ABS(0.0208333333333329-0.0201388888888889)</f>
        <v>6.9444444444399789E-4</v>
      </c>
      <c r="F617" t="s">
        <v>11</v>
      </c>
      <c r="G617" s="16"/>
    </row>
    <row r="618" spans="1:7" x14ac:dyDescent="0.25">
      <c r="A618" s="11">
        <v>42186</v>
      </c>
      <c r="B618" s="10">
        <v>0.95833333333333337</v>
      </c>
      <c r="C618" s="10">
        <v>0.9784722222222223</v>
      </c>
      <c r="D618" s="10">
        <f>(0.978472222222222-0.958333333333333)</f>
        <v>2.0138888888888928E-2</v>
      </c>
      <c r="E618" s="10">
        <f>ABS(0.0201388888888889-0.01875)</f>
        <v>1.3888888888889013E-3</v>
      </c>
      <c r="F618" t="s">
        <v>11</v>
      </c>
      <c r="G618" s="16"/>
    </row>
    <row r="619" spans="1:7" x14ac:dyDescent="0.25">
      <c r="A619" s="11">
        <v>42186</v>
      </c>
      <c r="B619" s="10">
        <v>0.18333333333333335</v>
      </c>
      <c r="C619" s="10">
        <v>0.20208333333333331</v>
      </c>
      <c r="D619" s="10">
        <f>(0.202083333333333-0.183333333333333)</f>
        <v>1.8750000000000017E-2</v>
      </c>
      <c r="E619" s="10">
        <f>ABS(0.01875-0.0118055555555561)</f>
        <v>6.9444444444438994E-3</v>
      </c>
      <c r="F619" t="s">
        <v>11</v>
      </c>
      <c r="G619" s="16"/>
    </row>
    <row r="620" spans="1:7" x14ac:dyDescent="0.25">
      <c r="A620" s="11">
        <v>42186</v>
      </c>
      <c r="B620" s="15">
        <v>0.85</v>
      </c>
      <c r="C620" s="10">
        <v>0.8618055555555556</v>
      </c>
      <c r="D620" s="10">
        <f>(0.861805555555556-0.85)</f>
        <v>1.1805555555556069E-2</v>
      </c>
      <c r="E620" s="10">
        <f>ABS(0.0118055555555561-0.021527777777778)</f>
        <v>9.7222222222218997E-3</v>
      </c>
      <c r="F620" t="s">
        <v>11</v>
      </c>
      <c r="G620" s="16"/>
    </row>
    <row r="621" spans="1:7" x14ac:dyDescent="0.25">
      <c r="A621" s="11">
        <v>42186</v>
      </c>
      <c r="B621" s="15">
        <v>0.97499999999999998</v>
      </c>
      <c r="C621" s="10">
        <v>0.99652777777777779</v>
      </c>
      <c r="D621" s="10">
        <f>(0.996527777777778-0.975)</f>
        <v>2.1527777777778034E-2</v>
      </c>
      <c r="E621" s="10">
        <f>ABS(0.021527777777778-0.022222222222223)</f>
        <v>6.9444444444500056E-4</v>
      </c>
      <c r="F621" t="s">
        <v>11</v>
      </c>
      <c r="G621" s="16"/>
    </row>
    <row r="622" spans="1:7" x14ac:dyDescent="0.25">
      <c r="A622" s="11">
        <v>42186</v>
      </c>
      <c r="B622" s="15">
        <v>0.38194444444444442</v>
      </c>
      <c r="C622" s="10">
        <v>0.40416666666666662</v>
      </c>
      <c r="D622" s="10">
        <f>(0.404166666666667-0.381944444444444)</f>
        <v>2.2222222222223031E-2</v>
      </c>
      <c r="E622" s="10">
        <f>ABS(0.022222222222223-0.0229166666666659)</f>
        <v>6.9444444444289807E-4</v>
      </c>
      <c r="F622" t="s">
        <v>11</v>
      </c>
      <c r="G622" s="16"/>
    </row>
    <row r="623" spans="1:7" x14ac:dyDescent="0.25">
      <c r="A623" s="11">
        <v>42186</v>
      </c>
      <c r="B623" s="10">
        <v>0.64652777777777781</v>
      </c>
      <c r="C623" s="10">
        <v>0.6694444444444444</v>
      </c>
      <c r="D623" s="10">
        <f>(0.669444444444444-0.646527777777778)</f>
        <v>2.2916666666665919E-2</v>
      </c>
      <c r="E623" s="10">
        <f>ABS(0.0229166666666659-0.0159722222222219)</f>
        <v>6.944444444444E-3</v>
      </c>
      <c r="F623" t="s">
        <v>11</v>
      </c>
      <c r="G623" s="16"/>
    </row>
    <row r="624" spans="1:7" x14ac:dyDescent="0.25">
      <c r="A624" s="11">
        <v>42186</v>
      </c>
      <c r="B624" s="10">
        <v>0.90555555555555556</v>
      </c>
      <c r="C624" s="10">
        <v>0.92152777777777783</v>
      </c>
      <c r="D624" s="10">
        <f>(0.921527777777778-0.905555555555556)</f>
        <v>1.5972222222221943E-2</v>
      </c>
      <c r="E624" s="10">
        <f>ABS(0.0159722222222219-0.013194444444444)</f>
        <v>2.777777777777898E-3</v>
      </c>
      <c r="F624" t="s">
        <v>11</v>
      </c>
      <c r="G624" s="16"/>
    </row>
    <row r="625" spans="1:7" x14ac:dyDescent="0.25">
      <c r="A625" s="11">
        <v>42186</v>
      </c>
      <c r="B625" s="10">
        <v>0.8305555555555556</v>
      </c>
      <c r="C625" s="10">
        <v>0.84375</v>
      </c>
      <c r="D625" s="10">
        <f>(0.84375-0.830555555555556)</f>
        <v>1.3194444444443953E-2</v>
      </c>
      <c r="E625" s="10">
        <f>ABS(0.013194444444444-0.013194444444444)</f>
        <v>0</v>
      </c>
      <c r="F625" t="s">
        <v>11</v>
      </c>
      <c r="G625" s="16"/>
    </row>
    <row r="626" spans="1:7" x14ac:dyDescent="0.25">
      <c r="A626" s="11">
        <v>42186</v>
      </c>
      <c r="B626" s="15">
        <v>0.89513888888888893</v>
      </c>
      <c r="C626" s="10">
        <v>0.90833333333333333</v>
      </c>
      <c r="D626" s="10">
        <f>(0.908333333333333-0.895138888888889)</f>
        <v>1.3194444444443953E-2</v>
      </c>
      <c r="E626" s="10">
        <f>ABS(0.013194444444444-0.038194444444445)</f>
        <v>2.5000000000001001E-2</v>
      </c>
      <c r="F626" t="s">
        <v>11</v>
      </c>
      <c r="G626" s="16"/>
    </row>
    <row r="627" spans="1:7" x14ac:dyDescent="0.25">
      <c r="A627" s="11">
        <v>42186</v>
      </c>
      <c r="B627" s="15">
        <v>0.8833333333333333</v>
      </c>
      <c r="C627" s="10">
        <v>0.92152777777777783</v>
      </c>
      <c r="D627" s="10">
        <f>(0.921527777777778-0.883333333333333)</f>
        <v>3.8194444444444975E-2</v>
      </c>
      <c r="E627" s="10">
        <f>ABS(0.038194444444445-0.019444444444444)</f>
        <v>1.8750000000001002E-2</v>
      </c>
      <c r="F627" t="s">
        <v>11</v>
      </c>
      <c r="G627" s="16"/>
    </row>
    <row r="628" spans="1:7" x14ac:dyDescent="0.25">
      <c r="A628" s="11">
        <v>42186</v>
      </c>
      <c r="B628" s="15">
        <v>0.14166666666666666</v>
      </c>
      <c r="C628" s="10">
        <v>0.16111111111111112</v>
      </c>
      <c r="D628" s="10">
        <f>(0.161111111111111-0.141666666666667)</f>
        <v>1.9444444444444015E-2</v>
      </c>
      <c r="E628" s="10">
        <f>ABS(0.019444444444444-0.014583333333333)</f>
        <v>4.8611111111110002E-3</v>
      </c>
      <c r="F628" t="s">
        <v>11</v>
      </c>
      <c r="G628" s="16"/>
    </row>
    <row r="629" spans="1:7" x14ac:dyDescent="0.25">
      <c r="A629" s="11">
        <v>42186</v>
      </c>
      <c r="B629" s="10">
        <v>0.36388888888888887</v>
      </c>
      <c r="C629" s="10">
        <v>0.37847222222222227</v>
      </c>
      <c r="D629" s="10">
        <f>(0.378472222222222-0.363888888888889)</f>
        <v>1.4583333333333004E-2</v>
      </c>
      <c r="E629" s="10">
        <f>ABS(0.014583333333333-0.022916666666667)</f>
        <v>8.3333333333340011E-3</v>
      </c>
      <c r="F629" t="s">
        <v>11</v>
      </c>
      <c r="G629" s="16"/>
    </row>
    <row r="630" spans="1:7" x14ac:dyDescent="0.25">
      <c r="A630" s="11">
        <v>42186</v>
      </c>
      <c r="B630" s="10">
        <v>0.4375</v>
      </c>
      <c r="C630" s="10">
        <v>0.4604166666666667</v>
      </c>
      <c r="D630" s="10">
        <f>(0.460416666666667-0.4375)</f>
        <v>2.2916666666666974E-2</v>
      </c>
      <c r="E630" s="10">
        <f>ABS(0.022916666666667-0.027777777777778)</f>
        <v>4.8611111111109967E-3</v>
      </c>
      <c r="F630" t="s">
        <v>11</v>
      </c>
      <c r="G630" s="16"/>
    </row>
    <row r="631" spans="1:7" x14ac:dyDescent="0.25">
      <c r="A631" s="11">
        <v>42186</v>
      </c>
      <c r="B631" s="6">
        <v>0.77083333333333337</v>
      </c>
      <c r="C631" s="10">
        <v>0.79861111111111116</v>
      </c>
      <c r="D631" s="10">
        <f>(0.798611111111111-0.770833333333333)</f>
        <v>2.7777777777778012E-2</v>
      </c>
      <c r="E631" s="10">
        <f>ABS(0.027777777777778-0.027083333333333)</f>
        <v>6.9444444444499709E-4</v>
      </c>
      <c r="F631" t="s">
        <v>11</v>
      </c>
      <c r="G631" s="16"/>
    </row>
    <row r="632" spans="1:7" x14ac:dyDescent="0.25">
      <c r="A632" s="11">
        <v>42186</v>
      </c>
      <c r="B632" s="10">
        <v>0.64652777777777781</v>
      </c>
      <c r="C632" s="10">
        <v>0.67361111111111116</v>
      </c>
      <c r="D632" s="10">
        <f>(0.673611111111111-0.646527777777778)</f>
        <v>2.7083333333333015E-2</v>
      </c>
      <c r="E632" s="10">
        <f>ABS(0.027083333333333-0.029861111111111)</f>
        <v>2.7777777777780004E-3</v>
      </c>
      <c r="F632" t="s">
        <v>11</v>
      </c>
      <c r="G632" s="16"/>
    </row>
    <row r="633" spans="1:7" x14ac:dyDescent="0.25">
      <c r="A633" s="11">
        <v>42186</v>
      </c>
      <c r="B633" s="10">
        <v>0.64652777777777781</v>
      </c>
      <c r="C633" s="10">
        <v>0.67638888888888893</v>
      </c>
      <c r="D633" s="10">
        <f>(0.676388888888889-0.646527777777778)</f>
        <v>2.9861111111111005E-2</v>
      </c>
      <c r="E633" s="10">
        <f>ABS(0.029861111111111-0.0243055555555549)</f>
        <v>5.5555555555561013E-3</v>
      </c>
      <c r="F633" t="s">
        <v>11</v>
      </c>
      <c r="G633" s="16"/>
    </row>
    <row r="634" spans="1:7" x14ac:dyDescent="0.25">
      <c r="A634" s="11">
        <v>42186</v>
      </c>
      <c r="B634" s="10">
        <v>0.7090277777777777</v>
      </c>
      <c r="C634" s="10">
        <v>0.73333333333333339</v>
      </c>
      <c r="D634" s="10">
        <f>(0.733333333333333-0.709027777777778)</f>
        <v>2.4305555555554914E-2</v>
      </c>
      <c r="E634" s="10">
        <f>ABS(0.0243055555555549-0.027083333333334)</f>
        <v>2.7777777777791002E-3</v>
      </c>
      <c r="F634" t="s">
        <v>11</v>
      </c>
      <c r="G634" s="16"/>
    </row>
    <row r="635" spans="1:7" x14ac:dyDescent="0.25">
      <c r="A635" s="11">
        <v>42186</v>
      </c>
      <c r="B635" s="10">
        <v>0.73333333333333339</v>
      </c>
      <c r="C635" s="10">
        <v>0.76041666666666663</v>
      </c>
      <c r="D635" s="10">
        <f>(0.760416666666667-0.733333333333333)</f>
        <v>2.7083333333334014E-2</v>
      </c>
      <c r="E635" s="10">
        <f>ABS(0.027083333333334-0.0215277777777779)</f>
        <v>5.5555555555561013E-3</v>
      </c>
      <c r="F635" t="s">
        <v>11</v>
      </c>
      <c r="G635" s="16"/>
    </row>
    <row r="636" spans="1:7" x14ac:dyDescent="0.25">
      <c r="A636" s="11">
        <v>42186</v>
      </c>
      <c r="B636" s="10">
        <v>0.80625000000000002</v>
      </c>
      <c r="C636" s="10">
        <v>0.82777777777777783</v>
      </c>
      <c r="D636" s="10">
        <f>(0.827777777777778-0.80625)</f>
        <v>2.1527777777777923E-2</v>
      </c>
      <c r="E636" s="10">
        <f>ABS(0.0215277777777779-0.0173611111111109)</f>
        <v>4.1666666666669988E-3</v>
      </c>
      <c r="F636" t="s">
        <v>11</v>
      </c>
    </row>
    <row r="637" spans="1:7" x14ac:dyDescent="0.25">
      <c r="A637" s="11">
        <v>42186</v>
      </c>
      <c r="B637" s="10">
        <v>0.77777777777777779</v>
      </c>
      <c r="C637" s="10">
        <v>0.79513888888888884</v>
      </c>
      <c r="D637" s="10">
        <f>(0.795138888888889-0.777777777777778)</f>
        <v>1.7361111111110938E-2</v>
      </c>
      <c r="E637" s="10">
        <f>ABS(0.0173611111111109-0.020833333333333)</f>
        <v>3.4722222222220989E-3</v>
      </c>
      <c r="F637" t="s">
        <v>11</v>
      </c>
    </row>
    <row r="638" spans="1:7" x14ac:dyDescent="0.25">
      <c r="A638" s="11">
        <v>42186</v>
      </c>
      <c r="B638" s="10">
        <v>0.90486111111111101</v>
      </c>
      <c r="C638" s="10">
        <v>0.92569444444444438</v>
      </c>
      <c r="D638" s="10">
        <f>(0.925694444444444-0.904861111111111)</f>
        <v>2.0833333333333037E-2</v>
      </c>
      <c r="E638" s="10">
        <f>ABS(0.020833333333333-0.0173611111111109)</f>
        <v>3.4722222222220989E-3</v>
      </c>
      <c r="F638" t="s">
        <v>11</v>
      </c>
    </row>
    <row r="639" spans="1:7" x14ac:dyDescent="0.25">
      <c r="A639" s="11">
        <v>42186</v>
      </c>
      <c r="B639" s="10">
        <v>0.79861111111111116</v>
      </c>
      <c r="C639" s="10">
        <v>0.81597222222222221</v>
      </c>
      <c r="D639" s="10">
        <f>(0.815972222222222-0.798611111111111)</f>
        <v>1.7361111111110938E-2</v>
      </c>
      <c r="E639" s="10">
        <f>ABS(0.0173611111111109-0.039583333333333)</f>
        <v>2.2222222222222098E-2</v>
      </c>
      <c r="F639" t="s">
        <v>11</v>
      </c>
    </row>
    <row r="640" spans="1:7" x14ac:dyDescent="0.25">
      <c r="A640" s="11">
        <v>42186</v>
      </c>
      <c r="B640" s="10">
        <v>0.95347222222222217</v>
      </c>
      <c r="C640" s="10">
        <v>0.99305555555555547</v>
      </c>
      <c r="D640" s="10">
        <f>(0.993055555555555-0.953472222222222)</f>
        <v>3.9583333333332971E-2</v>
      </c>
      <c r="E640" s="10">
        <f>ABS(0.039583333333333-0.017361111111112)</f>
        <v>2.2222222222220998E-2</v>
      </c>
      <c r="F640" t="s">
        <v>11</v>
      </c>
    </row>
    <row r="641" spans="1:6" x14ac:dyDescent="0.25">
      <c r="A641" s="11">
        <v>42186</v>
      </c>
      <c r="B641" s="10">
        <v>0.15694444444444444</v>
      </c>
      <c r="C641" s="10">
        <v>0.17430555555555557</v>
      </c>
      <c r="D641" s="10">
        <f>(0.174305555555556-0.156944444444444)</f>
        <v>1.7361111111111993E-2</v>
      </c>
      <c r="E641" s="10">
        <f>ABS(0.017361111111112-0.040972222222222)</f>
        <v>2.361111111111E-2</v>
      </c>
      <c r="F641" t="s">
        <v>11</v>
      </c>
    </row>
    <row r="642" spans="1:6" x14ac:dyDescent="0.25">
      <c r="A642" s="11">
        <v>42186</v>
      </c>
      <c r="B642" s="10">
        <v>0.34236111111111112</v>
      </c>
      <c r="C642" s="10">
        <v>0.3833333333333333</v>
      </c>
      <c r="D642" s="10">
        <f>(0.383333333333333-0.342361111111111)</f>
        <v>4.0972222222222021E-2</v>
      </c>
      <c r="E642" s="10">
        <f>ABS(0.040972222222222-0.01875)</f>
        <v>2.2222222222222001E-2</v>
      </c>
      <c r="F642" t="s">
        <v>11</v>
      </c>
    </row>
    <row r="643" spans="1:6" x14ac:dyDescent="0.25">
      <c r="A643" s="11">
        <v>42186</v>
      </c>
      <c r="B643" s="10">
        <v>0.74930555555555556</v>
      </c>
      <c r="C643" s="10">
        <v>0.7680555555555556</v>
      </c>
      <c r="D643" s="10">
        <f>(0.768055555555556-0.749305555555556)</f>
        <v>1.8750000000000044E-2</v>
      </c>
      <c r="E643" s="10">
        <f>ABS(0.01875-0.018055555555555)</f>
        <v>6.9444444444500056E-4</v>
      </c>
      <c r="F643" t="s">
        <v>11</v>
      </c>
    </row>
    <row r="644" spans="1:6" x14ac:dyDescent="0.25">
      <c r="A644" s="11">
        <v>42186</v>
      </c>
      <c r="B644" s="10">
        <v>0.90763888888888899</v>
      </c>
      <c r="C644" s="10">
        <v>0.92569444444444438</v>
      </c>
      <c r="D644" s="10">
        <f>(0.925694444444444-0.907638888888889)</f>
        <v>1.8055555555555047E-2</v>
      </c>
      <c r="E644" s="10">
        <f>ABS(0.018055555555555-0.020138888888889)</f>
        <v>2.0833333333340025E-3</v>
      </c>
      <c r="F644" t="s">
        <v>11</v>
      </c>
    </row>
    <row r="645" spans="1:6" x14ac:dyDescent="0.25">
      <c r="A645" s="11">
        <v>42186</v>
      </c>
      <c r="B645" s="10">
        <v>0.65347222222222223</v>
      </c>
      <c r="C645" s="10">
        <v>0.67361111111111116</v>
      </c>
      <c r="D645" s="10">
        <f>(0.673611111111111-0.653472222222222)</f>
        <v>2.0138888888889039E-2</v>
      </c>
      <c r="E645" s="10">
        <f>ABS(0.020138888888889-0.0166666666666671)</f>
        <v>3.4722222222219011E-3</v>
      </c>
      <c r="F645" t="s">
        <v>11</v>
      </c>
    </row>
    <row r="646" spans="1:6" x14ac:dyDescent="0.25">
      <c r="A646" s="11">
        <v>42186</v>
      </c>
      <c r="B646" s="10">
        <v>0.72013888888888899</v>
      </c>
      <c r="C646" s="10">
        <v>0.7368055555555556</v>
      </c>
      <c r="D646" s="10">
        <f>(0.736805555555556-0.720138888888889)</f>
        <v>1.6666666666667052E-2</v>
      </c>
      <c r="E646" s="10">
        <f>ABS(0.0166666666666671-0.0236111111111109)</f>
        <v>6.9444444444437987E-3</v>
      </c>
      <c r="F646" t="s">
        <v>11</v>
      </c>
    </row>
    <row r="647" spans="1:6" x14ac:dyDescent="0.25">
      <c r="A647" s="11">
        <v>42186</v>
      </c>
      <c r="B647" s="10">
        <v>0.89583333333333337</v>
      </c>
      <c r="C647" s="10">
        <v>0.9194444444444444</v>
      </c>
      <c r="D647" s="10">
        <f>(0.919444444444444-0.895833333333333)</f>
        <v>2.3611111111110916E-2</v>
      </c>
      <c r="E647" s="10">
        <f>ABS(0.0236111111111109-0.019444444444444)</f>
        <v>4.1666666666668982E-3</v>
      </c>
      <c r="F647" t="s">
        <v>11</v>
      </c>
    </row>
    <row r="648" spans="1:6" x14ac:dyDescent="0.25">
      <c r="A648" s="11">
        <v>42186</v>
      </c>
      <c r="B648" s="10">
        <v>0.15625</v>
      </c>
      <c r="C648" s="10">
        <v>0.17569444444444446</v>
      </c>
      <c r="D648" s="10">
        <f>(0.175694444444444-0.15625)</f>
        <v>1.9444444444443987E-2</v>
      </c>
      <c r="E648" s="10">
        <f>ABS(0.019444444444444-0.019444444444444)</f>
        <v>0</v>
      </c>
      <c r="F648" t="s">
        <v>11</v>
      </c>
    </row>
    <row r="649" spans="1:6" x14ac:dyDescent="0.25">
      <c r="A649" s="11">
        <v>42186</v>
      </c>
      <c r="B649" s="10">
        <v>0.21249999999999999</v>
      </c>
      <c r="C649" s="10">
        <v>0.23194444444444443</v>
      </c>
      <c r="D649" s="10">
        <f>(0.231944444444444-0.2125)</f>
        <v>1.9444444444444015E-2</v>
      </c>
      <c r="E649" s="10">
        <f>ABS(0.019444444444444-0.022222222222223)</f>
        <v>2.7777777777789996E-3</v>
      </c>
      <c r="F649" t="s">
        <v>11</v>
      </c>
    </row>
    <row r="650" spans="1:6" x14ac:dyDescent="0.25">
      <c r="A650" s="11">
        <v>42186</v>
      </c>
      <c r="B650" s="10">
        <v>0.28194444444444444</v>
      </c>
      <c r="C650" s="10">
        <v>0.30416666666666664</v>
      </c>
      <c r="D650" s="10">
        <f>(0.304166666666667-0.281944444444444)</f>
        <v>2.2222222222222976E-2</v>
      </c>
      <c r="E650" s="10">
        <f>ABS(0.022222222222223-0.025694444444445)</f>
        <v>3.4722222222219983E-3</v>
      </c>
      <c r="F650" t="s">
        <v>11</v>
      </c>
    </row>
    <row r="651" spans="1:6" x14ac:dyDescent="0.25">
      <c r="A651" s="11">
        <v>42186</v>
      </c>
      <c r="B651" s="10">
        <v>0.54097222222222219</v>
      </c>
      <c r="C651" s="10">
        <v>0.56666666666666665</v>
      </c>
      <c r="D651" s="10">
        <f>(0.566666666666667-0.540972222222222)</f>
        <v>2.5694444444445019E-2</v>
      </c>
      <c r="E651" s="10">
        <f>ABS(0.025694444444445-0.020138888888889)</f>
        <v>5.5555555555559973E-3</v>
      </c>
      <c r="F651" t="s">
        <v>11</v>
      </c>
    </row>
    <row r="652" spans="1:6" x14ac:dyDescent="0.25">
      <c r="A652" s="11">
        <v>42186</v>
      </c>
      <c r="B652" s="10">
        <v>0.60625000000000007</v>
      </c>
      <c r="C652" s="10">
        <v>0.62638888888888888</v>
      </c>
      <c r="D652" s="10">
        <f>(0.626388888888889-0.60625)</f>
        <v>2.0138888888889039E-2</v>
      </c>
      <c r="E652" s="10">
        <f>ABS(0.020138888888889-0.0472222222222229)</f>
        <v>2.70833333333339E-2</v>
      </c>
      <c r="F652" t="s">
        <v>11</v>
      </c>
    </row>
    <row r="653" spans="1:6" x14ac:dyDescent="0.25">
      <c r="A653" s="11">
        <v>42186</v>
      </c>
      <c r="B653" s="10">
        <v>0.68194444444444446</v>
      </c>
      <c r="C653" s="10">
        <v>0.72916666666666663</v>
      </c>
      <c r="D653" s="10">
        <f>(0.729166666666667-0.681944444444444)</f>
        <v>4.7222222222222943E-2</v>
      </c>
      <c r="E653" s="10">
        <f>ABS(0.0472222222222229-0.025694444444444)</f>
        <v>2.1527777777778902E-2</v>
      </c>
      <c r="F653" t="s">
        <v>11</v>
      </c>
    </row>
    <row r="654" spans="1:6" x14ac:dyDescent="0.25">
      <c r="A654" s="11">
        <v>42186</v>
      </c>
      <c r="B654" s="10">
        <v>0.69930555555555562</v>
      </c>
      <c r="C654" s="10">
        <v>0.72499999999999998</v>
      </c>
      <c r="D654" s="10">
        <f>(0.725-0.699305555555556)</f>
        <v>2.569444444444402E-2</v>
      </c>
      <c r="E654" s="10">
        <f>ABS(0.025694444444444-0.029861111111111)</f>
        <v>4.1666666666670023E-3</v>
      </c>
      <c r="F654" t="s">
        <v>11</v>
      </c>
    </row>
    <row r="655" spans="1:6" x14ac:dyDescent="0.25">
      <c r="A655" s="11">
        <v>42186</v>
      </c>
      <c r="B655" s="10">
        <v>0.75277777777777777</v>
      </c>
      <c r="C655" s="10">
        <v>0.78263888888888899</v>
      </c>
      <c r="D655" s="10">
        <f>(0.782638888888889-0.752777777777778)</f>
        <v>2.9861111111111005E-2</v>
      </c>
      <c r="E655" s="10">
        <f>ABS(0.029861111111111-0.019444444444445)</f>
        <v>1.0416666666666002E-2</v>
      </c>
      <c r="F655" t="s">
        <v>11</v>
      </c>
    </row>
    <row r="656" spans="1:6" x14ac:dyDescent="0.25">
      <c r="A656" s="11">
        <v>42186</v>
      </c>
      <c r="B656" s="10">
        <v>0.7944444444444444</v>
      </c>
      <c r="C656" s="10">
        <v>0.81388888888888899</v>
      </c>
      <c r="D656" s="10">
        <f>(0.813888888888889-0.794444444444444)</f>
        <v>1.9444444444445041E-2</v>
      </c>
      <c r="E656" s="10">
        <f>ABS(0.019444444444445-0.031944444444445)</f>
        <v>1.2499999999999997E-2</v>
      </c>
      <c r="F656" t="s">
        <v>11</v>
      </c>
    </row>
    <row r="657" spans="1:6" x14ac:dyDescent="0.25">
      <c r="A657" s="11">
        <v>42186</v>
      </c>
      <c r="B657" s="10">
        <v>0.92569444444444438</v>
      </c>
      <c r="C657" s="10">
        <v>0.95763888888888893</v>
      </c>
      <c r="D657" s="10">
        <f>(0.957638888888889-0.925694444444444)</f>
        <v>3.1944444444444997E-2</v>
      </c>
      <c r="E657" s="10">
        <f>ABS(0.031944444444445-0.027083333333335)</f>
        <v>4.8611111111099975E-3</v>
      </c>
      <c r="F657" t="s">
        <v>11</v>
      </c>
    </row>
    <row r="658" spans="1:6" x14ac:dyDescent="0.25">
      <c r="A658" s="11">
        <v>42186</v>
      </c>
      <c r="B658" s="10">
        <v>0.97569444444444453</v>
      </c>
      <c r="C658" s="10">
        <v>1.0027777777777778</v>
      </c>
      <c r="D658" s="10">
        <f>(1.00277777777778-0.975694444444445)</f>
        <v>2.7083333333335013E-2</v>
      </c>
      <c r="E658" s="10">
        <f>ABS(0.027083333333335-0.0208333333333399)</f>
        <v>6.2499999999950998E-3</v>
      </c>
      <c r="F658" t="s">
        <v>11</v>
      </c>
    </row>
    <row r="659" spans="1:6" x14ac:dyDescent="0.25">
      <c r="A659" s="11">
        <v>42186</v>
      </c>
      <c r="B659" s="10">
        <v>1.0131944444444445</v>
      </c>
      <c r="C659" s="10">
        <v>1.0340277777777778</v>
      </c>
      <c r="D659" s="10">
        <f>(1.03402777777778-1.01319444444444)</f>
        <v>2.0833333333339921E-2</v>
      </c>
      <c r="E659" s="10">
        <f>ABS(0.0208333333333399-0.0256944444444445)</f>
        <v>4.861111111104599E-3</v>
      </c>
      <c r="F659" t="s">
        <v>11</v>
      </c>
    </row>
    <row r="660" spans="1:6" x14ac:dyDescent="0.25">
      <c r="A660" s="11">
        <v>42186</v>
      </c>
      <c r="B660" s="10">
        <v>6.25E-2</v>
      </c>
      <c r="C660" s="10">
        <v>8.819444444444445E-2</v>
      </c>
      <c r="D660" s="10">
        <f>(0.0881944444444445-0.0625)</f>
        <v>2.5694444444444506E-2</v>
      </c>
      <c r="E660" s="10">
        <f>ABS(0.0256944444444445-0.013194444444445)</f>
        <v>1.2499999999999499E-2</v>
      </c>
      <c r="F660" t="s">
        <v>11</v>
      </c>
    </row>
    <row r="661" spans="1:6" x14ac:dyDescent="0.25">
      <c r="A661" s="11">
        <v>42186</v>
      </c>
      <c r="B661" s="10">
        <v>0.4770833333333333</v>
      </c>
      <c r="C661" s="10">
        <v>0.49027777777777781</v>
      </c>
      <c r="D661" s="10">
        <f>(0.490277777777778-0.477083333333333)</f>
        <v>1.3194444444444953E-2</v>
      </c>
      <c r="E661" s="10">
        <f>ABS(0.013194444444445-0.0194444444444439)</f>
        <v>6.2499999999989005E-3</v>
      </c>
      <c r="F661" t="s">
        <v>11</v>
      </c>
    </row>
    <row r="662" spans="1:6" x14ac:dyDescent="0.25">
      <c r="A662" s="11">
        <v>42186</v>
      </c>
      <c r="B662" s="10">
        <v>0.52500000000000002</v>
      </c>
      <c r="C662" s="10">
        <v>0.5444444444444444</v>
      </c>
      <c r="D662" s="10">
        <f>(0.544444444444444-0.525)</f>
        <v>1.9444444444443931E-2</v>
      </c>
      <c r="E662" s="10">
        <f>ABS(0.0194444444444439-0.022222222222222)</f>
        <v>2.777777777778101E-3</v>
      </c>
      <c r="F662" t="s">
        <v>11</v>
      </c>
    </row>
    <row r="663" spans="1:6" x14ac:dyDescent="0.25">
      <c r="A663" s="11">
        <v>42186</v>
      </c>
      <c r="B663" s="10">
        <v>0.51041666666666663</v>
      </c>
      <c r="C663" s="10">
        <v>0.53263888888888888</v>
      </c>
      <c r="D663" s="10">
        <f>(0.532638888888889-0.510416666666667)</f>
        <v>2.2222222222222032E-2</v>
      </c>
      <c r="E663" s="10">
        <f>ABS(0.022222222222222-0.03125)</f>
        <v>9.027777777777999E-3</v>
      </c>
      <c r="F663" t="s">
        <v>11</v>
      </c>
    </row>
    <row r="664" spans="1:6" x14ac:dyDescent="0.25">
      <c r="A664" s="11">
        <v>42186</v>
      </c>
      <c r="B664" s="10">
        <v>0.56944444444444442</v>
      </c>
      <c r="C664" s="10">
        <v>0.60069444444444442</v>
      </c>
      <c r="D664" s="10">
        <f>(0.600694444444444-0.569444444444444)</f>
        <v>3.125E-2</v>
      </c>
      <c r="E664" s="10">
        <f>ABS(0.03125-0.0208333333333339)</f>
        <v>1.0416666666666099E-2</v>
      </c>
      <c r="F664" t="s">
        <v>11</v>
      </c>
    </row>
    <row r="665" spans="1:6" x14ac:dyDescent="0.25">
      <c r="A665" s="11">
        <v>42186</v>
      </c>
      <c r="B665" s="10">
        <v>0.77430555555555547</v>
      </c>
      <c r="C665" s="10">
        <v>0.79513888888888884</v>
      </c>
      <c r="D665" s="10">
        <f>(0.795138888888889-0.774305555555555)</f>
        <v>2.0833333333333925E-2</v>
      </c>
      <c r="E665" s="10">
        <f>ABS(0.0208333333333339-0.0208333333333329)</f>
        <v>1.0026701691145945E-15</v>
      </c>
      <c r="F665" t="s">
        <v>11</v>
      </c>
    </row>
    <row r="666" spans="1:6" x14ac:dyDescent="0.25">
      <c r="A666" s="11">
        <v>42186</v>
      </c>
      <c r="B666" s="10">
        <v>0.80138888888888893</v>
      </c>
      <c r="C666" s="10">
        <v>0.8222222222222223</v>
      </c>
      <c r="D666" s="10">
        <f>(0.822222222222222-0.801388888888889)</f>
        <v>2.0833333333332926E-2</v>
      </c>
      <c r="E666" s="10">
        <f>ABS(0.0208333333333329-0.000694444444443998)</f>
        <v>2.0138888888888901E-2</v>
      </c>
      <c r="F666" t="s">
        <v>11</v>
      </c>
    </row>
    <row r="667" spans="1:6" x14ac:dyDescent="0.25">
      <c r="A667" s="11">
        <v>42186</v>
      </c>
      <c r="B667" s="10">
        <v>0.4465277777777778</v>
      </c>
      <c r="C667" s="10">
        <v>0.44722222222222219</v>
      </c>
      <c r="D667" s="10">
        <f>(0.447222222222222-0.446527777777778)</f>
        <v>6.9444444444399789E-4</v>
      </c>
      <c r="E667" s="10">
        <f>ABS(0.000694444444443998-0.0215277777777778)</f>
        <v>2.0833333333333801E-2</v>
      </c>
      <c r="F667" t="s">
        <v>11</v>
      </c>
    </row>
    <row r="668" spans="1:6" x14ac:dyDescent="0.25">
      <c r="A668" s="11">
        <v>42186</v>
      </c>
      <c r="B668" s="10">
        <v>4.7222222222222221E-2</v>
      </c>
      <c r="C668" s="10">
        <v>6.8749999999999992E-2</v>
      </c>
      <c r="D668" s="10">
        <f>(0.06875-0.0472222222222222)</f>
        <v>2.1527777777777805E-2</v>
      </c>
      <c r="E668" s="10">
        <f>ABS(0.0215277777777778-0.0194444444444445)</f>
        <v>2.0833333333332982E-3</v>
      </c>
      <c r="F668" t="s">
        <v>11</v>
      </c>
    </row>
    <row r="669" spans="1:6" x14ac:dyDescent="0.25">
      <c r="A669" s="11">
        <v>42186</v>
      </c>
      <c r="B669" s="6">
        <v>6.5972222222222224E-2</v>
      </c>
      <c r="C669" s="10">
        <v>8.5416666666666655E-2</v>
      </c>
      <c r="D669" s="10">
        <f>(0.0854166666666667-0.0659722222222222)</f>
        <v>1.94444444444445E-2</v>
      </c>
      <c r="E669" s="10">
        <f>ABS(0.0194444444444445-0.01875)</f>
        <v>6.9444444444450096E-4</v>
      </c>
      <c r="F669" t="s">
        <v>11</v>
      </c>
    </row>
    <row r="670" spans="1:6" x14ac:dyDescent="0.25">
      <c r="A670" s="11">
        <v>42186</v>
      </c>
      <c r="B670" s="15">
        <v>0.31875000000000003</v>
      </c>
      <c r="C670" s="10">
        <v>0.33749999999999997</v>
      </c>
      <c r="D670" s="10">
        <f>(0.3375-0.31875)</f>
        <v>1.8750000000000044E-2</v>
      </c>
      <c r="E670" s="10">
        <f>ABS(0.01875-0.020138888888889)</f>
        <v>1.3888888888890019E-3</v>
      </c>
      <c r="F670" t="s">
        <v>11</v>
      </c>
    </row>
    <row r="671" spans="1:6" x14ac:dyDescent="0.25">
      <c r="A671" s="11">
        <v>42186</v>
      </c>
      <c r="B671" s="15">
        <v>0.37013888888888885</v>
      </c>
      <c r="C671" s="10">
        <v>0.39027777777777778</v>
      </c>
      <c r="D671" s="10">
        <f>(0.390277777777778-0.370138888888889)</f>
        <v>2.0138888888888984E-2</v>
      </c>
      <c r="E671" s="10">
        <f>ABS(0.020138888888889-0.025)</f>
        <v>4.8611111111110002E-3</v>
      </c>
      <c r="F671" t="s">
        <v>11</v>
      </c>
    </row>
    <row r="672" spans="1:6" x14ac:dyDescent="0.25">
      <c r="A672" s="11">
        <v>42186</v>
      </c>
      <c r="B672" s="15">
        <v>0.43888888888888888</v>
      </c>
      <c r="C672" s="10">
        <v>0.46388888888888885</v>
      </c>
      <c r="D672" s="10">
        <f>(0.463888888888889-0.438888888888889)</f>
        <v>2.5000000000000022E-2</v>
      </c>
      <c r="E672" s="10">
        <f>ABS(0.025-0.026388888888889)</f>
        <v>1.3888888888889984E-3</v>
      </c>
      <c r="F672" t="s">
        <v>11</v>
      </c>
    </row>
    <row r="673" spans="1:6" x14ac:dyDescent="0.25">
      <c r="A673" s="11">
        <v>42186</v>
      </c>
      <c r="B673" s="15">
        <v>0.52847222222222223</v>
      </c>
      <c r="C673" s="10">
        <v>0.55486111111111114</v>
      </c>
      <c r="D673" s="10">
        <f>(0.554861111111111-0.528472222222222)</f>
        <v>2.6388888888889017E-2</v>
      </c>
      <c r="E673" s="10">
        <f>ABS(0.026388888888889-0.02430555555556)</f>
        <v>2.0833333333289995E-3</v>
      </c>
      <c r="F673" t="s">
        <v>11</v>
      </c>
    </row>
    <row r="674" spans="1:6" x14ac:dyDescent="0.25">
      <c r="A674" s="11">
        <v>42186</v>
      </c>
      <c r="B674" s="10">
        <v>0.98125000000000007</v>
      </c>
      <c r="C674" s="10">
        <v>1.0055555555555555</v>
      </c>
      <c r="D674" s="10">
        <f>(1.00555555555556-0.98125)</f>
        <v>2.4305555555560021E-2</v>
      </c>
      <c r="E674" s="10">
        <f>ABS(0.02430555555556-0.019444444444444)</f>
        <v>4.8611111111159996E-3</v>
      </c>
      <c r="F674" t="s">
        <v>11</v>
      </c>
    </row>
    <row r="675" spans="1:6" x14ac:dyDescent="0.25">
      <c r="A675" s="11">
        <v>42186</v>
      </c>
      <c r="B675" s="15">
        <v>0.16805555555555554</v>
      </c>
      <c r="C675" s="10">
        <v>0.1875</v>
      </c>
      <c r="D675" s="10">
        <f>(0.1875-0.168055555555556)</f>
        <v>1.9444444444443987E-2</v>
      </c>
      <c r="E675" s="10">
        <f>ABS(0.019444444444444-0.022222222222222)</f>
        <v>2.7777777777780004E-3</v>
      </c>
      <c r="F675" t="s">
        <v>11</v>
      </c>
    </row>
    <row r="676" spans="1:6" x14ac:dyDescent="0.25">
      <c r="A676" s="11">
        <v>42186</v>
      </c>
      <c r="B676" s="15">
        <v>0.4604166666666667</v>
      </c>
      <c r="C676" s="10">
        <v>0.4826388888888889</v>
      </c>
      <c r="D676" s="10">
        <f>(0.482638888888889-0.460416666666667)</f>
        <v>2.2222222222222032E-2</v>
      </c>
      <c r="E676" s="10">
        <f>ABS(0.022222222222222-0.0201388888888889)</f>
        <v>2.0833333333331004E-3</v>
      </c>
      <c r="F676" t="s">
        <v>11</v>
      </c>
    </row>
    <row r="677" spans="1:6" x14ac:dyDescent="0.25">
      <c r="A677" s="11">
        <v>42186</v>
      </c>
      <c r="B677" s="15">
        <v>0.80694444444444446</v>
      </c>
      <c r="C677" s="10">
        <v>0.82708333333333339</v>
      </c>
      <c r="D677" s="10">
        <f>(0.827083333333333-0.806944444444444)</f>
        <v>2.0138888888888928E-2</v>
      </c>
      <c r="E677" s="10">
        <f>ABS(0.0201388888888889-0.020138888888889)</f>
        <v>1.0061396160665481E-16</v>
      </c>
      <c r="F677" t="s">
        <v>11</v>
      </c>
    </row>
    <row r="678" spans="1:6" x14ac:dyDescent="0.25">
      <c r="A678" s="11">
        <v>42186</v>
      </c>
      <c r="B678" s="15">
        <v>0.47222222222222227</v>
      </c>
      <c r="C678" s="10">
        <v>0.49236111111111108</v>
      </c>
      <c r="D678" s="10">
        <f>(0.492361111111111-0.472222222222222)</f>
        <v>2.0138888888889039E-2</v>
      </c>
      <c r="E678" s="10"/>
      <c r="F678" t="s">
        <v>11</v>
      </c>
    </row>
  </sheetData>
  <sortState ref="B4:Z732">
    <sortCondition ref="H4:H73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88"/>
  <sheetViews>
    <sheetView workbookViewId="0">
      <selection activeCell="H4" sqref="H4:M8"/>
    </sheetView>
  </sheetViews>
  <sheetFormatPr defaultRowHeight="15" x14ac:dyDescent="0.25"/>
  <cols>
    <col min="1" max="1" width="12.28515625" customWidth="1"/>
    <col min="2" max="2" width="10.28515625" style="6" customWidth="1"/>
    <col min="3" max="5" width="11.42578125" style="6" customWidth="1"/>
    <col min="6" max="6" width="12.42578125" style="6" customWidth="1"/>
    <col min="7" max="7" width="15.7109375" style="6" customWidth="1"/>
    <col min="9" max="9" width="11.42578125" customWidth="1"/>
    <col min="10" max="10" width="9.42578125" customWidth="1"/>
    <col min="12" max="12" width="12" bestFit="1" customWidth="1"/>
    <col min="13" max="13" width="17" bestFit="1" customWidth="1"/>
    <col min="14" max="14" width="12" bestFit="1" customWidth="1"/>
    <col min="15" max="15" width="17" bestFit="1" customWidth="1"/>
  </cols>
  <sheetData>
    <row r="1" spans="1:15" x14ac:dyDescent="0.25">
      <c r="A1" s="9" t="s">
        <v>12</v>
      </c>
      <c r="B1" s="8" t="s">
        <v>4</v>
      </c>
      <c r="C1" s="8" t="s">
        <v>5</v>
      </c>
      <c r="D1" s="8" t="s">
        <v>13</v>
      </c>
      <c r="E1" s="8" t="s">
        <v>18</v>
      </c>
      <c r="F1" s="9" t="s">
        <v>2</v>
      </c>
      <c r="G1" s="8"/>
    </row>
    <row r="2" spans="1:15" x14ac:dyDescent="0.25">
      <c r="F2"/>
      <c r="K2" s="1"/>
      <c r="L2" s="1"/>
      <c r="M2" s="1"/>
      <c r="N2" s="1"/>
      <c r="O2" s="1"/>
    </row>
    <row r="3" spans="1:15" x14ac:dyDescent="0.25">
      <c r="A3" s="11">
        <v>42217</v>
      </c>
      <c r="B3" s="7">
        <v>0.81597222222222221</v>
      </c>
      <c r="C3" s="7">
        <v>0.83194444444444438</v>
      </c>
      <c r="D3" s="7">
        <f>(0.831944444444444-0.815972222222222)</f>
        <v>1.5972222222222054E-2</v>
      </c>
      <c r="E3" s="7">
        <f>ABS(0.0159722222222221-0.00486111111111009)</f>
        <v>1.1111111111112008E-2</v>
      </c>
      <c r="F3" s="1" t="s">
        <v>9</v>
      </c>
      <c r="G3" s="7"/>
      <c r="J3" s="1" t="s">
        <v>7</v>
      </c>
      <c r="K3" s="1" t="s">
        <v>15</v>
      </c>
      <c r="L3" s="1" t="s">
        <v>17</v>
      </c>
      <c r="M3" s="7" t="s">
        <v>16</v>
      </c>
      <c r="N3" s="3"/>
    </row>
    <row r="4" spans="1:15" x14ac:dyDescent="0.25">
      <c r="A4" s="11">
        <v>42217</v>
      </c>
      <c r="B4" s="7">
        <v>1.0041666666666667</v>
      </c>
      <c r="C4" s="7">
        <v>1.0090277777777776</v>
      </c>
      <c r="D4" s="7">
        <f>(1.00902777777778-1.00416666666667)</f>
        <v>4.8611111111100946E-3</v>
      </c>
      <c r="E4" s="7">
        <f>ABS(0.00486111111111009-0.01875)</f>
        <v>1.3888888888889908E-2</v>
      </c>
      <c r="F4" s="1" t="s">
        <v>9</v>
      </c>
      <c r="G4" s="7"/>
      <c r="H4" s="14">
        <v>42217</v>
      </c>
      <c r="I4" t="s">
        <v>19</v>
      </c>
      <c r="J4" t="s">
        <v>9</v>
      </c>
      <c r="K4">
        <v>61</v>
      </c>
      <c r="L4" s="3">
        <f>AVERAGE(D3:D63)</f>
        <v>1.6894353369763193E-2</v>
      </c>
      <c r="M4" s="3">
        <f>AVERAGE(E3:E62)</f>
        <v>5.5324074074072655E-3</v>
      </c>
      <c r="N4" s="3"/>
    </row>
    <row r="5" spans="1:15" x14ac:dyDescent="0.25">
      <c r="A5" s="11">
        <v>42217</v>
      </c>
      <c r="B5" s="7">
        <v>0.29583333333333334</v>
      </c>
      <c r="C5" s="7">
        <v>0.31458333333333333</v>
      </c>
      <c r="D5" s="7">
        <f>(0.314583333333333-0.295833333333333)</f>
        <v>1.8749999999999989E-2</v>
      </c>
      <c r="E5" s="7">
        <f>ABS(0.01875-0.0222222222222222)</f>
        <v>3.4722222222221995E-3</v>
      </c>
      <c r="F5" s="1" t="s">
        <v>9</v>
      </c>
      <c r="G5" s="7"/>
      <c r="H5" s="14">
        <v>42217</v>
      </c>
      <c r="I5" t="s">
        <v>19</v>
      </c>
      <c r="J5" t="s">
        <v>3</v>
      </c>
      <c r="K5">
        <v>246</v>
      </c>
      <c r="L5" s="3">
        <f>AVERAGE(D64:D309)</f>
        <v>1.2164069557362225E-2</v>
      </c>
      <c r="M5" s="3">
        <f>AVERAGE(E64:E308)</f>
        <v>1.0073731138545905E-2</v>
      </c>
      <c r="N5" s="3"/>
    </row>
    <row r="6" spans="1:15" x14ac:dyDescent="0.25">
      <c r="A6" s="11">
        <v>42217</v>
      </c>
      <c r="B6" s="7">
        <v>5.486111111111111E-2</v>
      </c>
      <c r="C6" s="7">
        <v>7.7083333333333337E-2</v>
      </c>
      <c r="D6" s="7">
        <f>(0.0770833333333333-0.0548611111111111)</f>
        <v>2.2222222222222199E-2</v>
      </c>
      <c r="E6" s="7">
        <f>ABS(0.0222222222222222-0.0201388888888889)</f>
        <v>2.0833333333332982E-3</v>
      </c>
      <c r="F6" s="1" t="s">
        <v>9</v>
      </c>
      <c r="G6" s="7"/>
      <c r="H6" s="14">
        <v>42217</v>
      </c>
      <c r="I6" t="s">
        <v>19</v>
      </c>
      <c r="J6" t="s">
        <v>10</v>
      </c>
      <c r="K6">
        <v>200</v>
      </c>
      <c r="L6" s="3">
        <f>AVERAGE(D310:D509)</f>
        <v>2.0423611111111222E-2</v>
      </c>
      <c r="M6" s="3">
        <f>AVERAGE(E310:E508)</f>
        <v>8.6962590731437129E-3</v>
      </c>
      <c r="N6" s="3"/>
    </row>
    <row r="7" spans="1:15" x14ac:dyDescent="0.25">
      <c r="A7" s="11">
        <v>42217</v>
      </c>
      <c r="B7" s="7">
        <v>0.5854166666666667</v>
      </c>
      <c r="C7" s="7">
        <v>0.60555555555555551</v>
      </c>
      <c r="D7" s="7">
        <f>(0.605555555555556-0.585416666666667)</f>
        <v>2.0138888888888928E-2</v>
      </c>
      <c r="E7" s="7">
        <f>ABS(0.0201388888888889-0.0152777777777781)</f>
        <v>4.8611111111108007E-3</v>
      </c>
      <c r="F7" s="1" t="s">
        <v>9</v>
      </c>
      <c r="G7" s="7"/>
      <c r="H7" s="14">
        <v>42217</v>
      </c>
      <c r="I7" t="s">
        <v>19</v>
      </c>
      <c r="J7" t="s">
        <v>8</v>
      </c>
      <c r="K7">
        <v>38</v>
      </c>
      <c r="L7" s="3">
        <f>AVERAGE(D510:D547)</f>
        <v>1.9316520467836096E-2</v>
      </c>
      <c r="M7" s="3">
        <f>AVERAGE(E510:E546)</f>
        <v>8.9151651651652904E-3</v>
      </c>
      <c r="N7" s="3"/>
    </row>
    <row r="8" spans="1:15" x14ac:dyDescent="0.25">
      <c r="A8" s="11">
        <v>42217</v>
      </c>
      <c r="B8" s="7">
        <v>0.66319444444444442</v>
      </c>
      <c r="C8" s="7">
        <v>0.67847222222222225</v>
      </c>
      <c r="D8" s="7">
        <f>(0.678472222222222-0.663194444444444)</f>
        <v>1.5277777777778057E-2</v>
      </c>
      <c r="E8" s="7">
        <f>ABS(0.0152777777777781-0.013194444444444)</f>
        <v>2.0833333333340996E-3</v>
      </c>
      <c r="F8" s="1" t="s">
        <v>9</v>
      </c>
      <c r="G8" s="7"/>
      <c r="H8" s="14">
        <v>42217</v>
      </c>
      <c r="I8" t="s">
        <v>19</v>
      </c>
      <c r="J8" t="s">
        <v>11</v>
      </c>
      <c r="K8">
        <v>141</v>
      </c>
      <c r="L8" s="3">
        <f>AVERAGE(D548:D688)</f>
        <v>2.6319936958234869E-2</v>
      </c>
      <c r="M8" s="3">
        <f>AVERAGE(E548:E687)</f>
        <v>1.3492063492063453E-2</v>
      </c>
    </row>
    <row r="9" spans="1:15" x14ac:dyDescent="0.25">
      <c r="A9" s="11">
        <v>42217</v>
      </c>
      <c r="B9" s="7">
        <v>0.78125</v>
      </c>
      <c r="C9" s="7">
        <v>0.7944444444444444</v>
      </c>
      <c r="D9" s="7">
        <f>(0.794444444444444-0.78125)</f>
        <v>1.3194444444443953E-2</v>
      </c>
      <c r="E9" s="7">
        <f>ABS(0.013194444444444-0.0138888888888891)</f>
        <v>6.9444444444509944E-4</v>
      </c>
      <c r="F9" s="1" t="s">
        <v>9</v>
      </c>
      <c r="G9" s="7"/>
    </row>
    <row r="10" spans="1:15" x14ac:dyDescent="0.25">
      <c r="A10" s="11">
        <v>42217</v>
      </c>
      <c r="B10" s="7">
        <v>0.90972222222222221</v>
      </c>
      <c r="C10" s="7">
        <v>0.92361111111111116</v>
      </c>
      <c r="D10" s="7">
        <f>(0.923611111111111-0.909722222222222)</f>
        <v>1.3888888888889062E-2</v>
      </c>
      <c r="E10" s="7">
        <f>ABS(0.0138888888888891-0.0159722222222222)</f>
        <v>2.0833333333331004E-3</v>
      </c>
      <c r="F10" s="1" t="s">
        <v>9</v>
      </c>
      <c r="G10" s="7"/>
    </row>
    <row r="11" spans="1:15" x14ac:dyDescent="0.25">
      <c r="A11" s="11">
        <v>42217</v>
      </c>
      <c r="B11" s="7">
        <v>2.9166666666666664E-2</v>
      </c>
      <c r="C11" s="7">
        <v>4.5138888888888888E-2</v>
      </c>
      <c r="D11" s="7">
        <f>(0.0451388888888889-0.0291666666666667)</f>
        <v>1.5972222222222204E-2</v>
      </c>
      <c r="E11" s="7">
        <f>ABS(0.0159722222222222-0.03125)</f>
        <v>1.52777777777778E-2</v>
      </c>
      <c r="F11" s="1" t="s">
        <v>9</v>
      </c>
      <c r="G11" s="7"/>
    </row>
    <row r="12" spans="1:15" x14ac:dyDescent="0.25">
      <c r="A12" s="11">
        <v>42217</v>
      </c>
      <c r="B12" s="7">
        <v>0.51111111111111118</v>
      </c>
      <c r="C12" s="7">
        <v>0.54236111111111118</v>
      </c>
      <c r="D12" s="7">
        <f>(0.542361111111111-0.511111111111111)</f>
        <v>3.125E-2</v>
      </c>
      <c r="E12" s="7">
        <f>ABS(0.03125-0.018055555555556)</f>
        <v>1.3194444444443999E-2</v>
      </c>
      <c r="F12" s="1" t="s">
        <v>9</v>
      </c>
      <c r="G12" s="7"/>
    </row>
    <row r="13" spans="1:15" x14ac:dyDescent="0.25">
      <c r="A13" s="11">
        <v>42217</v>
      </c>
      <c r="B13" s="7">
        <v>0.2722222222222222</v>
      </c>
      <c r="C13" s="7">
        <v>0.2902777777777778</v>
      </c>
      <c r="D13" s="7">
        <f>(0.290277777777778-0.272222222222222)</f>
        <v>1.8055555555556047E-2</v>
      </c>
      <c r="E13" s="7">
        <f>ABS(0.018055555555556-0.014583333333333)</f>
        <v>3.4722222222230009E-3</v>
      </c>
      <c r="F13" s="1" t="s">
        <v>9</v>
      </c>
      <c r="G13" s="7"/>
    </row>
    <row r="14" spans="1:15" x14ac:dyDescent="0.25">
      <c r="A14" s="11">
        <v>42217</v>
      </c>
      <c r="B14" s="7">
        <v>0.47638888888888892</v>
      </c>
      <c r="C14" s="7">
        <v>0.4909722222222222</v>
      </c>
      <c r="D14" s="7">
        <f>(0.490972222222222-0.476388888888889)</f>
        <v>1.4583333333333004E-2</v>
      </c>
      <c r="E14" s="7">
        <f>ABS(0.014583333333333-0.0222222222222199)</f>
        <v>7.638888888886898E-3</v>
      </c>
      <c r="F14" s="1" t="s">
        <v>9</v>
      </c>
      <c r="G14" s="7"/>
    </row>
    <row r="15" spans="1:15" x14ac:dyDescent="0.25">
      <c r="A15" s="11">
        <v>42217</v>
      </c>
      <c r="B15" s="7">
        <v>1.0013888888888889</v>
      </c>
      <c r="C15" s="7">
        <v>1.023611111111111</v>
      </c>
      <c r="D15" s="7">
        <f>(1.02361111111111-1.00138888888889)</f>
        <v>2.2222222222219923E-2</v>
      </c>
      <c r="E15" s="7">
        <f>ABS(0.0222222222222199-0.013888888888889)</f>
        <v>8.3333333333308994E-3</v>
      </c>
      <c r="F15" s="1" t="s">
        <v>9</v>
      </c>
      <c r="G15" s="7"/>
    </row>
    <row r="16" spans="1:15" x14ac:dyDescent="0.25">
      <c r="A16" s="11">
        <v>42217</v>
      </c>
      <c r="B16" s="7">
        <v>0.55972222222222223</v>
      </c>
      <c r="C16" s="7">
        <v>0.57361111111111118</v>
      </c>
      <c r="D16" s="7">
        <f>(0.573611111111111-0.559722222222222)</f>
        <v>1.3888888888888951E-2</v>
      </c>
      <c r="E16" s="7">
        <f>ABS(0.013888888888889-0.0138888888888899)</f>
        <v>9.0032148403196288E-16</v>
      </c>
      <c r="F16" s="1" t="s">
        <v>9</v>
      </c>
      <c r="G16" s="7"/>
    </row>
    <row r="17" spans="1:7" x14ac:dyDescent="0.25">
      <c r="A17" s="11">
        <v>42217</v>
      </c>
      <c r="B17" s="7">
        <v>1.01875</v>
      </c>
      <c r="C17" s="7">
        <v>1.0326388888888889</v>
      </c>
      <c r="D17" s="7">
        <f>(1.03263888888889-1.01875)</f>
        <v>1.388888888888995E-2</v>
      </c>
      <c r="E17" s="7">
        <f>ABS(0.0138888888888899-0.013194444444444)</f>
        <v>6.9444444444589915E-4</v>
      </c>
      <c r="F17" s="1" t="s">
        <v>9</v>
      </c>
      <c r="G17" s="7"/>
    </row>
    <row r="18" spans="1:7" x14ac:dyDescent="0.25">
      <c r="A18" s="11">
        <v>42217</v>
      </c>
      <c r="B18" s="7">
        <v>0.48402777777777778</v>
      </c>
      <c r="C18" s="7">
        <v>0.49722222222222223</v>
      </c>
      <c r="D18" s="7">
        <f>(0.497222222222222-0.484027777777778)</f>
        <v>1.3194444444444009E-2</v>
      </c>
      <c r="E18" s="7">
        <f>ABS(0.013194444444444-0.0166666666666659)</f>
        <v>3.4722222222218994E-3</v>
      </c>
      <c r="F18" s="1" t="s">
        <v>9</v>
      </c>
      <c r="G18" s="7"/>
    </row>
    <row r="19" spans="1:7" x14ac:dyDescent="0.25">
      <c r="A19" s="11">
        <v>42217</v>
      </c>
      <c r="B19" s="7">
        <v>0.7680555555555556</v>
      </c>
      <c r="C19" s="7">
        <v>0.78472222222222221</v>
      </c>
      <c r="D19" s="7">
        <f>(0.784722222222222-0.768055555555556)</f>
        <v>1.6666666666665941E-2</v>
      </c>
      <c r="E19" s="7">
        <f>ABS(0.0166666666666659-0.011805555555556)</f>
        <v>4.8611111111099004E-3</v>
      </c>
      <c r="F19" s="1" t="s">
        <v>9</v>
      </c>
      <c r="G19" s="7"/>
    </row>
    <row r="20" spans="1:7" x14ac:dyDescent="0.25">
      <c r="A20" s="11">
        <v>42217</v>
      </c>
      <c r="B20" s="7">
        <v>0.77361111111111114</v>
      </c>
      <c r="C20" s="7">
        <v>0.78541666666666676</v>
      </c>
      <c r="D20" s="7">
        <f>(0.785416666666667-0.773611111111111)</f>
        <v>1.1805555555555958E-2</v>
      </c>
      <c r="E20" s="7">
        <f>ABS(0.011805555555556-0.016666666666666)</f>
        <v>4.861111111110001E-3</v>
      </c>
      <c r="F20" s="1" t="s">
        <v>9</v>
      </c>
      <c r="G20" s="7"/>
    </row>
    <row r="21" spans="1:7" x14ac:dyDescent="0.25">
      <c r="A21" s="11">
        <v>42217</v>
      </c>
      <c r="B21" s="7">
        <v>0.39305555555555555</v>
      </c>
      <c r="C21" s="7">
        <v>0.40972222222222227</v>
      </c>
      <c r="D21" s="7">
        <f>(0.409722222222222-0.393055555555556)</f>
        <v>1.6666666666665997E-2</v>
      </c>
      <c r="E21" s="7">
        <f>ABS(0.016666666666666-0.04375)</f>
        <v>2.7083333333333997E-2</v>
      </c>
      <c r="F21" s="1" t="s">
        <v>9</v>
      </c>
      <c r="G21" s="7"/>
    </row>
    <row r="22" spans="1:7" x14ac:dyDescent="0.25">
      <c r="A22" s="11">
        <v>42217</v>
      </c>
      <c r="B22" s="7">
        <v>0.38819444444444445</v>
      </c>
      <c r="C22" s="7">
        <v>0.43194444444444446</v>
      </c>
      <c r="D22" s="7">
        <f>(0.431944444444444-0.388194444444444)</f>
        <v>4.3750000000000011E-2</v>
      </c>
      <c r="E22" s="7">
        <f>ABS(0.04375-0.020138888888889)</f>
        <v>2.3611111111110996E-2</v>
      </c>
      <c r="F22" s="1" t="s">
        <v>9</v>
      </c>
      <c r="G22" s="7"/>
    </row>
    <row r="23" spans="1:7" x14ac:dyDescent="0.25">
      <c r="A23" s="11">
        <v>42217</v>
      </c>
      <c r="B23" s="7">
        <v>0.41875000000000001</v>
      </c>
      <c r="C23" s="7">
        <v>0.43888888888888888</v>
      </c>
      <c r="D23" s="7">
        <f>(0.438888888888889-0.41875)</f>
        <v>2.0138888888888984E-2</v>
      </c>
      <c r="E23" s="7">
        <f>ABS(0.020138888888889-0.0166666666666661)</f>
        <v>3.4722222222229003E-3</v>
      </c>
      <c r="F23" s="1" t="s">
        <v>9</v>
      </c>
      <c r="G23" s="7"/>
    </row>
    <row r="24" spans="1:7" x14ac:dyDescent="0.25">
      <c r="A24" s="11">
        <v>42217</v>
      </c>
      <c r="B24" s="7">
        <v>0.72777777777777775</v>
      </c>
      <c r="C24" s="7">
        <v>0.74444444444444446</v>
      </c>
      <c r="D24" s="7">
        <f>(0.744444444444444-0.727777777777778)</f>
        <v>1.6666666666666052E-2</v>
      </c>
      <c r="E24" s="7">
        <f>ABS(0.0166666666666661-0.0173611111111109)</f>
        <v>6.9444444444479933E-4</v>
      </c>
      <c r="F24" s="1" t="s">
        <v>9</v>
      </c>
      <c r="G24" s="7"/>
    </row>
    <row r="25" spans="1:7" x14ac:dyDescent="0.25">
      <c r="A25" s="11">
        <v>42217</v>
      </c>
      <c r="B25" s="7">
        <v>0.8305555555555556</v>
      </c>
      <c r="C25" s="7">
        <v>0.84791666666666676</v>
      </c>
      <c r="D25" s="7">
        <f>(0.847916666666667-0.830555555555556)</f>
        <v>1.7361111111110938E-2</v>
      </c>
      <c r="E25" s="7">
        <f>ABS(0.0173611111111109-0.0145833333333341)</f>
        <v>2.7777777777767999E-3</v>
      </c>
      <c r="F25" s="1" t="s">
        <v>9</v>
      </c>
      <c r="G25" s="7"/>
    </row>
    <row r="26" spans="1:7" x14ac:dyDescent="0.25">
      <c r="A26" s="11">
        <v>42217</v>
      </c>
      <c r="B26" s="7">
        <v>0.54097222222222219</v>
      </c>
      <c r="C26" s="7">
        <v>0.55555555555555558</v>
      </c>
      <c r="D26" s="7">
        <f>(0.555555555555556-0.540972222222222)</f>
        <v>1.4583333333334059E-2</v>
      </c>
      <c r="E26" s="7">
        <f>ABS(0.0145833333333341-0.0215277777777779)</f>
        <v>6.9444444444437987E-3</v>
      </c>
      <c r="F26" s="1" t="s">
        <v>9</v>
      </c>
      <c r="G26" s="7"/>
    </row>
    <row r="27" spans="1:7" x14ac:dyDescent="0.25">
      <c r="A27" s="11">
        <v>42217</v>
      </c>
      <c r="B27" s="7">
        <v>0.85972222222222217</v>
      </c>
      <c r="C27" s="7">
        <v>0.88124999999999998</v>
      </c>
      <c r="D27" s="7">
        <f>(0.88125-0.859722222222222)</f>
        <v>2.1527777777777923E-2</v>
      </c>
      <c r="E27" s="7">
        <f>ABS(0.0215277777777779-0.0173611111111109)</f>
        <v>4.1666666666669988E-3</v>
      </c>
      <c r="F27" s="1" t="s">
        <v>9</v>
      </c>
      <c r="G27" s="7"/>
    </row>
    <row r="28" spans="1:7" x14ac:dyDescent="0.25">
      <c r="A28" s="11">
        <v>42217</v>
      </c>
      <c r="B28" s="7">
        <v>0.67222222222222217</v>
      </c>
      <c r="C28" s="7">
        <v>0.68958333333333333</v>
      </c>
      <c r="D28" s="7">
        <f>(0.689583333333333-0.672222222222222)</f>
        <v>1.7361111111110938E-2</v>
      </c>
      <c r="E28" s="7">
        <f>ABS(0.0173611111111109-0.013194444444445)</f>
        <v>4.1666666666659007E-3</v>
      </c>
      <c r="F28" s="1" t="s">
        <v>9</v>
      </c>
      <c r="G28" s="7"/>
    </row>
    <row r="29" spans="1:7" x14ac:dyDescent="0.25">
      <c r="A29" s="11">
        <v>42217</v>
      </c>
      <c r="B29" s="7">
        <v>0.71319444444444446</v>
      </c>
      <c r="C29" s="7">
        <v>0.72638888888888886</v>
      </c>
      <c r="D29" s="7">
        <f>(0.726388888888889-0.713194444444444)</f>
        <v>1.3194444444444953E-2</v>
      </c>
      <c r="E29" s="7">
        <f>ABS(0.013194444444445-0.00555555555555609)</f>
        <v>7.6388888888889095E-3</v>
      </c>
      <c r="F29" s="1" t="s">
        <v>9</v>
      </c>
      <c r="G29" s="7"/>
    </row>
    <row r="30" spans="1:7" x14ac:dyDescent="0.25">
      <c r="A30" s="11">
        <v>42217</v>
      </c>
      <c r="B30" s="7">
        <v>0.7944444444444444</v>
      </c>
      <c r="C30" s="7">
        <v>0.79999999999999993</v>
      </c>
      <c r="D30" s="7">
        <f>(0.8-0.794444444444444)</f>
        <v>5.5555555555560909E-3</v>
      </c>
      <c r="E30" s="7">
        <f>ABS(0.00555555555555609-0.021527777777778)</f>
        <v>1.5972222222221909E-2</v>
      </c>
      <c r="F30" s="1" t="s">
        <v>9</v>
      </c>
      <c r="G30" s="7"/>
    </row>
    <row r="31" spans="1:7" x14ac:dyDescent="0.25">
      <c r="A31" s="11">
        <v>42217</v>
      </c>
      <c r="B31" s="7">
        <v>0.71319444444444446</v>
      </c>
      <c r="C31" s="7">
        <v>0.73472222222222217</v>
      </c>
      <c r="D31" s="7">
        <f>(0.734722222222222-0.713194444444444)</f>
        <v>2.1527777777778034E-2</v>
      </c>
      <c r="E31" s="7">
        <f>ABS(0.021527777777778-0.0145833333333329)</f>
        <v>6.9444444444450998E-3</v>
      </c>
      <c r="F31" s="1" t="s">
        <v>9</v>
      </c>
      <c r="G31" s="7"/>
    </row>
    <row r="32" spans="1:7" x14ac:dyDescent="0.25">
      <c r="A32" s="11">
        <v>42217</v>
      </c>
      <c r="B32" s="7">
        <v>0.79791666666666661</v>
      </c>
      <c r="C32" s="7">
        <v>0.8125</v>
      </c>
      <c r="D32" s="7">
        <f>(0.8125-0.797916666666667)</f>
        <v>1.4583333333332948E-2</v>
      </c>
      <c r="E32" s="7">
        <f>ABS(0.0145833333333329-0.0131944444444451)</f>
        <v>1.3888888888877998E-3</v>
      </c>
      <c r="F32" s="1" t="s">
        <v>9</v>
      </c>
      <c r="G32" s="7"/>
    </row>
    <row r="33" spans="1:7" x14ac:dyDescent="0.25">
      <c r="A33" s="11">
        <v>42217</v>
      </c>
      <c r="B33" s="7">
        <v>0.54097222222222219</v>
      </c>
      <c r="C33" s="7">
        <v>0.5541666666666667</v>
      </c>
      <c r="D33" s="7">
        <f>(0.554166666666667-0.540972222222222)</f>
        <v>1.3194444444445064E-2</v>
      </c>
      <c r="E33" s="7">
        <f>ABS(0.0131944444444451-0.022916666666666)</f>
        <v>9.7222222222208988E-3</v>
      </c>
      <c r="F33" s="1" t="s">
        <v>9</v>
      </c>
      <c r="G33" s="7"/>
    </row>
    <row r="34" spans="1:7" x14ac:dyDescent="0.25">
      <c r="A34" s="11">
        <v>42217</v>
      </c>
      <c r="B34" s="7">
        <v>0.62430555555555556</v>
      </c>
      <c r="C34" s="7">
        <v>0.64722222222222225</v>
      </c>
      <c r="D34" s="7">
        <f>(0.647222222222222-0.624305555555556)</f>
        <v>2.291666666666603E-2</v>
      </c>
      <c r="E34" s="7">
        <f>ABS(0.022916666666666-0.024305555555555)</f>
        <v>1.3888888888890019E-3</v>
      </c>
      <c r="F34" s="1" t="s">
        <v>9</v>
      </c>
      <c r="G34" s="7"/>
    </row>
    <row r="35" spans="1:7" x14ac:dyDescent="0.25">
      <c r="A35" s="11">
        <v>42217</v>
      </c>
      <c r="B35" s="7">
        <v>0.62291666666666667</v>
      </c>
      <c r="C35" s="7">
        <v>0.64722222222222225</v>
      </c>
      <c r="D35" s="7">
        <f>(0.647222222222222-0.622916666666667)</f>
        <v>2.4305555555555025E-2</v>
      </c>
      <c r="E35" s="7">
        <f>ABS(0.024305555555555-0.020833333333333)</f>
        <v>3.4722222222220017E-3</v>
      </c>
      <c r="F35" s="1" t="s">
        <v>9</v>
      </c>
      <c r="G35" s="7"/>
    </row>
    <row r="36" spans="1:7" x14ac:dyDescent="0.25">
      <c r="A36" s="11">
        <v>42217</v>
      </c>
      <c r="B36" s="7">
        <v>0.63402777777777775</v>
      </c>
      <c r="C36" s="7">
        <v>0.65486111111111112</v>
      </c>
      <c r="D36" s="7">
        <f>(0.654861111111111-0.634027777777778)</f>
        <v>2.0833333333333037E-2</v>
      </c>
      <c r="E36" s="7">
        <f>ABS(0.020833333333333-0.024305555555556)</f>
        <v>3.4722222222230009E-3</v>
      </c>
      <c r="F36" s="1" t="s">
        <v>9</v>
      </c>
      <c r="G36" s="7"/>
    </row>
    <row r="37" spans="1:7" x14ac:dyDescent="0.25">
      <c r="A37" s="11">
        <v>42217</v>
      </c>
      <c r="B37" s="7">
        <v>0.45069444444444445</v>
      </c>
      <c r="C37" s="7">
        <v>0.47500000000000003</v>
      </c>
      <c r="D37" s="7">
        <f>(0.475-0.450694444444444)</f>
        <v>2.4305555555555969E-2</v>
      </c>
      <c r="E37" s="7">
        <f>ABS(0.024305555555556-0.0166666666666671)</f>
        <v>7.6388888888888999E-3</v>
      </c>
      <c r="F37" s="1" t="s">
        <v>9</v>
      </c>
      <c r="G37" s="7"/>
    </row>
    <row r="38" spans="1:7" x14ac:dyDescent="0.25">
      <c r="A38" s="11">
        <v>42217</v>
      </c>
      <c r="B38" s="7">
        <v>0.6</v>
      </c>
      <c r="C38" s="7">
        <v>0.6166666666666667</v>
      </c>
      <c r="D38" s="7">
        <f>(0.616666666666667-0.6)</f>
        <v>1.6666666666667052E-2</v>
      </c>
      <c r="E38" s="7">
        <f>ABS(0.0166666666666671-0.013194444444444)</f>
        <v>3.4722222222230998E-3</v>
      </c>
      <c r="F38" s="1" t="s">
        <v>9</v>
      </c>
      <c r="G38" s="7"/>
    </row>
    <row r="39" spans="1:7" x14ac:dyDescent="0.25">
      <c r="A39" s="11">
        <v>42217</v>
      </c>
      <c r="B39" s="7">
        <v>0.45902777777777781</v>
      </c>
      <c r="C39" s="7">
        <v>0.47222222222222227</v>
      </c>
      <c r="D39" s="7">
        <f>(0.472222222222222-0.459027777777778)</f>
        <v>1.3194444444444009E-2</v>
      </c>
      <c r="E39" s="7">
        <f>ABS(0.013194444444444-0.0173611111111109)</f>
        <v>4.1666666666668999E-3</v>
      </c>
      <c r="F39" s="1" t="s">
        <v>9</v>
      </c>
      <c r="G39" s="7"/>
    </row>
    <row r="40" spans="1:7" x14ac:dyDescent="0.25">
      <c r="A40" s="11">
        <v>42217</v>
      </c>
      <c r="B40" s="7">
        <v>0.55625000000000002</v>
      </c>
      <c r="C40" s="7">
        <v>0.57361111111111118</v>
      </c>
      <c r="D40" s="7">
        <f>(0.573611111111111-0.55625)</f>
        <v>1.7361111111110938E-2</v>
      </c>
      <c r="E40" s="7">
        <f>ABS(0.0173611111111109-0.0145833333333339)</f>
        <v>2.7777777777769994E-3</v>
      </c>
      <c r="F40" s="1" t="s">
        <v>9</v>
      </c>
      <c r="G40" s="7"/>
    </row>
    <row r="41" spans="1:7" x14ac:dyDescent="0.25">
      <c r="A41" s="11">
        <v>42217</v>
      </c>
      <c r="B41" s="7">
        <v>0.74583333333333324</v>
      </c>
      <c r="C41" s="7">
        <v>0.76041666666666663</v>
      </c>
      <c r="D41" s="7">
        <f>(0.760416666666667-0.745833333333333)</f>
        <v>1.4583333333333948E-2</v>
      </c>
      <c r="E41" s="7">
        <f>ABS(0.0145833333333339-0.0152777777777779)</f>
        <v>6.9444444444399962E-4</v>
      </c>
      <c r="F41" s="1" t="s">
        <v>9</v>
      </c>
      <c r="G41" s="7"/>
    </row>
    <row r="42" spans="1:7" x14ac:dyDescent="0.25">
      <c r="A42" s="11">
        <v>42217</v>
      </c>
      <c r="B42" s="7">
        <v>0.8652777777777777</v>
      </c>
      <c r="C42" s="7">
        <v>0.88055555555555554</v>
      </c>
      <c r="D42" s="7">
        <f>(0.880555555555556-0.865277777777778)</f>
        <v>1.5277777777777946E-2</v>
      </c>
      <c r="E42" s="7">
        <f>ABS(0.0152777777777779-0.014583333333334)</f>
        <v>6.9444444444390074E-4</v>
      </c>
      <c r="F42" s="1" t="s">
        <v>9</v>
      </c>
      <c r="G42" s="7"/>
    </row>
    <row r="43" spans="1:7" x14ac:dyDescent="0.25">
      <c r="A43" s="11">
        <v>42217</v>
      </c>
      <c r="B43" s="7">
        <v>0.38958333333333334</v>
      </c>
      <c r="C43" s="7">
        <v>0.40416666666666662</v>
      </c>
      <c r="D43" s="7">
        <f>(0.404166666666667-0.389583333333333)</f>
        <v>1.4583333333334003E-2</v>
      </c>
      <c r="E43" s="7">
        <f>ABS(0.014583333333334-0.0118055555555561)</f>
        <v>2.7777777777778997E-3</v>
      </c>
      <c r="F43" s="1" t="s">
        <v>9</v>
      </c>
      <c r="G43" s="7"/>
    </row>
    <row r="44" spans="1:7" x14ac:dyDescent="0.25">
      <c r="A44" s="11">
        <v>42217</v>
      </c>
      <c r="B44" s="7">
        <v>0.92083333333333339</v>
      </c>
      <c r="C44" s="7">
        <v>0.93263888888888891</v>
      </c>
      <c r="D44" s="7">
        <f>(0.932638888888889-0.920833333333333)</f>
        <v>1.1805555555556069E-2</v>
      </c>
      <c r="E44" s="7">
        <f>ABS(0.0118055555555561-0.015972222222223)</f>
        <v>4.1666666666669017E-3</v>
      </c>
      <c r="F44" s="1" t="s">
        <v>9</v>
      </c>
      <c r="G44" s="7"/>
    </row>
    <row r="45" spans="1:7" x14ac:dyDescent="0.25">
      <c r="A45" s="11">
        <v>42217</v>
      </c>
      <c r="B45" s="7">
        <v>0.30833333333333335</v>
      </c>
      <c r="C45" s="7">
        <v>0.32430555555555557</v>
      </c>
      <c r="D45" s="7">
        <f>(0.324305555555556-0.308333333333333)</f>
        <v>1.5972222222222998E-2</v>
      </c>
      <c r="E45" s="7">
        <f>ABS(0.015972222222223-0.019444444444444)</f>
        <v>3.472222222220999E-3</v>
      </c>
      <c r="F45" s="1" t="s">
        <v>9</v>
      </c>
      <c r="G45" s="7"/>
    </row>
    <row r="46" spans="1:7" x14ac:dyDescent="0.25">
      <c r="A46" s="11">
        <v>42217</v>
      </c>
      <c r="B46" s="7">
        <v>0.3354166666666667</v>
      </c>
      <c r="C46" s="7">
        <v>0.35486111111111113</v>
      </c>
      <c r="D46" s="7">
        <f>(0.354861111111111-0.335416666666667)</f>
        <v>1.9444444444444042E-2</v>
      </c>
      <c r="E46" s="7">
        <f>ABS(0.019444444444444-0.015277777777778)</f>
        <v>4.1666666666660013E-3</v>
      </c>
      <c r="F46" s="1" t="s">
        <v>9</v>
      </c>
      <c r="G46" s="7"/>
    </row>
    <row r="47" spans="1:7" x14ac:dyDescent="0.25">
      <c r="A47" s="11">
        <v>42217</v>
      </c>
      <c r="B47" s="7">
        <v>0.42569444444444443</v>
      </c>
      <c r="C47" s="7">
        <v>0.44097222222222227</v>
      </c>
      <c r="D47" s="7">
        <f>(0.440972222222222-0.425694444444444)</f>
        <v>1.5277777777778001E-2</v>
      </c>
      <c r="E47" s="7">
        <f>ABS(0.015277777777778-0.013888888888888)</f>
        <v>1.3888888888899994E-3</v>
      </c>
      <c r="F47" s="1" t="s">
        <v>9</v>
      </c>
      <c r="G47" s="7"/>
    </row>
    <row r="48" spans="1:7" x14ac:dyDescent="0.25">
      <c r="A48" s="11">
        <v>42217</v>
      </c>
      <c r="B48" s="7">
        <v>0.29305555555555557</v>
      </c>
      <c r="C48" s="7">
        <v>0.30694444444444441</v>
      </c>
      <c r="D48" s="7">
        <f>(0.306944444444444-0.293055555555556)</f>
        <v>1.3888888888888007E-2</v>
      </c>
      <c r="E48" s="7">
        <f>ABS(0.013888888888888-0.0138888888888899)</f>
        <v>1.8995222061946038E-15</v>
      </c>
      <c r="F48" s="1" t="s">
        <v>9</v>
      </c>
      <c r="G48" s="7"/>
    </row>
    <row r="49" spans="1:7" x14ac:dyDescent="0.25">
      <c r="A49" s="11">
        <v>42217</v>
      </c>
      <c r="B49" s="7">
        <v>1.0229166666666667</v>
      </c>
      <c r="C49" s="7">
        <v>1.0368055555555555</v>
      </c>
      <c r="D49" s="7">
        <f>(1.03680555555556-1.02291666666667)</f>
        <v>1.388888888888995E-2</v>
      </c>
      <c r="E49" s="7">
        <f>ABS(0.0138888888888899-0.0180555555555549)</f>
        <v>4.1666666666650021E-3</v>
      </c>
      <c r="F49" s="1" t="s">
        <v>9</v>
      </c>
      <c r="G49" s="7"/>
    </row>
    <row r="50" spans="1:7" x14ac:dyDescent="0.25">
      <c r="A50" s="11">
        <v>42217</v>
      </c>
      <c r="B50" s="7">
        <v>0.5541666666666667</v>
      </c>
      <c r="C50" s="7">
        <v>0.57222222222222219</v>
      </c>
      <c r="D50" s="7">
        <f>(0.572222222222222-0.554166666666667)</f>
        <v>1.8055555555554936E-2</v>
      </c>
      <c r="E50" s="7">
        <f>ABS(0.0180555555555549-0.013888888888889)</f>
        <v>4.1666666666659025E-3</v>
      </c>
      <c r="F50" s="1" t="s">
        <v>9</v>
      </c>
      <c r="G50" s="7"/>
    </row>
    <row r="51" spans="1:7" x14ac:dyDescent="0.25">
      <c r="A51" s="11">
        <v>42217</v>
      </c>
      <c r="B51" s="7">
        <v>0.53263888888888888</v>
      </c>
      <c r="C51" s="7">
        <v>0.54652777777777783</v>
      </c>
      <c r="D51" s="7">
        <f>(0.546527777777778-0.532638888888889)</f>
        <v>1.3888888888888951E-2</v>
      </c>
      <c r="E51" s="7">
        <f>ABS(0.013888888888889-0.013888888888889)</f>
        <v>0</v>
      </c>
      <c r="F51" s="1" t="s">
        <v>9</v>
      </c>
      <c r="G51" s="7"/>
    </row>
    <row r="52" spans="1:7" x14ac:dyDescent="0.25">
      <c r="A52" s="11">
        <v>42217</v>
      </c>
      <c r="B52" s="7">
        <v>0.65069444444444446</v>
      </c>
      <c r="C52" s="7">
        <v>0.6645833333333333</v>
      </c>
      <c r="D52" s="7">
        <f>(0.664583333333333-0.650694444444444)</f>
        <v>1.3888888888888951E-2</v>
      </c>
      <c r="E52" s="7">
        <f>ABS(0.013888888888889-0.0173611111111109)</f>
        <v>3.4722222222219011E-3</v>
      </c>
      <c r="F52" s="1" t="s">
        <v>9</v>
      </c>
      <c r="G52" s="7"/>
    </row>
    <row r="53" spans="1:7" x14ac:dyDescent="0.25">
      <c r="A53" s="11">
        <v>42217</v>
      </c>
      <c r="B53" s="7">
        <v>0.6791666666666667</v>
      </c>
      <c r="C53" s="7">
        <v>0.69652777777777775</v>
      </c>
      <c r="D53" s="7">
        <f>(0.696527777777778-0.679166666666667)</f>
        <v>1.7361111111110938E-2</v>
      </c>
      <c r="E53" s="7">
        <f>ABS(0.0173611111111109-0.0145833333333339)</f>
        <v>2.7777777777769994E-3</v>
      </c>
      <c r="F53" s="1" t="s">
        <v>9</v>
      </c>
      <c r="G53" s="7"/>
    </row>
    <row r="54" spans="1:7" x14ac:dyDescent="0.25">
      <c r="A54" s="11">
        <v>42217</v>
      </c>
      <c r="B54" s="7">
        <v>0.87083333333333324</v>
      </c>
      <c r="C54" s="7">
        <v>0.88541666666666663</v>
      </c>
      <c r="D54" s="7">
        <f>(0.885416666666667-0.870833333333333)</f>
        <v>1.4583333333333948E-2</v>
      </c>
      <c r="E54" s="7">
        <f>ABS(0.0145833333333339-0.0138888888888891)</f>
        <v>6.9444444444480107E-4</v>
      </c>
      <c r="F54" s="1" t="s">
        <v>9</v>
      </c>
      <c r="G54" s="7"/>
    </row>
    <row r="55" spans="1:7" x14ac:dyDescent="0.25">
      <c r="A55" s="11">
        <v>42217</v>
      </c>
      <c r="B55" s="7">
        <v>0.8847222222222223</v>
      </c>
      <c r="C55" s="7">
        <v>0.89861111111111114</v>
      </c>
      <c r="D55" s="7">
        <f>(0.898611111111111-0.884722222222222)</f>
        <v>1.3888888888889062E-2</v>
      </c>
      <c r="E55" s="7">
        <f>ABS(0.0138888888888891-0.029166666666667)</f>
        <v>1.52777777777779E-2</v>
      </c>
      <c r="F55" s="1" t="s">
        <v>9</v>
      </c>
      <c r="G55" s="7"/>
    </row>
    <row r="56" spans="1:7" x14ac:dyDescent="0.25">
      <c r="A56" s="11">
        <v>42217</v>
      </c>
      <c r="B56" s="7">
        <v>0.29583333333333334</v>
      </c>
      <c r="C56" s="7">
        <v>0.32500000000000001</v>
      </c>
      <c r="D56" s="7">
        <f>(0.325-0.295833333333333)</f>
        <v>2.9166666666667007E-2</v>
      </c>
      <c r="E56" s="7">
        <f>ABS(0.029166666666667-0.017361111111111)</f>
        <v>1.1805555555555999E-2</v>
      </c>
      <c r="F56" s="1" t="s">
        <v>9</v>
      </c>
      <c r="G56" s="7"/>
    </row>
    <row r="57" spans="1:7" x14ac:dyDescent="0.25">
      <c r="A57" s="11">
        <v>42217</v>
      </c>
      <c r="B57" s="7">
        <v>0.33124999999999999</v>
      </c>
      <c r="C57" s="7">
        <v>0.34861111111111115</v>
      </c>
      <c r="D57" s="7">
        <f>(0.348611111111111-0.33125)</f>
        <v>1.7361111111110994E-2</v>
      </c>
      <c r="E57" s="7">
        <f>ABS(0.017361111111111-0.0173611111111109)</f>
        <v>1.0061396160665481E-16</v>
      </c>
      <c r="F57" s="1" t="s">
        <v>9</v>
      </c>
      <c r="G57" s="7"/>
    </row>
    <row r="58" spans="1:7" x14ac:dyDescent="0.25">
      <c r="A58" s="11">
        <v>42217</v>
      </c>
      <c r="B58" s="7">
        <v>0.59166666666666667</v>
      </c>
      <c r="C58" s="7">
        <v>0.60902777777777783</v>
      </c>
      <c r="D58" s="7">
        <f>(0.609027777777778-0.591666666666667)</f>
        <v>1.7361111111110938E-2</v>
      </c>
      <c r="E58" s="7">
        <f>ABS(0.0173611111111109-0.013888888888889)</f>
        <v>3.4722222222219011E-3</v>
      </c>
      <c r="F58" s="1" t="s">
        <v>9</v>
      </c>
      <c r="G58" s="7"/>
    </row>
    <row r="59" spans="1:7" x14ac:dyDescent="0.25">
      <c r="A59" s="11">
        <v>42217</v>
      </c>
      <c r="B59" s="7">
        <v>0.65</v>
      </c>
      <c r="C59" s="7">
        <v>0.66388888888888886</v>
      </c>
      <c r="D59" s="7">
        <f>(0.663888888888889-0.65)</f>
        <v>1.3888888888888951E-2</v>
      </c>
      <c r="E59" s="7">
        <f>ABS(0.013888888888889-0.0159722222222219)</f>
        <v>2.0833333333328992E-3</v>
      </c>
      <c r="F59" s="1" t="s">
        <v>9</v>
      </c>
      <c r="G59" s="7"/>
    </row>
    <row r="60" spans="1:7" x14ac:dyDescent="0.25">
      <c r="A60" s="11">
        <v>42217</v>
      </c>
      <c r="B60" s="7">
        <v>0.92361111111111116</v>
      </c>
      <c r="C60" s="7">
        <v>0.93958333333333333</v>
      </c>
      <c r="D60" s="7">
        <f>(0.939583333333333-0.923611111111111)</f>
        <v>1.5972222222221943E-2</v>
      </c>
      <c r="E60" s="7">
        <f>ABS(0.0159722222222219-0.00763888888888908)</f>
        <v>8.333333333332818E-3</v>
      </c>
      <c r="F60" s="1" t="s">
        <v>9</v>
      </c>
      <c r="G60" s="7"/>
    </row>
    <row r="61" spans="1:7" x14ac:dyDescent="0.25">
      <c r="A61" s="11">
        <v>42217</v>
      </c>
      <c r="B61" s="7">
        <v>0.92152777777777783</v>
      </c>
      <c r="C61" s="7">
        <v>0.9291666666666667</v>
      </c>
      <c r="D61" s="7">
        <f>(0.929166666666667-0.921527777777778)</f>
        <v>7.6388888888890838E-3</v>
      </c>
      <c r="E61" s="7">
        <f>ABS(0.00763888888888908-0.018055555555555)</f>
        <v>1.0416666666665918E-2</v>
      </c>
      <c r="F61" s="1" t="s">
        <v>9</v>
      </c>
      <c r="G61" s="7"/>
    </row>
    <row r="62" spans="1:7" x14ac:dyDescent="0.25">
      <c r="A62" s="11">
        <v>42217</v>
      </c>
      <c r="B62" s="7">
        <v>0.28263888888888888</v>
      </c>
      <c r="C62" s="7">
        <v>0.30069444444444443</v>
      </c>
      <c r="D62" s="7">
        <f>(0.300694444444444-0.282638888888889)</f>
        <v>1.8055555555554992E-2</v>
      </c>
      <c r="E62" s="7">
        <f>ABS(0.018055555555555-0.013194444444445)</f>
        <v>4.8611111111099992E-3</v>
      </c>
      <c r="F62" s="1" t="s">
        <v>9</v>
      </c>
      <c r="G62" s="7"/>
    </row>
    <row r="63" spans="1:7" x14ac:dyDescent="0.25">
      <c r="A63" s="11">
        <v>42217</v>
      </c>
      <c r="B63" s="7">
        <v>0.96458333333333324</v>
      </c>
      <c r="C63" s="7">
        <v>0.97777777777777775</v>
      </c>
      <c r="D63" s="7">
        <f>(0.977777777777778-0.964583333333333)</f>
        <v>1.3194444444444953E-2</v>
      </c>
      <c r="E63" s="7"/>
      <c r="F63" s="1" t="s">
        <v>9</v>
      </c>
      <c r="G63" s="7"/>
    </row>
    <row r="64" spans="1:7" x14ac:dyDescent="0.25">
      <c r="A64" s="11">
        <v>42217</v>
      </c>
      <c r="B64" s="7">
        <v>0.89166666666666661</v>
      </c>
      <c r="C64" s="7">
        <v>0.89722222222222225</v>
      </c>
      <c r="D64" s="7">
        <f>(0.897222222222222-0.891666666666667)</f>
        <v>5.5555555555549807E-3</v>
      </c>
      <c r="E64" s="7">
        <f>ABS(0.00555555555555498-0.013194444444444)</f>
        <v>7.6388888888890205E-3</v>
      </c>
      <c r="F64" s="1" t="s">
        <v>3</v>
      </c>
      <c r="G64" s="7"/>
    </row>
    <row r="65" spans="1:7" x14ac:dyDescent="0.25">
      <c r="A65" s="11">
        <v>42217</v>
      </c>
      <c r="B65" s="7">
        <v>0.93541666666666667</v>
      </c>
      <c r="C65" s="7">
        <v>0.94861111111111107</v>
      </c>
      <c r="D65" s="7">
        <f>(0.948611111111111-0.935416666666667)</f>
        <v>1.3194444444443953E-2</v>
      </c>
      <c r="E65" s="7">
        <f>ABS(0.013194444444444-0.00486111111111009)</f>
        <v>8.3333333333339109E-3</v>
      </c>
      <c r="F65" s="1" t="s">
        <v>3</v>
      </c>
      <c r="G65" s="7"/>
    </row>
    <row r="66" spans="1:7" x14ac:dyDescent="0.25">
      <c r="A66" s="11">
        <v>42217</v>
      </c>
      <c r="B66" s="7">
        <v>1.0250000000000001</v>
      </c>
      <c r="C66" s="7">
        <v>1.0298611111111111</v>
      </c>
      <c r="D66" s="7">
        <f>(1.02986111111111-1.025)</f>
        <v>4.8611111111100946E-3</v>
      </c>
      <c r="E66" s="7">
        <f>ABS(0.00486111111111009-0.0020833333333333)</f>
        <v>2.7777777777767904E-3</v>
      </c>
      <c r="F66" s="1" t="s">
        <v>3</v>
      </c>
      <c r="G66" s="7"/>
    </row>
    <row r="67" spans="1:7" x14ac:dyDescent="0.25">
      <c r="A67" s="11">
        <v>42217</v>
      </c>
      <c r="B67" s="7">
        <v>6.1805555555555558E-2</v>
      </c>
      <c r="C67" s="7">
        <v>6.3888888888888884E-2</v>
      </c>
      <c r="D67" s="7">
        <f>(0.0638888888888889-0.0618055555555556)</f>
        <v>2.0833333333332982E-3</v>
      </c>
      <c r="E67" s="7">
        <f>ABS(0.0020833333333333-0.00972222222222302)</f>
        <v>7.6388888888897204E-3</v>
      </c>
      <c r="F67" s="1" t="s">
        <v>3</v>
      </c>
      <c r="G67" s="7"/>
    </row>
    <row r="68" spans="1:7" x14ac:dyDescent="0.25">
      <c r="A68" s="11">
        <v>42217</v>
      </c>
      <c r="B68" s="7">
        <v>0.36458333333333331</v>
      </c>
      <c r="C68" s="7">
        <v>0.3743055555555555</v>
      </c>
      <c r="D68" s="7">
        <f>(0.374305555555556-0.364583333333333)</f>
        <v>9.7222222222230203E-3</v>
      </c>
      <c r="E68" s="7">
        <f>ABS(0.00972222222222302-0.00555555555555598)</f>
        <v>4.1666666666670404E-3</v>
      </c>
      <c r="F68" s="1" t="s">
        <v>3</v>
      </c>
      <c r="G68" s="7"/>
    </row>
    <row r="69" spans="1:7" x14ac:dyDescent="0.25">
      <c r="A69" s="11">
        <v>42217</v>
      </c>
      <c r="B69" s="7">
        <v>0.58124999999999993</v>
      </c>
      <c r="C69" s="7">
        <v>0.58680555555555558</v>
      </c>
      <c r="D69" s="7">
        <f>(0.586805555555556-0.58125)</f>
        <v>5.5555555555559799E-3</v>
      </c>
      <c r="E69" s="7">
        <f>ABS(0.00555555555555598-0.00763888888888897)</f>
        <v>2.0833333333329903E-3</v>
      </c>
      <c r="F69" s="1" t="s">
        <v>3</v>
      </c>
      <c r="G69" s="7"/>
    </row>
    <row r="70" spans="1:7" x14ac:dyDescent="0.25">
      <c r="A70" s="11">
        <v>42217</v>
      </c>
      <c r="B70" s="7">
        <v>0.58333333333333337</v>
      </c>
      <c r="C70" s="7">
        <v>0.59097222222222223</v>
      </c>
      <c r="D70" s="7">
        <f>(0.590972222222222-0.583333333333333)</f>
        <v>7.6388888888889728E-3</v>
      </c>
      <c r="E70" s="7">
        <f>ABS(0.00763888888888897-0.00972222222222208)</f>
        <v>2.08333333333311E-3</v>
      </c>
      <c r="F70" s="1" t="s">
        <v>3</v>
      </c>
      <c r="G70" s="7"/>
    </row>
    <row r="71" spans="1:7" x14ac:dyDescent="0.25">
      <c r="A71" s="11">
        <v>42217</v>
      </c>
      <c r="B71" s="7">
        <v>0.81874999999999998</v>
      </c>
      <c r="C71" s="7">
        <v>0.82847222222222217</v>
      </c>
      <c r="D71" s="7">
        <f>(0.828472222222222-0.81875)</f>
        <v>9.7222222222220767E-3</v>
      </c>
      <c r="E71" s="7">
        <f>ABS(0.00972222222222208-0.0291666666666601)</f>
        <v>1.9444444444438019E-2</v>
      </c>
      <c r="F71" s="1" t="s">
        <v>3</v>
      </c>
      <c r="G71" s="7"/>
    </row>
    <row r="72" spans="1:7" x14ac:dyDescent="0.25">
      <c r="A72" s="11">
        <v>42217</v>
      </c>
      <c r="B72" s="7">
        <v>1.0041666666666667</v>
      </c>
      <c r="C72" s="7">
        <v>1.0333333333333334</v>
      </c>
      <c r="D72" s="7">
        <f>(1.03333333333333-1.00416666666667)</f>
        <v>2.9166666666660124E-2</v>
      </c>
      <c r="E72" s="7">
        <f>ABS(0.0291666666666601-0.00625000000000009)</f>
        <v>2.2916666666660011E-2</v>
      </c>
      <c r="F72" s="1" t="s">
        <v>3</v>
      </c>
      <c r="G72" s="7"/>
    </row>
    <row r="73" spans="1:7" x14ac:dyDescent="0.25">
      <c r="A73" s="11">
        <v>42217</v>
      </c>
      <c r="B73" s="7">
        <v>0.98333333333333339</v>
      </c>
      <c r="C73" s="7">
        <v>0.98958333333333337</v>
      </c>
      <c r="D73" s="7">
        <f>(0.989583333333333-0.983333333333333)</f>
        <v>6.2500000000000888E-3</v>
      </c>
      <c r="E73" s="7">
        <f>ABS(0.00625000000000009-0.015972222222223)</f>
        <v>9.7222222222229128E-3</v>
      </c>
      <c r="F73" s="1" t="s">
        <v>3</v>
      </c>
      <c r="G73" s="7"/>
    </row>
    <row r="74" spans="1:7" x14ac:dyDescent="0.25">
      <c r="A74" s="11">
        <v>42217</v>
      </c>
      <c r="B74" s="7">
        <v>0.29583333333333334</v>
      </c>
      <c r="C74" s="7">
        <v>0.31180555555555556</v>
      </c>
      <c r="D74" s="7">
        <f>(0.311805555555556-0.295833333333333)</f>
        <v>1.5972222222222998E-2</v>
      </c>
      <c r="E74" s="7">
        <f>ABS(0.015972222222223-0.11875)</f>
        <v>0.102777777777777</v>
      </c>
      <c r="F74" s="1" t="s">
        <v>3</v>
      </c>
      <c r="G74" s="7"/>
    </row>
    <row r="75" spans="1:7" x14ac:dyDescent="0.25">
      <c r="A75" s="11">
        <v>42217</v>
      </c>
      <c r="B75" s="7">
        <v>5.486111111111111E-2</v>
      </c>
      <c r="C75" s="7">
        <v>0.17361111111111113</v>
      </c>
      <c r="D75" s="7">
        <f>(0.173611111111111-0.0548611111111111)</f>
        <v>0.1187499999999999</v>
      </c>
      <c r="E75" s="7">
        <f>ABS(0.11875-0.00833333333333303)</f>
        <v>0.11041666666666697</v>
      </c>
      <c r="F75" s="1" t="s">
        <v>3</v>
      </c>
      <c r="G75" s="7"/>
    </row>
    <row r="76" spans="1:7" x14ac:dyDescent="0.25">
      <c r="A76" s="11">
        <v>42217</v>
      </c>
      <c r="B76" s="7">
        <v>0.39027777777777778</v>
      </c>
      <c r="C76" s="7">
        <v>0.39861111111111108</v>
      </c>
      <c r="D76" s="7">
        <f>(0.398611111111111-0.390277777777778)</f>
        <v>8.3333333333330262E-3</v>
      </c>
      <c r="E76" s="7">
        <f>ABS(0.00833333333333303-0.00486111111111204)</f>
        <v>3.4722222222209895E-3</v>
      </c>
      <c r="F76" s="1" t="s">
        <v>3</v>
      </c>
      <c r="G76" s="7"/>
    </row>
    <row r="77" spans="1:7" x14ac:dyDescent="0.25">
      <c r="A77" s="11">
        <v>42217</v>
      </c>
      <c r="B77" s="7">
        <v>0.44444444444444442</v>
      </c>
      <c r="C77" s="7">
        <v>0.44930555555555557</v>
      </c>
      <c r="D77" s="7">
        <f>(0.449305555555556-0.444444444444444)</f>
        <v>4.8611111111120375E-3</v>
      </c>
      <c r="E77" s="7">
        <f>ABS(0.00486111111111204-0.00902777777777797)</f>
        <v>4.1666666666659294E-3</v>
      </c>
      <c r="F77" s="1" t="s">
        <v>3</v>
      </c>
      <c r="G77" s="7"/>
    </row>
    <row r="78" spans="1:7" x14ac:dyDescent="0.25">
      <c r="A78" s="11">
        <v>42217</v>
      </c>
      <c r="B78" s="7">
        <v>0.46527777777777773</v>
      </c>
      <c r="C78" s="7">
        <v>0.47430555555555554</v>
      </c>
      <c r="D78" s="7">
        <f>(0.474305555555556-0.465277777777778)</f>
        <v>9.0277777777779677E-3</v>
      </c>
      <c r="E78" s="7">
        <f>ABS(0.00902777777777797-0.0152777777777779)</f>
        <v>6.249999999999931E-3</v>
      </c>
      <c r="F78" s="1" t="s">
        <v>3</v>
      </c>
      <c r="G78" s="7"/>
    </row>
    <row r="79" spans="1:7" x14ac:dyDescent="0.25">
      <c r="A79" s="11">
        <v>42217</v>
      </c>
      <c r="B79" s="7">
        <v>0.49513888888888885</v>
      </c>
      <c r="C79" s="7">
        <v>0.51041666666666663</v>
      </c>
      <c r="D79" s="7">
        <f>(0.510416666666667-0.495138888888889)</f>
        <v>1.5277777777777946E-2</v>
      </c>
      <c r="E79" s="7">
        <f>ABS(0.0152777777777779-0.0145833333333331)</f>
        <v>6.9444444444480107E-4</v>
      </c>
      <c r="F79" s="1" t="s">
        <v>3</v>
      </c>
      <c r="G79" s="7"/>
    </row>
    <row r="80" spans="1:7" x14ac:dyDescent="0.25">
      <c r="A80" s="11">
        <v>42217</v>
      </c>
      <c r="B80" s="7">
        <v>0.56527777777777777</v>
      </c>
      <c r="C80" s="7">
        <v>0.57986111111111105</v>
      </c>
      <c r="D80" s="7">
        <f>(0.579861111111111-0.565277777777778)</f>
        <v>1.4583333333333059E-2</v>
      </c>
      <c r="E80" s="7">
        <f>ABS(0.0145833333333331-0.00347222222222299)</f>
        <v>1.1111111111110109E-2</v>
      </c>
      <c r="F80" s="1" t="s">
        <v>3</v>
      </c>
      <c r="G80" s="7"/>
    </row>
    <row r="81" spans="1:7" x14ac:dyDescent="0.25">
      <c r="A81" s="11">
        <v>42217</v>
      </c>
      <c r="B81" s="7">
        <v>0.71458333333333324</v>
      </c>
      <c r="C81" s="7">
        <v>0.71805555555555556</v>
      </c>
      <c r="D81" s="7">
        <f>(0.718055555555556-0.714583333333333)</f>
        <v>3.472222222222987E-3</v>
      </c>
      <c r="E81" s="7">
        <f>ABS(0.00347222222222299-0.011111111111111)</f>
        <v>7.63888888888801E-3</v>
      </c>
      <c r="F81" s="1" t="s">
        <v>3</v>
      </c>
      <c r="G81" s="7"/>
    </row>
    <row r="82" spans="1:7" x14ac:dyDescent="0.25">
      <c r="A82" s="11">
        <v>42217</v>
      </c>
      <c r="B82" s="7">
        <v>0.81041666666666667</v>
      </c>
      <c r="C82" s="7">
        <v>0.82152777777777775</v>
      </c>
      <c r="D82" s="7">
        <f>(0.821527777777778-0.810416666666667)</f>
        <v>1.1111111111110961E-2</v>
      </c>
      <c r="E82" s="7">
        <f>ABS(0.011111111111111-0.00902777777777797)</f>
        <v>2.083333333333031E-3</v>
      </c>
      <c r="F82" s="1" t="s">
        <v>3</v>
      </c>
      <c r="G82" s="7"/>
    </row>
    <row r="83" spans="1:7" x14ac:dyDescent="0.25">
      <c r="A83" s="11">
        <v>42217</v>
      </c>
      <c r="B83" s="7">
        <v>0.4465277777777778</v>
      </c>
      <c r="C83" s="7">
        <v>0.45555555555555555</v>
      </c>
      <c r="D83" s="7">
        <f>(0.455555555555556-0.446527777777778)</f>
        <v>9.0277777777779677E-3</v>
      </c>
      <c r="E83" s="7">
        <f>ABS(0.00902777777777797-0.0145833333333329)</f>
        <v>5.5555555555549304E-3</v>
      </c>
      <c r="F83" s="1" t="s">
        <v>3</v>
      </c>
      <c r="G83" s="7"/>
    </row>
    <row r="84" spans="1:7" x14ac:dyDescent="0.25">
      <c r="A84" s="11">
        <v>42217</v>
      </c>
      <c r="B84" s="7">
        <v>0.5854166666666667</v>
      </c>
      <c r="C84" s="7">
        <v>0.6</v>
      </c>
      <c r="D84" s="7">
        <f>(0.6-0.585416666666667)</f>
        <v>1.4583333333332948E-2</v>
      </c>
      <c r="E84" s="7">
        <f>ABS(0.0145833333333329-0.00624999999999998)</f>
        <v>8.3333333333329186E-3</v>
      </c>
      <c r="F84" s="1" t="s">
        <v>3</v>
      </c>
      <c r="G84" s="7"/>
    </row>
    <row r="85" spans="1:7" x14ac:dyDescent="0.25">
      <c r="A85" s="11">
        <v>42217</v>
      </c>
      <c r="B85" s="7">
        <v>0.59236111111111112</v>
      </c>
      <c r="C85" s="7">
        <v>0.59861111111111109</v>
      </c>
      <c r="D85" s="7">
        <f>(0.598611111111111-0.592361111111111)</f>
        <v>6.2499999999999778E-3</v>
      </c>
      <c r="E85" s="7">
        <f>ABS(0.00624999999999998-0.0152777777777781)</f>
        <v>9.0277777777781204E-3</v>
      </c>
      <c r="F85" s="1" t="s">
        <v>3</v>
      </c>
      <c r="G85" s="7"/>
    </row>
    <row r="86" spans="1:7" x14ac:dyDescent="0.25">
      <c r="A86" s="11">
        <v>42217</v>
      </c>
      <c r="B86" s="7">
        <v>0.66319444444444442</v>
      </c>
      <c r="C86" s="7">
        <v>0.67847222222222225</v>
      </c>
      <c r="D86" s="7">
        <f>(0.678472222222222-0.663194444444444)</f>
        <v>1.5277777777778057E-2</v>
      </c>
      <c r="E86" s="7">
        <f>ABS(0.0152777777777781-0.00624999999999998)</f>
        <v>9.0277777777781204E-3</v>
      </c>
      <c r="F86" s="1" t="s">
        <v>3</v>
      </c>
      <c r="G86" s="7"/>
    </row>
    <row r="87" spans="1:7" x14ac:dyDescent="0.25">
      <c r="A87" s="11">
        <v>42217</v>
      </c>
      <c r="B87" s="7">
        <v>0.78125</v>
      </c>
      <c r="C87" s="7">
        <v>0.78749999999999998</v>
      </c>
      <c r="D87" s="7">
        <f>(0.7875-0.78125)</f>
        <v>6.2499999999999778E-3</v>
      </c>
      <c r="E87" s="7">
        <f>ABS(0.00624999999999998-0.00486111111111098)</f>
        <v>1.3888888888890002E-3</v>
      </c>
      <c r="F87" s="1" t="s">
        <v>3</v>
      </c>
      <c r="G87" s="7"/>
    </row>
    <row r="88" spans="1:7" x14ac:dyDescent="0.25">
      <c r="A88" s="11">
        <v>42217</v>
      </c>
      <c r="B88" s="7">
        <v>0.90972222222222221</v>
      </c>
      <c r="C88" s="7">
        <v>0.9145833333333333</v>
      </c>
      <c r="D88" s="7">
        <f>(0.914583333333333-0.909722222222222)</f>
        <v>4.8611111111109828E-3</v>
      </c>
      <c r="E88" s="7">
        <f>ABS(0.00486111111111098-0.0180555555555559)</f>
        <v>1.3194444444444921E-2</v>
      </c>
      <c r="F88" s="1" t="s">
        <v>3</v>
      </c>
      <c r="G88" s="7"/>
    </row>
    <row r="89" spans="1:7" x14ac:dyDescent="0.25">
      <c r="A89" s="11">
        <v>42217</v>
      </c>
      <c r="B89" s="7">
        <v>0.93472222222222223</v>
      </c>
      <c r="C89" s="7">
        <v>0.95277777777777783</v>
      </c>
      <c r="D89" s="7">
        <f>(0.952777777777778-0.934722222222222)</f>
        <v>1.8055555555555935E-2</v>
      </c>
      <c r="E89" s="7">
        <f>ABS(0.0180555555555559-0.00555555555555021)</f>
        <v>1.2500000000005691E-2</v>
      </c>
      <c r="F89" s="1" t="s">
        <v>3</v>
      </c>
      <c r="G89" s="7"/>
    </row>
    <row r="90" spans="1:7" x14ac:dyDescent="0.25">
      <c r="A90" s="11">
        <v>42217</v>
      </c>
      <c r="B90" s="7">
        <v>1.0291666666666666</v>
      </c>
      <c r="C90" s="7">
        <v>1.0347222222222221</v>
      </c>
      <c r="D90" s="7">
        <f>(1.03472222222222-1.02916666666667)</f>
        <v>5.5555555555502067E-3</v>
      </c>
      <c r="E90" s="7"/>
      <c r="F90" s="1" t="s">
        <v>3</v>
      </c>
      <c r="G90" s="7"/>
    </row>
    <row r="91" spans="1:7" x14ac:dyDescent="0.25">
      <c r="A91" s="11">
        <v>42217</v>
      </c>
      <c r="B91" s="7">
        <v>0.3444444444444445</v>
      </c>
      <c r="C91" s="7">
        <v>0.3923611111111111</v>
      </c>
      <c r="D91" s="7">
        <f>(0.392361111111111-0.344444444444445)</f>
        <v>4.7916666666665997E-2</v>
      </c>
      <c r="E91" s="7"/>
      <c r="F91" s="1" t="s">
        <v>6</v>
      </c>
      <c r="G91" s="7"/>
    </row>
    <row r="92" spans="1:7" x14ac:dyDescent="0.25">
      <c r="A92" s="11">
        <v>42217</v>
      </c>
      <c r="B92" s="7">
        <v>0.36041666666666666</v>
      </c>
      <c r="C92" s="7">
        <v>0.36805555555555558</v>
      </c>
      <c r="D92" s="7">
        <f>(0.368055555555556-0.360416666666667)</f>
        <v>7.6388888888890283E-3</v>
      </c>
      <c r="E92" s="7">
        <f>ABS(0.00763888888888903-0.014583333333333)</f>
        <v>6.9444444444439705E-3</v>
      </c>
      <c r="F92" s="1" t="s">
        <v>3</v>
      </c>
      <c r="G92" s="7"/>
    </row>
    <row r="93" spans="1:7" x14ac:dyDescent="0.25">
      <c r="A93" s="11">
        <v>42217</v>
      </c>
      <c r="B93" s="7">
        <v>0.44236111111111115</v>
      </c>
      <c r="C93" s="7">
        <v>0.45694444444444443</v>
      </c>
      <c r="D93" s="7">
        <f>(0.456944444444444-0.442361111111111)</f>
        <v>1.4583333333333004E-2</v>
      </c>
      <c r="E93" s="7">
        <f>ABS(0.014583333333333-0.00416666666666698)</f>
        <v>1.0416666666666021E-2</v>
      </c>
      <c r="F93" s="1" t="s">
        <v>3</v>
      </c>
      <c r="G93" s="7"/>
    </row>
    <row r="94" spans="1:7" x14ac:dyDescent="0.25">
      <c r="A94" s="11">
        <v>42217</v>
      </c>
      <c r="B94" s="7">
        <v>0.44097222222222227</v>
      </c>
      <c r="C94" s="7">
        <v>0.44513888888888892</v>
      </c>
      <c r="D94" s="7">
        <f>(0.445138888888889-0.440972222222222)</f>
        <v>4.1666666666669849E-3</v>
      </c>
      <c r="E94" s="7">
        <f>ABS(0.00416666666666698-0.011805555555555)</f>
        <v>7.6388888888880204E-3</v>
      </c>
      <c r="F94" s="1" t="s">
        <v>3</v>
      </c>
      <c r="G94" s="7"/>
    </row>
    <row r="95" spans="1:7" x14ac:dyDescent="0.25">
      <c r="A95" s="11">
        <v>42217</v>
      </c>
      <c r="B95" s="7">
        <v>0.48680555555555555</v>
      </c>
      <c r="C95" s="7">
        <v>0.49861111111111112</v>
      </c>
      <c r="D95" s="7">
        <f>(0.498611111111111-0.486805555555556)</f>
        <v>1.1805555555555014E-2</v>
      </c>
      <c r="E95" s="7">
        <f>ABS(0.011805555555555-0.00763888888888897)</f>
        <v>4.16666666666603E-3</v>
      </c>
      <c r="F95" s="1" t="s">
        <v>3</v>
      </c>
      <c r="G95" s="7"/>
    </row>
    <row r="96" spans="1:7" x14ac:dyDescent="0.25">
      <c r="A96" s="11">
        <v>42217</v>
      </c>
      <c r="B96" s="7">
        <v>0.50069444444444444</v>
      </c>
      <c r="C96" s="7">
        <v>0.5083333333333333</v>
      </c>
      <c r="D96" s="7">
        <f>(0.508333333333333-0.500694444444444)</f>
        <v>7.6388888888889728E-3</v>
      </c>
      <c r="E96" s="7">
        <f>ABS(0.00763888888888897-0.0034722222222221)</f>
        <v>4.1666666666668704E-3</v>
      </c>
      <c r="F96" s="1" t="s">
        <v>3</v>
      </c>
      <c r="G96" s="7"/>
    </row>
    <row r="97" spans="1:7" x14ac:dyDescent="0.25">
      <c r="A97" s="11">
        <v>42217</v>
      </c>
      <c r="B97" s="7">
        <v>0.54513888888888895</v>
      </c>
      <c r="C97" s="7">
        <v>0.54861111111111105</v>
      </c>
      <c r="D97" s="7">
        <f>(0.548611111111111-0.545138888888889)</f>
        <v>3.4722222222220989E-3</v>
      </c>
      <c r="E97" s="7">
        <f>ABS(0.0034722222222221-0.0125)</f>
        <v>9.0277777777779001E-3</v>
      </c>
      <c r="F97" s="1" t="s">
        <v>3</v>
      </c>
      <c r="G97" s="7"/>
    </row>
    <row r="98" spans="1:7" x14ac:dyDescent="0.25">
      <c r="A98" s="11">
        <v>42217</v>
      </c>
      <c r="B98" s="7">
        <v>0.59305555555555556</v>
      </c>
      <c r="C98" s="7">
        <v>0.60555555555555551</v>
      </c>
      <c r="D98" s="7">
        <f>(0.605555555555556-0.593055555555556)</f>
        <v>1.2499999999999956E-2</v>
      </c>
      <c r="E98" s="7">
        <f>ABS(0.0125-0.00555555555555598)</f>
        <v>6.9444444444440208E-3</v>
      </c>
      <c r="F98" s="1" t="s">
        <v>3</v>
      </c>
      <c r="G98" s="7"/>
    </row>
    <row r="99" spans="1:7" x14ac:dyDescent="0.25">
      <c r="A99" s="11">
        <v>42217</v>
      </c>
      <c r="B99" s="7">
        <v>0.65347222222222223</v>
      </c>
      <c r="C99" s="7">
        <v>0.65902777777777777</v>
      </c>
      <c r="D99" s="7">
        <f>(0.659027777777778-0.653472222222222)</f>
        <v>5.5555555555559799E-3</v>
      </c>
      <c r="E99" s="7">
        <f>ABS(0.00555555555555598-0.00555555555555598)</f>
        <v>0</v>
      </c>
      <c r="F99" s="1" t="s">
        <v>3</v>
      </c>
      <c r="G99" s="7"/>
    </row>
    <row r="100" spans="1:7" x14ac:dyDescent="0.25">
      <c r="A100" s="11">
        <v>42217</v>
      </c>
      <c r="B100" s="7">
        <v>0.65694444444444444</v>
      </c>
      <c r="C100" s="7">
        <v>0.66249999999999998</v>
      </c>
      <c r="D100" s="7">
        <f>(0.6625-0.656944444444444)</f>
        <v>5.5555555555559799E-3</v>
      </c>
      <c r="E100" s="7">
        <f>ABS(0.00555555555555598-0.00624999999999898)</f>
        <v>6.9444444444300042E-4</v>
      </c>
      <c r="F100" s="1" t="s">
        <v>3</v>
      </c>
      <c r="G100" s="7"/>
    </row>
    <row r="101" spans="1:7" x14ac:dyDescent="0.25">
      <c r="A101" s="11">
        <v>42217</v>
      </c>
      <c r="B101" s="7">
        <v>0.7680555555555556</v>
      </c>
      <c r="C101" s="7">
        <v>0.77430555555555547</v>
      </c>
      <c r="D101" s="7">
        <f>(0.774305555555555-0.768055555555556)</f>
        <v>6.2499999999989786E-3</v>
      </c>
      <c r="E101" s="7">
        <f>ABS(0.00624999999999898-0.00624999999999998)</f>
        <v>1.0000680839006293E-15</v>
      </c>
      <c r="F101" s="1" t="s">
        <v>3</v>
      </c>
      <c r="G101" s="7"/>
    </row>
    <row r="102" spans="1:7" x14ac:dyDescent="0.25">
      <c r="A102" s="11">
        <v>42217</v>
      </c>
      <c r="B102" s="7">
        <v>0.76874999999999993</v>
      </c>
      <c r="C102" s="7">
        <v>0.77500000000000002</v>
      </c>
      <c r="D102" s="7">
        <f>(0.775-0.76875)</f>
        <v>6.2499999999999778E-3</v>
      </c>
      <c r="E102" s="7">
        <f>ABS(0.00624999999999998-0.00763888888888797)</f>
        <v>1.3888888888879897E-3</v>
      </c>
      <c r="F102" s="1" t="s">
        <v>3</v>
      </c>
      <c r="G102" s="7"/>
    </row>
    <row r="103" spans="1:7" x14ac:dyDescent="0.25">
      <c r="A103" s="11">
        <v>42217</v>
      </c>
      <c r="B103" s="7">
        <v>0.79791666666666661</v>
      </c>
      <c r="C103" s="7">
        <v>0.80555555555555547</v>
      </c>
      <c r="D103" s="7">
        <f>(0.805555555555555-0.797916666666667)</f>
        <v>7.6388888888879736E-3</v>
      </c>
      <c r="E103" s="7">
        <f>ABS(0.00763888888888797-0.00486111111111109)</f>
        <v>2.7777777777768797E-3</v>
      </c>
      <c r="F103" s="1" t="s">
        <v>3</v>
      </c>
      <c r="G103" s="7"/>
    </row>
    <row r="104" spans="1:7" x14ac:dyDescent="0.25">
      <c r="A104" s="11">
        <v>42217</v>
      </c>
      <c r="B104" s="7">
        <v>6.805555555555555E-2</v>
      </c>
      <c r="C104" s="7">
        <v>7.2916666666666671E-2</v>
      </c>
      <c r="D104" s="7">
        <f>(0.0729166666666667-0.0680555555555556)</f>
        <v>4.8611111111110938E-3</v>
      </c>
      <c r="E104" s="7">
        <f>ABS(0.00486111111111109-0.0104166666666666)</f>
        <v>5.5555555555555098E-3</v>
      </c>
      <c r="F104" s="1" t="s">
        <v>3</v>
      </c>
      <c r="G104" s="7"/>
    </row>
    <row r="105" spans="1:7" x14ac:dyDescent="0.25">
      <c r="A105" s="11">
        <v>42217</v>
      </c>
      <c r="B105" s="7">
        <v>6.6666666666666666E-2</v>
      </c>
      <c r="C105" s="7">
        <v>7.7083333333333337E-2</v>
      </c>
      <c r="D105" s="7">
        <f>(0.0770833333333333-0.0666666666666667)</f>
        <v>1.0416666666666602E-2</v>
      </c>
      <c r="E105" s="7">
        <f>ABS(0.0104166666666666-0.012500000000001)</f>
        <v>2.0833333333343997E-3</v>
      </c>
      <c r="F105" s="1" t="s">
        <v>3</v>
      </c>
      <c r="G105" s="7"/>
    </row>
    <row r="106" spans="1:7" x14ac:dyDescent="0.25">
      <c r="A106" s="11">
        <v>42217</v>
      </c>
      <c r="B106" s="7">
        <v>0.39444444444444443</v>
      </c>
      <c r="C106" s="7">
        <v>0.4069444444444445</v>
      </c>
      <c r="D106" s="7">
        <f>(0.406944444444445-0.394444444444444)</f>
        <v>1.250000000000101E-2</v>
      </c>
      <c r="E106" s="7">
        <f>ABS(0.012500000000001-0.0166666666666661)</f>
        <v>4.166666666665101E-3</v>
      </c>
      <c r="F106" s="1" t="s">
        <v>3</v>
      </c>
      <c r="G106" s="7"/>
    </row>
    <row r="107" spans="1:7" x14ac:dyDescent="0.25">
      <c r="A107" s="11">
        <v>42217</v>
      </c>
      <c r="B107" s="7">
        <v>0.50416666666666665</v>
      </c>
      <c r="C107" s="7">
        <v>0.52083333333333337</v>
      </c>
      <c r="D107" s="7">
        <f>(0.520833333333333-0.504166666666667)</f>
        <v>1.6666666666666052E-2</v>
      </c>
      <c r="E107" s="7">
        <f>ABS(0.0166666666666661-0.0159722222222221)</f>
        <v>6.9444444444400136E-4</v>
      </c>
      <c r="F107" s="1" t="s">
        <v>3</v>
      </c>
      <c r="G107" s="7"/>
    </row>
    <row r="108" spans="1:7" x14ac:dyDescent="0.25">
      <c r="A108" s="11">
        <v>42217</v>
      </c>
      <c r="B108" s="7">
        <v>0.71875</v>
      </c>
      <c r="C108" s="7">
        <v>0.73472222222222217</v>
      </c>
      <c r="D108" s="7">
        <f>(0.734722222222222-0.71875)</f>
        <v>1.5972222222222054E-2</v>
      </c>
      <c r="E108" s="7">
        <f>ABS(0.0159722222222221-0.00763888888888903)</f>
        <v>8.3333333333330695E-3</v>
      </c>
      <c r="F108" s="1" t="s">
        <v>3</v>
      </c>
      <c r="G108" s="7"/>
    </row>
    <row r="109" spans="1:7" x14ac:dyDescent="0.25">
      <c r="A109" s="11">
        <v>42217</v>
      </c>
      <c r="B109" s="7">
        <v>0.31388888888888888</v>
      </c>
      <c r="C109" s="7">
        <v>0.3215277777777778</v>
      </c>
      <c r="D109" s="7">
        <f>(0.321527777777778-0.313888888888889)</f>
        <v>7.6388888888890283E-3</v>
      </c>
      <c r="E109" s="7">
        <f>ABS(0.00763888888888903-0.00555555555555598)</f>
        <v>2.0833333333330501E-3</v>
      </c>
      <c r="F109" s="1" t="s">
        <v>3</v>
      </c>
      <c r="G109" s="7"/>
    </row>
    <row r="110" spans="1:7" x14ac:dyDescent="0.25">
      <c r="A110" s="11">
        <v>42217</v>
      </c>
      <c r="B110" s="7">
        <v>0.34097222222222223</v>
      </c>
      <c r="C110" s="7">
        <v>0.34652777777777777</v>
      </c>
      <c r="D110" s="7">
        <f>(0.346527777777778-0.340972222222222)</f>
        <v>5.5555555555559799E-3</v>
      </c>
      <c r="E110" s="7">
        <f>ABS(0.00555555555555598-0.00347222222222204)</f>
        <v>2.08333333333394E-3</v>
      </c>
      <c r="F110" s="1" t="s">
        <v>3</v>
      </c>
      <c r="G110" s="7"/>
    </row>
    <row r="111" spans="1:7" x14ac:dyDescent="0.25">
      <c r="A111" s="11">
        <v>42217</v>
      </c>
      <c r="B111" s="7">
        <v>0.47638888888888892</v>
      </c>
      <c r="C111" s="7">
        <v>0.47986111111111113</v>
      </c>
      <c r="D111" s="7">
        <f>(0.479861111111111-0.476388888888889)</f>
        <v>3.4722222222220434E-3</v>
      </c>
      <c r="E111" s="7">
        <f>ABS(0.00347222222222204-0.013888888888889)</f>
        <v>1.0416666666666959E-2</v>
      </c>
      <c r="F111" s="1" t="s">
        <v>3</v>
      </c>
      <c r="G111" s="7"/>
    </row>
    <row r="112" spans="1:7" x14ac:dyDescent="0.25">
      <c r="A112" s="11">
        <v>42217</v>
      </c>
      <c r="B112" s="7">
        <v>0.59375</v>
      </c>
      <c r="C112" s="7">
        <v>0.60763888888888895</v>
      </c>
      <c r="D112" s="7">
        <f>(0.607638888888889-0.59375)</f>
        <v>1.3888888888888951E-2</v>
      </c>
      <c r="E112" s="7">
        <f>ABS(0.013888888888889-0.00347222222222199)</f>
        <v>1.041666666666701E-2</v>
      </c>
      <c r="F112" s="1" t="s">
        <v>3</v>
      </c>
      <c r="G112" s="7"/>
    </row>
    <row r="113" spans="1:7" x14ac:dyDescent="0.25">
      <c r="A113" s="11">
        <v>42217</v>
      </c>
      <c r="B113" s="7">
        <v>0.66597222222222219</v>
      </c>
      <c r="C113" s="7">
        <v>0.6694444444444444</v>
      </c>
      <c r="D113" s="7">
        <f>(0.669444444444444-0.665972222222222)</f>
        <v>3.4722222222219878E-3</v>
      </c>
      <c r="E113" s="7">
        <f>ABS(0.00347222222222199-0.00694444444444497)</f>
        <v>3.4722222222229797E-3</v>
      </c>
      <c r="F113" s="1" t="s">
        <v>3</v>
      </c>
      <c r="G113" s="7"/>
    </row>
    <row r="114" spans="1:7" x14ac:dyDescent="0.25">
      <c r="A114" s="11">
        <v>42217</v>
      </c>
      <c r="B114" s="7">
        <v>0.71875</v>
      </c>
      <c r="C114" s="7">
        <v>0.72569444444444453</v>
      </c>
      <c r="D114" s="7">
        <f>(0.725694444444445-0.71875)</f>
        <v>6.9444444444449749E-3</v>
      </c>
      <c r="E114" s="7">
        <f>ABS(0.00694444444444497-0.00833333333333397)</f>
        <v>1.3888888888890002E-3</v>
      </c>
      <c r="F114" s="1" t="s">
        <v>3</v>
      </c>
      <c r="G114" s="7"/>
    </row>
    <row r="115" spans="1:7" x14ac:dyDescent="0.25">
      <c r="A115" s="11">
        <v>42217</v>
      </c>
      <c r="B115" s="7">
        <v>0.25833333333333336</v>
      </c>
      <c r="C115" s="7">
        <v>0.26666666666666666</v>
      </c>
      <c r="D115" s="7">
        <f>(0.266666666666667-0.258333333333333)</f>
        <v>8.3333333333339699E-3</v>
      </c>
      <c r="E115" s="7">
        <f>ABS(0.00833333333333397-0.00833333333333397)</f>
        <v>0</v>
      </c>
      <c r="F115" s="1" t="s">
        <v>3</v>
      </c>
      <c r="G115" s="7"/>
    </row>
    <row r="116" spans="1:7" x14ac:dyDescent="0.25">
      <c r="A116" s="11">
        <v>42217</v>
      </c>
      <c r="B116" s="7">
        <v>0.83819444444444446</v>
      </c>
      <c r="C116" s="7">
        <v>0.84652777777777777</v>
      </c>
      <c r="D116" s="7">
        <f>(0.846527777777778-0.838194444444444)</f>
        <v>8.3333333333339699E-3</v>
      </c>
      <c r="E116" s="7">
        <f>ABS(0.00833333333333397-0.00138888888888899)</f>
        <v>6.9444444444449801E-3</v>
      </c>
      <c r="F116" s="1" t="s">
        <v>3</v>
      </c>
      <c r="G116" s="7"/>
    </row>
    <row r="117" spans="1:7" x14ac:dyDescent="0.25">
      <c r="A117" s="11">
        <v>42217</v>
      </c>
      <c r="B117" s="7">
        <v>0.89166666666666661</v>
      </c>
      <c r="C117" s="7">
        <v>0.8930555555555556</v>
      </c>
      <c r="D117" s="7">
        <f>(0.893055555555556-0.891666666666667)</f>
        <v>1.388888888888995E-3</v>
      </c>
      <c r="E117" s="7">
        <f>ABS(0.00138888888888899-0.00208333333333299)</f>
        <v>6.9444444444399984E-4</v>
      </c>
      <c r="F117" s="1" t="s">
        <v>3</v>
      </c>
      <c r="G117" s="7"/>
    </row>
    <row r="118" spans="1:7" x14ac:dyDescent="0.25">
      <c r="A118" s="11">
        <v>42217</v>
      </c>
      <c r="B118" s="7">
        <v>0.95486111111111116</v>
      </c>
      <c r="C118" s="7">
        <v>0.95694444444444438</v>
      </c>
      <c r="D118" s="7">
        <f>(0.956944444444444-0.954861111111111)</f>
        <v>2.0833333333329929E-3</v>
      </c>
      <c r="E118" s="7">
        <f>ABS(0.00208333333333299-0.00555555555554998)</f>
        <v>3.4722222222169905E-3</v>
      </c>
      <c r="F118" s="1" t="s">
        <v>3</v>
      </c>
      <c r="G118" s="7"/>
    </row>
    <row r="119" spans="1:7" x14ac:dyDescent="0.25">
      <c r="A119" s="11">
        <v>42217</v>
      </c>
      <c r="B119" s="7">
        <v>1.0013888888888889</v>
      </c>
      <c r="C119" s="7">
        <v>1.0069444444444444</v>
      </c>
      <c r="D119" s="7">
        <f>(1.00694444444444-1.00138888888889)</f>
        <v>5.5555555555499847E-3</v>
      </c>
      <c r="E119" s="7">
        <f>ABS(0.00555555555554998-0.00555555555555598)</f>
        <v>5.9995411416657873E-15</v>
      </c>
      <c r="F119" s="1" t="s">
        <v>3</v>
      </c>
      <c r="G119" s="7"/>
    </row>
    <row r="120" spans="1:7" x14ac:dyDescent="0.25">
      <c r="A120" s="11">
        <v>42217</v>
      </c>
      <c r="B120" s="7">
        <v>0.55972222222222223</v>
      </c>
      <c r="C120" s="7">
        <v>0.56527777777777777</v>
      </c>
      <c r="D120" s="7">
        <f>(0.565277777777778-0.559722222222222)</f>
        <v>5.5555555555559799E-3</v>
      </c>
      <c r="E120" s="7">
        <f>ABS(0.00555555555555598-0.00833333333333308)</f>
        <v>2.7777777777771E-3</v>
      </c>
      <c r="F120" s="1" t="s">
        <v>3</v>
      </c>
      <c r="G120" s="7"/>
    </row>
    <row r="121" spans="1:7" x14ac:dyDescent="0.25">
      <c r="A121" s="11">
        <v>42217</v>
      </c>
      <c r="B121" s="7">
        <v>0.60555555555555551</v>
      </c>
      <c r="C121" s="7">
        <v>0.61388888888888882</v>
      </c>
      <c r="D121" s="7">
        <f>(0.613888888888889-0.605555555555556)</f>
        <v>8.3333333333330817E-3</v>
      </c>
      <c r="E121" s="7">
        <f>ABS(0.00833333333333308-0.00694444444444409)</f>
        <v>1.3888888888889898E-3</v>
      </c>
      <c r="F121" s="1" t="s">
        <v>3</v>
      </c>
      <c r="G121" s="7"/>
    </row>
    <row r="122" spans="1:7" x14ac:dyDescent="0.25">
      <c r="A122" s="11">
        <v>42217</v>
      </c>
      <c r="B122" s="7">
        <v>0.73055555555555562</v>
      </c>
      <c r="C122" s="7">
        <v>0.73749999999999993</v>
      </c>
      <c r="D122" s="7">
        <f>(0.7375-0.730555555555556)</f>
        <v>6.9444444444440867E-3</v>
      </c>
      <c r="E122" s="7">
        <f>ABS(0.00694444444444409-0.0111111111111111)</f>
        <v>4.1666666666670092E-3</v>
      </c>
      <c r="F122" s="1" t="s">
        <v>3</v>
      </c>
      <c r="G122" s="7"/>
    </row>
    <row r="123" spans="1:7" x14ac:dyDescent="0.25">
      <c r="A123" s="11">
        <v>42217</v>
      </c>
      <c r="B123" s="7">
        <v>0.78819444444444453</v>
      </c>
      <c r="C123" s="7">
        <v>0.7993055555555556</v>
      </c>
      <c r="D123" s="7">
        <f>(0.799305555555556-0.788194444444445)</f>
        <v>1.1111111111111072E-2</v>
      </c>
      <c r="E123" s="7">
        <f>ABS(0.0111111111111111-0.010416666666667)</f>
        <v>6.9444444444410024E-4</v>
      </c>
      <c r="F123" s="1" t="s">
        <v>3</v>
      </c>
      <c r="G123" s="7"/>
    </row>
    <row r="124" spans="1:7" x14ac:dyDescent="0.25">
      <c r="A124" s="11">
        <v>42217</v>
      </c>
      <c r="B124" s="7">
        <v>0.92361111111111116</v>
      </c>
      <c r="C124" s="7">
        <v>0.93402777777777779</v>
      </c>
      <c r="D124" s="7">
        <f>(0.934027777777778-0.923611111111111)</f>
        <v>1.0416666666666963E-2</v>
      </c>
      <c r="E124" s="7">
        <f>ABS(0.010416666666667-0.0145833333333301)</f>
        <v>4.1666666666631009E-3</v>
      </c>
      <c r="F124" s="1" t="s">
        <v>3</v>
      </c>
      <c r="G124" s="7"/>
    </row>
    <row r="125" spans="1:7" x14ac:dyDescent="0.25">
      <c r="A125" s="11">
        <v>42217</v>
      </c>
      <c r="B125" s="7">
        <v>0.98749999999999993</v>
      </c>
      <c r="C125" s="7">
        <v>1.0020833333333334</v>
      </c>
      <c r="D125" s="7">
        <f>(1.00208333333333-0.9875)</f>
        <v>1.4583333333330062E-2</v>
      </c>
      <c r="E125" s="7">
        <f>ABS(0.0145833333333301-0.00555555555555998)</f>
        <v>9.0277777777701199E-3</v>
      </c>
      <c r="F125" s="1" t="s">
        <v>3</v>
      </c>
      <c r="G125" s="7"/>
    </row>
    <row r="126" spans="1:7" x14ac:dyDescent="0.25">
      <c r="A126" s="11">
        <v>42217</v>
      </c>
      <c r="B126" s="7">
        <v>1.0194444444444444</v>
      </c>
      <c r="C126" s="7">
        <v>1.0250000000000001</v>
      </c>
      <c r="D126" s="7">
        <f>(1.025-1.01944444444444)</f>
        <v>5.5555555555599767E-3</v>
      </c>
      <c r="E126" s="7">
        <f>ABS(0.00555555555555998-0.00624999999999998)</f>
        <v>6.9444444444000022E-4</v>
      </c>
      <c r="F126" s="1" t="s">
        <v>3</v>
      </c>
      <c r="G126" s="7"/>
    </row>
    <row r="127" spans="1:7" x14ac:dyDescent="0.25">
      <c r="A127" s="11">
        <v>42217</v>
      </c>
      <c r="B127" s="7">
        <v>0.26111111111111113</v>
      </c>
      <c r="C127" s="7">
        <v>0.2673611111111111</v>
      </c>
      <c r="D127" s="7">
        <f>(0.267361111111111-0.261111111111111)</f>
        <v>6.2499999999999778E-3</v>
      </c>
      <c r="E127" s="7">
        <f>ABS(0.00624999999999998-0.00694444444444398)</f>
        <v>6.9444444444399962E-4</v>
      </c>
      <c r="F127" s="1" t="s">
        <v>3</v>
      </c>
      <c r="G127" s="7"/>
    </row>
    <row r="128" spans="1:7" x14ac:dyDescent="0.25">
      <c r="A128" s="11">
        <v>42217</v>
      </c>
      <c r="B128" s="7">
        <v>0.26041666666666669</v>
      </c>
      <c r="C128" s="7">
        <v>0.2673611111111111</v>
      </c>
      <c r="D128" s="7">
        <f>(0.267361111111111-0.260416666666667)</f>
        <v>6.9444444444439757E-3</v>
      </c>
      <c r="E128" s="7">
        <f>ABS(0.00694444444444398-0.013194444444444)</f>
        <v>6.2500000000000203E-3</v>
      </c>
      <c r="F128" s="1" t="s">
        <v>3</v>
      </c>
      <c r="G128" s="7"/>
    </row>
    <row r="129" spans="1:7" x14ac:dyDescent="0.25">
      <c r="A129" s="11">
        <v>42217</v>
      </c>
      <c r="B129" s="7">
        <v>0.4055555555555555</v>
      </c>
      <c r="C129" s="7">
        <v>0.41875000000000001</v>
      </c>
      <c r="D129" s="7">
        <f>(0.41875-0.405555555555556)</f>
        <v>1.3194444444444009E-2</v>
      </c>
      <c r="E129" s="7">
        <f>ABS(0.013194444444444-0.00624999999999998)</f>
        <v>6.9444444444440199E-3</v>
      </c>
      <c r="F129" s="1" t="s">
        <v>3</v>
      </c>
      <c r="G129" s="7"/>
    </row>
    <row r="130" spans="1:7" x14ac:dyDescent="0.25">
      <c r="A130" s="11">
        <v>42217</v>
      </c>
      <c r="B130" s="7">
        <v>0.61944444444444446</v>
      </c>
      <c r="C130" s="7">
        <v>0.62569444444444444</v>
      </c>
      <c r="D130" s="7">
        <f>(0.625694444444444-0.619444444444444)</f>
        <v>6.2499999999999778E-3</v>
      </c>
      <c r="E130" s="7">
        <f>ABS(0.00624999999999998-0.00624999999999898)</f>
        <v>1.0000680839006293E-15</v>
      </c>
      <c r="F130" s="1" t="s">
        <v>3</v>
      </c>
      <c r="G130" s="7"/>
    </row>
    <row r="131" spans="1:7" x14ac:dyDescent="0.25">
      <c r="A131" s="11">
        <v>42217</v>
      </c>
      <c r="B131" s="7">
        <v>0.7680555555555556</v>
      </c>
      <c r="C131" s="7">
        <v>0.77430555555555547</v>
      </c>
      <c r="D131" s="7">
        <f>(0.774305555555555-0.768055555555556)</f>
        <v>6.2499999999989786E-3</v>
      </c>
      <c r="E131" s="7">
        <f>ABS(0.00624999999999898-0.0416666666666661)</f>
        <v>3.5416666666667124E-2</v>
      </c>
      <c r="F131" s="1" t="s">
        <v>3</v>
      </c>
      <c r="G131" s="7"/>
    </row>
    <row r="132" spans="1:7" x14ac:dyDescent="0.25">
      <c r="A132" s="11">
        <v>42217</v>
      </c>
      <c r="B132" s="7">
        <v>0.85069444444444453</v>
      </c>
      <c r="C132" s="7">
        <v>0.89236111111111116</v>
      </c>
      <c r="D132" s="7">
        <f>(0.892361111111111-0.850694444444445)</f>
        <v>4.1666666666666075E-2</v>
      </c>
      <c r="E132" s="7">
        <f>ABS(0.0416666666666661-0.00486111111111098)</f>
        <v>3.6805555555555119E-2</v>
      </c>
      <c r="F132" s="1" t="s">
        <v>3</v>
      </c>
      <c r="G132" s="7"/>
    </row>
    <row r="133" spans="1:7" x14ac:dyDescent="0.25">
      <c r="A133" s="11">
        <v>42217</v>
      </c>
      <c r="B133" s="7">
        <v>0.91249999999999998</v>
      </c>
      <c r="C133" s="7">
        <v>0.91736111111111107</v>
      </c>
      <c r="D133" s="7">
        <f>(0.917361111111111-0.9125)</f>
        <v>4.8611111111109828E-3</v>
      </c>
      <c r="E133" s="7">
        <f>ABS(0.00486111111111098-0.00347222222222299)</f>
        <v>1.3888888888879901E-3</v>
      </c>
      <c r="F133" s="1" t="s">
        <v>3</v>
      </c>
      <c r="G133" s="7"/>
    </row>
    <row r="134" spans="1:7" x14ac:dyDescent="0.25">
      <c r="A134" s="11">
        <v>42217</v>
      </c>
      <c r="B134" s="7">
        <v>0.9770833333333333</v>
      </c>
      <c r="C134" s="7">
        <v>0.98055555555555562</v>
      </c>
      <c r="D134" s="7">
        <f>(0.980555555555556-0.977083333333333)</f>
        <v>3.472222222222987E-3</v>
      </c>
      <c r="E134" s="7">
        <f>ABS(0.00347222222222299-0.0486111111111111)</f>
        <v>4.5138888888888111E-2</v>
      </c>
      <c r="F134" s="1" t="s">
        <v>3</v>
      </c>
      <c r="G134" s="7"/>
    </row>
    <row r="135" spans="1:7" x14ac:dyDescent="0.25">
      <c r="A135" s="11">
        <v>42217</v>
      </c>
      <c r="B135" s="7">
        <v>4.8611111111111112E-2</v>
      </c>
      <c r="C135" s="7">
        <v>9.7222222222222224E-2</v>
      </c>
      <c r="D135" s="7">
        <f>(0.0972222222222222-0.0486111111111111)</f>
        <v>4.8611111111111098E-2</v>
      </c>
      <c r="E135" s="7">
        <f>ABS(0.0486111111111111-0.00694444444444403)</f>
        <v>4.1666666666667067E-2</v>
      </c>
      <c r="F135" s="1" t="s">
        <v>3</v>
      </c>
      <c r="G135" s="7"/>
    </row>
    <row r="136" spans="1:7" x14ac:dyDescent="0.25">
      <c r="A136" s="11">
        <v>42217</v>
      </c>
      <c r="B136" s="7">
        <v>0.39305555555555555</v>
      </c>
      <c r="C136" s="7">
        <v>0.39999999999999997</v>
      </c>
      <c r="D136" s="7">
        <f>(0.4-0.393055555555556)</f>
        <v>6.9444444444440312E-3</v>
      </c>
      <c r="E136" s="7">
        <f>ABS(0.00694444444444403-0.0125)</f>
        <v>5.5555555555559704E-3</v>
      </c>
      <c r="F136" s="1" t="s">
        <v>3</v>
      </c>
      <c r="G136" s="7"/>
    </row>
    <row r="137" spans="1:7" x14ac:dyDescent="0.25">
      <c r="A137" s="11">
        <v>42217</v>
      </c>
      <c r="B137" s="7">
        <v>0.38819444444444445</v>
      </c>
      <c r="C137" s="7">
        <v>0.40069444444444446</v>
      </c>
      <c r="D137" s="7">
        <f>(0.400694444444444-0.388194444444444)</f>
        <v>1.2500000000000011E-2</v>
      </c>
      <c r="E137" s="7">
        <f>ABS(0.0125-0.0118055555555551)</f>
        <v>6.9444444444489994E-4</v>
      </c>
      <c r="F137" s="1" t="s">
        <v>3</v>
      </c>
      <c r="G137" s="7"/>
    </row>
    <row r="138" spans="1:7" x14ac:dyDescent="0.25">
      <c r="A138" s="11">
        <v>42217</v>
      </c>
      <c r="B138" s="7">
        <v>0.60277777777777775</v>
      </c>
      <c r="C138" s="7">
        <v>0.61458333333333337</v>
      </c>
      <c r="D138" s="7">
        <f>(0.614583333333333-0.602777777777778)</f>
        <v>1.180555555555507E-2</v>
      </c>
      <c r="E138" s="7">
        <f>ABS(0.0118055555555551-0.00624999999999998)</f>
        <v>5.5555555555551204E-3</v>
      </c>
      <c r="F138" s="1" t="s">
        <v>3</v>
      </c>
      <c r="G138" s="7"/>
    </row>
    <row r="139" spans="1:7" x14ac:dyDescent="0.25">
      <c r="A139" s="11">
        <v>42217</v>
      </c>
      <c r="B139" s="7">
        <v>0.68263888888888891</v>
      </c>
      <c r="C139" s="7">
        <v>0.68888888888888899</v>
      </c>
      <c r="D139" s="7">
        <f>(0.688888888888889-0.682638888888889)</f>
        <v>6.2499999999999778E-3</v>
      </c>
      <c r="E139" s="7">
        <f>ABS(0.00624999999999998-0.0104166666666661)</f>
        <v>4.1666666666661202E-3</v>
      </c>
      <c r="F139" s="1" t="s">
        <v>3</v>
      </c>
      <c r="G139" s="7"/>
    </row>
    <row r="140" spans="1:7" x14ac:dyDescent="0.25">
      <c r="A140" s="11">
        <v>42217</v>
      </c>
      <c r="B140" s="7">
        <v>0.72777777777777775</v>
      </c>
      <c r="C140" s="7">
        <v>0.73819444444444438</v>
      </c>
      <c r="D140" s="7">
        <f>(0.738194444444444-0.727777777777778)</f>
        <v>1.0416666666666075E-2</v>
      </c>
      <c r="E140" s="7">
        <f>ABS(0.0104166666666661-0.00833333333333297)</f>
        <v>2.0833333333331299E-3</v>
      </c>
      <c r="F140" s="1" t="s">
        <v>3</v>
      </c>
      <c r="G140" s="7"/>
    </row>
    <row r="141" spans="1:7" x14ac:dyDescent="0.25">
      <c r="A141" s="11">
        <v>42217</v>
      </c>
      <c r="B141" s="7">
        <v>0.8305555555555556</v>
      </c>
      <c r="C141" s="7">
        <v>0.83888888888888891</v>
      </c>
      <c r="D141" s="7">
        <f>(0.838888888888889-0.830555555555556)</f>
        <v>8.3333333333329707E-3</v>
      </c>
      <c r="E141" s="7">
        <f>ABS(0.00833333333333297-0.00624999999999998)</f>
        <v>2.0833333333329903E-3</v>
      </c>
      <c r="F141" s="1" t="s">
        <v>3</v>
      </c>
      <c r="G141" s="7"/>
    </row>
    <row r="142" spans="1:7" x14ac:dyDescent="0.25">
      <c r="A142" s="11">
        <v>42217</v>
      </c>
      <c r="B142" s="7">
        <v>0.93402777777777779</v>
      </c>
      <c r="C142" s="7">
        <v>0.94027777777777777</v>
      </c>
      <c r="D142" s="7">
        <f>(0.940277777777778-0.934027777777778)</f>
        <v>6.2499999999999778E-3</v>
      </c>
      <c r="E142" s="7">
        <f>ABS(0.00624999999999998-0.010416666666667)</f>
        <v>4.1666666666670188E-3</v>
      </c>
      <c r="F142" s="1" t="s">
        <v>3</v>
      </c>
      <c r="G142" s="7"/>
    </row>
    <row r="143" spans="1:7" x14ac:dyDescent="0.25">
      <c r="A143" s="11">
        <v>42217</v>
      </c>
      <c r="B143" s="7">
        <v>0.98472222222222217</v>
      </c>
      <c r="C143" s="7">
        <v>0.99513888888888891</v>
      </c>
      <c r="D143" s="7">
        <f>(0.995138888888889-0.984722222222222)</f>
        <v>1.0416666666666963E-2</v>
      </c>
      <c r="E143" s="7">
        <f>ABS(0.010416666666667-0.0270833333333333)</f>
        <v>1.6666666666666302E-2</v>
      </c>
      <c r="F143" s="1" t="s">
        <v>3</v>
      </c>
      <c r="G143" s="7"/>
    </row>
    <row r="144" spans="1:7" x14ac:dyDescent="0.25">
      <c r="A144" s="11">
        <v>42217</v>
      </c>
      <c r="B144" s="7">
        <v>3.6805555555555557E-2</v>
      </c>
      <c r="C144" s="7">
        <v>6.3888888888888884E-2</v>
      </c>
      <c r="D144" s="7">
        <f>(0.0638888888888889-0.0368055555555556)</f>
        <v>2.70833333333333E-2</v>
      </c>
      <c r="E144" s="7">
        <f>ABS(0.0270833333333333-0.00694444444444497)</f>
        <v>2.0138888888888332E-2</v>
      </c>
      <c r="F144" s="1" t="s">
        <v>3</v>
      </c>
      <c r="G144" s="7"/>
    </row>
    <row r="145" spans="1:7" x14ac:dyDescent="0.25">
      <c r="A145" s="11">
        <v>42217</v>
      </c>
      <c r="B145" s="7">
        <v>0.33749999999999997</v>
      </c>
      <c r="C145" s="7">
        <v>0.3444444444444445</v>
      </c>
      <c r="D145" s="7">
        <f>(0.344444444444445-0.3375)</f>
        <v>6.9444444444449749E-3</v>
      </c>
      <c r="E145" s="7">
        <f>ABS(0.00694444444444497-0.010416666666667)</f>
        <v>3.4722222222220295E-3</v>
      </c>
      <c r="F145" s="1" t="s">
        <v>3</v>
      </c>
      <c r="G145" s="7"/>
    </row>
    <row r="146" spans="1:7" x14ac:dyDescent="0.25">
      <c r="A146" s="11">
        <v>42217</v>
      </c>
      <c r="B146" s="7">
        <v>0.44236111111111115</v>
      </c>
      <c r="C146" s="7">
        <v>0.45277777777777778</v>
      </c>
      <c r="D146" s="7">
        <f>(0.452777777777778-0.442361111111111)</f>
        <v>1.0416666666667018E-2</v>
      </c>
      <c r="E146" s="7">
        <f>ABS(0.010416666666667-0.00902777777777697)</f>
        <v>1.3888888888900289E-3</v>
      </c>
      <c r="F146" s="1" t="s">
        <v>3</v>
      </c>
      <c r="G146" s="7"/>
    </row>
    <row r="147" spans="1:7" x14ac:dyDescent="0.25">
      <c r="A147" s="11">
        <v>42217</v>
      </c>
      <c r="B147" s="7">
        <v>0.48055555555555557</v>
      </c>
      <c r="C147" s="7">
        <v>0.48958333333333331</v>
      </c>
      <c r="D147" s="7">
        <f>(0.489583333333333-0.480555555555556)</f>
        <v>9.0277777777769685E-3</v>
      </c>
      <c r="E147" s="7">
        <f>ABS(0.00902777777777697-0.00624999999999998)</f>
        <v>2.7777777777769899E-3</v>
      </c>
      <c r="F147" s="1" t="s">
        <v>3</v>
      </c>
      <c r="G147" s="7"/>
    </row>
    <row r="148" spans="1:7" x14ac:dyDescent="0.25">
      <c r="A148" s="11">
        <v>42217</v>
      </c>
      <c r="B148" s="7">
        <v>0.49236111111111108</v>
      </c>
      <c r="C148" s="7">
        <v>0.49861111111111112</v>
      </c>
      <c r="D148" s="7">
        <f>(0.498611111111111-0.492361111111111)</f>
        <v>6.2499999999999778E-3</v>
      </c>
      <c r="E148" s="7">
        <f>ABS(0.00624999999999998-0.00416666666666698)</f>
        <v>2.0833333333330007E-3</v>
      </c>
      <c r="F148" s="1" t="s">
        <v>3</v>
      </c>
      <c r="G148" s="7"/>
    </row>
    <row r="149" spans="1:7" x14ac:dyDescent="0.25">
      <c r="A149" s="11">
        <v>42217</v>
      </c>
      <c r="B149" s="7">
        <v>0.54097222222222219</v>
      </c>
      <c r="C149" s="7">
        <v>0.54513888888888895</v>
      </c>
      <c r="D149" s="7">
        <f>(0.545138888888889-0.540972222222222)</f>
        <v>4.1666666666669849E-3</v>
      </c>
      <c r="E149" s="7">
        <f>ABS(0.00416666666666698-0.027083333333333)</f>
        <v>2.2916666666666023E-2</v>
      </c>
      <c r="F149" s="1" t="s">
        <v>3</v>
      </c>
      <c r="G149" s="7"/>
    </row>
    <row r="150" spans="1:7" x14ac:dyDescent="0.25">
      <c r="A150" s="11">
        <v>42217</v>
      </c>
      <c r="B150" s="7">
        <v>0.68125000000000002</v>
      </c>
      <c r="C150" s="7">
        <v>0.70833333333333337</v>
      </c>
      <c r="D150" s="7">
        <f>(0.708333333333333-0.68125)</f>
        <v>2.7083333333333015E-2</v>
      </c>
      <c r="E150" s="7">
        <f>ABS(0.027083333333333-0.0263888888888889)</f>
        <v>6.9444444444410197E-4</v>
      </c>
      <c r="F150" s="1" t="s">
        <v>3</v>
      </c>
      <c r="G150" s="7"/>
    </row>
    <row r="151" spans="1:7" x14ac:dyDescent="0.25">
      <c r="A151" s="11">
        <v>42217</v>
      </c>
      <c r="B151" s="7">
        <v>0.85972222222222217</v>
      </c>
      <c r="C151" s="7">
        <v>0.88611111111111107</v>
      </c>
      <c r="D151" s="7">
        <f>(0.886111111111111-0.859722222222222)</f>
        <v>2.6388888888888906E-2</v>
      </c>
      <c r="E151" s="7">
        <f>ABS(0.0263888888888889-0.00694444444444497)</f>
        <v>1.9444444444443931E-2</v>
      </c>
      <c r="F151" s="1" t="s">
        <v>3</v>
      </c>
      <c r="G151" s="7"/>
    </row>
    <row r="152" spans="1:7" x14ac:dyDescent="0.25">
      <c r="A152" s="11">
        <v>42217</v>
      </c>
      <c r="B152" s="7">
        <v>0.89583333333333337</v>
      </c>
      <c r="C152" s="7">
        <v>0.90277777777777779</v>
      </c>
      <c r="D152" s="7">
        <f>(0.902777777777778-0.895833333333333)</f>
        <v>6.9444444444449749E-3</v>
      </c>
      <c r="E152" s="7">
        <f>ABS(0.00694444444444497-0.0145833333333401)</f>
        <v>7.638888888895131E-3</v>
      </c>
      <c r="F152" s="1" t="s">
        <v>3</v>
      </c>
      <c r="G152" s="7"/>
    </row>
    <row r="153" spans="1:7" x14ac:dyDescent="0.25">
      <c r="A153" s="11">
        <v>42217</v>
      </c>
      <c r="B153" s="7">
        <v>1.0083333333333333</v>
      </c>
      <c r="C153" s="7">
        <v>1.0229166666666667</v>
      </c>
      <c r="D153" s="7">
        <f>(1.02291666666667-1.00833333333333)</f>
        <v>1.4583333333340054E-2</v>
      </c>
      <c r="E153" s="7">
        <f>ABS(0.0145833333333401-0.013194444444445)</f>
        <v>1.3888888888951012E-3</v>
      </c>
      <c r="F153" s="1" t="s">
        <v>3</v>
      </c>
      <c r="G153" s="7"/>
    </row>
    <row r="154" spans="1:7" x14ac:dyDescent="0.25">
      <c r="A154" s="11">
        <v>42217</v>
      </c>
      <c r="B154" s="7">
        <v>0.67222222222222217</v>
      </c>
      <c r="C154" s="7">
        <v>0.68541666666666667</v>
      </c>
      <c r="D154" s="7">
        <f>(0.685416666666667-0.672222222222222)</f>
        <v>1.3194444444444953E-2</v>
      </c>
      <c r="E154" s="7">
        <f>ABS(0.013194444444445-0.00972222222222296)</f>
        <v>3.4722222222220399E-3</v>
      </c>
      <c r="F154" s="1" t="s">
        <v>3</v>
      </c>
      <c r="G154" s="7"/>
    </row>
    <row r="155" spans="1:7" x14ac:dyDescent="0.25">
      <c r="A155" s="11">
        <v>42217</v>
      </c>
      <c r="B155" s="7">
        <v>0.71319444444444446</v>
      </c>
      <c r="C155" s="7">
        <v>0.72291666666666676</v>
      </c>
      <c r="D155" s="7">
        <f>(0.722916666666667-0.713194444444444)</f>
        <v>9.7222222222229648E-3</v>
      </c>
      <c r="E155" s="7">
        <f>ABS(0.00972222222222296-0.00902777777777808)</f>
        <v>6.9444444444487913E-4</v>
      </c>
      <c r="F155" s="1" t="s">
        <v>3</v>
      </c>
      <c r="G155" s="7"/>
    </row>
    <row r="156" spans="1:7" x14ac:dyDescent="0.25">
      <c r="A156" s="11">
        <v>42217</v>
      </c>
      <c r="B156" s="7">
        <v>0.7944444444444444</v>
      </c>
      <c r="C156" s="7">
        <v>0.80347222222222225</v>
      </c>
      <c r="D156" s="7">
        <f>(0.803472222222222-0.794444444444444)</f>
        <v>9.0277777777780788E-3</v>
      </c>
      <c r="E156" s="7">
        <f>ABS(0.00902777777777808-0.00902777777777797)</f>
        <v>1.1102230246251565E-16</v>
      </c>
      <c r="F156" s="1" t="s">
        <v>3</v>
      </c>
      <c r="G156" s="7"/>
    </row>
    <row r="157" spans="1:7" x14ac:dyDescent="0.25">
      <c r="A157" s="11">
        <v>42217</v>
      </c>
      <c r="B157" s="7">
        <v>0.77986111111111101</v>
      </c>
      <c r="C157" s="7">
        <v>0.78888888888888886</v>
      </c>
      <c r="D157" s="7">
        <f>(0.788888888888889-0.779861111111111)</f>
        <v>9.0277777777779677E-3</v>
      </c>
      <c r="E157" s="7">
        <f>ABS(0.00902777777777797-0.00416666666666698)</f>
        <v>4.8611111111109898E-3</v>
      </c>
      <c r="F157" s="1" t="s">
        <v>3</v>
      </c>
      <c r="G157" s="7"/>
    </row>
    <row r="158" spans="1:7" x14ac:dyDescent="0.25">
      <c r="A158" s="11">
        <v>42217</v>
      </c>
      <c r="B158" s="7">
        <v>0.79999999999999993</v>
      </c>
      <c r="C158" s="7">
        <v>0.8041666666666667</v>
      </c>
      <c r="D158" s="7">
        <f>(0.804166666666667-0.8)</f>
        <v>4.1666666666669849E-3</v>
      </c>
      <c r="E158" s="7">
        <f>ABS(0.00416666666666698-0.0034722222222221)</f>
        <v>6.9444444444487956E-4</v>
      </c>
      <c r="F158" s="1" t="s">
        <v>3</v>
      </c>
      <c r="G158" s="7"/>
    </row>
    <row r="159" spans="1:7" x14ac:dyDescent="0.25">
      <c r="A159" s="11">
        <v>42217</v>
      </c>
      <c r="B159" s="7">
        <v>0.82638888888888884</v>
      </c>
      <c r="C159" s="7">
        <v>0.82986111111111116</v>
      </c>
      <c r="D159" s="7">
        <f>(0.829861111111111-0.826388888888889)</f>
        <v>3.4722222222220989E-3</v>
      </c>
      <c r="E159" s="7">
        <f>ABS(0.0034722222222221-0.00555555555555498)</f>
        <v>2.0833333333328797E-3</v>
      </c>
      <c r="F159" s="1" t="s">
        <v>3</v>
      </c>
      <c r="G159" s="7"/>
    </row>
    <row r="160" spans="1:7" x14ac:dyDescent="0.25">
      <c r="A160" s="11">
        <v>42217</v>
      </c>
      <c r="B160" s="7">
        <v>0.84652777777777777</v>
      </c>
      <c r="C160" s="7">
        <v>0.8520833333333333</v>
      </c>
      <c r="D160" s="7">
        <f>(0.852083333333333-0.846527777777778)</f>
        <v>5.5555555555549807E-3</v>
      </c>
      <c r="E160" s="7">
        <f>ABS(0.00555555555555498-0.00624999999999998)</f>
        <v>6.9444444444500056E-4</v>
      </c>
      <c r="F160" s="1" t="s">
        <v>3</v>
      </c>
      <c r="G160" s="7"/>
    </row>
    <row r="161" spans="1:7" x14ac:dyDescent="0.25">
      <c r="A161" s="11">
        <v>42217</v>
      </c>
      <c r="B161" s="7">
        <v>0.91111111111111109</v>
      </c>
      <c r="C161" s="7">
        <v>0.91736111111111107</v>
      </c>
      <c r="D161" s="7">
        <f>(0.917361111111111-0.911111111111111)</f>
        <v>6.2499999999999778E-3</v>
      </c>
      <c r="E161" s="7">
        <f>ABS(0.00624999999999998-0.00486111111111098)</f>
        <v>1.3888888888890002E-3</v>
      </c>
      <c r="F161" s="1" t="s">
        <v>3</v>
      </c>
      <c r="G161" s="7"/>
    </row>
    <row r="162" spans="1:7" x14ac:dyDescent="0.25">
      <c r="A162" s="11">
        <v>42217</v>
      </c>
      <c r="B162" s="7">
        <v>0.95486111111111116</v>
      </c>
      <c r="C162" s="7">
        <v>0.95972222222222225</v>
      </c>
      <c r="D162" s="7">
        <f>(0.959722222222222-0.954861111111111)</f>
        <v>4.8611111111109828E-3</v>
      </c>
      <c r="E162" s="7">
        <f>ABS(0.00486111111111098-0.018055555555556)</f>
        <v>1.3194444444445022E-2</v>
      </c>
      <c r="F162" s="1" t="s">
        <v>3</v>
      </c>
      <c r="G162" s="7"/>
    </row>
    <row r="163" spans="1:7" x14ac:dyDescent="0.25">
      <c r="A163" s="11">
        <v>42217</v>
      </c>
      <c r="B163" s="7">
        <v>0.96944444444444444</v>
      </c>
      <c r="C163" s="7">
        <v>0.98749999999999993</v>
      </c>
      <c r="D163" s="7">
        <f>(0.9875-0.969444444444444)</f>
        <v>1.8055555555556047E-2</v>
      </c>
      <c r="E163" s="7">
        <f>ABS(0.018055555555556-0.00902777777777779)</f>
        <v>9.0277777777782106E-3</v>
      </c>
      <c r="F163" s="1" t="s">
        <v>3</v>
      </c>
      <c r="G163" s="7"/>
    </row>
    <row r="164" spans="1:7" x14ac:dyDescent="0.25">
      <c r="A164" s="11">
        <v>42217</v>
      </c>
      <c r="B164" s="7">
        <v>4.5833333333333337E-2</v>
      </c>
      <c r="C164" s="7">
        <v>5.486111111111111E-2</v>
      </c>
      <c r="D164" s="7">
        <f>(0.0548611111111111-0.0458333333333333)</f>
        <v>9.0277777777777943E-3</v>
      </c>
      <c r="E164" s="7">
        <f>ABS(0.00902777777777779-0.00624999999999998)</f>
        <v>2.7777777777778104E-3</v>
      </c>
      <c r="F164" s="1" t="s">
        <v>3</v>
      </c>
      <c r="G164" s="7"/>
    </row>
    <row r="165" spans="1:7" x14ac:dyDescent="0.25">
      <c r="A165" s="11">
        <v>42217</v>
      </c>
      <c r="B165" s="7">
        <v>0.61527777777777781</v>
      </c>
      <c r="C165" s="7">
        <v>0.62152777777777779</v>
      </c>
      <c r="D165" s="7">
        <f>(0.621527777777778-0.615277777777778)</f>
        <v>6.2499999999999778E-3</v>
      </c>
      <c r="E165" s="7">
        <f>ABS(0.00624999999999998-0.0125000000000001)</f>
        <v>6.2500000000001192E-3</v>
      </c>
      <c r="F165" s="1" t="s">
        <v>3</v>
      </c>
      <c r="G165" s="7"/>
    </row>
    <row r="166" spans="1:7" x14ac:dyDescent="0.25">
      <c r="A166" s="11">
        <v>42217</v>
      </c>
      <c r="B166" s="7">
        <v>0.65972222222222221</v>
      </c>
      <c r="C166" s="7">
        <v>0.67222222222222217</v>
      </c>
      <c r="D166" s="7">
        <f>(0.672222222222222-0.659722222222222)</f>
        <v>1.2500000000000067E-2</v>
      </c>
      <c r="E166" s="7">
        <f>ABS(0.0125000000000001-0.00972222222222197)</f>
        <v>2.7777777777781287E-3</v>
      </c>
      <c r="F166" s="1" t="s">
        <v>3</v>
      </c>
      <c r="G166" s="7"/>
    </row>
    <row r="167" spans="1:7" x14ac:dyDescent="0.25">
      <c r="A167" s="11">
        <v>42217</v>
      </c>
      <c r="B167" s="7">
        <v>0.7104166666666667</v>
      </c>
      <c r="C167" s="7">
        <v>0.72013888888888899</v>
      </c>
      <c r="D167" s="7">
        <f>(0.720138888888889-0.710416666666667)</f>
        <v>9.7222222222219656E-3</v>
      </c>
      <c r="E167" s="7">
        <f>ABS(0.00972222222222197-0.00833333333333297)</f>
        <v>1.3888888888890002E-3</v>
      </c>
      <c r="F167" s="1" t="s">
        <v>3</v>
      </c>
      <c r="G167" s="7"/>
    </row>
    <row r="168" spans="1:7" x14ac:dyDescent="0.25">
      <c r="A168" s="11">
        <v>42217</v>
      </c>
      <c r="B168" s="7">
        <v>0.71388888888888891</v>
      </c>
      <c r="C168" s="7">
        <v>0.72222222222222221</v>
      </c>
      <c r="D168" s="7">
        <f>(0.722222222222222-0.713888888888889)</f>
        <v>8.3333333333329707E-3</v>
      </c>
      <c r="E168" s="7">
        <f>ABS(0.00833333333333297-0.00902777777777697)</f>
        <v>6.9444444444399962E-4</v>
      </c>
      <c r="F168" s="1" t="s">
        <v>3</v>
      </c>
      <c r="G168" s="7"/>
    </row>
    <row r="169" spans="1:7" x14ac:dyDescent="0.25">
      <c r="A169" s="11">
        <v>42217</v>
      </c>
      <c r="B169" s="7">
        <v>0.79791666666666661</v>
      </c>
      <c r="C169" s="7">
        <v>0.80694444444444446</v>
      </c>
      <c r="D169" s="7">
        <f>(0.806944444444444-0.797916666666667)</f>
        <v>9.0277777777769685E-3</v>
      </c>
      <c r="E169" s="7">
        <f>ABS(0.00902777777777697-0.00902777777777797)</f>
        <v>9.9920072216264089E-16</v>
      </c>
      <c r="F169" s="1" t="s">
        <v>3</v>
      </c>
      <c r="G169" s="7"/>
    </row>
    <row r="170" spans="1:7" x14ac:dyDescent="0.25">
      <c r="A170" s="11">
        <v>42217</v>
      </c>
      <c r="B170" s="7">
        <v>0.81527777777777777</v>
      </c>
      <c r="C170" s="7">
        <v>0.82430555555555562</v>
      </c>
      <c r="D170" s="7">
        <f>(0.824305555555556-0.815277777777778)</f>
        <v>9.0277777777779677E-3</v>
      </c>
      <c r="E170" s="7">
        <f>ABS(0.00902777777777797-0.00416666666666698)</f>
        <v>4.8611111111109898E-3</v>
      </c>
      <c r="F170" s="1" t="s">
        <v>3</v>
      </c>
      <c r="G170" s="7"/>
    </row>
    <row r="171" spans="1:7" x14ac:dyDescent="0.25">
      <c r="A171" s="11">
        <v>42217</v>
      </c>
      <c r="B171" s="7">
        <v>0.48333333333333334</v>
      </c>
      <c r="C171" s="7">
        <v>0.48749999999999999</v>
      </c>
      <c r="D171" s="7">
        <f>(0.4875-0.483333333333333)</f>
        <v>4.1666666666669849E-3</v>
      </c>
      <c r="E171" s="7">
        <f>ABS(0.00416666666666698-0.0034722222222222)</f>
        <v>6.9444444444477981E-4</v>
      </c>
      <c r="F171" s="1" t="s">
        <v>3</v>
      </c>
      <c r="G171" s="7"/>
    </row>
    <row r="172" spans="1:7" x14ac:dyDescent="0.25">
      <c r="A172" s="11">
        <v>42217</v>
      </c>
      <c r="B172" s="7">
        <v>4.8611111111111112E-2</v>
      </c>
      <c r="C172" s="7">
        <v>5.2083333333333336E-2</v>
      </c>
      <c r="D172" s="7">
        <f>(0.0520833333333333-0.0486111111111111)</f>
        <v>3.4722222222222029E-3</v>
      </c>
      <c r="E172" s="7">
        <f>ABS(0.0034722222222222-0.00902777777777797)</f>
        <v>5.55555555555577E-3</v>
      </c>
      <c r="F172" s="1" t="s">
        <v>3</v>
      </c>
      <c r="G172" s="7"/>
    </row>
    <row r="173" spans="1:7" x14ac:dyDescent="0.25">
      <c r="A173" s="11">
        <v>42217</v>
      </c>
      <c r="B173" s="7">
        <v>0.43472222222222223</v>
      </c>
      <c r="C173" s="7">
        <v>0.44375000000000003</v>
      </c>
      <c r="D173" s="7">
        <f>(0.44375-0.434722222222222)</f>
        <v>9.0277777777779677E-3</v>
      </c>
      <c r="E173" s="7">
        <f>ABS(0.00902777777777797-0.0215277777777779)</f>
        <v>1.249999999999993E-2</v>
      </c>
      <c r="F173" s="1" t="s">
        <v>3</v>
      </c>
      <c r="G173" s="7"/>
    </row>
    <row r="174" spans="1:7" x14ac:dyDescent="0.25">
      <c r="A174" s="11">
        <v>42217</v>
      </c>
      <c r="B174" s="7">
        <v>0.58402777777777781</v>
      </c>
      <c r="C174" s="7">
        <v>0.60555555555555551</v>
      </c>
      <c r="D174" s="7">
        <f>(0.605555555555556-0.584027777777778)</f>
        <v>2.1527777777777923E-2</v>
      </c>
      <c r="E174" s="7">
        <f>ABS(0.0215277777777779-0.018055555555555)</f>
        <v>3.4722222222229003E-3</v>
      </c>
      <c r="F174" s="1" t="s">
        <v>3</v>
      </c>
      <c r="G174" s="7"/>
    </row>
    <row r="175" spans="1:7" x14ac:dyDescent="0.25">
      <c r="A175" s="11">
        <v>42217</v>
      </c>
      <c r="B175" s="7">
        <v>0.65902777777777777</v>
      </c>
      <c r="C175" s="7">
        <v>0.67708333333333337</v>
      </c>
      <c r="D175" s="7">
        <f>(0.677083333333333-0.659027777777778)</f>
        <v>1.8055555555555047E-2</v>
      </c>
      <c r="E175" s="7">
        <f>ABS(0.018055555555555-0.011805555555556)</f>
        <v>6.2499999999989994E-3</v>
      </c>
      <c r="F175" s="1" t="s">
        <v>3</v>
      </c>
      <c r="G175" s="7"/>
    </row>
    <row r="176" spans="1:7" x14ac:dyDescent="0.25">
      <c r="A176" s="11">
        <v>42217</v>
      </c>
      <c r="B176" s="7">
        <v>0.77847222222222223</v>
      </c>
      <c r="C176" s="7">
        <v>0.79027777777777775</v>
      </c>
      <c r="D176" s="7">
        <f>(0.790277777777778-0.778472222222222)</f>
        <v>1.1805555555555958E-2</v>
      </c>
      <c r="E176" s="7">
        <f>ABS(0.011805555555556-0.00416666666666599)</f>
        <v>7.6388888888900093E-3</v>
      </c>
      <c r="F176" s="1" t="s">
        <v>3</v>
      </c>
      <c r="G176" s="7"/>
    </row>
    <row r="177" spans="1:7" x14ac:dyDescent="0.25">
      <c r="A177" s="11">
        <v>42217</v>
      </c>
      <c r="B177" s="7">
        <v>0.36180555555555555</v>
      </c>
      <c r="C177" s="7">
        <v>0.3659722222222222</v>
      </c>
      <c r="D177" s="7">
        <f>(0.365972222222222-0.361805555555556)</f>
        <v>4.1666666666659857E-3</v>
      </c>
      <c r="E177" s="7">
        <f>ABS(0.00416666666666599-0.00277777777777799)</f>
        <v>1.3888888888880001E-3</v>
      </c>
      <c r="F177" s="1" t="s">
        <v>3</v>
      </c>
      <c r="G177" s="7"/>
    </row>
    <row r="178" spans="1:7" x14ac:dyDescent="0.25">
      <c r="A178" s="11">
        <v>42217</v>
      </c>
      <c r="B178" s="7">
        <v>0.48333333333333334</v>
      </c>
      <c r="C178" s="7">
        <v>0.4861111111111111</v>
      </c>
      <c r="D178" s="7">
        <f>(0.486111111111111-0.483333333333333)</f>
        <v>2.77777777777799E-3</v>
      </c>
      <c r="E178" s="7">
        <f>ABS(0.00277777777777799-0.00416666666666698)</f>
        <v>1.3888888888889898E-3</v>
      </c>
      <c r="F178" s="1" t="s">
        <v>3</v>
      </c>
      <c r="G178" s="7"/>
    </row>
    <row r="179" spans="1:7" x14ac:dyDescent="0.25">
      <c r="A179" s="11">
        <v>42217</v>
      </c>
      <c r="B179" s="7">
        <v>0.49374999999999997</v>
      </c>
      <c r="C179" s="7">
        <v>0.49791666666666662</v>
      </c>
      <c r="D179" s="7">
        <f>(0.497916666666667-0.49375)</f>
        <v>4.1666666666669849E-3</v>
      </c>
      <c r="E179" s="7">
        <f>ABS(0.00416666666666698-0.0138888888888891)</f>
        <v>9.72222222222212E-3</v>
      </c>
      <c r="F179" s="1" t="s">
        <v>3</v>
      </c>
      <c r="G179" s="7"/>
    </row>
    <row r="180" spans="1:7" x14ac:dyDescent="0.25">
      <c r="A180" s="11">
        <v>42217</v>
      </c>
      <c r="B180" s="7">
        <v>0.54097222222222219</v>
      </c>
      <c r="C180" s="7">
        <v>0.55486111111111114</v>
      </c>
      <c r="D180" s="7">
        <f>(0.554861111111111-0.540972222222222)</f>
        <v>1.3888888888889062E-2</v>
      </c>
      <c r="E180" s="7">
        <f>ABS(0.0138888888888891-0.00555555555555498)</f>
        <v>8.333333333334119E-3</v>
      </c>
      <c r="F180" s="1" t="s">
        <v>3</v>
      </c>
      <c r="G180" s="7"/>
    </row>
    <row r="181" spans="1:7" x14ac:dyDescent="0.25">
      <c r="A181" s="11">
        <v>42217</v>
      </c>
      <c r="B181" s="7">
        <v>0.62430555555555556</v>
      </c>
      <c r="C181" s="7">
        <v>0.62986111111111109</v>
      </c>
      <c r="D181" s="7">
        <f>(0.629861111111111-0.624305555555556)</f>
        <v>5.5555555555549807E-3</v>
      </c>
      <c r="E181" s="7">
        <f>ABS(0.00555555555555498-0.00694444444444398)</f>
        <v>1.3888888888890002E-3</v>
      </c>
      <c r="F181" s="1" t="s">
        <v>3</v>
      </c>
      <c r="G181" s="7"/>
    </row>
    <row r="182" spans="1:7" x14ac:dyDescent="0.25">
      <c r="A182" s="11">
        <v>42217</v>
      </c>
      <c r="B182" s="7">
        <v>0.62291666666666667</v>
      </c>
      <c r="C182" s="7">
        <v>0.62986111111111109</v>
      </c>
      <c r="D182" s="7">
        <f>(0.629861111111111-0.622916666666667)</f>
        <v>6.9444444444439757E-3</v>
      </c>
      <c r="E182" s="7">
        <f>ABS(0.00694444444444398-0.0138888888888891)</f>
        <v>6.9444444444451197E-3</v>
      </c>
      <c r="F182" s="1" t="s">
        <v>3</v>
      </c>
      <c r="G182" s="7"/>
    </row>
    <row r="183" spans="1:7" x14ac:dyDescent="0.25">
      <c r="A183" s="11">
        <v>42217</v>
      </c>
      <c r="B183" s="7">
        <v>0.63402777777777775</v>
      </c>
      <c r="C183" s="7">
        <v>0.6479166666666667</v>
      </c>
      <c r="D183" s="7">
        <f>(0.647916666666667-0.634027777777778)</f>
        <v>1.3888888888889062E-2</v>
      </c>
      <c r="E183" s="7">
        <f>ABS(0.0138888888888891-0.00486111111111098)</f>
        <v>9.0277777777781204E-3</v>
      </c>
      <c r="F183" s="1" t="s">
        <v>3</v>
      </c>
      <c r="G183" s="7"/>
    </row>
    <row r="184" spans="1:7" x14ac:dyDescent="0.25">
      <c r="A184" s="11">
        <v>42217</v>
      </c>
      <c r="B184" s="7">
        <v>0.75763888888888886</v>
      </c>
      <c r="C184" s="7">
        <v>0.76250000000000007</v>
      </c>
      <c r="D184" s="7">
        <f>(0.7625-0.757638888888889)</f>
        <v>4.8611111111109828E-3</v>
      </c>
      <c r="E184" s="7">
        <f>ABS(0.00486111111111098-0.0125000000000001)</f>
        <v>7.6388888888891194E-3</v>
      </c>
      <c r="F184" s="1" t="s">
        <v>3</v>
      </c>
      <c r="G184" s="7"/>
    </row>
    <row r="185" spans="1:7" x14ac:dyDescent="0.25">
      <c r="A185" s="11">
        <v>42217</v>
      </c>
      <c r="B185" s="7">
        <v>0.84722222222222221</v>
      </c>
      <c r="C185" s="7">
        <v>0.85972222222222217</v>
      </c>
      <c r="D185" s="7">
        <f>(0.859722222222222-0.847222222222222)</f>
        <v>1.2500000000000067E-2</v>
      </c>
      <c r="E185" s="7">
        <f>ABS(0.0125000000000001-0.00624999999999898)</f>
        <v>6.2500000000011192E-3</v>
      </c>
      <c r="F185" s="1" t="s">
        <v>3</v>
      </c>
      <c r="G185" s="7"/>
    </row>
    <row r="186" spans="1:7" x14ac:dyDescent="0.25">
      <c r="A186" s="11">
        <v>42217</v>
      </c>
      <c r="B186" s="7">
        <v>0.9243055555555556</v>
      </c>
      <c r="C186" s="7">
        <v>0.93055555555555547</v>
      </c>
      <c r="D186" s="7">
        <f>(0.930555555555555-0.924305555555556)</f>
        <v>6.2499999999989786E-3</v>
      </c>
      <c r="E186" s="7">
        <f>ABS(0.00624999999999898-0.00833333333333397)</f>
        <v>2.0833333333349895E-3</v>
      </c>
      <c r="F186" s="1" t="s">
        <v>3</v>
      </c>
      <c r="G186" s="7"/>
    </row>
    <row r="187" spans="1:7" x14ac:dyDescent="0.25">
      <c r="A187" s="11">
        <v>42217</v>
      </c>
      <c r="B187" s="7">
        <v>0.45069444444444445</v>
      </c>
      <c r="C187" s="7">
        <v>0.45902777777777781</v>
      </c>
      <c r="D187" s="7">
        <f>(0.459027777777778-0.450694444444444)</f>
        <v>8.3333333333339699E-3</v>
      </c>
      <c r="E187" s="7">
        <f>ABS(0.00833333333333397-0.0118055555555561)</f>
        <v>3.4722222222221301E-3</v>
      </c>
      <c r="F187" s="1" t="s">
        <v>3</v>
      </c>
      <c r="G187" s="7"/>
    </row>
    <row r="188" spans="1:7" x14ac:dyDescent="0.25">
      <c r="A188" s="11">
        <v>42217</v>
      </c>
      <c r="B188" s="7">
        <v>0.60069444444444442</v>
      </c>
      <c r="C188" s="7">
        <v>0.61249999999999993</v>
      </c>
      <c r="D188" s="7">
        <f>(0.6125-0.600694444444444)</f>
        <v>1.1805555555556069E-2</v>
      </c>
      <c r="E188" s="7">
        <f>ABS(0.0118055555555561-0.011111111111111)</f>
        <v>6.9444444444509944E-4</v>
      </c>
      <c r="F188" s="1" t="s">
        <v>3</v>
      </c>
      <c r="G188" s="7"/>
    </row>
    <row r="189" spans="1:7" x14ac:dyDescent="0.25">
      <c r="A189" s="11">
        <v>42217</v>
      </c>
      <c r="B189" s="7">
        <v>0.90347222222222223</v>
      </c>
      <c r="C189" s="7">
        <v>0.9145833333333333</v>
      </c>
      <c r="D189" s="7">
        <f>(0.914583333333333-0.903472222222222)</f>
        <v>1.1111111111110961E-2</v>
      </c>
      <c r="E189" s="7">
        <f>ABS(0.011111111111111-0.00833333333333297)</f>
        <v>2.7777777777780299E-3</v>
      </c>
      <c r="F189" s="1" t="s">
        <v>3</v>
      </c>
      <c r="G189" s="7"/>
    </row>
    <row r="190" spans="1:7" x14ac:dyDescent="0.25">
      <c r="A190" s="11">
        <v>42217</v>
      </c>
      <c r="B190" s="7">
        <v>0.30902777777777779</v>
      </c>
      <c r="C190" s="7">
        <v>0.31736111111111115</v>
      </c>
      <c r="D190" s="7">
        <f>(0.317361111111111-0.309027777777778)</f>
        <v>8.3333333333329707E-3</v>
      </c>
      <c r="E190" s="7">
        <f>ABS(0.00833333333333297-0.011805555555555)</f>
        <v>3.4722222222220295E-3</v>
      </c>
      <c r="F190" s="1" t="s">
        <v>3</v>
      </c>
      <c r="G190" s="7"/>
    </row>
    <row r="191" spans="1:7" x14ac:dyDescent="0.25">
      <c r="A191" s="11">
        <v>42217</v>
      </c>
      <c r="B191" s="7">
        <v>0.45902777777777781</v>
      </c>
      <c r="C191" s="7">
        <v>0.47083333333333338</v>
      </c>
      <c r="D191" s="7">
        <f>(0.470833333333333-0.459027777777778)</f>
        <v>1.1805555555555014E-2</v>
      </c>
      <c r="E191" s="7">
        <f>ABS(0.011805555555555-0.0159722222222219)</f>
        <v>4.1666666666668982E-3</v>
      </c>
      <c r="F191" s="1" t="s">
        <v>3</v>
      </c>
      <c r="G191" s="7"/>
    </row>
    <row r="192" spans="1:7" x14ac:dyDescent="0.25">
      <c r="A192" s="11">
        <v>42217</v>
      </c>
      <c r="B192" s="7">
        <v>0.55625000000000002</v>
      </c>
      <c r="C192" s="7">
        <v>0.57222222222222219</v>
      </c>
      <c r="D192" s="7">
        <f>(0.572222222222222-0.55625)</f>
        <v>1.5972222222221943E-2</v>
      </c>
      <c r="E192" s="7">
        <f>ABS(0.0159722222222219-0.00416666666666698)</f>
        <v>1.1805555555554919E-2</v>
      </c>
      <c r="F192" s="1" t="s">
        <v>3</v>
      </c>
      <c r="G192" s="7"/>
    </row>
    <row r="193" spans="1:7" x14ac:dyDescent="0.25">
      <c r="A193" s="11">
        <v>42217</v>
      </c>
      <c r="B193" s="7">
        <v>0.58611111111111114</v>
      </c>
      <c r="C193" s="7">
        <v>0.59027777777777779</v>
      </c>
      <c r="D193" s="7">
        <f>(0.590277777777778-0.586111111111111)</f>
        <v>4.1666666666669849E-3</v>
      </c>
      <c r="E193" s="7">
        <f>ABS(0.00416666666666698-0.00486111111111098)</f>
        <v>6.9444444444400049E-4</v>
      </c>
      <c r="F193" s="1" t="s">
        <v>3</v>
      </c>
      <c r="G193" s="7"/>
    </row>
    <row r="194" spans="1:7" x14ac:dyDescent="0.25">
      <c r="A194" s="11">
        <v>42217</v>
      </c>
      <c r="B194" s="7">
        <v>0.58958333333333335</v>
      </c>
      <c r="C194" s="7">
        <v>0.59444444444444444</v>
      </c>
      <c r="D194" s="7">
        <f>(0.594444444444444-0.589583333333333)</f>
        <v>4.8611111111109828E-3</v>
      </c>
      <c r="E194" s="7">
        <f>ABS(0.00486111111111098-0.011111111111111)</f>
        <v>6.2500000000000203E-3</v>
      </c>
      <c r="F194" s="1" t="s">
        <v>3</v>
      </c>
      <c r="G194" s="7"/>
    </row>
    <row r="195" spans="1:7" x14ac:dyDescent="0.25">
      <c r="A195" s="11">
        <v>42217</v>
      </c>
      <c r="B195" s="7">
        <v>0.65277777777777779</v>
      </c>
      <c r="C195" s="7">
        <v>0.66388888888888886</v>
      </c>
      <c r="D195" s="7">
        <f>(0.663888888888889-0.652777777777778)</f>
        <v>1.1111111111110961E-2</v>
      </c>
      <c r="E195" s="7">
        <f>ABS(0.011111111111111-0.00555555555555609)</f>
        <v>5.5555555555549105E-3</v>
      </c>
      <c r="F195" s="1" t="s">
        <v>3</v>
      </c>
      <c r="G195" s="7"/>
    </row>
    <row r="196" spans="1:7" x14ac:dyDescent="0.25">
      <c r="A196" s="11">
        <v>42217</v>
      </c>
      <c r="B196" s="7">
        <v>0.69861111111111107</v>
      </c>
      <c r="C196" s="7">
        <v>0.70416666666666661</v>
      </c>
      <c r="D196" s="7">
        <f>(0.704166666666667-0.698611111111111)</f>
        <v>5.5555555555560909E-3</v>
      </c>
      <c r="E196" s="7">
        <f>ABS(0.00555555555555609-0.0104166666666671)</f>
        <v>4.8611111111110097E-3</v>
      </c>
      <c r="F196" s="1" t="s">
        <v>3</v>
      </c>
      <c r="G196" s="7"/>
    </row>
    <row r="197" spans="1:7" x14ac:dyDescent="0.25">
      <c r="A197" s="11">
        <v>42217</v>
      </c>
      <c r="B197" s="7">
        <v>0.72638888888888886</v>
      </c>
      <c r="C197" s="7">
        <v>0.7368055555555556</v>
      </c>
      <c r="D197" s="7">
        <f>(0.736805555555556-0.726388888888889)</f>
        <v>1.0416666666667074E-2</v>
      </c>
      <c r="E197" s="7">
        <f>ABS(0.0104166666666671-0.025694444444445)</f>
        <v>1.5277777777777899E-2</v>
      </c>
      <c r="F197" s="1" t="s">
        <v>3</v>
      </c>
      <c r="G197" s="7"/>
    </row>
    <row r="198" spans="1:7" x14ac:dyDescent="0.25">
      <c r="A198" s="11">
        <v>42217</v>
      </c>
      <c r="B198" s="7">
        <v>0.74583333333333324</v>
      </c>
      <c r="C198" s="7">
        <v>0.7715277777777777</v>
      </c>
      <c r="D198" s="7">
        <f>(0.771527777777778-0.745833333333333)</f>
        <v>2.5694444444445019E-2</v>
      </c>
      <c r="E198" s="7">
        <f>ABS(0.025694444444445-0.013194444444444)</f>
        <v>1.2500000000000998E-2</v>
      </c>
      <c r="F198" s="1" t="s">
        <v>3</v>
      </c>
      <c r="G198" s="7"/>
    </row>
    <row r="199" spans="1:7" x14ac:dyDescent="0.25">
      <c r="A199" s="11">
        <v>42217</v>
      </c>
      <c r="B199" s="7">
        <v>0.8652777777777777</v>
      </c>
      <c r="C199" s="7">
        <v>0.87847222222222221</v>
      </c>
      <c r="D199" s="7">
        <f>(0.878472222222222-0.865277777777778)</f>
        <v>1.3194444444443953E-2</v>
      </c>
      <c r="E199" s="7">
        <f>ABS(0.013194444444444-0.013194444444445)</f>
        <v>9.9920072216264089E-16</v>
      </c>
      <c r="F199" s="1" t="s">
        <v>3</v>
      </c>
      <c r="G199" s="7"/>
    </row>
    <row r="200" spans="1:7" x14ac:dyDescent="0.25">
      <c r="A200" s="11">
        <v>42217</v>
      </c>
      <c r="B200" s="7">
        <v>0.46736111111111112</v>
      </c>
      <c r="C200" s="7">
        <v>0.48055555555555557</v>
      </c>
      <c r="D200" s="7">
        <f>(0.480555555555556-0.467361111111111)</f>
        <v>1.3194444444445008E-2</v>
      </c>
      <c r="E200" s="7">
        <f>ABS(0.013194444444445-0.00277777777777805)</f>
        <v>1.0416666666666949E-2</v>
      </c>
      <c r="F200" s="1" t="s">
        <v>3</v>
      </c>
      <c r="G200" s="7"/>
    </row>
    <row r="201" spans="1:7" x14ac:dyDescent="0.25">
      <c r="A201" s="11">
        <v>42217</v>
      </c>
      <c r="B201" s="7">
        <v>0.48958333333333331</v>
      </c>
      <c r="C201" s="7">
        <v>0.49236111111111108</v>
      </c>
      <c r="D201" s="7">
        <f>(0.492361111111111-0.489583333333333)</f>
        <v>2.7777777777780455E-3</v>
      </c>
      <c r="E201" s="7">
        <f>ABS(0.00277777777777805-0.016666666666667)</f>
        <v>1.3888888888888951E-2</v>
      </c>
      <c r="F201" s="1" t="s">
        <v>3</v>
      </c>
      <c r="G201" s="7"/>
    </row>
    <row r="202" spans="1:7" x14ac:dyDescent="0.25">
      <c r="A202" s="11">
        <v>42217</v>
      </c>
      <c r="B202" s="7">
        <v>0.10486111111111111</v>
      </c>
      <c r="C202" s="7">
        <v>0.12152777777777778</v>
      </c>
      <c r="D202" s="7">
        <f>(0.121527777777778-0.104861111111111)</f>
        <v>1.6666666666666996E-2</v>
      </c>
      <c r="E202" s="7">
        <f>ABS(0.016666666666667-0.008333333333333)</f>
        <v>8.3333333333339994E-3</v>
      </c>
      <c r="F202" s="1" t="s">
        <v>3</v>
      </c>
      <c r="G202" s="7"/>
    </row>
    <row r="203" spans="1:7" x14ac:dyDescent="0.25">
      <c r="A203" s="11">
        <v>42217</v>
      </c>
      <c r="B203" s="7">
        <v>0.18263888888888891</v>
      </c>
      <c r="C203" s="7">
        <v>0.19097222222222221</v>
      </c>
      <c r="D203" s="7">
        <f>(0.190972222222222-0.182638888888889)</f>
        <v>8.3333333333329984E-3</v>
      </c>
      <c r="E203" s="7">
        <f>ABS(0.008333333333333-0.0187499999999999)</f>
        <v>1.0416666666666899E-2</v>
      </c>
      <c r="F203" s="1" t="s">
        <v>3</v>
      </c>
      <c r="G203" s="7"/>
    </row>
    <row r="204" spans="1:7" x14ac:dyDescent="0.25">
      <c r="A204" s="11">
        <v>42217</v>
      </c>
      <c r="B204" s="7">
        <v>0.68194444444444446</v>
      </c>
      <c r="C204" s="7">
        <v>0.7006944444444444</v>
      </c>
      <c r="D204" s="7">
        <f>(0.700694444444444-0.681944444444444)</f>
        <v>1.8749999999999933E-2</v>
      </c>
      <c r="E204" s="7">
        <f>ABS(0.0187499999999999-0.013194444444445)</f>
        <v>5.5555555555548992E-3</v>
      </c>
      <c r="F204" s="1" t="s">
        <v>3</v>
      </c>
      <c r="G204" s="7"/>
    </row>
    <row r="205" spans="1:7" x14ac:dyDescent="0.25">
      <c r="A205" s="11">
        <v>42217</v>
      </c>
      <c r="B205" s="7">
        <v>0.75208333333333333</v>
      </c>
      <c r="C205" s="7">
        <v>0.76527777777777783</v>
      </c>
      <c r="D205" s="7">
        <f>(0.765277777777778-0.752083333333333)</f>
        <v>1.3194444444444953E-2</v>
      </c>
      <c r="E205" s="7">
        <f>ABS(0.013194444444445-0.0104166666666671)</f>
        <v>2.7777777777778997E-3</v>
      </c>
      <c r="F205" s="1" t="s">
        <v>3</v>
      </c>
      <c r="G205" s="7"/>
    </row>
    <row r="206" spans="1:7" x14ac:dyDescent="0.25">
      <c r="A206" s="11">
        <v>42217</v>
      </c>
      <c r="B206" s="7">
        <v>0.7270833333333333</v>
      </c>
      <c r="C206" s="7">
        <v>0.73749999999999993</v>
      </c>
      <c r="D206" s="7">
        <f>(0.7375-0.727083333333333)</f>
        <v>1.0416666666667074E-2</v>
      </c>
      <c r="E206" s="7">
        <f>ABS(0.0104166666666671-0.011805555555556)</f>
        <v>1.3888888888888996E-3</v>
      </c>
      <c r="F206" s="1" t="s">
        <v>3</v>
      </c>
      <c r="G206" s="7"/>
    </row>
    <row r="207" spans="1:7" x14ac:dyDescent="0.25">
      <c r="A207" s="11">
        <v>42217</v>
      </c>
      <c r="B207" s="7">
        <v>0.78125</v>
      </c>
      <c r="C207" s="7">
        <v>0.79305555555555562</v>
      </c>
      <c r="D207" s="7">
        <f>(0.793055555555556-0.78125)</f>
        <v>1.1805555555555958E-2</v>
      </c>
      <c r="E207" s="7">
        <f>ABS(0.011805555555556-0.00833333333333408)</f>
        <v>3.4722222222219202E-3</v>
      </c>
      <c r="F207" s="1" t="s">
        <v>3</v>
      </c>
      <c r="G207" s="7"/>
    </row>
    <row r="208" spans="1:7" x14ac:dyDescent="0.25">
      <c r="A208" s="11">
        <v>42217</v>
      </c>
      <c r="B208" s="7">
        <v>0.92083333333333339</v>
      </c>
      <c r="C208" s="7">
        <v>0.9291666666666667</v>
      </c>
      <c r="D208" s="7">
        <f>(0.929166666666667-0.920833333333333)</f>
        <v>8.3333333333340809E-3</v>
      </c>
      <c r="E208" s="7">
        <f>ABS(0.00833333333333408-0.0777777777777779)</f>
        <v>6.9444444444443823E-2</v>
      </c>
      <c r="F208" s="1" t="s">
        <v>3</v>
      </c>
      <c r="G208" s="7"/>
    </row>
    <row r="209" spans="1:7" x14ac:dyDescent="0.25">
      <c r="A209" s="11">
        <v>42217</v>
      </c>
      <c r="B209" s="7">
        <v>0.46458333333333335</v>
      </c>
      <c r="C209" s="7">
        <v>0.54236111111111118</v>
      </c>
      <c r="D209" s="7">
        <f>(0.542361111111111-0.464583333333333)</f>
        <v>7.7777777777777946E-2</v>
      </c>
      <c r="E209" s="7">
        <f>ABS(0.0777777777777779-0.0125000000000001)</f>
        <v>6.527777777777781E-2</v>
      </c>
      <c r="F209" s="1" t="s">
        <v>3</v>
      </c>
      <c r="G209" s="7"/>
    </row>
    <row r="210" spans="1:7" x14ac:dyDescent="0.25">
      <c r="A210" s="11">
        <v>42217</v>
      </c>
      <c r="B210" s="7">
        <v>0.59791666666666665</v>
      </c>
      <c r="C210" s="7">
        <v>0.61041666666666672</v>
      </c>
      <c r="D210" s="7">
        <f>(0.610416666666667-0.597916666666667)</f>
        <v>1.2500000000000067E-2</v>
      </c>
      <c r="E210" s="7">
        <f>ABS(0.0125000000000001-0.0125)</f>
        <v>9.8879238130678004E-17</v>
      </c>
      <c r="F210" s="1" t="s">
        <v>3</v>
      </c>
      <c r="G210" s="7"/>
    </row>
    <row r="211" spans="1:7" x14ac:dyDescent="0.25">
      <c r="A211" s="11">
        <v>42217</v>
      </c>
      <c r="B211" s="7">
        <v>0.65625</v>
      </c>
      <c r="C211" s="7">
        <v>0.66875000000000007</v>
      </c>
      <c r="D211" s="7">
        <f>(0.66875-0.65625)</f>
        <v>1.2499999999999956E-2</v>
      </c>
      <c r="E211" s="7">
        <f>ABS(0.0125-0.00555555555555598)</f>
        <v>6.9444444444440208E-3</v>
      </c>
      <c r="F211" s="1" t="s">
        <v>3</v>
      </c>
      <c r="G211" s="7"/>
    </row>
    <row r="212" spans="1:7" x14ac:dyDescent="0.25">
      <c r="A212" s="11">
        <v>42217</v>
      </c>
      <c r="B212" s="7">
        <v>0.8125</v>
      </c>
      <c r="C212" s="7">
        <v>0.81805555555555554</v>
      </c>
      <c r="D212" s="7">
        <f>(0.818055555555556-0.8125)</f>
        <v>5.5555555555559799E-3</v>
      </c>
      <c r="E212" s="7">
        <f>ABS(0.00555555555555598-0.00694444444444398)</f>
        <v>1.3888888888880001E-3</v>
      </c>
      <c r="F212" s="1" t="s">
        <v>3</v>
      </c>
      <c r="G212" s="7"/>
    </row>
    <row r="213" spans="1:7" x14ac:dyDescent="0.25">
      <c r="A213" s="11">
        <v>42217</v>
      </c>
      <c r="B213" s="7">
        <v>0.78541666666666676</v>
      </c>
      <c r="C213" s="7">
        <v>0.79236111111111107</v>
      </c>
      <c r="D213" s="7">
        <f>(0.792361111111111-0.785416666666667)</f>
        <v>6.9444444444439757E-3</v>
      </c>
      <c r="E213" s="7">
        <f>ABS(0.00694444444444398-0.013194444444444)</f>
        <v>6.2500000000000203E-3</v>
      </c>
      <c r="F213" s="1" t="s">
        <v>3</v>
      </c>
      <c r="G213" s="7"/>
    </row>
    <row r="214" spans="1:7" x14ac:dyDescent="0.25">
      <c r="A214" s="11">
        <v>42217</v>
      </c>
      <c r="B214" s="7">
        <v>0.3354166666666667</v>
      </c>
      <c r="C214" s="7">
        <v>0.34861111111111115</v>
      </c>
      <c r="D214" s="7">
        <f>(0.348611111111111-0.335416666666667)</f>
        <v>1.3194444444444009E-2</v>
      </c>
      <c r="E214" s="7">
        <f>ABS(0.013194444444444-0.011805555555555)</f>
        <v>1.3888888888890002E-3</v>
      </c>
      <c r="F214" s="1" t="s">
        <v>3</v>
      </c>
      <c r="G214" s="7"/>
    </row>
    <row r="215" spans="1:7" x14ac:dyDescent="0.25">
      <c r="A215" s="11">
        <v>42217</v>
      </c>
      <c r="B215" s="7">
        <v>0.53263888888888888</v>
      </c>
      <c r="C215" s="7">
        <v>0.5444444444444444</v>
      </c>
      <c r="D215" s="7">
        <f>(0.544444444444444-0.532638888888889)</f>
        <v>1.1805555555554959E-2</v>
      </c>
      <c r="E215" s="7">
        <f>ABS(0.011805555555555-0.00972222222222197)</f>
        <v>2.0833333333330293E-3</v>
      </c>
      <c r="F215" s="1" t="s">
        <v>3</v>
      </c>
      <c r="G215" s="7"/>
    </row>
    <row r="216" spans="1:7" x14ac:dyDescent="0.25">
      <c r="A216" s="11">
        <v>42217</v>
      </c>
      <c r="B216" s="7">
        <v>0.56597222222222221</v>
      </c>
      <c r="C216" s="7">
        <v>0.5756944444444444</v>
      </c>
      <c r="D216" s="7">
        <f>(0.575694444444444-0.565972222222222)</f>
        <v>9.7222222222219656E-3</v>
      </c>
      <c r="E216" s="7">
        <f>ABS(0.00972222222222197-0.013194444444444)</f>
        <v>3.4722222222220295E-3</v>
      </c>
      <c r="F216" s="1" t="s">
        <v>3</v>
      </c>
      <c r="G216" s="7"/>
    </row>
    <row r="217" spans="1:7" x14ac:dyDescent="0.25">
      <c r="A217" s="11">
        <v>42217</v>
      </c>
      <c r="B217" s="7">
        <v>0.5805555555555556</v>
      </c>
      <c r="C217" s="7">
        <v>0.59375</v>
      </c>
      <c r="D217" s="7">
        <f>(0.59375-0.580555555555556)</f>
        <v>1.3194444444443953E-2</v>
      </c>
      <c r="E217" s="7">
        <f>ABS(0.013194444444444-0.00555555555555598)</f>
        <v>7.6388888888880204E-3</v>
      </c>
      <c r="F217" s="1" t="s">
        <v>3</v>
      </c>
      <c r="G217" s="7"/>
    </row>
    <row r="218" spans="1:7" x14ac:dyDescent="0.25">
      <c r="A218" s="11">
        <v>42217</v>
      </c>
      <c r="B218" s="7">
        <v>0.59722222222222221</v>
      </c>
      <c r="C218" s="7">
        <v>0.60277777777777775</v>
      </c>
      <c r="D218" s="7">
        <f>(0.602777777777778-0.597222222222222)</f>
        <v>5.5555555555559799E-3</v>
      </c>
      <c r="E218" s="7">
        <f>ABS(0.00555555555555598-0.00555555555555498)</f>
        <v>1.0000680839006293E-15</v>
      </c>
      <c r="F218" s="1" t="s">
        <v>3</v>
      </c>
      <c r="G218" s="7"/>
    </row>
    <row r="219" spans="1:7" x14ac:dyDescent="0.25">
      <c r="A219" s="11">
        <v>42217</v>
      </c>
      <c r="B219" s="7">
        <v>0.7090277777777777</v>
      </c>
      <c r="C219" s="7">
        <v>0.71458333333333324</v>
      </c>
      <c r="D219" s="7">
        <f>(0.714583333333333-0.709027777777778)</f>
        <v>5.5555555555549807E-3</v>
      </c>
      <c r="E219" s="7">
        <f>ABS(0.00555555555555498-0.018055555555556)</f>
        <v>1.2500000000001021E-2</v>
      </c>
      <c r="F219" s="1" t="s">
        <v>3</v>
      </c>
      <c r="G219" s="7"/>
    </row>
    <row r="220" spans="1:7" x14ac:dyDescent="0.25">
      <c r="A220" s="11">
        <v>42217</v>
      </c>
      <c r="B220" s="7">
        <v>0.76111111111111107</v>
      </c>
      <c r="C220" s="7">
        <v>0.77916666666666667</v>
      </c>
      <c r="D220" s="7">
        <f>(0.779166666666667-0.761111111111111)</f>
        <v>1.8055555555556047E-2</v>
      </c>
      <c r="E220" s="7">
        <f>ABS(0.018055555555556-0.0166666666666661)</f>
        <v>1.3888888888899005E-3</v>
      </c>
      <c r="F220" s="1" t="s">
        <v>3</v>
      </c>
      <c r="G220" s="7"/>
    </row>
    <row r="221" spans="1:7" x14ac:dyDescent="0.25">
      <c r="A221" s="11">
        <v>42217</v>
      </c>
      <c r="B221" s="7">
        <v>0.89027777777777783</v>
      </c>
      <c r="C221" s="7">
        <v>0.90694444444444444</v>
      </c>
      <c r="D221" s="7">
        <f>(0.906944444444444-0.890277777777778)</f>
        <v>1.6666666666666052E-2</v>
      </c>
      <c r="E221" s="7">
        <f>ABS(0.0166666666666661-0.0375)</f>
        <v>2.0833333333333898E-2</v>
      </c>
      <c r="F221" s="1" t="s">
        <v>3</v>
      </c>
      <c r="G221" s="7"/>
    </row>
    <row r="222" spans="1:7" x14ac:dyDescent="0.25">
      <c r="A222" s="11">
        <v>42217</v>
      </c>
      <c r="B222" s="7">
        <v>0.9458333333333333</v>
      </c>
      <c r="C222" s="7">
        <v>0.98333333333333339</v>
      </c>
      <c r="D222" s="7">
        <f>(0.983333333333333-0.945833333333333)</f>
        <v>3.7499999999999978E-2</v>
      </c>
      <c r="E222" s="7">
        <f>ABS(0.0375-0.0159722222222221)</f>
        <v>2.1527777777777899E-2</v>
      </c>
      <c r="F222" s="1" t="s">
        <v>3</v>
      </c>
      <c r="G222" s="7"/>
    </row>
    <row r="223" spans="1:7" x14ac:dyDescent="0.25">
      <c r="A223" s="11">
        <v>42217</v>
      </c>
      <c r="B223" s="7">
        <v>0.98263888888888884</v>
      </c>
      <c r="C223" s="7">
        <v>0.99861111111111101</v>
      </c>
      <c r="D223" s="7">
        <f>(0.998611111111111-0.982638888888889)</f>
        <v>1.5972222222222054E-2</v>
      </c>
      <c r="E223" s="7">
        <f>ABS(0.0159722222222221-0.00902777777777797)</f>
        <v>6.9444444444441301E-3</v>
      </c>
      <c r="F223" s="1" t="s">
        <v>3</v>
      </c>
      <c r="G223" s="7"/>
    </row>
    <row r="224" spans="1:7" x14ac:dyDescent="0.25">
      <c r="A224" s="11">
        <v>42217</v>
      </c>
      <c r="B224" s="7">
        <v>0.73888888888888893</v>
      </c>
      <c r="C224" s="7">
        <v>0.74791666666666667</v>
      </c>
      <c r="D224" s="7">
        <f>(0.747916666666667-0.738888888888889)</f>
        <v>9.0277777777779677E-3</v>
      </c>
      <c r="E224" s="7">
        <f>ABS(0.00902777777777797-0.0125)</f>
        <v>3.4722222222220312E-3</v>
      </c>
      <c r="F224" s="1" t="s">
        <v>3</v>
      </c>
      <c r="G224" s="7"/>
    </row>
    <row r="225" spans="1:7" x14ac:dyDescent="0.25">
      <c r="A225" s="11">
        <v>42217</v>
      </c>
      <c r="B225" s="7">
        <v>0.82916666666666661</v>
      </c>
      <c r="C225" s="7">
        <v>0.84166666666666667</v>
      </c>
      <c r="D225" s="7">
        <f>(0.841666666666667-0.829166666666667)</f>
        <v>1.2499999999999956E-2</v>
      </c>
      <c r="E225" s="7">
        <f>ABS(0.0125-0.041666666666666)</f>
        <v>2.9166666666665998E-2</v>
      </c>
      <c r="F225" s="1" t="s">
        <v>3</v>
      </c>
      <c r="G225" s="7"/>
    </row>
    <row r="226" spans="1:7" x14ac:dyDescent="0.25">
      <c r="A226" s="11">
        <v>42217</v>
      </c>
      <c r="B226" s="7">
        <v>0.95416666666666661</v>
      </c>
      <c r="C226" s="7">
        <v>0.99583333333333324</v>
      </c>
      <c r="D226" s="7">
        <f>(0.995833333333333-0.954166666666667)</f>
        <v>4.1666666666665964E-2</v>
      </c>
      <c r="E226" s="7">
        <f>ABS(0.041666666666666-0.054166666666669)</f>
        <v>1.2500000000003002E-2</v>
      </c>
      <c r="F226" s="1" t="s">
        <v>3</v>
      </c>
      <c r="G226" s="7"/>
    </row>
    <row r="227" spans="1:7" x14ac:dyDescent="0.25">
      <c r="A227" s="11">
        <v>42217</v>
      </c>
      <c r="B227" s="7">
        <v>0.94861111111111107</v>
      </c>
      <c r="C227" s="7">
        <v>1.0027777777777778</v>
      </c>
      <c r="D227" s="7">
        <f>(1.00277777777778-0.948611111111111)</f>
        <v>5.4166666666669028E-2</v>
      </c>
      <c r="E227" s="7">
        <f>ABS(0.054166666666669-0.0034722222222222)</f>
        <v>5.0694444444446797E-2</v>
      </c>
      <c r="F227" s="1" t="s">
        <v>3</v>
      </c>
      <c r="G227" s="7"/>
    </row>
    <row r="228" spans="1:7" x14ac:dyDescent="0.25">
      <c r="A228" s="11">
        <v>42217</v>
      </c>
      <c r="B228" s="7">
        <v>5.7638888888888885E-2</v>
      </c>
      <c r="C228" s="7">
        <v>6.1111111111111116E-2</v>
      </c>
      <c r="D228" s="7">
        <f>(0.0611111111111111-0.0576388888888889)</f>
        <v>3.4722222222222029E-3</v>
      </c>
      <c r="E228" s="7">
        <f>ABS(0.0034722222222222-0.0125)</f>
        <v>9.0277777777778012E-3</v>
      </c>
      <c r="F228" s="1" t="s">
        <v>3</v>
      </c>
      <c r="G228" s="7"/>
    </row>
    <row r="229" spans="1:7" x14ac:dyDescent="0.25">
      <c r="A229" s="11">
        <v>42217</v>
      </c>
      <c r="B229" s="7">
        <v>8.6111111111111124E-2</v>
      </c>
      <c r="C229" s="7">
        <v>9.8611111111111108E-2</v>
      </c>
      <c r="D229" s="7">
        <f>(0.0986111111111111-0.0861111111111111)</f>
        <v>1.2499999999999997E-2</v>
      </c>
      <c r="E229" s="7">
        <f>ABS(0.0125-0.041666666666666)</f>
        <v>2.9166666666665998E-2</v>
      </c>
      <c r="F229" s="1" t="s">
        <v>3</v>
      </c>
      <c r="G229" s="7"/>
    </row>
    <row r="230" spans="1:7" x14ac:dyDescent="0.25">
      <c r="A230" s="11">
        <v>42217</v>
      </c>
      <c r="B230" s="7">
        <v>0.11805555555555557</v>
      </c>
      <c r="C230" s="7">
        <v>0.15972222222222224</v>
      </c>
      <c r="D230" s="7">
        <f>(0.159722222222222-0.118055555555556)</f>
        <v>4.1666666666665991E-2</v>
      </c>
      <c r="E230" s="7">
        <f>ABS(0.041666666666666-0.00625000000000003)</f>
        <v>3.5416666666665972E-2</v>
      </c>
      <c r="F230" s="1" t="s">
        <v>3</v>
      </c>
      <c r="G230" s="7"/>
    </row>
    <row r="231" spans="1:7" x14ac:dyDescent="0.25">
      <c r="A231" s="11">
        <v>42217</v>
      </c>
      <c r="B231" s="7">
        <v>0.36180555555555555</v>
      </c>
      <c r="C231" s="7">
        <v>0.36805555555555558</v>
      </c>
      <c r="D231" s="7">
        <f>(0.368055555555556-0.361805555555556)</f>
        <v>6.2500000000000333E-3</v>
      </c>
      <c r="E231" s="7">
        <f>ABS(0.00625000000000003-0.00347222222222199)</f>
        <v>2.7777777777780398E-3</v>
      </c>
      <c r="F231" s="1" t="s">
        <v>3</v>
      </c>
      <c r="G231" s="7"/>
    </row>
    <row r="232" spans="1:7" x14ac:dyDescent="0.25">
      <c r="A232" s="11">
        <v>42217</v>
      </c>
      <c r="B232" s="7">
        <v>0.55138888888888882</v>
      </c>
      <c r="C232" s="7">
        <v>0.55486111111111114</v>
      </c>
      <c r="D232" s="7">
        <f>(0.554861111111111-0.551388888888889)</f>
        <v>3.4722222222219878E-3</v>
      </c>
      <c r="E232" s="7">
        <f>ABS(0.00347222222222199-0.00624999999999998)</f>
        <v>2.7777777777779904E-3</v>
      </c>
      <c r="F232" s="1" t="s">
        <v>3</v>
      </c>
      <c r="G232" s="7"/>
    </row>
    <row r="233" spans="1:7" x14ac:dyDescent="0.25">
      <c r="A233" s="11">
        <v>42217</v>
      </c>
      <c r="B233" s="7">
        <v>0.58402777777777781</v>
      </c>
      <c r="C233" s="7">
        <v>0.59027777777777779</v>
      </c>
      <c r="D233" s="7">
        <f>(0.590277777777778-0.584027777777778)</f>
        <v>6.2499999999999778E-3</v>
      </c>
      <c r="E233" s="7">
        <f>ABS(0.00624999999999998-0.0145833333333331)</f>
        <v>8.3333333333331198E-3</v>
      </c>
      <c r="F233" s="1" t="s">
        <v>3</v>
      </c>
      <c r="G233" s="7"/>
    </row>
    <row r="234" spans="1:7" x14ac:dyDescent="0.25">
      <c r="A234" s="11">
        <v>42217</v>
      </c>
      <c r="B234" s="7">
        <v>0.75624999999999998</v>
      </c>
      <c r="C234" s="7">
        <v>0.77083333333333337</v>
      </c>
      <c r="D234" s="7">
        <f>(0.770833333333333-0.75625)</f>
        <v>1.4583333333333059E-2</v>
      </c>
      <c r="E234" s="7">
        <f>ABS(0.0145833333333331-0.032638888888889)</f>
        <v>1.8055555555555901E-2</v>
      </c>
      <c r="F234" s="1" t="s">
        <v>3</v>
      </c>
      <c r="G234" s="7"/>
    </row>
    <row r="235" spans="1:7" x14ac:dyDescent="0.25">
      <c r="A235" s="11">
        <v>42217</v>
      </c>
      <c r="B235" s="7">
        <v>0.78541666666666676</v>
      </c>
      <c r="C235" s="7">
        <v>0.81805555555555554</v>
      </c>
      <c r="D235" s="7">
        <f>(0.818055555555556-0.785416666666667)</f>
        <v>3.2638888888888995E-2</v>
      </c>
      <c r="E235" s="7">
        <f>ABS(0.032638888888889-0.00624999999999998)</f>
        <v>2.6388888888889021E-2</v>
      </c>
      <c r="F235" s="1" t="s">
        <v>3</v>
      </c>
      <c r="G235" s="7"/>
    </row>
    <row r="236" spans="1:7" x14ac:dyDescent="0.25">
      <c r="A236" s="11">
        <v>42217</v>
      </c>
      <c r="B236" s="7">
        <v>0.3840277777777778</v>
      </c>
      <c r="C236" s="7">
        <v>0.39027777777777778</v>
      </c>
      <c r="D236" s="7">
        <f>(0.390277777777778-0.384027777777778)</f>
        <v>6.2499999999999778E-3</v>
      </c>
      <c r="E236" s="7">
        <f>ABS(0.00624999999999998-0.010416666666667)</f>
        <v>4.1666666666670188E-3</v>
      </c>
      <c r="F236" s="1" t="s">
        <v>3</v>
      </c>
      <c r="G236" s="7"/>
    </row>
    <row r="237" spans="1:7" x14ac:dyDescent="0.25">
      <c r="A237" s="11">
        <v>42217</v>
      </c>
      <c r="B237" s="7">
        <v>0.43263888888888885</v>
      </c>
      <c r="C237" s="7">
        <v>0.44305555555555554</v>
      </c>
      <c r="D237" s="7">
        <f>(0.443055555555556-0.432638888888889)</f>
        <v>1.0416666666666963E-2</v>
      </c>
      <c r="E237" s="7">
        <f>ABS(0.010416666666667-0.00833333333333397)</f>
        <v>2.0833333333330293E-3</v>
      </c>
      <c r="F237" s="1" t="s">
        <v>3</v>
      </c>
      <c r="G237" s="7"/>
    </row>
    <row r="238" spans="1:7" x14ac:dyDescent="0.25">
      <c r="A238" s="11">
        <v>42217</v>
      </c>
      <c r="B238" s="7">
        <v>0.42986111111111108</v>
      </c>
      <c r="C238" s="7">
        <v>0.4381944444444445</v>
      </c>
      <c r="D238" s="7">
        <f>(0.438194444444445-0.429861111111111)</f>
        <v>8.3333333333339699E-3</v>
      </c>
      <c r="E238" s="7">
        <f>ABS(0.00833333333333397-0.00416666666666599)</f>
        <v>4.1666666666679798E-3</v>
      </c>
      <c r="F238" s="1" t="s">
        <v>3</v>
      </c>
      <c r="G238" s="7"/>
    </row>
    <row r="239" spans="1:7" x14ac:dyDescent="0.25">
      <c r="A239" s="11">
        <v>42217</v>
      </c>
      <c r="B239" s="7">
        <v>0.56041666666666667</v>
      </c>
      <c r="C239" s="7">
        <v>0.56458333333333333</v>
      </c>
      <c r="D239" s="7">
        <f>(0.564583333333333-0.560416666666667)</f>
        <v>4.1666666666659857E-3</v>
      </c>
      <c r="E239" s="7">
        <f>ABS(0.00416666666666599-0.0104166666666667)</f>
        <v>6.2500000000007107E-3</v>
      </c>
      <c r="F239" s="1" t="s">
        <v>3</v>
      </c>
      <c r="G239" s="7"/>
    </row>
    <row r="240" spans="1:7" x14ac:dyDescent="0.25">
      <c r="A240" s="11">
        <v>42217</v>
      </c>
      <c r="B240" s="7">
        <v>8.1250000000000003E-2</v>
      </c>
      <c r="C240" s="7">
        <v>9.1666666666666674E-2</v>
      </c>
      <c r="D240" s="7">
        <f>(0.0916666666666667-0.08125)</f>
        <v>1.0416666666666699E-2</v>
      </c>
      <c r="E240" s="7">
        <f>ABS(0.0104166666666667-0.044444444444444)</f>
        <v>3.4027777777777303E-2</v>
      </c>
      <c r="F240" s="1" t="s">
        <v>3</v>
      </c>
      <c r="G240" s="7"/>
    </row>
    <row r="241" spans="1:7" x14ac:dyDescent="0.25">
      <c r="A241" s="11">
        <v>42217</v>
      </c>
      <c r="B241" s="7">
        <v>0.77638888888888891</v>
      </c>
      <c r="C241" s="7">
        <v>0.8208333333333333</v>
      </c>
      <c r="D241" s="7">
        <f>(0.820833333333333-0.776388888888889)</f>
        <v>4.4444444444443953E-2</v>
      </c>
      <c r="E241" s="7">
        <f>ABS(0.044444444444444-0.00347222222222199)</f>
        <v>4.0972222222222014E-2</v>
      </c>
      <c r="F241" s="1" t="s">
        <v>3</v>
      </c>
      <c r="G241" s="7"/>
    </row>
    <row r="242" spans="1:7" x14ac:dyDescent="0.25">
      <c r="A242" s="11">
        <v>42217</v>
      </c>
      <c r="B242" s="7">
        <v>0.3611111111111111</v>
      </c>
      <c r="C242" s="7">
        <v>0.36458333333333331</v>
      </c>
      <c r="D242" s="7">
        <f>(0.364583333333333-0.361111111111111)</f>
        <v>3.4722222222219878E-3</v>
      </c>
      <c r="E242" s="7">
        <f>ABS(0.00347222222222199-0.025694444444444)</f>
        <v>2.2222222222222008E-2</v>
      </c>
      <c r="F242" s="1" t="s">
        <v>3</v>
      </c>
      <c r="G242" s="7"/>
    </row>
    <row r="243" spans="1:7" x14ac:dyDescent="0.25">
      <c r="A243" s="11">
        <v>42217</v>
      </c>
      <c r="B243" s="7">
        <v>0.5541666666666667</v>
      </c>
      <c r="C243" s="7">
        <v>0.57986111111111105</v>
      </c>
      <c r="D243" s="7">
        <f>(0.579861111111111-0.554166666666667)</f>
        <v>2.569444444444402E-2</v>
      </c>
      <c r="E243" s="7">
        <f>ABS(0.025694444444444-0.00972222222222197)</f>
        <v>1.5972222222222027E-2</v>
      </c>
      <c r="F243" s="1" t="s">
        <v>3</v>
      </c>
      <c r="G243" s="7"/>
    </row>
    <row r="244" spans="1:7" x14ac:dyDescent="0.25">
      <c r="A244" s="11">
        <v>42217</v>
      </c>
      <c r="B244" s="7">
        <v>0.53263888888888888</v>
      </c>
      <c r="C244" s="7">
        <v>0.54236111111111118</v>
      </c>
      <c r="D244" s="7">
        <f>(0.542361111111111-0.532638888888889)</f>
        <v>9.7222222222219656E-3</v>
      </c>
      <c r="E244" s="7">
        <f>ABS(0.00972222222222197-0.0118055555555556)</f>
        <v>2.0833333333336295E-3</v>
      </c>
      <c r="F244" s="1" t="s">
        <v>3</v>
      </c>
      <c r="G244" s="7"/>
    </row>
    <row r="245" spans="1:7" x14ac:dyDescent="0.25">
      <c r="A245" s="11">
        <v>42217</v>
      </c>
      <c r="B245" s="7">
        <v>5.486111111111111E-2</v>
      </c>
      <c r="C245" s="7">
        <v>6.6666666666666666E-2</v>
      </c>
      <c r="D245" s="7">
        <f>(0.0666666666666667-0.0548611111111111)</f>
        <v>1.1805555555555597E-2</v>
      </c>
      <c r="E245" s="7">
        <f>ABS(0.0118055555555556-0.0208333333333339)</f>
        <v>9.0277777777783008E-3</v>
      </c>
      <c r="F245" s="1" t="s">
        <v>3</v>
      </c>
      <c r="G245" s="7"/>
    </row>
    <row r="246" spans="1:7" x14ac:dyDescent="0.25">
      <c r="A246" s="11">
        <v>42217</v>
      </c>
      <c r="B246" s="7">
        <v>0.61597222222222225</v>
      </c>
      <c r="C246" s="7">
        <v>0.63680555555555551</v>
      </c>
      <c r="D246" s="7">
        <f>(0.636805555555556-0.615972222222222)</f>
        <v>2.0833333333333925E-2</v>
      </c>
      <c r="E246" s="7">
        <f>ABS(0.0208333333333339-0.00624999999999998)</f>
        <v>1.458333333333392E-2</v>
      </c>
      <c r="F246" s="1" t="s">
        <v>3</v>
      </c>
      <c r="G246" s="7"/>
    </row>
    <row r="247" spans="1:7" x14ac:dyDescent="0.25">
      <c r="A247" s="11">
        <v>42217</v>
      </c>
      <c r="B247" s="7">
        <v>0.6791666666666667</v>
      </c>
      <c r="C247" s="7">
        <v>0.68541666666666667</v>
      </c>
      <c r="D247" s="7">
        <f>(0.685416666666667-0.679166666666667)</f>
        <v>6.2499999999999778E-3</v>
      </c>
      <c r="E247" s="7">
        <f>ABS(0.00624999999999998-0.022916666666666)</f>
        <v>1.6666666666666018E-2</v>
      </c>
      <c r="F247" s="1" t="s">
        <v>3</v>
      </c>
      <c r="G247" s="7"/>
    </row>
    <row r="248" spans="1:7" x14ac:dyDescent="0.25">
      <c r="A248" s="11">
        <v>42217</v>
      </c>
      <c r="B248" s="7">
        <v>0.3666666666666667</v>
      </c>
      <c r="C248" s="7">
        <v>0.38958333333333334</v>
      </c>
      <c r="D248" s="7">
        <f>(0.389583333333333-0.366666666666667)</f>
        <v>2.291666666666603E-2</v>
      </c>
      <c r="E248" s="7">
        <f>ABS(0.022916666666666-0.00347222222222299)</f>
        <v>1.9444444444443008E-2</v>
      </c>
      <c r="F248" s="1" t="s">
        <v>3</v>
      </c>
      <c r="G248" s="7"/>
    </row>
    <row r="249" spans="1:7" x14ac:dyDescent="0.25">
      <c r="A249" s="11">
        <v>42217</v>
      </c>
      <c r="B249" s="7">
        <v>0.52708333333333335</v>
      </c>
      <c r="C249" s="7">
        <v>0.53055555555555556</v>
      </c>
      <c r="D249" s="7">
        <f>(0.530555555555556-0.527083333333333)</f>
        <v>3.472222222222987E-3</v>
      </c>
      <c r="E249" s="7">
        <f>ABS(0.00347222222222299-0.043055555555556)</f>
        <v>3.9583333333333012E-2</v>
      </c>
      <c r="F249" s="1" t="s">
        <v>3</v>
      </c>
      <c r="G249" s="7"/>
    </row>
    <row r="250" spans="1:7" x14ac:dyDescent="0.25">
      <c r="A250" s="11">
        <v>42217</v>
      </c>
      <c r="B250" s="7">
        <v>0.70833333333333337</v>
      </c>
      <c r="C250" s="7">
        <v>0.75138888888888899</v>
      </c>
      <c r="D250" s="7">
        <f>(0.751388888888889-0.708333333333333)</f>
        <v>4.3055555555555958E-2</v>
      </c>
      <c r="E250" s="7">
        <f>ABS(0.043055555555556-0.00624999999999998)</f>
        <v>3.6805555555556022E-2</v>
      </c>
      <c r="F250" s="1" t="s">
        <v>3</v>
      </c>
      <c r="G250" s="7"/>
    </row>
    <row r="251" spans="1:7" x14ac:dyDescent="0.25">
      <c r="A251" s="11">
        <v>42217</v>
      </c>
      <c r="B251" s="7">
        <v>0.82847222222222217</v>
      </c>
      <c r="C251" s="7">
        <v>0.83472222222222225</v>
      </c>
      <c r="D251" s="7">
        <f>(0.834722222222222-0.828472222222222)</f>
        <v>6.2499999999999778E-3</v>
      </c>
      <c r="E251" s="7">
        <f>ABS(0.00624999999999998-0.00694444444444439)</f>
        <v>6.9444444444440988E-4</v>
      </c>
      <c r="F251" s="1" t="s">
        <v>3</v>
      </c>
      <c r="G251" s="7"/>
    </row>
    <row r="252" spans="1:7" x14ac:dyDescent="0.25">
      <c r="A252" s="11">
        <v>42217</v>
      </c>
      <c r="B252" s="7">
        <v>6.0416666666666667E-2</v>
      </c>
      <c r="C252" s="7">
        <v>6.7361111111111108E-2</v>
      </c>
      <c r="D252" s="7">
        <f>(0.0673611111111111-0.0604166666666667)</f>
        <v>6.944444444444392E-3</v>
      </c>
      <c r="E252" s="7">
        <f>ABS(0.00694444444444439-0.00486111111111098)</f>
        <v>2.0833333333334101E-3</v>
      </c>
      <c r="F252" s="1" t="s">
        <v>3</v>
      </c>
      <c r="G252" s="7"/>
    </row>
    <row r="253" spans="1:7" x14ac:dyDescent="0.25">
      <c r="A253" s="11">
        <v>42217</v>
      </c>
      <c r="B253" s="7">
        <v>0.40138888888888885</v>
      </c>
      <c r="C253" s="7">
        <v>0.40625</v>
      </c>
      <c r="D253" s="7">
        <f>(0.40625-0.401388888888889)</f>
        <v>4.8611111111109828E-3</v>
      </c>
      <c r="E253" s="7">
        <f>ABS(0.00486111111111098-0.00624999999999998)</f>
        <v>1.3888888888890002E-3</v>
      </c>
      <c r="F253" s="1" t="s">
        <v>3</v>
      </c>
      <c r="G253" s="7"/>
    </row>
    <row r="254" spans="1:7" x14ac:dyDescent="0.25">
      <c r="A254" s="11">
        <v>42217</v>
      </c>
      <c r="B254" s="7">
        <v>0.58750000000000002</v>
      </c>
      <c r="C254" s="7">
        <v>0.59375</v>
      </c>
      <c r="D254" s="7">
        <f>(0.59375-0.5875)</f>
        <v>6.2499999999999778E-3</v>
      </c>
      <c r="E254" s="7">
        <f>ABS(0.00624999999999998-0.00555555555555598)</f>
        <v>6.9444444444400049E-4</v>
      </c>
      <c r="F254" s="1" t="s">
        <v>3</v>
      </c>
      <c r="G254" s="7"/>
    </row>
    <row r="255" spans="1:7" x14ac:dyDescent="0.25">
      <c r="A255" s="11">
        <v>42217</v>
      </c>
      <c r="B255" s="7">
        <v>0.59236111111111112</v>
      </c>
      <c r="C255" s="7">
        <v>0.59791666666666665</v>
      </c>
      <c r="D255" s="7">
        <f>(0.597916666666667-0.592361111111111)</f>
        <v>5.5555555555559799E-3</v>
      </c>
      <c r="E255" s="7">
        <f>ABS(0.00555555555555598-0.00416666666666599)</f>
        <v>1.3888888888899898E-3</v>
      </c>
      <c r="F255" s="1" t="s">
        <v>3</v>
      </c>
      <c r="G255" s="7"/>
    </row>
    <row r="256" spans="1:7" x14ac:dyDescent="0.25">
      <c r="A256" s="11">
        <v>42217</v>
      </c>
      <c r="B256" s="7">
        <v>0.63402777777777775</v>
      </c>
      <c r="C256" s="7">
        <v>0.6381944444444444</v>
      </c>
      <c r="D256" s="7">
        <f>(0.638194444444444-0.634027777777778)</f>
        <v>4.1666666666659857E-3</v>
      </c>
      <c r="E256" s="7">
        <f>ABS(0.00416666666666599-0.0111111111111111)</f>
        <v>6.9444444444451093E-3</v>
      </c>
      <c r="F256" s="1" t="s">
        <v>3</v>
      </c>
      <c r="G256" s="7"/>
    </row>
    <row r="257" spans="1:7" x14ac:dyDescent="0.25">
      <c r="A257" s="11">
        <v>42217</v>
      </c>
      <c r="B257" s="7">
        <v>0.91111111111111109</v>
      </c>
      <c r="C257" s="7">
        <v>0.92222222222222217</v>
      </c>
      <c r="D257" s="7">
        <f>(0.922222222222222-0.911111111111111)</f>
        <v>1.1111111111111072E-2</v>
      </c>
      <c r="E257" s="7">
        <f>ABS(0.0111111111111111-0.017361111111111)</f>
        <v>6.2499999999999015E-3</v>
      </c>
      <c r="F257" s="1" t="s">
        <v>3</v>
      </c>
      <c r="G257" s="7"/>
    </row>
    <row r="258" spans="1:7" x14ac:dyDescent="0.25">
      <c r="A258" s="11">
        <v>42217</v>
      </c>
      <c r="B258" s="7">
        <v>9.9999999999999992E-2</v>
      </c>
      <c r="C258" s="7">
        <v>0.1173611111111111</v>
      </c>
      <c r="D258" s="7">
        <f>(0.117361111111111-0.1)</f>
        <v>1.7361111111110994E-2</v>
      </c>
      <c r="E258" s="7">
        <f>ABS(0.017361111111111-0.004166666666667)</f>
        <v>1.3194444444444002E-2</v>
      </c>
      <c r="F258" s="1" t="s">
        <v>3</v>
      </c>
      <c r="G258" s="7"/>
    </row>
    <row r="259" spans="1:7" x14ac:dyDescent="0.25">
      <c r="A259" s="11">
        <v>42217</v>
      </c>
      <c r="B259" s="7">
        <v>0.11597222222222221</v>
      </c>
      <c r="C259" s="7">
        <v>0.12013888888888889</v>
      </c>
      <c r="D259" s="7">
        <f>(0.120138888888889-0.115972222222222)</f>
        <v>4.1666666666669988E-3</v>
      </c>
      <c r="E259" s="7">
        <f>ABS(0.004166666666667-0.00833333333333397)</f>
        <v>4.1666666666669702E-3</v>
      </c>
      <c r="F259" s="1" t="s">
        <v>3</v>
      </c>
      <c r="G259" s="7"/>
    </row>
    <row r="260" spans="1:7" x14ac:dyDescent="0.25">
      <c r="A260" s="11">
        <v>42217</v>
      </c>
      <c r="B260" s="7">
        <v>0.29583333333333334</v>
      </c>
      <c r="C260" s="7">
        <v>0.30416666666666664</v>
      </c>
      <c r="D260" s="7">
        <f>(0.304166666666667-0.295833333333333)</f>
        <v>8.3333333333339699E-3</v>
      </c>
      <c r="E260" s="7">
        <f>ABS(0.00833333333333397-0.00763888888888903)</f>
        <v>6.9444444444493984E-4</v>
      </c>
      <c r="F260" s="1" t="s">
        <v>3</v>
      </c>
      <c r="G260" s="7"/>
    </row>
    <row r="261" spans="1:7" x14ac:dyDescent="0.25">
      <c r="A261" s="11">
        <v>42217</v>
      </c>
      <c r="B261" s="7">
        <v>0.33124999999999999</v>
      </c>
      <c r="C261" s="7">
        <v>0.33888888888888885</v>
      </c>
      <c r="D261" s="7">
        <f>(0.338888888888889-0.33125)</f>
        <v>7.6388888888890283E-3</v>
      </c>
      <c r="E261" s="7">
        <f>ABS(0.00763888888888903-0.00555555555555498)</f>
        <v>2.0833333333340502E-3</v>
      </c>
      <c r="F261" s="1" t="s">
        <v>3</v>
      </c>
      <c r="G261" s="7"/>
    </row>
    <row r="262" spans="1:7" x14ac:dyDescent="0.25">
      <c r="A262" s="11">
        <v>42217</v>
      </c>
      <c r="B262" s="7">
        <v>0.1763888888888889</v>
      </c>
      <c r="C262" s="7">
        <v>0.18194444444444444</v>
      </c>
      <c r="D262" s="7">
        <f>(0.181944444444444-0.176388888888889)</f>
        <v>5.5555555555549807E-3</v>
      </c>
      <c r="E262" s="7">
        <f>ABS(0.00555555555555498-0.010416666666666)</f>
        <v>4.8611111111110201E-3</v>
      </c>
      <c r="F262" s="1" t="s">
        <v>3</v>
      </c>
      <c r="G262" s="7"/>
    </row>
    <row r="263" spans="1:7" x14ac:dyDescent="0.25">
      <c r="A263" s="11">
        <v>42217</v>
      </c>
      <c r="B263" s="7">
        <v>0.43541666666666662</v>
      </c>
      <c r="C263" s="7">
        <v>0.4458333333333333</v>
      </c>
      <c r="D263" s="7">
        <f>(0.445833333333333-0.435416666666667)</f>
        <v>1.0416666666666019E-2</v>
      </c>
      <c r="E263" s="7">
        <f>ABS(0.010416666666666-0.00347222222222299)</f>
        <v>6.9444444444430094E-3</v>
      </c>
      <c r="F263" s="1" t="s">
        <v>3</v>
      </c>
      <c r="G263" s="7"/>
    </row>
    <row r="264" spans="1:7" x14ac:dyDescent="0.25">
      <c r="A264" s="11">
        <v>42217</v>
      </c>
      <c r="B264" s="7">
        <v>0.46458333333333335</v>
      </c>
      <c r="C264" s="7">
        <v>0.4680555555555555</v>
      </c>
      <c r="D264" s="7">
        <f>(0.468055555555556-0.464583333333333)</f>
        <v>3.472222222222987E-3</v>
      </c>
      <c r="E264" s="7">
        <f>ABS(0.00347222222222299-0.00347222222222199)</f>
        <v>1.0000680839006293E-15</v>
      </c>
      <c r="F264" s="1" t="s">
        <v>3</v>
      </c>
      <c r="G264" s="7"/>
    </row>
    <row r="265" spans="1:7" x14ac:dyDescent="0.25">
      <c r="A265" s="11">
        <v>42217</v>
      </c>
      <c r="B265" s="7">
        <v>0.54236111111111118</v>
      </c>
      <c r="C265" s="7">
        <v>0.54583333333333328</v>
      </c>
      <c r="D265" s="7">
        <f>(0.545833333333333-0.542361111111111)</f>
        <v>3.4722222222219878E-3</v>
      </c>
      <c r="E265" s="7">
        <f>ABS(0.00347222222222199-0.00416666666666698)</f>
        <v>6.9444444444498972E-4</v>
      </c>
      <c r="F265" s="1" t="s">
        <v>3</v>
      </c>
      <c r="G265" s="7"/>
    </row>
    <row r="266" spans="1:7" x14ac:dyDescent="0.25">
      <c r="A266" s="11">
        <v>42217</v>
      </c>
      <c r="B266" s="7">
        <v>0.57847222222222217</v>
      </c>
      <c r="C266" s="7">
        <v>0.58263888888888882</v>
      </c>
      <c r="D266" s="7">
        <f>(0.582638888888889-0.578472222222222)</f>
        <v>4.1666666666669849E-3</v>
      </c>
      <c r="E266" s="7">
        <f>ABS(0.00416666666666698-0.06875)</f>
        <v>6.4583333333333021E-2</v>
      </c>
      <c r="F266" s="1" t="s">
        <v>3</v>
      </c>
      <c r="G266" s="7"/>
    </row>
    <row r="267" spans="1:7" x14ac:dyDescent="0.25">
      <c r="A267" s="11">
        <v>42217</v>
      </c>
      <c r="B267" s="7">
        <v>0.59166666666666667</v>
      </c>
      <c r="C267" s="7">
        <v>0.66041666666666665</v>
      </c>
      <c r="D267" s="7">
        <f>(0.660416666666667-0.591666666666667)</f>
        <v>6.8749999999999978E-2</v>
      </c>
      <c r="E267" s="7">
        <f>ABS(0.06875-0.00416666666666698)</f>
        <v>6.4583333333333021E-2</v>
      </c>
      <c r="F267" s="1" t="s">
        <v>3</v>
      </c>
      <c r="G267" s="7"/>
    </row>
    <row r="268" spans="1:7" x14ac:dyDescent="0.25">
      <c r="A268" s="11">
        <v>42217</v>
      </c>
      <c r="B268" s="7">
        <v>0.61944444444444446</v>
      </c>
      <c r="C268" s="7">
        <v>0.62361111111111112</v>
      </c>
      <c r="D268" s="7">
        <f>(0.623611111111111-0.619444444444444)</f>
        <v>4.1666666666669849E-3</v>
      </c>
      <c r="E268" s="7">
        <f>ABS(0.00416666666666698-0.0201388888888889)</f>
        <v>1.5972222222221923E-2</v>
      </c>
      <c r="F268" s="1" t="s">
        <v>3</v>
      </c>
      <c r="G268" s="7"/>
    </row>
    <row r="269" spans="1:7" x14ac:dyDescent="0.25">
      <c r="A269" s="11">
        <v>42217</v>
      </c>
      <c r="B269" s="7">
        <v>0.64236111111111105</v>
      </c>
      <c r="C269" s="7">
        <v>0.66249999999999998</v>
      </c>
      <c r="D269" s="7">
        <f>(0.6625-0.642361111111111)</f>
        <v>2.0138888888888928E-2</v>
      </c>
      <c r="E269" s="7">
        <f>ABS(0.0201388888888889-0.00833333333333397)</f>
        <v>1.1805555555554931E-2</v>
      </c>
      <c r="F269" s="1" t="s">
        <v>3</v>
      </c>
      <c r="G269" s="7"/>
    </row>
    <row r="270" spans="1:7" x14ac:dyDescent="0.25">
      <c r="A270" s="11">
        <v>42217</v>
      </c>
      <c r="B270" s="7">
        <v>0.74097222222222225</v>
      </c>
      <c r="C270" s="7">
        <v>0.74930555555555556</v>
      </c>
      <c r="D270" s="7">
        <f>(0.749305555555556-0.740972222222222)</f>
        <v>8.3333333333339699E-3</v>
      </c>
      <c r="E270" s="7">
        <f>ABS(0.00833333333333397-0.00555555555555498)</f>
        <v>2.77777777777899E-3</v>
      </c>
      <c r="F270" s="1" t="s">
        <v>3</v>
      </c>
      <c r="G270" s="7"/>
    </row>
    <row r="271" spans="1:7" x14ac:dyDescent="0.25">
      <c r="A271" s="11">
        <v>42217</v>
      </c>
      <c r="B271" s="7">
        <v>0.88194444444444453</v>
      </c>
      <c r="C271" s="7">
        <v>0.88750000000000007</v>
      </c>
      <c r="D271" s="7">
        <f>(0.8875-0.881944444444445)</f>
        <v>5.5555555555549807E-3</v>
      </c>
      <c r="E271" s="7">
        <f>ABS(0.00555555555555498-0.0159722222222221)</f>
        <v>1.0416666666667119E-2</v>
      </c>
      <c r="F271" s="1" t="s">
        <v>3</v>
      </c>
      <c r="G271" s="7"/>
    </row>
    <row r="272" spans="1:7" x14ac:dyDescent="0.25">
      <c r="A272" s="11">
        <v>42217</v>
      </c>
      <c r="B272" s="7">
        <v>0.88124999999999998</v>
      </c>
      <c r="C272" s="7">
        <v>0.89722222222222225</v>
      </c>
      <c r="D272" s="7">
        <f>(0.897222222222222-0.88125)</f>
        <v>1.5972222222222054E-2</v>
      </c>
      <c r="E272" s="7">
        <f>ABS(0.0159722222222221-0.00486111111111098)</f>
        <v>1.111111111111112E-2</v>
      </c>
      <c r="F272" s="1" t="s">
        <v>3</v>
      </c>
      <c r="G272" s="7"/>
    </row>
    <row r="273" spans="1:7" x14ac:dyDescent="0.25">
      <c r="A273" s="11">
        <v>42217</v>
      </c>
      <c r="B273" s="7">
        <v>0.9145833333333333</v>
      </c>
      <c r="C273" s="7">
        <v>0.9194444444444444</v>
      </c>
      <c r="D273" s="7">
        <f>(0.919444444444444-0.914583333333333)</f>
        <v>4.8611111111109828E-3</v>
      </c>
      <c r="E273" s="7">
        <f>ABS(0.00486111111111098-0.0319444444444451)</f>
        <v>2.7083333333334122E-2</v>
      </c>
      <c r="F273" s="1" t="s">
        <v>3</v>
      </c>
      <c r="G273" s="7"/>
    </row>
    <row r="274" spans="1:7" x14ac:dyDescent="0.25">
      <c r="A274" s="11">
        <v>42217</v>
      </c>
      <c r="B274" s="7">
        <v>0.48958333333333331</v>
      </c>
      <c r="C274" s="7">
        <v>0.52152777777777781</v>
      </c>
      <c r="D274" s="7">
        <f>(0.521527777777778-0.489583333333333)</f>
        <v>3.1944444444445053E-2</v>
      </c>
      <c r="E274" s="7">
        <f>ABS(0.0319444444444451-0.00694444444444398)</f>
        <v>2.5000000000001122E-2</v>
      </c>
      <c r="F274" s="1" t="s">
        <v>3</v>
      </c>
      <c r="G274" s="7"/>
    </row>
    <row r="275" spans="1:7" x14ac:dyDescent="0.25">
      <c r="A275" s="11">
        <v>42217</v>
      </c>
      <c r="B275" s="7">
        <v>0.65</v>
      </c>
      <c r="C275" s="7">
        <v>0.65694444444444444</v>
      </c>
      <c r="D275" s="7">
        <f>(0.656944444444444-0.65)</f>
        <v>6.9444444444439757E-3</v>
      </c>
      <c r="E275" s="7">
        <f>ABS(0.00694444444444398-0.064583333333334)</f>
        <v>5.7638888888890023E-2</v>
      </c>
      <c r="F275" s="1" t="s">
        <v>3</v>
      </c>
      <c r="G275" s="7"/>
    </row>
    <row r="276" spans="1:7" x14ac:dyDescent="0.25">
      <c r="A276" s="11">
        <v>42217</v>
      </c>
      <c r="B276" s="7">
        <v>0.6645833333333333</v>
      </c>
      <c r="C276" s="7">
        <v>0.72916666666666663</v>
      </c>
      <c r="D276" s="7">
        <f>(0.729166666666667-0.664583333333333)</f>
        <v>6.4583333333333992E-2</v>
      </c>
      <c r="E276" s="7">
        <f>ABS(0.064583333333334-0.00694444444444398)</f>
        <v>5.7638888888890023E-2</v>
      </c>
      <c r="F276" s="1" t="s">
        <v>3</v>
      </c>
      <c r="G276" s="7"/>
    </row>
    <row r="277" spans="1:7" x14ac:dyDescent="0.25">
      <c r="A277" s="11">
        <v>42217</v>
      </c>
      <c r="B277" s="7">
        <v>0.7680555555555556</v>
      </c>
      <c r="C277" s="7">
        <v>0.77500000000000002</v>
      </c>
      <c r="D277" s="7">
        <f>(0.775-0.768055555555556)</f>
        <v>6.9444444444439757E-3</v>
      </c>
      <c r="E277" s="7">
        <f>ABS(0.00694444444444398-0.00416666666666599)</f>
        <v>2.77777777777799E-3</v>
      </c>
      <c r="F277" s="1" t="s">
        <v>3</v>
      </c>
      <c r="G277" s="7"/>
    </row>
    <row r="278" spans="1:7" x14ac:dyDescent="0.25">
      <c r="A278" s="11">
        <v>42217</v>
      </c>
      <c r="B278" s="7">
        <v>0.78055555555555556</v>
      </c>
      <c r="C278" s="7">
        <v>0.78472222222222221</v>
      </c>
      <c r="D278" s="7">
        <f>(0.784722222222222-0.780555555555556)</f>
        <v>4.1666666666659857E-3</v>
      </c>
      <c r="E278" s="7">
        <f>ABS(0.00416666666666599-0.00694444444444497)</f>
        <v>2.7777777777789796E-3</v>
      </c>
      <c r="F278" s="1" t="s">
        <v>3</v>
      </c>
      <c r="G278" s="7"/>
    </row>
    <row r="279" spans="1:7" x14ac:dyDescent="0.25">
      <c r="A279" s="11">
        <v>42217</v>
      </c>
      <c r="B279" s="7">
        <v>0.89097222222222217</v>
      </c>
      <c r="C279" s="7">
        <v>0.8979166666666667</v>
      </c>
      <c r="D279" s="7">
        <f>(0.897916666666667-0.890972222222222)</f>
        <v>6.9444444444449749E-3</v>
      </c>
      <c r="E279" s="7">
        <f>ABS(0.00694444444444497-0.00416666666666698)</f>
        <v>2.77777777777799E-3</v>
      </c>
      <c r="F279" s="1" t="s">
        <v>3</v>
      </c>
      <c r="G279" s="7"/>
    </row>
    <row r="280" spans="1:7" x14ac:dyDescent="0.25">
      <c r="A280" s="11">
        <v>42217</v>
      </c>
      <c r="B280" s="7">
        <v>0.92361111111111116</v>
      </c>
      <c r="C280" s="7">
        <v>0.9277777777777777</v>
      </c>
      <c r="D280" s="7">
        <f>(0.927777777777778-0.923611111111111)</f>
        <v>4.1666666666669849E-3</v>
      </c>
      <c r="E280" s="7">
        <f>ABS(0.00416666666666698-0.0111111111111069)</f>
        <v>6.9444444444399199E-3</v>
      </c>
      <c r="F280" s="1" t="s">
        <v>3</v>
      </c>
      <c r="G280" s="7"/>
    </row>
    <row r="281" spans="1:7" x14ac:dyDescent="0.25">
      <c r="A281" s="11">
        <v>42217</v>
      </c>
      <c r="B281" s="7">
        <v>0.98958333333333337</v>
      </c>
      <c r="C281" s="7">
        <v>1.0006944444444443</v>
      </c>
      <c r="D281" s="7">
        <f>(1.00069444444444-0.989583333333333)</f>
        <v>1.1111111111106853E-2</v>
      </c>
      <c r="E281" s="7">
        <f>ABS(0.0111111111111069-0.010416666666667)</f>
        <v>6.9444444443990047E-4</v>
      </c>
      <c r="F281" s="1" t="s">
        <v>3</v>
      </c>
      <c r="G281" s="7"/>
    </row>
    <row r="282" spans="1:7" x14ac:dyDescent="0.25">
      <c r="A282" s="11">
        <v>42217</v>
      </c>
      <c r="B282" s="7">
        <v>0.96597222222222223</v>
      </c>
      <c r="C282" s="7">
        <v>0.97638888888888886</v>
      </c>
      <c r="D282" s="7">
        <f>(0.976388888888889-0.965972222222222)</f>
        <v>1.0416666666666963E-2</v>
      </c>
      <c r="E282" s="7">
        <f>ABS(0.010416666666667-0.00833333333333297)</f>
        <v>2.0833333333340285E-3</v>
      </c>
      <c r="F282" s="1" t="s">
        <v>3</v>
      </c>
      <c r="G282" s="7"/>
    </row>
    <row r="283" spans="1:7" x14ac:dyDescent="0.25">
      <c r="A283" s="11">
        <v>42217</v>
      </c>
      <c r="B283" s="7">
        <v>0.31180555555555556</v>
      </c>
      <c r="C283" s="7">
        <v>0.32013888888888892</v>
      </c>
      <c r="D283" s="7">
        <f>(0.320138888888889-0.311805555555556)</f>
        <v>8.3333333333329707E-3</v>
      </c>
      <c r="E283" s="7">
        <f>ABS(0.00833333333333297-0.028472222222222)</f>
        <v>2.0138888888889029E-2</v>
      </c>
      <c r="F283" s="1" t="s">
        <v>3</v>
      </c>
      <c r="G283" s="7"/>
    </row>
    <row r="284" spans="1:7" x14ac:dyDescent="0.25">
      <c r="A284" s="11">
        <v>42217</v>
      </c>
      <c r="B284" s="7">
        <v>0.34513888888888888</v>
      </c>
      <c r="C284" s="7">
        <v>0.37361111111111112</v>
      </c>
      <c r="D284" s="7">
        <f>(0.373611111111111-0.345138888888889)</f>
        <v>2.847222222222201E-2</v>
      </c>
      <c r="E284" s="7">
        <f>ABS(0.028472222222222-0.027777777777778)</f>
        <v>6.9444444444400136E-4</v>
      </c>
      <c r="F284" s="1" t="s">
        <v>3</v>
      </c>
      <c r="G284" s="7"/>
    </row>
    <row r="285" spans="1:7" x14ac:dyDescent="0.25">
      <c r="A285" s="11">
        <v>42217</v>
      </c>
      <c r="B285" s="7">
        <v>0.50694444444444442</v>
      </c>
      <c r="C285" s="7">
        <v>0.53472222222222221</v>
      </c>
      <c r="D285" s="7">
        <f>(0.534722222222222-0.506944444444444)</f>
        <v>2.7777777777778012E-2</v>
      </c>
      <c r="E285" s="7">
        <f>ABS(0.027777777777778-0.00277777777777699)</f>
        <v>2.5000000000001008E-2</v>
      </c>
      <c r="F285" s="1" t="s">
        <v>3</v>
      </c>
      <c r="G285" s="7"/>
    </row>
    <row r="286" spans="1:7" x14ac:dyDescent="0.25">
      <c r="A286" s="11">
        <v>42217</v>
      </c>
      <c r="B286" s="7">
        <v>0.72569444444444453</v>
      </c>
      <c r="C286" s="7">
        <v>0.7284722222222223</v>
      </c>
      <c r="D286" s="7">
        <f>(0.728472222222222-0.725694444444445)</f>
        <v>2.7777777777769908E-3</v>
      </c>
      <c r="E286" s="7">
        <f>ABS(0.00277777777777699-0.00555555555555498)</f>
        <v>2.77777777777799E-3</v>
      </c>
      <c r="F286" s="1" t="s">
        <v>3</v>
      </c>
      <c r="G286" s="7"/>
    </row>
    <row r="287" spans="1:7" x14ac:dyDescent="0.25">
      <c r="A287" s="11">
        <v>42217</v>
      </c>
      <c r="B287" s="7">
        <v>0.78819444444444453</v>
      </c>
      <c r="C287" s="7">
        <v>0.79375000000000007</v>
      </c>
      <c r="D287" s="7">
        <f>(0.79375-0.788194444444445)</f>
        <v>5.5555555555549807E-3</v>
      </c>
      <c r="E287" s="7">
        <f>ABS(0.00555555555555498-0.00694444444444497)</f>
        <v>1.3888888888899898E-3</v>
      </c>
      <c r="F287" s="1" t="s">
        <v>3</v>
      </c>
      <c r="G287" s="7"/>
    </row>
    <row r="288" spans="1:7" x14ac:dyDescent="0.25">
      <c r="A288" s="11">
        <v>42217</v>
      </c>
      <c r="B288" s="7">
        <v>0.83611111111111114</v>
      </c>
      <c r="C288" s="7">
        <v>0.84305555555555556</v>
      </c>
      <c r="D288" s="7">
        <f>(0.843055555555556-0.836111111111111)</f>
        <v>6.9444444444449749E-3</v>
      </c>
      <c r="E288" s="7">
        <f>ABS(0.00694444444444497-0.0145833333333333)</f>
        <v>7.6388888888883309E-3</v>
      </c>
      <c r="F288" s="1" t="s">
        <v>3</v>
      </c>
      <c r="G288" s="7"/>
    </row>
    <row r="289" spans="1:7" x14ac:dyDescent="0.25">
      <c r="A289" s="11">
        <v>42217</v>
      </c>
      <c r="B289" s="7">
        <v>4.2361111111111106E-2</v>
      </c>
      <c r="C289" s="7">
        <v>5.6944444444444443E-2</v>
      </c>
      <c r="D289" s="7">
        <f>(0.0569444444444444-0.0423611111111111)</f>
        <v>1.4583333333333302E-2</v>
      </c>
      <c r="E289" s="7">
        <f>ABS(0.0145833333333333-0.00625000000000001)</f>
        <v>8.3333333333332898E-3</v>
      </c>
      <c r="F289" s="1" t="s">
        <v>3</v>
      </c>
      <c r="G289" s="7"/>
    </row>
    <row r="290" spans="1:7" x14ac:dyDescent="0.25">
      <c r="A290" s="11">
        <v>42217</v>
      </c>
      <c r="B290" s="7">
        <v>0.10902777777777778</v>
      </c>
      <c r="C290" s="7">
        <v>0.11527777777777777</v>
      </c>
      <c r="D290" s="7">
        <f>(0.115277777777778-0.109027777777778)</f>
        <v>6.2500000000000056E-3</v>
      </c>
      <c r="E290" s="7">
        <f>ABS(0.00625000000000001-0.00833333333333303)</f>
        <v>2.0833333333330198E-3</v>
      </c>
      <c r="F290" s="1" t="s">
        <v>3</v>
      </c>
      <c r="G290" s="7"/>
    </row>
    <row r="291" spans="1:7" x14ac:dyDescent="0.25">
      <c r="A291" s="11">
        <v>42217</v>
      </c>
      <c r="B291" s="7">
        <v>0.28263888888888888</v>
      </c>
      <c r="C291" s="7">
        <v>0.29097222222222224</v>
      </c>
      <c r="D291" s="7">
        <f>(0.290972222222222-0.282638888888889)</f>
        <v>8.3333333333330262E-3</v>
      </c>
      <c r="E291" s="7">
        <f>ABS(0.00833333333333303-0.00416666666666599)</f>
        <v>4.1666666666670396E-3</v>
      </c>
      <c r="F291" s="1" t="s">
        <v>3</v>
      </c>
      <c r="G291" s="7"/>
    </row>
    <row r="292" spans="1:7" x14ac:dyDescent="0.25">
      <c r="A292" s="11">
        <v>42217</v>
      </c>
      <c r="B292" s="7">
        <v>0.3430555555555555</v>
      </c>
      <c r="C292" s="7">
        <v>0.34722222222222227</v>
      </c>
      <c r="D292" s="7">
        <f>(0.347222222222222-0.343055555555556)</f>
        <v>4.1666666666659857E-3</v>
      </c>
      <c r="E292" s="7">
        <f>ABS(0.00416666666666599-0.00416666666666704)</f>
        <v>1.0495077029659683E-15</v>
      </c>
      <c r="F292" s="1" t="s">
        <v>3</v>
      </c>
      <c r="G292" s="7"/>
    </row>
    <row r="293" spans="1:7" x14ac:dyDescent="0.25">
      <c r="A293" s="11">
        <v>42217</v>
      </c>
      <c r="B293" s="7">
        <v>0.42638888888888887</v>
      </c>
      <c r="C293" s="7">
        <v>0.43055555555555558</v>
      </c>
      <c r="D293" s="7">
        <f>(0.430555555555556-0.426388888888889)</f>
        <v>4.1666666666670404E-3</v>
      </c>
      <c r="E293" s="7">
        <f>ABS(0.00416666666666704-0.010416666666667)</f>
        <v>6.2499999999999596E-3</v>
      </c>
      <c r="F293" s="1" t="s">
        <v>3</v>
      </c>
      <c r="G293" s="7"/>
    </row>
    <row r="294" spans="1:7" x14ac:dyDescent="0.25">
      <c r="A294" s="11">
        <v>42217</v>
      </c>
      <c r="B294" s="7">
        <v>0.48958333333333331</v>
      </c>
      <c r="C294" s="7">
        <v>0.5</v>
      </c>
      <c r="D294" s="7">
        <f>(0.5-0.489583333333333)</f>
        <v>1.0416666666667018E-2</v>
      </c>
      <c r="E294" s="7">
        <f>ABS(0.010416666666667-0.0131944444444441)</f>
        <v>2.7777777777771E-3</v>
      </c>
      <c r="F294" s="1" t="s">
        <v>3</v>
      </c>
      <c r="G294" s="7"/>
    </row>
    <row r="295" spans="1:7" x14ac:dyDescent="0.25">
      <c r="A295" s="11">
        <v>42217</v>
      </c>
      <c r="B295" s="7">
        <v>0.51180555555555551</v>
      </c>
      <c r="C295" s="7">
        <v>0.52500000000000002</v>
      </c>
      <c r="D295" s="7">
        <f>(0.525-0.511805555555556)</f>
        <v>1.3194444444444065E-2</v>
      </c>
      <c r="E295" s="7">
        <f>ABS(0.0131944444444441-0.00416666666666698)</f>
        <v>9.0277777777771195E-3</v>
      </c>
      <c r="F295" s="1" t="s">
        <v>3</v>
      </c>
      <c r="G295" s="7"/>
    </row>
    <row r="296" spans="1:7" x14ac:dyDescent="0.25">
      <c r="A296" s="11">
        <v>42217</v>
      </c>
      <c r="B296" s="7">
        <v>0.51597222222222217</v>
      </c>
      <c r="C296" s="7">
        <v>0.52013888888888882</v>
      </c>
      <c r="D296" s="7">
        <f>(0.520138888888889-0.515972222222222)</f>
        <v>4.1666666666669849E-3</v>
      </c>
      <c r="E296" s="7">
        <f>ABS(0.00416666666666698-0.00486111111111198)</f>
        <v>6.9444444444500056E-4</v>
      </c>
      <c r="F296" s="1" t="s">
        <v>3</v>
      </c>
      <c r="G296" s="7"/>
    </row>
    <row r="297" spans="1:7" x14ac:dyDescent="0.25">
      <c r="A297" s="11">
        <v>42217</v>
      </c>
      <c r="B297" s="7">
        <v>0.86944444444444446</v>
      </c>
      <c r="C297" s="7">
        <v>0.87430555555555556</v>
      </c>
      <c r="D297" s="7">
        <f>(0.874305555555556-0.869444444444444)</f>
        <v>4.861111111111982E-3</v>
      </c>
      <c r="E297" s="7">
        <f>ABS(0.00486111111111198-0.00833333333333297)</f>
        <v>3.4722222222209904E-3</v>
      </c>
      <c r="F297" s="1" t="s">
        <v>3</v>
      </c>
      <c r="G297" s="7"/>
    </row>
    <row r="298" spans="1:7" x14ac:dyDescent="0.25">
      <c r="A298" s="11">
        <v>42217</v>
      </c>
      <c r="B298" s="7">
        <v>0.94236111111111109</v>
      </c>
      <c r="C298" s="7">
        <v>0.9506944444444444</v>
      </c>
      <c r="D298" s="7">
        <f>(0.950694444444444-0.942361111111111)</f>
        <v>8.3333333333329707E-3</v>
      </c>
      <c r="E298" s="7">
        <f>ABS(0.00833333333333297-0.00624999999999998)</f>
        <v>2.0833333333329903E-3</v>
      </c>
      <c r="F298" s="1" t="s">
        <v>3</v>
      </c>
      <c r="G298" s="7"/>
    </row>
    <row r="299" spans="1:7" x14ac:dyDescent="0.25">
      <c r="A299" s="11">
        <v>42217</v>
      </c>
      <c r="B299" s="7">
        <v>0.96458333333333324</v>
      </c>
      <c r="C299" s="7">
        <v>0.97083333333333333</v>
      </c>
      <c r="D299" s="7">
        <f>(0.970833333333333-0.964583333333333)</f>
        <v>6.2499999999999778E-3</v>
      </c>
      <c r="E299" s="7">
        <f>ABS(0.00624999999999998-0.0305555555555549)</f>
        <v>2.4305555555554918E-2</v>
      </c>
      <c r="F299" s="1" t="s">
        <v>3</v>
      </c>
      <c r="G299" s="7"/>
    </row>
    <row r="300" spans="1:7" x14ac:dyDescent="0.25">
      <c r="A300" s="11">
        <v>42217</v>
      </c>
      <c r="B300" s="7">
        <v>0.99305555555555547</v>
      </c>
      <c r="C300" s="7">
        <v>1.023611111111111</v>
      </c>
      <c r="D300" s="7">
        <f>(1.02361111111111-0.993055555555555)</f>
        <v>3.0555555555554892E-2</v>
      </c>
      <c r="E300" s="7">
        <f>ABS(0.0305555555555549-0.00694444444445019)</f>
        <v>2.3611111111104709E-2</v>
      </c>
      <c r="F300" s="1" t="s">
        <v>3</v>
      </c>
      <c r="G300" s="7"/>
    </row>
    <row r="301" spans="1:7" x14ac:dyDescent="0.25">
      <c r="A301" s="11">
        <v>42217</v>
      </c>
      <c r="B301" s="7">
        <v>1.0319444444444443</v>
      </c>
      <c r="C301" s="7">
        <v>1.038888888888889</v>
      </c>
      <c r="D301" s="7">
        <f>(1.03888888888889-1.03194444444444)</f>
        <v>6.9444444444501929E-3</v>
      </c>
      <c r="E301" s="7">
        <f>ABS(0.00694444444445019-0.02569444444445)</f>
        <v>1.8749999999999812E-2</v>
      </c>
      <c r="F301" s="1" t="s">
        <v>3</v>
      </c>
      <c r="G301" s="7"/>
    </row>
    <row r="302" spans="1:7" x14ac:dyDescent="0.25">
      <c r="A302" s="11">
        <v>42217</v>
      </c>
      <c r="B302" s="7">
        <v>1.0131944444444445</v>
      </c>
      <c r="C302" s="7">
        <v>1.038888888888889</v>
      </c>
      <c r="D302" s="7">
        <f>(1.03888888888889-1.01319444444444)</f>
        <v>2.5694444444450015E-2</v>
      </c>
      <c r="E302" s="7">
        <f>ABS(0.02569444444445-0.00347222222222199)</f>
        <v>2.222222222222801E-2</v>
      </c>
      <c r="F302" s="1" t="s">
        <v>3</v>
      </c>
      <c r="G302" s="7"/>
    </row>
    <row r="303" spans="1:7" x14ac:dyDescent="0.25">
      <c r="A303" s="11">
        <v>42217</v>
      </c>
      <c r="B303" s="7">
        <v>0.39930555555555558</v>
      </c>
      <c r="C303" s="7">
        <v>0.40277777777777773</v>
      </c>
      <c r="D303" s="7">
        <f>(0.402777777777778-0.399305555555556)</f>
        <v>3.4722222222219878E-3</v>
      </c>
      <c r="E303" s="7">
        <f>ABS(0.00347222222222199-0.00277777777777799)</f>
        <v>6.9444444444400006E-4</v>
      </c>
      <c r="F303" s="1" t="s">
        <v>3</v>
      </c>
      <c r="G303" s="7"/>
    </row>
    <row r="304" spans="1:7" x14ac:dyDescent="0.25">
      <c r="A304" s="11">
        <v>42217</v>
      </c>
      <c r="B304" s="7">
        <v>0.38819444444444445</v>
      </c>
      <c r="C304" s="7">
        <v>0.39097222222222222</v>
      </c>
      <c r="D304" s="7">
        <f>(0.390972222222222-0.388194444444444)</f>
        <v>2.77777777777799E-3</v>
      </c>
      <c r="E304" s="7">
        <f>ABS(0.00277777777777799-0.00347222222222299)</f>
        <v>6.9444444444500012E-4</v>
      </c>
      <c r="F304" s="1" t="s">
        <v>3</v>
      </c>
      <c r="G304" s="7"/>
    </row>
    <row r="305" spans="1:7" x14ac:dyDescent="0.25">
      <c r="A305" s="11">
        <v>42217</v>
      </c>
      <c r="B305" s="7">
        <v>0.43333333333333335</v>
      </c>
      <c r="C305" s="7">
        <v>0.4368055555555555</v>
      </c>
      <c r="D305" s="7">
        <f>(0.436805555555556-0.433333333333333)</f>
        <v>3.472222222222987E-3</v>
      </c>
      <c r="E305" s="7">
        <f>ABS(0.00347222222222299-0.00486111111111098)</f>
        <v>1.3888888888879901E-3</v>
      </c>
      <c r="F305" s="1" t="s">
        <v>3</v>
      </c>
      <c r="G305" s="7"/>
    </row>
    <row r="306" spans="1:7" x14ac:dyDescent="0.25">
      <c r="A306" s="11">
        <v>42217</v>
      </c>
      <c r="B306" s="7">
        <v>0.62777777777777777</v>
      </c>
      <c r="C306" s="7">
        <v>0.63263888888888886</v>
      </c>
      <c r="D306" s="7">
        <f>(0.632638888888889-0.627777777777778)</f>
        <v>4.8611111111109828E-3</v>
      </c>
      <c r="E306" s="7">
        <f>ABS(0.00486111111111098-0.00763888888888897)</f>
        <v>2.77777777777799E-3</v>
      </c>
      <c r="F306" s="1" t="s">
        <v>3</v>
      </c>
      <c r="G306" s="7"/>
    </row>
    <row r="307" spans="1:7" x14ac:dyDescent="0.25">
      <c r="A307" s="11">
        <v>42217</v>
      </c>
      <c r="B307" s="7">
        <v>0.65208333333333335</v>
      </c>
      <c r="C307" s="7">
        <v>0.65972222222222221</v>
      </c>
      <c r="D307" s="7">
        <f>(0.659722222222222-0.652083333333333)</f>
        <v>7.6388888888889728E-3</v>
      </c>
      <c r="E307" s="7">
        <f>ABS(0.00763888888888897-0.0180555555555549)</f>
        <v>1.0416666666665932E-2</v>
      </c>
      <c r="F307" s="1" t="s">
        <v>3</v>
      </c>
      <c r="G307" s="7"/>
    </row>
    <row r="308" spans="1:7" x14ac:dyDescent="0.25">
      <c r="A308" s="11">
        <v>42217</v>
      </c>
      <c r="B308" s="7">
        <v>0.83888888888888891</v>
      </c>
      <c r="C308" s="7">
        <v>0.8569444444444444</v>
      </c>
      <c r="D308" s="7">
        <f>(0.856944444444444-0.838888888888889)</f>
        <v>1.8055555555554936E-2</v>
      </c>
      <c r="E308" s="7">
        <f>ABS(0.0180555555555549-0.0166666666666661)</f>
        <v>1.3888888888888007E-3</v>
      </c>
      <c r="F308" s="1" t="s">
        <v>3</v>
      </c>
      <c r="G308" s="7"/>
    </row>
    <row r="309" spans="1:7" x14ac:dyDescent="0.25">
      <c r="A309" s="11">
        <v>42217</v>
      </c>
      <c r="B309" s="7">
        <v>0.85416666666666663</v>
      </c>
      <c r="C309" s="7">
        <v>0.87083333333333324</v>
      </c>
      <c r="D309" s="7">
        <f>(0.870833333333333-0.854166666666667)</f>
        <v>1.6666666666666052E-2</v>
      </c>
      <c r="E309" s="7"/>
      <c r="F309" s="1" t="s">
        <v>3</v>
      </c>
      <c r="G309" s="7"/>
    </row>
    <row r="310" spans="1:7" x14ac:dyDescent="0.25">
      <c r="A310" s="11">
        <v>42217</v>
      </c>
      <c r="B310" s="7">
        <v>0.26874999999999999</v>
      </c>
      <c r="C310" s="7">
        <v>0.28680555555555554</v>
      </c>
      <c r="D310" s="7">
        <f>(0.286805555555556-0.26875)</f>
        <v>1.8055555555555991E-2</v>
      </c>
      <c r="E310" s="7">
        <f>ABS(0.018055555555556-0.0145833333333329)</f>
        <v>3.4722222222231015E-3</v>
      </c>
      <c r="F310" s="1" t="s">
        <v>10</v>
      </c>
      <c r="G310" s="7"/>
    </row>
    <row r="311" spans="1:7" x14ac:dyDescent="0.25">
      <c r="A311" s="11">
        <v>42217</v>
      </c>
      <c r="B311" s="7">
        <v>0.89166666666666661</v>
      </c>
      <c r="C311" s="7">
        <v>0.90625</v>
      </c>
      <c r="D311" s="7">
        <f>(0.90625-0.891666666666667)</f>
        <v>1.4583333333332948E-2</v>
      </c>
      <c r="E311" s="7">
        <f>ABS(0.0145833333333329-0.011805555555555)</f>
        <v>2.7777777777778997E-3</v>
      </c>
      <c r="F311" s="1" t="s">
        <v>10</v>
      </c>
      <c r="G311" s="7"/>
    </row>
    <row r="312" spans="1:7" x14ac:dyDescent="0.25">
      <c r="A312" s="11">
        <v>42217</v>
      </c>
      <c r="B312" s="7">
        <v>0.93541666666666667</v>
      </c>
      <c r="C312" s="7">
        <v>0.9472222222222223</v>
      </c>
      <c r="D312" s="7">
        <f>(0.947222222222222-0.935416666666667)</f>
        <v>1.1805555555554959E-2</v>
      </c>
      <c r="E312" s="7">
        <f>ABS(0.011805555555555-0.0194444444444444)</f>
        <v>7.6388888888893995E-3</v>
      </c>
      <c r="F312" s="1" t="s">
        <v>10</v>
      </c>
      <c r="G312" s="7"/>
    </row>
    <row r="313" spans="1:7" x14ac:dyDescent="0.25">
      <c r="A313" s="11">
        <v>42217</v>
      </c>
      <c r="B313" s="7">
        <v>2.4999999999999998E-2</v>
      </c>
      <c r="C313" s="7">
        <v>4.4444444444444446E-2</v>
      </c>
      <c r="D313" s="7">
        <f>(0.0444444444444444-0.025)</f>
        <v>1.9444444444444396E-2</v>
      </c>
      <c r="E313" s="7">
        <f>ABS(0.0194444444444444-0.00763888888888881)</f>
        <v>1.180555555555559E-2</v>
      </c>
      <c r="F313" s="1" t="s">
        <v>10</v>
      </c>
      <c r="G313" s="7"/>
    </row>
    <row r="314" spans="1:7" x14ac:dyDescent="0.25">
      <c r="A314" s="11">
        <v>42217</v>
      </c>
      <c r="B314" s="7">
        <v>6.1805555555555558E-2</v>
      </c>
      <c r="C314" s="7">
        <v>6.9444444444444434E-2</v>
      </c>
      <c r="D314" s="7">
        <f>(0.0694444444444444-0.0618055555555556)</f>
        <v>7.6388888888888062E-3</v>
      </c>
      <c r="E314" s="7">
        <f>ABS(0.00763888888888881-0.015972222222223)</f>
        <v>8.3333333333341919E-3</v>
      </c>
      <c r="F314" s="1" t="s">
        <v>10</v>
      </c>
      <c r="G314" s="7"/>
    </row>
    <row r="315" spans="1:7" x14ac:dyDescent="0.25">
      <c r="A315" s="11">
        <v>42217</v>
      </c>
      <c r="B315" s="7">
        <v>0.36458333333333331</v>
      </c>
      <c r="C315" s="7">
        <v>0.38055555555555554</v>
      </c>
      <c r="D315" s="7">
        <f>(0.380555555555556-0.364583333333333)</f>
        <v>1.5972222222222998E-2</v>
      </c>
      <c r="E315" s="7">
        <f>ABS(0.015972222222223-0.0152777777777779)</f>
        <v>6.9444444444510117E-4</v>
      </c>
      <c r="F315" s="1" t="s">
        <v>10</v>
      </c>
      <c r="G315" s="7"/>
    </row>
    <row r="316" spans="1:7" x14ac:dyDescent="0.25">
      <c r="A316" s="11">
        <v>42217</v>
      </c>
      <c r="B316" s="7">
        <v>0.49444444444444446</v>
      </c>
      <c r="C316" s="7">
        <v>0.50972222222222219</v>
      </c>
      <c r="D316" s="7">
        <f>(0.509722222222222-0.494444444444444)</f>
        <v>1.5277777777777946E-2</v>
      </c>
      <c r="E316" s="7">
        <f>ABS(0.0152777777777779-0.0166666666666669)</f>
        <v>1.3888888888889984E-3</v>
      </c>
      <c r="F316" s="1" t="s">
        <v>10</v>
      </c>
      <c r="G316" s="7"/>
    </row>
    <row r="317" spans="1:7" x14ac:dyDescent="0.25">
      <c r="A317" s="11">
        <v>42217</v>
      </c>
      <c r="B317" s="7">
        <v>0.58124999999999993</v>
      </c>
      <c r="C317" s="7">
        <v>0.59791666666666665</v>
      </c>
      <c r="D317" s="7">
        <f>(0.597916666666667-0.58125)</f>
        <v>1.6666666666666941E-2</v>
      </c>
      <c r="E317" s="7">
        <f>ABS(0.0166666666666669-0.0222222222222229)</f>
        <v>5.5555555555560007E-3</v>
      </c>
      <c r="F317" s="1" t="s">
        <v>10</v>
      </c>
      <c r="G317" s="7"/>
    </row>
    <row r="318" spans="1:7" x14ac:dyDescent="0.25">
      <c r="A318" s="11">
        <v>42217</v>
      </c>
      <c r="B318" s="7">
        <v>0.58333333333333337</v>
      </c>
      <c r="C318" s="7">
        <v>0.60555555555555551</v>
      </c>
      <c r="D318" s="7">
        <f>(0.605555555555556-0.583333333333333)</f>
        <v>2.222222222222292E-2</v>
      </c>
      <c r="E318" s="7">
        <f>ABS(0.0222222222222229-0.0145833333333331)</f>
        <v>7.6388888888898002E-3</v>
      </c>
      <c r="F318" s="1" t="s">
        <v>10</v>
      </c>
      <c r="G318" s="7"/>
    </row>
    <row r="319" spans="1:7" x14ac:dyDescent="0.25">
      <c r="A319" s="11">
        <v>42217</v>
      </c>
      <c r="B319" s="7">
        <v>0.81874999999999998</v>
      </c>
      <c r="C319" s="7">
        <v>0.83333333333333337</v>
      </c>
      <c r="D319" s="7">
        <f>(0.833333333333333-0.81875)</f>
        <v>1.4583333333333059E-2</v>
      </c>
      <c r="E319" s="7">
        <f>ABS(0.0145833333333331-0.0166666666666671)</f>
        <v>2.0833333333340007E-3</v>
      </c>
      <c r="F319" s="1" t="s">
        <v>10</v>
      </c>
      <c r="G319" s="7"/>
    </row>
    <row r="320" spans="1:7" x14ac:dyDescent="0.25">
      <c r="A320" s="11">
        <v>42217</v>
      </c>
      <c r="B320" s="7">
        <v>0.98333333333333339</v>
      </c>
      <c r="C320" s="7">
        <v>1</v>
      </c>
      <c r="D320" s="7">
        <f>(1-0.983333333333333)</f>
        <v>1.6666666666667052E-2</v>
      </c>
      <c r="E320" s="7">
        <f>ABS(0.0166666666666671-0.016666666666667)</f>
        <v>1.0061396160665481E-16</v>
      </c>
      <c r="F320" s="1" t="s">
        <v>10</v>
      </c>
      <c r="G320" s="7"/>
    </row>
    <row r="321" spans="1:7" x14ac:dyDescent="0.25">
      <c r="A321" s="11">
        <v>42217</v>
      </c>
      <c r="B321" s="7">
        <v>0.39027777777777778</v>
      </c>
      <c r="C321" s="7">
        <v>0.4069444444444445</v>
      </c>
      <c r="D321" s="7">
        <f>(0.406944444444445-0.390277777777778)</f>
        <v>1.6666666666666996E-2</v>
      </c>
      <c r="E321" s="7">
        <f>ABS(0.016666666666667-0.000694444444444997)</f>
        <v>1.5972222222222002E-2</v>
      </c>
      <c r="F321" s="1" t="s">
        <v>10</v>
      </c>
      <c r="G321" s="7"/>
    </row>
    <row r="322" spans="1:7" x14ac:dyDescent="0.25">
      <c r="A322" s="11">
        <v>42217</v>
      </c>
      <c r="B322" s="7">
        <v>0.44444444444444442</v>
      </c>
      <c r="C322" s="7">
        <v>0.44513888888888892</v>
      </c>
      <c r="D322" s="7">
        <f>(0.445138888888889-0.444444444444444)</f>
        <v>6.9444444444499709E-4</v>
      </c>
      <c r="E322" s="7">
        <f>ABS(0.000694444444444997-0.020833333333333)</f>
        <v>2.0138888888888002E-2</v>
      </c>
      <c r="F322" s="1" t="s">
        <v>10</v>
      </c>
      <c r="G322" s="7"/>
    </row>
    <row r="323" spans="1:7" x14ac:dyDescent="0.25">
      <c r="A323" s="11">
        <v>42217</v>
      </c>
      <c r="B323" s="7">
        <v>0.46527777777777773</v>
      </c>
      <c r="C323" s="7">
        <v>0.4861111111111111</v>
      </c>
      <c r="D323" s="7">
        <f>(0.486111111111111-0.465277777777778)</f>
        <v>2.0833333333332982E-2</v>
      </c>
      <c r="E323" s="7">
        <f>ABS(0.020833333333333-0.0187499999999999)</f>
        <v>2.0833333333331004E-3</v>
      </c>
      <c r="F323" s="1" t="s">
        <v>10</v>
      </c>
      <c r="G323" s="7"/>
    </row>
    <row r="324" spans="1:7" x14ac:dyDescent="0.25">
      <c r="A324" s="11">
        <v>42217</v>
      </c>
      <c r="B324" s="7">
        <v>0.49513888888888885</v>
      </c>
      <c r="C324" s="7">
        <v>0.51388888888888895</v>
      </c>
      <c r="D324" s="7">
        <f>(0.513888888888889-0.495138888888889)</f>
        <v>1.8749999999999933E-2</v>
      </c>
      <c r="E324" s="7">
        <f>ABS(0.0187499999999999-0.01875)</f>
        <v>1.0061396160665481E-16</v>
      </c>
      <c r="F324" s="1" t="s">
        <v>10</v>
      </c>
      <c r="G324" s="7"/>
    </row>
    <row r="325" spans="1:7" x14ac:dyDescent="0.25">
      <c r="A325" s="11">
        <v>42217</v>
      </c>
      <c r="B325" s="7">
        <v>0.66666666666666663</v>
      </c>
      <c r="C325" s="7">
        <v>0.68541666666666667</v>
      </c>
      <c r="D325" s="7">
        <f>(0.685416666666667-0.666666666666667)</f>
        <v>1.8750000000000044E-2</v>
      </c>
      <c r="E325" s="7">
        <f>ABS(0.01875-0.0152777777777769)</f>
        <v>3.4722222222230998E-3</v>
      </c>
      <c r="F325" s="1" t="s">
        <v>10</v>
      </c>
      <c r="G325" s="7"/>
    </row>
    <row r="326" spans="1:7" x14ac:dyDescent="0.25">
      <c r="A326" s="11">
        <v>42217</v>
      </c>
      <c r="B326" s="7">
        <v>0.81041666666666667</v>
      </c>
      <c r="C326" s="7">
        <v>0.8256944444444444</v>
      </c>
      <c r="D326" s="7">
        <f>(0.825694444444444-0.810416666666667)</f>
        <v>1.5277777777776946E-2</v>
      </c>
      <c r="E326" s="7">
        <f>ABS(0.0152777777777769-0.017361111111111)</f>
        <v>2.0833333333341014E-3</v>
      </c>
      <c r="F326" s="1" t="s">
        <v>10</v>
      </c>
      <c r="G326" s="7"/>
    </row>
    <row r="327" spans="1:7" x14ac:dyDescent="0.25">
      <c r="A327" s="11">
        <v>42217</v>
      </c>
      <c r="B327" s="7">
        <v>0.4465277777777778</v>
      </c>
      <c r="C327" s="7">
        <v>0.46388888888888885</v>
      </c>
      <c r="D327" s="7">
        <f>(0.463888888888889-0.446527777777778)</f>
        <v>1.7361111111110994E-2</v>
      </c>
      <c r="E327" s="7">
        <f>ABS(0.017361111111111-0.019444444444445)</f>
        <v>2.083333333333999E-3</v>
      </c>
      <c r="F327" s="1" t="s">
        <v>10</v>
      </c>
      <c r="G327" s="7"/>
    </row>
    <row r="328" spans="1:7" x14ac:dyDescent="0.25">
      <c r="A328" s="11">
        <v>42217</v>
      </c>
      <c r="B328" s="7">
        <v>0.59236111111111112</v>
      </c>
      <c r="C328" s="7">
        <v>0.6118055555555556</v>
      </c>
      <c r="D328" s="7">
        <f>(0.611805555555556-0.592361111111111)</f>
        <v>1.9444444444445041E-2</v>
      </c>
      <c r="E328" s="7">
        <f>ABS(0.019444444444445-0.019444444444445)</f>
        <v>0</v>
      </c>
      <c r="F328" s="1" t="s">
        <v>10</v>
      </c>
      <c r="G328" s="7"/>
    </row>
    <row r="329" spans="1:7" x14ac:dyDescent="0.25">
      <c r="A329" s="11">
        <v>42217</v>
      </c>
      <c r="B329" s="7">
        <v>0.93472222222222223</v>
      </c>
      <c r="C329" s="7">
        <v>0.95416666666666661</v>
      </c>
      <c r="D329" s="7">
        <f>(0.954166666666667-0.934722222222222)</f>
        <v>1.9444444444445041E-2</v>
      </c>
      <c r="E329" s="7">
        <f>ABS(0.019444444444445-0.022916666666666)</f>
        <v>3.472222222220999E-3</v>
      </c>
      <c r="F329" s="1" t="s">
        <v>10</v>
      </c>
      <c r="G329" s="7"/>
    </row>
    <row r="330" spans="1:7" x14ac:dyDescent="0.25">
      <c r="A330" s="11">
        <v>42217</v>
      </c>
      <c r="B330" s="7">
        <v>0.3444444444444445</v>
      </c>
      <c r="C330" s="7">
        <v>0.36736111111111108</v>
      </c>
      <c r="D330" s="7">
        <f>(0.367361111111111-0.344444444444445)</f>
        <v>2.291666666666603E-2</v>
      </c>
      <c r="E330" s="7">
        <f>ABS(0.022916666666666-0.020833333333333)</f>
        <v>2.0833333333329998E-3</v>
      </c>
      <c r="F330" s="1" t="s">
        <v>10</v>
      </c>
      <c r="G330" s="7"/>
    </row>
    <row r="331" spans="1:7" x14ac:dyDescent="0.25">
      <c r="A331" s="11">
        <v>42217</v>
      </c>
      <c r="B331" s="7">
        <v>0.34652777777777777</v>
      </c>
      <c r="C331" s="7">
        <v>0.36736111111111108</v>
      </c>
      <c r="D331" s="7">
        <f>(0.367361111111111-0.346527777777778)</f>
        <v>2.0833333333333037E-2</v>
      </c>
      <c r="E331" s="7">
        <f>ABS(0.020833333333333-0.015972222222222)</f>
        <v>4.8611111111110002E-3</v>
      </c>
      <c r="F331" s="1" t="s">
        <v>10</v>
      </c>
      <c r="G331" s="7"/>
    </row>
    <row r="332" spans="1:7" x14ac:dyDescent="0.25">
      <c r="A332" s="11">
        <v>42217</v>
      </c>
      <c r="B332" s="7">
        <v>0.36041666666666666</v>
      </c>
      <c r="C332" s="7">
        <v>0.37638888888888888</v>
      </c>
      <c r="D332" s="7">
        <f>(0.376388888888889-0.360416666666667)</f>
        <v>1.5972222222221999E-2</v>
      </c>
      <c r="E332" s="7">
        <f>ABS(0.015972222222222-0.019444444444445)</f>
        <v>3.4722222222230009E-3</v>
      </c>
      <c r="F332" s="1" t="s">
        <v>10</v>
      </c>
      <c r="G332" s="7"/>
    </row>
    <row r="333" spans="1:7" x14ac:dyDescent="0.25">
      <c r="A333" s="11">
        <v>42217</v>
      </c>
      <c r="B333" s="7">
        <v>0.44236111111111115</v>
      </c>
      <c r="C333" s="7">
        <v>0.46180555555555558</v>
      </c>
      <c r="D333" s="7">
        <f>(0.461805555555556-0.442361111111111)</f>
        <v>1.9444444444445041E-2</v>
      </c>
      <c r="E333" s="7">
        <f>ABS(0.019444444444445-0.020833333333334)</f>
        <v>1.3888888888889984E-3</v>
      </c>
      <c r="F333" s="1" t="s">
        <v>10</v>
      </c>
      <c r="G333" s="7"/>
    </row>
    <row r="334" spans="1:7" x14ac:dyDescent="0.25">
      <c r="A334" s="11">
        <v>42217</v>
      </c>
      <c r="B334" s="7">
        <v>0.44097222222222227</v>
      </c>
      <c r="C334" s="7">
        <v>0.46180555555555558</v>
      </c>
      <c r="D334" s="7">
        <f>(0.461805555555556-0.440972222222222)</f>
        <v>2.0833333333334036E-2</v>
      </c>
      <c r="E334" s="7">
        <f>ABS(0.020833333333334-0.018055555555555)</f>
        <v>2.7777777777789996E-3</v>
      </c>
      <c r="F334" s="1" t="s">
        <v>10</v>
      </c>
      <c r="G334" s="7"/>
    </row>
    <row r="335" spans="1:7" x14ac:dyDescent="0.25">
      <c r="A335" s="11">
        <v>42217</v>
      </c>
      <c r="B335" s="7">
        <v>0.48680555555555555</v>
      </c>
      <c r="C335" s="7">
        <v>0.50486111111111109</v>
      </c>
      <c r="D335" s="7">
        <f>(0.504861111111111-0.486805555555556)</f>
        <v>1.8055555555554992E-2</v>
      </c>
      <c r="E335" s="7">
        <f>ABS(0.018055555555555-0.029166666666667)</f>
        <v>1.1111111111112001E-2</v>
      </c>
      <c r="F335" s="1" t="s">
        <v>10</v>
      </c>
      <c r="G335" s="7"/>
    </row>
    <row r="336" spans="1:7" x14ac:dyDescent="0.25">
      <c r="A336" s="11">
        <v>42217</v>
      </c>
      <c r="B336" s="7">
        <v>0.50069444444444444</v>
      </c>
      <c r="C336" s="7">
        <v>0.52986111111111112</v>
      </c>
      <c r="D336" s="7">
        <f>(0.529861111111111-0.500694444444444)</f>
        <v>2.9166666666667007E-2</v>
      </c>
      <c r="E336" s="7">
        <f>ABS(0.029166666666667-0.0361111111111111)</f>
        <v>6.9444444444441006E-3</v>
      </c>
      <c r="F336" s="1" t="s">
        <v>10</v>
      </c>
      <c r="G336" s="7"/>
    </row>
    <row r="337" spans="1:7" x14ac:dyDescent="0.25">
      <c r="A337" s="11">
        <v>42217</v>
      </c>
      <c r="B337" s="7">
        <v>0.54513888888888895</v>
      </c>
      <c r="C337" s="7">
        <v>0.58124999999999993</v>
      </c>
      <c r="D337" s="7">
        <f>(0.58125-0.545138888888889)</f>
        <v>3.6111111111111094E-2</v>
      </c>
      <c r="E337" s="7">
        <f>ABS(0.0361111111111111-0.025)</f>
        <v>1.1111111111111099E-2</v>
      </c>
      <c r="F337" s="1" t="s">
        <v>10</v>
      </c>
      <c r="G337" s="7"/>
    </row>
    <row r="338" spans="1:7" x14ac:dyDescent="0.25">
      <c r="A338" s="11">
        <v>42217</v>
      </c>
      <c r="B338" s="7">
        <v>0.65347222222222223</v>
      </c>
      <c r="C338" s="7">
        <v>0.67847222222222225</v>
      </c>
      <c r="D338" s="7">
        <f>(0.678472222222222-0.653472222222222)</f>
        <v>2.5000000000000022E-2</v>
      </c>
      <c r="E338" s="7">
        <f>ABS(0.025-0.021527777777778)</f>
        <v>3.4722222222220017E-3</v>
      </c>
      <c r="F338" s="1" t="s">
        <v>10</v>
      </c>
      <c r="G338" s="7"/>
    </row>
    <row r="339" spans="1:7" x14ac:dyDescent="0.25">
      <c r="A339" s="11">
        <v>42217</v>
      </c>
      <c r="B339" s="7">
        <v>0.65694444444444444</v>
      </c>
      <c r="C339" s="7">
        <v>0.67847222222222225</v>
      </c>
      <c r="D339" s="7">
        <f>(0.678472222222222-0.656944444444444)</f>
        <v>2.1527777777778034E-2</v>
      </c>
      <c r="E339" s="7">
        <f>ABS(0.021527777777778-0.0243055555555549)</f>
        <v>2.7777777777769005E-3</v>
      </c>
      <c r="F339" s="1" t="s">
        <v>10</v>
      </c>
      <c r="G339" s="7"/>
    </row>
    <row r="340" spans="1:7" x14ac:dyDescent="0.25">
      <c r="A340" s="11">
        <v>42217</v>
      </c>
      <c r="B340" s="7">
        <v>0.7680555555555556</v>
      </c>
      <c r="C340" s="7">
        <v>0.79236111111111107</v>
      </c>
      <c r="D340" s="7">
        <f>(0.792361111111111-0.768055555555556)</f>
        <v>2.4305555555554914E-2</v>
      </c>
      <c r="E340" s="7">
        <f>ABS(0.0243055555555549-0.0249999999999999)</f>
        <v>6.9444444444500056E-4</v>
      </c>
      <c r="F340" s="1" t="s">
        <v>10</v>
      </c>
      <c r="G340" s="7"/>
    </row>
    <row r="341" spans="1:7" x14ac:dyDescent="0.25">
      <c r="A341" s="11">
        <v>42217</v>
      </c>
      <c r="B341" s="7">
        <v>0.76874999999999993</v>
      </c>
      <c r="C341" s="7">
        <v>0.79375000000000007</v>
      </c>
      <c r="D341" s="7">
        <f>(0.79375-0.76875)</f>
        <v>2.4999999999999911E-2</v>
      </c>
      <c r="E341" s="7">
        <f>ABS(0.0249999999999999-0.0243055555555549)</f>
        <v>6.9444444444500056E-4</v>
      </c>
      <c r="F341" s="1" t="s">
        <v>10</v>
      </c>
      <c r="G341" s="7"/>
    </row>
    <row r="342" spans="1:7" x14ac:dyDescent="0.25">
      <c r="A342" s="11">
        <v>42217</v>
      </c>
      <c r="B342" s="7">
        <v>0.79791666666666661</v>
      </c>
      <c r="C342" s="7">
        <v>0.8222222222222223</v>
      </c>
      <c r="D342" s="7">
        <f>(0.822222222222222-0.797916666666667)</f>
        <v>2.4305555555554914E-2</v>
      </c>
      <c r="E342" s="7">
        <f>ABS(0.0243055555555549-0.0256944444444444)</f>
        <v>1.3888888888895015E-3</v>
      </c>
      <c r="F342" s="1" t="s">
        <v>10</v>
      </c>
      <c r="G342" s="7"/>
    </row>
    <row r="343" spans="1:7" x14ac:dyDescent="0.25">
      <c r="A343" s="11">
        <v>42217</v>
      </c>
      <c r="B343" s="7">
        <v>6.805555555555555E-2</v>
      </c>
      <c r="C343" s="7">
        <v>9.375E-2</v>
      </c>
      <c r="D343" s="7">
        <f>(0.09375-0.0680555555555556)</f>
        <v>2.5694444444444395E-2</v>
      </c>
      <c r="E343" s="7">
        <f>ABS(0.0256944444444444-0.0243055555555555)</f>
        <v>1.3888888888889013E-3</v>
      </c>
      <c r="F343" s="1" t="s">
        <v>10</v>
      </c>
      <c r="G343" s="7"/>
    </row>
    <row r="344" spans="1:7" x14ac:dyDescent="0.25">
      <c r="A344" s="11">
        <v>42217</v>
      </c>
      <c r="B344" s="7">
        <v>6.6666666666666666E-2</v>
      </c>
      <c r="C344" s="7">
        <v>9.0972222222222218E-2</v>
      </c>
      <c r="D344" s="7">
        <f>(0.0909722222222222-0.0666666666666667)</f>
        <v>2.4305555555555511E-2</v>
      </c>
      <c r="E344" s="7">
        <f>ABS(0.0243055555555555-0.022222222222223)</f>
        <v>2.0833333333325002E-3</v>
      </c>
      <c r="F344" s="1" t="s">
        <v>10</v>
      </c>
      <c r="G344" s="7"/>
    </row>
    <row r="345" spans="1:7" x14ac:dyDescent="0.25">
      <c r="A345" s="11">
        <v>42217</v>
      </c>
      <c r="B345" s="7">
        <v>0.39444444444444443</v>
      </c>
      <c r="C345" s="7">
        <v>0.41666666666666669</v>
      </c>
      <c r="D345" s="7">
        <f>(0.416666666666667-0.394444444444444)</f>
        <v>2.2222222222223031E-2</v>
      </c>
      <c r="E345" s="7">
        <f>ABS(0.022222222222223-0.025694444444445)</f>
        <v>3.4722222222219983E-3</v>
      </c>
      <c r="F345" s="1" t="s">
        <v>10</v>
      </c>
      <c r="G345" s="7"/>
    </row>
    <row r="346" spans="1:7" x14ac:dyDescent="0.25">
      <c r="A346" s="11">
        <v>42217</v>
      </c>
      <c r="B346" s="7">
        <v>0.4145833333333333</v>
      </c>
      <c r="C346" s="7">
        <v>0.44027777777777777</v>
      </c>
      <c r="D346" s="7">
        <f>(0.440277777777778-0.414583333333333)</f>
        <v>2.5694444444444964E-2</v>
      </c>
      <c r="E346" s="7">
        <f>ABS(0.025694444444445-0.017361111111111)</f>
        <v>8.3333333333339976E-3</v>
      </c>
      <c r="F346" s="1" t="s">
        <v>10</v>
      </c>
      <c r="G346" s="7"/>
    </row>
    <row r="347" spans="1:7" x14ac:dyDescent="0.25">
      <c r="A347" s="11">
        <v>42217</v>
      </c>
      <c r="B347" s="7">
        <v>0.71875</v>
      </c>
      <c r="C347" s="7">
        <v>0.73611111111111116</v>
      </c>
      <c r="D347" s="7">
        <f>(0.736111111111111-0.71875)</f>
        <v>1.7361111111111049E-2</v>
      </c>
      <c r="E347" s="7">
        <f>ABS(0.017361111111111-0.036111111111111)</f>
        <v>1.8749999999999996E-2</v>
      </c>
      <c r="F347" s="1" t="s">
        <v>10</v>
      </c>
      <c r="G347" s="7"/>
    </row>
    <row r="348" spans="1:7" x14ac:dyDescent="0.25">
      <c r="A348" s="11">
        <v>42217</v>
      </c>
      <c r="B348" s="7">
        <v>0.95694444444444438</v>
      </c>
      <c r="C348" s="7">
        <v>0.99305555555555547</v>
      </c>
      <c r="D348" s="7">
        <f>(0.993055555555555-0.956944444444444)</f>
        <v>3.6111111111110983E-2</v>
      </c>
      <c r="E348" s="7">
        <f>ABS(0.036111111111111-0.01875)</f>
        <v>1.7361111111110997E-2</v>
      </c>
      <c r="F348" s="1" t="s">
        <v>10</v>
      </c>
      <c r="G348" s="7"/>
    </row>
    <row r="349" spans="1:7" x14ac:dyDescent="0.25">
      <c r="A349" s="11">
        <v>42217</v>
      </c>
      <c r="B349" s="7">
        <v>0.31388888888888888</v>
      </c>
      <c r="C349" s="7">
        <v>0.33263888888888887</v>
      </c>
      <c r="D349" s="7">
        <f>(0.332638888888889-0.313888888888889)</f>
        <v>1.8749999999999989E-2</v>
      </c>
      <c r="E349" s="7">
        <f>ABS(0.01875-0.015277777777778)</f>
        <v>3.472222222222E-3</v>
      </c>
      <c r="F349" s="1" t="s">
        <v>10</v>
      </c>
      <c r="G349" s="7"/>
    </row>
    <row r="350" spans="1:7" x14ac:dyDescent="0.25">
      <c r="A350" s="11">
        <v>42217</v>
      </c>
      <c r="B350" s="7">
        <v>0.34097222222222223</v>
      </c>
      <c r="C350" s="7">
        <v>0.35625000000000001</v>
      </c>
      <c r="D350" s="7">
        <f>(0.35625-0.340972222222222)</f>
        <v>1.5277777777778001E-2</v>
      </c>
      <c r="E350" s="7">
        <f>ABS(0.015277777777778-0.013888888888889)</f>
        <v>1.3888888888890002E-3</v>
      </c>
      <c r="F350" s="1" t="s">
        <v>10</v>
      </c>
      <c r="G350" s="7"/>
    </row>
    <row r="351" spans="1:7" x14ac:dyDescent="0.25">
      <c r="A351" s="11">
        <v>42217</v>
      </c>
      <c r="B351" s="7">
        <v>0.35138888888888892</v>
      </c>
      <c r="C351" s="7">
        <v>0.36527777777777781</v>
      </c>
      <c r="D351" s="7">
        <f>(0.365277777777778-0.351388888888889)</f>
        <v>1.3888888888889006E-2</v>
      </c>
      <c r="E351" s="7">
        <f>ABS(0.013888888888889-0.00972222222222197)</f>
        <v>4.1666666666670283E-3</v>
      </c>
      <c r="F351" s="1" t="s">
        <v>10</v>
      </c>
      <c r="G351" s="7"/>
    </row>
    <row r="352" spans="1:7" x14ac:dyDescent="0.25">
      <c r="A352" s="11">
        <v>42217</v>
      </c>
      <c r="B352" s="7">
        <v>0.59375</v>
      </c>
      <c r="C352" s="7">
        <v>0.60347222222222219</v>
      </c>
      <c r="D352" s="7">
        <f>(0.603472222222222-0.59375)</f>
        <v>9.7222222222219656E-3</v>
      </c>
      <c r="E352" s="7">
        <f>ABS(0.00972222222222197-0.023611111111111)</f>
        <v>1.3888888888889029E-2</v>
      </c>
      <c r="F352" s="1" t="s">
        <v>10</v>
      </c>
      <c r="G352" s="7"/>
    </row>
    <row r="353" spans="1:7" x14ac:dyDescent="0.25">
      <c r="A353" s="11">
        <v>42217</v>
      </c>
      <c r="B353" s="7">
        <v>0.71875</v>
      </c>
      <c r="C353" s="7">
        <v>0.74236111111111114</v>
      </c>
      <c r="D353" s="7">
        <f>(0.742361111111111-0.71875)</f>
        <v>2.3611111111111027E-2</v>
      </c>
      <c r="E353" s="7">
        <f>ABS(0.023611111111111-0.017361111111111)</f>
        <v>6.2499999999999986E-3</v>
      </c>
      <c r="F353" s="1" t="s">
        <v>10</v>
      </c>
      <c r="G353" s="7"/>
    </row>
    <row r="354" spans="1:7" x14ac:dyDescent="0.25">
      <c r="A354" s="11">
        <v>42217</v>
      </c>
      <c r="B354" s="7">
        <v>0.25833333333333336</v>
      </c>
      <c r="C354" s="7">
        <v>0.27569444444444446</v>
      </c>
      <c r="D354" s="7">
        <f>(0.275694444444444-0.258333333333333)</f>
        <v>1.7361111111110994E-2</v>
      </c>
      <c r="E354" s="7">
        <f>ABS(0.017361111111111-0.025694444444445)</f>
        <v>8.3333333333339976E-3</v>
      </c>
      <c r="F354" s="1" t="s">
        <v>10</v>
      </c>
      <c r="G354" s="7"/>
    </row>
    <row r="355" spans="1:7" x14ac:dyDescent="0.25">
      <c r="A355" s="11">
        <v>42217</v>
      </c>
      <c r="B355" s="7">
        <v>0.83819444444444446</v>
      </c>
      <c r="C355" s="7">
        <v>0.86388888888888893</v>
      </c>
      <c r="D355" s="7">
        <f>(0.863888888888889-0.838194444444444)</f>
        <v>2.5694444444445019E-2</v>
      </c>
      <c r="E355" s="7">
        <f>ABS(0.025694444444445-0.00972222222222197)</f>
        <v>1.5972222222223026E-2</v>
      </c>
      <c r="F355" s="1" t="s">
        <v>10</v>
      </c>
      <c r="G355" s="7"/>
    </row>
    <row r="356" spans="1:7" x14ac:dyDescent="0.25">
      <c r="A356" s="11">
        <v>42217</v>
      </c>
      <c r="B356" s="7">
        <v>0.89166666666666661</v>
      </c>
      <c r="C356" s="7">
        <v>0.90138888888888891</v>
      </c>
      <c r="D356" s="7">
        <f>(0.901388888888889-0.891666666666667)</f>
        <v>9.7222222222219656E-3</v>
      </c>
      <c r="E356" s="7">
        <f>ABS(0.00972222222222197-0.030555555555556)</f>
        <v>2.083333333333403E-2</v>
      </c>
      <c r="F356" s="1" t="s">
        <v>10</v>
      </c>
      <c r="G356" s="7"/>
    </row>
    <row r="357" spans="1:7" x14ac:dyDescent="0.25">
      <c r="A357" s="11">
        <v>42217</v>
      </c>
      <c r="B357" s="7">
        <v>0.95486111111111116</v>
      </c>
      <c r="C357" s="7">
        <v>0.98541666666666661</v>
      </c>
      <c r="D357" s="7">
        <f>(0.985416666666667-0.954861111111111)</f>
        <v>3.0555555555556002E-2</v>
      </c>
      <c r="E357" s="7">
        <f>ABS(0.030555555555556-0.0159722222222221)</f>
        <v>1.4583333333333899E-2</v>
      </c>
      <c r="F357" s="1" t="s">
        <v>10</v>
      </c>
      <c r="G357" s="7"/>
    </row>
    <row r="358" spans="1:7" x14ac:dyDescent="0.25">
      <c r="A358" s="11">
        <v>42217</v>
      </c>
      <c r="B358" s="7">
        <v>0.60555555555555551</v>
      </c>
      <c r="C358" s="7">
        <v>0.62152777777777779</v>
      </c>
      <c r="D358" s="7">
        <f>(0.621527777777778-0.605555555555556)</f>
        <v>1.5972222222222054E-2</v>
      </c>
      <c r="E358" s="7">
        <f>ABS(0.0159722222222221-0.0166666666666661)</f>
        <v>6.9444444444400136E-4</v>
      </c>
      <c r="F358" s="1" t="s">
        <v>10</v>
      </c>
      <c r="G358" s="7"/>
    </row>
    <row r="359" spans="1:7" x14ac:dyDescent="0.25">
      <c r="A359" s="11">
        <v>42217</v>
      </c>
      <c r="B359" s="7">
        <v>0.73055555555555562</v>
      </c>
      <c r="C359" s="7">
        <v>0.74722222222222223</v>
      </c>
      <c r="D359" s="7">
        <f>(0.747222222222222-0.730555555555556)</f>
        <v>1.6666666666666052E-2</v>
      </c>
      <c r="E359" s="7">
        <f>ABS(0.0166666666666661-0.0152777777777771)</f>
        <v>1.3888888888890002E-3</v>
      </c>
      <c r="F359" s="1" t="s">
        <v>10</v>
      </c>
      <c r="G359" s="7"/>
    </row>
    <row r="360" spans="1:7" x14ac:dyDescent="0.25">
      <c r="A360" s="11">
        <v>42217</v>
      </c>
      <c r="B360" s="7">
        <v>0.78819444444444453</v>
      </c>
      <c r="C360" s="7">
        <v>0.80347222222222225</v>
      </c>
      <c r="D360" s="7">
        <f>(0.803472222222222-0.788194444444445)</f>
        <v>1.5277777777777057E-2</v>
      </c>
      <c r="E360" s="7">
        <f>ABS(0.0152777777777771-0.0152777777777779)</f>
        <v>7.9970752242530807E-16</v>
      </c>
      <c r="F360" s="1" t="s">
        <v>10</v>
      </c>
      <c r="G360" s="7"/>
    </row>
    <row r="361" spans="1:7" x14ac:dyDescent="0.25">
      <c r="A361" s="11">
        <v>42217</v>
      </c>
      <c r="B361" s="7">
        <v>0.92361111111111116</v>
      </c>
      <c r="C361" s="7">
        <v>0.93888888888888899</v>
      </c>
      <c r="D361" s="7">
        <f>(0.938888888888889-0.923611111111111)</f>
        <v>1.5277777777777946E-2</v>
      </c>
      <c r="E361" s="7">
        <f>ABS(0.0152777777777779-0.0145833333333301)</f>
        <v>6.944444444478004E-4</v>
      </c>
      <c r="F361" s="1" t="s">
        <v>10</v>
      </c>
      <c r="G361" s="7"/>
    </row>
    <row r="362" spans="1:7" x14ac:dyDescent="0.25">
      <c r="A362" s="11">
        <v>42217</v>
      </c>
      <c r="B362" s="7">
        <v>0.98749999999999993</v>
      </c>
      <c r="C362" s="7">
        <v>1.0020833333333334</v>
      </c>
      <c r="D362" s="7">
        <f>(1.00208333333333-0.9875)</f>
        <v>1.4583333333330062E-2</v>
      </c>
      <c r="E362" s="7">
        <f>ABS(0.0145833333333301-0.0145833333333401)</f>
        <v>1.0000680839006293E-14</v>
      </c>
      <c r="F362" s="1" t="s">
        <v>10</v>
      </c>
      <c r="G362" s="7"/>
    </row>
    <row r="363" spans="1:7" x14ac:dyDescent="0.25">
      <c r="A363" s="11">
        <v>42217</v>
      </c>
      <c r="B363" s="7">
        <v>1.0194444444444444</v>
      </c>
      <c r="C363" s="7">
        <v>1.0340277777777778</v>
      </c>
      <c r="D363" s="7">
        <f>(1.03402777777778-1.01944444444444)</f>
        <v>1.4583333333340054E-2</v>
      </c>
      <c r="E363" s="7">
        <f>ABS(0.0145833333333401-0.018055555555556)</f>
        <v>3.4722222222159007E-3</v>
      </c>
      <c r="F363" s="1" t="s">
        <v>10</v>
      </c>
      <c r="G363" s="7"/>
    </row>
    <row r="364" spans="1:7" x14ac:dyDescent="0.25">
      <c r="A364" s="11">
        <v>42217</v>
      </c>
      <c r="B364" s="7">
        <v>0.26111111111111113</v>
      </c>
      <c r="C364" s="7">
        <v>0.27916666666666667</v>
      </c>
      <c r="D364" s="7">
        <f>(0.279166666666667-0.261111111111111)</f>
        <v>1.8055555555555991E-2</v>
      </c>
      <c r="E364" s="7">
        <f>ABS(0.018055555555556-0.01875)</f>
        <v>6.9444444444399789E-4</v>
      </c>
      <c r="F364" s="1" t="s">
        <v>10</v>
      </c>
      <c r="G364" s="7"/>
    </row>
    <row r="365" spans="1:7" x14ac:dyDescent="0.25">
      <c r="A365" s="11">
        <v>42217</v>
      </c>
      <c r="B365" s="7">
        <v>0.26041666666666669</v>
      </c>
      <c r="C365" s="7">
        <v>0.27916666666666667</v>
      </c>
      <c r="D365" s="7">
        <f>(0.279166666666667-0.260416666666667)</f>
        <v>1.8749999999999989E-2</v>
      </c>
      <c r="E365" s="7">
        <f>ABS(0.01875-0.0173611111111119)</f>
        <v>1.3888888888880999E-3</v>
      </c>
      <c r="F365" s="1" t="s">
        <v>10</v>
      </c>
      <c r="G365" s="7"/>
    </row>
    <row r="366" spans="1:7" x14ac:dyDescent="0.25">
      <c r="A366" s="11">
        <v>42217</v>
      </c>
      <c r="B366" s="7">
        <v>0.61944444444444446</v>
      </c>
      <c r="C366" s="7">
        <v>0.63680555555555551</v>
      </c>
      <c r="D366" s="7">
        <f>(0.636805555555556-0.619444444444444)</f>
        <v>1.7361111111111938E-2</v>
      </c>
      <c r="E366" s="7">
        <f>ABS(0.0173611111111119-0.0111111111111111)</f>
        <v>6.2500000000008001E-3</v>
      </c>
      <c r="F366" s="1" t="s">
        <v>10</v>
      </c>
      <c r="G366" s="7"/>
    </row>
    <row r="367" spans="1:7" x14ac:dyDescent="0.25">
      <c r="A367" s="11">
        <v>42217</v>
      </c>
      <c r="B367" s="7">
        <v>0.85069444444444453</v>
      </c>
      <c r="C367" s="7">
        <v>0.8618055555555556</v>
      </c>
      <c r="D367" s="7">
        <f>(0.861805555555556-0.850694444444445)</f>
        <v>1.1111111111111072E-2</v>
      </c>
      <c r="E367" s="7">
        <f>ABS(0.0111111111111111-0.0152777777777781)</f>
        <v>4.1666666666670005E-3</v>
      </c>
      <c r="F367" s="1" t="s">
        <v>10</v>
      </c>
      <c r="G367" s="7"/>
    </row>
    <row r="368" spans="1:7" x14ac:dyDescent="0.25">
      <c r="A368" s="11">
        <v>42217</v>
      </c>
      <c r="B368" s="7">
        <v>0.91249999999999998</v>
      </c>
      <c r="C368" s="7">
        <v>0.9277777777777777</v>
      </c>
      <c r="D368" s="7">
        <f>(0.927777777777778-0.9125)</f>
        <v>1.5277777777778057E-2</v>
      </c>
      <c r="E368" s="7">
        <f>ABS(0.0152777777777781-0.0145833333333341)</f>
        <v>6.9444444444399962E-4</v>
      </c>
      <c r="F368" s="1" t="s">
        <v>10</v>
      </c>
      <c r="G368" s="7"/>
    </row>
    <row r="369" spans="1:7" x14ac:dyDescent="0.25">
      <c r="A369" s="11">
        <v>42217</v>
      </c>
      <c r="B369" s="7">
        <v>0.9770833333333333</v>
      </c>
      <c r="C369" s="7">
        <v>0.9916666666666667</v>
      </c>
      <c r="D369" s="7">
        <f>(0.991666666666667-0.977083333333333)</f>
        <v>1.4583333333334059E-2</v>
      </c>
      <c r="E369" s="7">
        <f>ABS(0.0145833333333341-0.0145833333333333)</f>
        <v>7.9970752242530807E-16</v>
      </c>
      <c r="F369" s="1" t="s">
        <v>10</v>
      </c>
      <c r="G369" s="7"/>
    </row>
    <row r="370" spans="1:7" x14ac:dyDescent="0.25">
      <c r="A370" s="11">
        <v>42217</v>
      </c>
      <c r="B370" s="7">
        <v>4.8611111111111112E-2</v>
      </c>
      <c r="C370" s="7">
        <v>6.3194444444444442E-2</v>
      </c>
      <c r="D370" s="7">
        <f>(0.0631944444444444-0.0486111111111111)</f>
        <v>1.4583333333333302E-2</v>
      </c>
      <c r="E370" s="7">
        <f>ABS(0.0145833333333333-0.0118055555555551)</f>
        <v>2.7777777777781999E-3</v>
      </c>
      <c r="F370" s="1" t="s">
        <v>10</v>
      </c>
      <c r="G370" s="7"/>
    </row>
    <row r="371" spans="1:7" x14ac:dyDescent="0.25">
      <c r="A371" s="11">
        <v>42217</v>
      </c>
      <c r="B371" s="7">
        <v>0.60277777777777775</v>
      </c>
      <c r="C371" s="7">
        <v>0.61458333333333337</v>
      </c>
      <c r="D371" s="7">
        <f>(0.614583333333333-0.602777777777778)</f>
        <v>1.180555555555507E-2</v>
      </c>
      <c r="E371" s="7">
        <f>ABS(0.0118055555555551-0.026388888888889)</f>
        <v>1.4583333333333899E-2</v>
      </c>
      <c r="F371" s="1" t="s">
        <v>10</v>
      </c>
      <c r="G371" s="7"/>
    </row>
    <row r="372" spans="1:7" x14ac:dyDescent="0.25">
      <c r="A372" s="11">
        <v>42217</v>
      </c>
      <c r="B372" s="7">
        <v>0.68263888888888891</v>
      </c>
      <c r="C372" s="7">
        <v>0.7090277777777777</v>
      </c>
      <c r="D372" s="7">
        <f>(0.709027777777778-0.682638888888889)</f>
        <v>2.6388888888889017E-2</v>
      </c>
      <c r="E372" s="7">
        <f>ABS(0.026388888888889-0.0180555555555549)</f>
        <v>8.3333333333340982E-3</v>
      </c>
      <c r="F372" s="1" t="s">
        <v>10</v>
      </c>
      <c r="G372" s="7"/>
    </row>
    <row r="373" spans="1:7" x14ac:dyDescent="0.25">
      <c r="A373" s="11">
        <v>42217</v>
      </c>
      <c r="B373" s="7">
        <v>0.93402777777777779</v>
      </c>
      <c r="C373" s="7">
        <v>0.95208333333333339</v>
      </c>
      <c r="D373" s="7">
        <f>(0.952083333333333-0.934027777777778)</f>
        <v>1.8055555555554936E-2</v>
      </c>
      <c r="E373" s="7">
        <f>ABS(0.0180555555555549-0.0180555555555579)</f>
        <v>2.9976021664879227E-15</v>
      </c>
      <c r="F373" s="1" t="s">
        <v>10</v>
      </c>
      <c r="G373" s="7"/>
    </row>
    <row r="374" spans="1:7" x14ac:dyDescent="0.25">
      <c r="A374" s="11">
        <v>42217</v>
      </c>
      <c r="B374" s="7">
        <v>0.98472222222222217</v>
      </c>
      <c r="C374" s="7">
        <v>1.0027777777777778</v>
      </c>
      <c r="D374" s="7">
        <f>(1.00277777777778-0.984722222222222)</f>
        <v>1.8055555555557934E-2</v>
      </c>
      <c r="E374" s="7">
        <f>ABS(0.0180555555555579-0.0340277777777777)</f>
        <v>1.5972222222219799E-2</v>
      </c>
      <c r="F374" s="1" t="s">
        <v>10</v>
      </c>
      <c r="G374" s="7"/>
    </row>
    <row r="375" spans="1:7" x14ac:dyDescent="0.25">
      <c r="A375" s="11">
        <v>42217</v>
      </c>
      <c r="B375" s="7">
        <v>3.6805555555555557E-2</v>
      </c>
      <c r="C375" s="7">
        <v>7.0833333333333331E-2</v>
      </c>
      <c r="D375" s="7">
        <f>(0.0708333333333333-0.0368055555555556)</f>
        <v>3.4027777777777705E-2</v>
      </c>
      <c r="E375" s="7">
        <f>ABS(0.0340277777777777-0.00555555555555498)</f>
        <v>2.8472222222222718E-2</v>
      </c>
      <c r="F375" s="1" t="s">
        <v>10</v>
      </c>
      <c r="G375" s="7"/>
    </row>
    <row r="376" spans="1:7" x14ac:dyDescent="0.25">
      <c r="A376" s="11">
        <v>42217</v>
      </c>
      <c r="B376" s="7">
        <v>0.3444444444444445</v>
      </c>
      <c r="C376" s="7">
        <v>0.35000000000000003</v>
      </c>
      <c r="D376" s="7">
        <f>(0.35-0.344444444444445)</f>
        <v>5.5555555555549807E-3</v>
      </c>
      <c r="E376" s="7">
        <f>ABS(0.00555555555555498-0.017361111111111)</f>
        <v>1.180555555555602E-2</v>
      </c>
      <c r="F376" s="1" t="s">
        <v>10</v>
      </c>
      <c r="G376" s="7"/>
    </row>
    <row r="377" spans="1:7" x14ac:dyDescent="0.25">
      <c r="A377" s="11">
        <v>42217</v>
      </c>
      <c r="B377" s="7">
        <v>0.44236111111111115</v>
      </c>
      <c r="C377" s="7">
        <v>0.4597222222222222</v>
      </c>
      <c r="D377" s="7">
        <f>(0.459722222222222-0.442361111111111)</f>
        <v>1.7361111111110994E-2</v>
      </c>
      <c r="E377" s="7">
        <f>ABS(0.017361111111111-0.020833333333333)</f>
        <v>3.4722222222219983E-3</v>
      </c>
      <c r="F377" s="1" t="s">
        <v>10</v>
      </c>
      <c r="G377" s="7"/>
    </row>
    <row r="378" spans="1:7" x14ac:dyDescent="0.25">
      <c r="A378" s="11">
        <v>42217</v>
      </c>
      <c r="B378" s="7">
        <v>0.48055555555555557</v>
      </c>
      <c r="C378" s="7">
        <v>0.50138888888888888</v>
      </c>
      <c r="D378" s="7">
        <f>(0.501388888888889-0.480555555555556)</f>
        <v>2.0833333333332982E-2</v>
      </c>
      <c r="E378" s="7">
        <f>ABS(0.020833333333333-0.0208333333333329)</f>
        <v>1.0061396160665481E-16</v>
      </c>
      <c r="F378" s="1" t="s">
        <v>10</v>
      </c>
      <c r="G378" s="7"/>
    </row>
    <row r="379" spans="1:7" x14ac:dyDescent="0.25">
      <c r="A379" s="11">
        <v>42217</v>
      </c>
      <c r="B379" s="7">
        <v>0.49236111111111108</v>
      </c>
      <c r="C379" s="7">
        <v>0.5131944444444444</v>
      </c>
      <c r="D379" s="7">
        <f>(0.513194444444444-0.492361111111111)</f>
        <v>2.0833333333332926E-2</v>
      </c>
      <c r="E379" s="7">
        <f>ABS(0.0208333333333329-0.0236111111111109)</f>
        <v>2.7777777777780004E-3</v>
      </c>
      <c r="F379" s="1" t="s">
        <v>10</v>
      </c>
      <c r="G379" s="7"/>
    </row>
    <row r="380" spans="1:7" x14ac:dyDescent="0.25">
      <c r="A380" s="11">
        <v>42217</v>
      </c>
      <c r="B380" s="7">
        <v>0.89583333333333337</v>
      </c>
      <c r="C380" s="7">
        <v>0.9194444444444444</v>
      </c>
      <c r="D380" s="7">
        <f>(0.919444444444444-0.895833333333333)</f>
        <v>2.3611111111110916E-2</v>
      </c>
      <c r="E380" s="7">
        <f>ABS(0.0236111111111109-0.01875)</f>
        <v>4.8611111111108996E-3</v>
      </c>
      <c r="F380" s="1" t="s">
        <v>10</v>
      </c>
      <c r="G380" s="7"/>
    </row>
    <row r="381" spans="1:7" x14ac:dyDescent="0.25">
      <c r="A381" s="11">
        <v>42217</v>
      </c>
      <c r="B381" s="7">
        <v>0.77986111111111101</v>
      </c>
      <c r="C381" s="7">
        <v>0.79861111111111116</v>
      </c>
      <c r="D381" s="7">
        <f>(0.798611111111111-0.779861111111111)</f>
        <v>1.8750000000000044E-2</v>
      </c>
      <c r="E381" s="7">
        <f>ABS(0.01875-0.011805555555556)</f>
        <v>6.944444444444E-3</v>
      </c>
      <c r="F381" s="1" t="s">
        <v>10</v>
      </c>
      <c r="G381" s="7"/>
    </row>
    <row r="382" spans="1:7" x14ac:dyDescent="0.25">
      <c r="A382" s="11">
        <v>42217</v>
      </c>
      <c r="B382" s="7">
        <v>0.79999999999999993</v>
      </c>
      <c r="C382" s="7">
        <v>0.81180555555555556</v>
      </c>
      <c r="D382" s="7">
        <f>(0.811805555555556-0.8)</f>
        <v>1.1805555555555958E-2</v>
      </c>
      <c r="E382" s="7">
        <f>ABS(0.011805555555556-0.018055555555555)</f>
        <v>6.2499999999989994E-3</v>
      </c>
      <c r="F382" s="1" t="s">
        <v>10</v>
      </c>
      <c r="G382" s="7"/>
    </row>
    <row r="383" spans="1:7" x14ac:dyDescent="0.25">
      <c r="A383" s="11">
        <v>42217</v>
      </c>
      <c r="B383" s="7">
        <v>0.82638888888888884</v>
      </c>
      <c r="C383" s="7">
        <v>0.84444444444444444</v>
      </c>
      <c r="D383" s="7">
        <f>(0.844444444444444-0.826388888888889)</f>
        <v>1.8055555555555047E-2</v>
      </c>
      <c r="E383" s="7">
        <f>ABS(0.018055555555555-0.020833333333333)</f>
        <v>2.7777777777780004E-3</v>
      </c>
      <c r="F383" s="1" t="s">
        <v>10</v>
      </c>
      <c r="G383" s="7"/>
    </row>
    <row r="384" spans="1:7" x14ac:dyDescent="0.25">
      <c r="A384" s="11">
        <v>42217</v>
      </c>
      <c r="B384" s="7">
        <v>0.84652777777777777</v>
      </c>
      <c r="C384" s="7">
        <v>0.86736111111111114</v>
      </c>
      <c r="D384" s="7">
        <f>(0.867361111111111-0.846527777777778)</f>
        <v>2.0833333333333037E-2</v>
      </c>
      <c r="E384" s="7">
        <f>ABS(0.020833333333333-0.0159722222222221)</f>
        <v>4.8611111111108996E-3</v>
      </c>
      <c r="F384" s="1" t="s">
        <v>10</v>
      </c>
      <c r="G384" s="7"/>
    </row>
    <row r="385" spans="1:7" x14ac:dyDescent="0.25">
      <c r="A385" s="11">
        <v>42217</v>
      </c>
      <c r="B385" s="7">
        <v>0.91111111111111109</v>
      </c>
      <c r="C385" s="7">
        <v>0.92708333333333337</v>
      </c>
      <c r="D385" s="7">
        <f>(0.927083333333333-0.911111111111111)</f>
        <v>1.5972222222222054E-2</v>
      </c>
      <c r="E385" s="7">
        <f>ABS(0.0159722222222221-0.0159722222222223)</f>
        <v>2.0122792321330962E-16</v>
      </c>
      <c r="F385" s="1" t="s">
        <v>10</v>
      </c>
      <c r="G385" s="7"/>
    </row>
    <row r="386" spans="1:7" x14ac:dyDescent="0.25">
      <c r="A386" s="11">
        <v>42217</v>
      </c>
      <c r="B386" s="7">
        <v>4.5833333333333337E-2</v>
      </c>
      <c r="C386" s="7">
        <v>6.1805555555555558E-2</v>
      </c>
      <c r="D386" s="7">
        <f>(0.0618055555555556-0.0458333333333333)</f>
        <v>1.5972222222222297E-2</v>
      </c>
      <c r="E386" s="7">
        <f>ABS(0.0159722222222223-0.018055555555555)</f>
        <v>2.083333333332698E-3</v>
      </c>
      <c r="F386" s="1" t="s">
        <v>10</v>
      </c>
      <c r="G386" s="7"/>
    </row>
    <row r="387" spans="1:7" x14ac:dyDescent="0.25">
      <c r="A387" s="11">
        <v>42217</v>
      </c>
      <c r="B387" s="7">
        <v>0.41666666666666669</v>
      </c>
      <c r="C387" s="7">
        <v>0.43472222222222223</v>
      </c>
      <c r="D387" s="7">
        <f>(0.434722222222222-0.416666666666667)</f>
        <v>1.8055555555554992E-2</v>
      </c>
      <c r="E387" s="7">
        <f>ABS(0.018055555555555-0.0152777777777779)</f>
        <v>2.7777777777770983E-3</v>
      </c>
      <c r="F387" s="1" t="s">
        <v>10</v>
      </c>
      <c r="G387" s="7"/>
    </row>
    <row r="388" spans="1:7" x14ac:dyDescent="0.25">
      <c r="A388" s="11">
        <v>42217</v>
      </c>
      <c r="B388" s="7">
        <v>0.61527777777777781</v>
      </c>
      <c r="C388" s="7">
        <v>0.63055555555555554</v>
      </c>
      <c r="D388" s="7">
        <f>(0.630555555555556-0.615277777777778)</f>
        <v>1.5277777777777946E-2</v>
      </c>
      <c r="E388" s="7">
        <f>ABS(0.0152777777777779-0.01875)</f>
        <v>3.4722222222220989E-3</v>
      </c>
      <c r="F388" s="1" t="s">
        <v>10</v>
      </c>
      <c r="G388" s="7"/>
    </row>
    <row r="389" spans="1:7" x14ac:dyDescent="0.25">
      <c r="A389" s="11">
        <v>42217</v>
      </c>
      <c r="B389" s="7">
        <v>0.65972222222222221</v>
      </c>
      <c r="C389" s="7">
        <v>0.67847222222222225</v>
      </c>
      <c r="D389" s="7">
        <f>(0.678472222222222-0.659722222222222)</f>
        <v>1.8750000000000044E-2</v>
      </c>
      <c r="E389" s="7">
        <f>ABS(0.01875-0.0229166666666659)</f>
        <v>4.166666666665899E-3</v>
      </c>
      <c r="F389" s="1" t="s">
        <v>10</v>
      </c>
      <c r="G389" s="7"/>
    </row>
    <row r="390" spans="1:7" x14ac:dyDescent="0.25">
      <c r="A390" s="11">
        <v>42217</v>
      </c>
      <c r="B390" s="7">
        <v>0.7104166666666667</v>
      </c>
      <c r="C390" s="7">
        <v>0.73333333333333339</v>
      </c>
      <c r="D390" s="7">
        <f>(0.733333333333333-0.710416666666667)</f>
        <v>2.2916666666665919E-2</v>
      </c>
      <c r="E390" s="7">
        <f>ABS(0.0229166666666659-0.020833333333333)</f>
        <v>2.0833333333328992E-3</v>
      </c>
      <c r="F390" s="1" t="s">
        <v>10</v>
      </c>
      <c r="G390" s="7"/>
    </row>
    <row r="391" spans="1:7" x14ac:dyDescent="0.25">
      <c r="A391" s="11">
        <v>42217</v>
      </c>
      <c r="B391" s="7">
        <v>0.71388888888888891</v>
      </c>
      <c r="C391" s="7">
        <v>0.73472222222222217</v>
      </c>
      <c r="D391" s="7">
        <f>(0.734722222222222-0.713888888888889)</f>
        <v>2.0833333333333037E-2</v>
      </c>
      <c r="E391" s="7">
        <f>ABS(0.020833333333333-0.0125)</f>
        <v>8.3333333333329984E-3</v>
      </c>
      <c r="F391" s="1" t="s">
        <v>10</v>
      </c>
      <c r="G391" s="7"/>
    </row>
    <row r="392" spans="1:7" x14ac:dyDescent="0.25">
      <c r="A392" s="11">
        <v>42217</v>
      </c>
      <c r="B392" s="7">
        <v>0.81527777777777777</v>
      </c>
      <c r="C392" s="7">
        <v>0.82777777777777783</v>
      </c>
      <c r="D392" s="7">
        <f>(0.827777777777778-0.815277777777778)</f>
        <v>1.2499999999999956E-2</v>
      </c>
      <c r="E392" s="7">
        <f>ABS(0.0125-0.01875)</f>
        <v>6.2499999999999986E-3</v>
      </c>
      <c r="F392" s="1" t="s">
        <v>10</v>
      </c>
      <c r="G392" s="7"/>
    </row>
    <row r="393" spans="1:7" x14ac:dyDescent="0.25">
      <c r="A393" s="11">
        <v>42217</v>
      </c>
      <c r="B393" s="7">
        <v>0.48333333333333334</v>
      </c>
      <c r="C393" s="7">
        <v>0.50208333333333333</v>
      </c>
      <c r="D393" s="7">
        <f>(0.502083333333333-0.483333333333333)</f>
        <v>1.8749999999999989E-2</v>
      </c>
      <c r="E393" s="7">
        <f>ABS(0.01875-0.0083333333333333)</f>
        <v>1.0416666666666699E-2</v>
      </c>
      <c r="F393" s="1" t="s">
        <v>10</v>
      </c>
      <c r="G393" s="7"/>
    </row>
    <row r="394" spans="1:7" x14ac:dyDescent="0.25">
      <c r="A394" s="11">
        <v>42217</v>
      </c>
      <c r="B394" s="7">
        <v>4.8611111111111112E-2</v>
      </c>
      <c r="C394" s="7">
        <v>5.6944444444444443E-2</v>
      </c>
      <c r="D394" s="7">
        <f>(0.0569444444444444-0.0486111111111111)</f>
        <v>8.3333333333333037E-3</v>
      </c>
      <c r="E394" s="7">
        <f>ABS(0.0083333333333333-0.016666666666667)</f>
        <v>8.3333333333336992E-3</v>
      </c>
      <c r="F394" s="1" t="s">
        <v>10</v>
      </c>
      <c r="G394" s="7"/>
    </row>
    <row r="395" spans="1:7" x14ac:dyDescent="0.25">
      <c r="A395" s="11">
        <v>42217</v>
      </c>
      <c r="B395" s="7">
        <v>0.43472222222222223</v>
      </c>
      <c r="C395" s="7">
        <v>0.4513888888888889</v>
      </c>
      <c r="D395" s="7">
        <f>(0.451388888888889-0.434722222222222)</f>
        <v>1.6666666666666996E-2</v>
      </c>
      <c r="E395" s="7">
        <f>ABS(0.016666666666667-0.0194444444444439)</f>
        <v>2.7777777777769005E-3</v>
      </c>
      <c r="F395" s="1" t="s">
        <v>10</v>
      </c>
      <c r="G395" s="7"/>
    </row>
    <row r="396" spans="1:7" x14ac:dyDescent="0.25">
      <c r="A396" s="11">
        <v>42217</v>
      </c>
      <c r="B396" s="7">
        <v>0.58402777777777781</v>
      </c>
      <c r="C396" s="7">
        <v>0.60347222222222219</v>
      </c>
      <c r="D396" s="7">
        <f>(0.603472222222222-0.584027777777778)</f>
        <v>1.9444444444443931E-2</v>
      </c>
      <c r="E396" s="7">
        <f>ABS(0.0194444444444439-0.0166666666666661)</f>
        <v>2.7777777777777991E-3</v>
      </c>
      <c r="F396" s="1" t="s">
        <v>10</v>
      </c>
      <c r="G396" s="7"/>
    </row>
    <row r="397" spans="1:7" x14ac:dyDescent="0.25">
      <c r="A397" s="11">
        <v>42217</v>
      </c>
      <c r="B397" s="7">
        <v>0.65902777777777777</v>
      </c>
      <c r="C397" s="7">
        <v>0.67569444444444438</v>
      </c>
      <c r="D397" s="7">
        <f>(0.675694444444444-0.659027777777778)</f>
        <v>1.6666666666666052E-2</v>
      </c>
      <c r="E397" s="7">
        <f>ABS(0.0166666666666661-0.0173611111111109)</f>
        <v>6.9444444444479933E-4</v>
      </c>
      <c r="F397" s="1" t="s">
        <v>10</v>
      </c>
      <c r="G397" s="7"/>
    </row>
    <row r="398" spans="1:7" x14ac:dyDescent="0.25">
      <c r="A398" s="11">
        <v>42217</v>
      </c>
      <c r="B398" s="7">
        <v>0.77847222222222223</v>
      </c>
      <c r="C398" s="7">
        <v>0.79583333333333339</v>
      </c>
      <c r="D398" s="7">
        <f>(0.795833333333333-0.778472222222222)</f>
        <v>1.7361111111110938E-2</v>
      </c>
      <c r="E398" s="7">
        <f>ABS(0.0173611111111109-0.019444444444445)</f>
        <v>2.0833333333340996E-3</v>
      </c>
      <c r="F398" s="1" t="s">
        <v>10</v>
      </c>
      <c r="G398" s="7"/>
    </row>
    <row r="399" spans="1:7" x14ac:dyDescent="0.25">
      <c r="A399" s="11">
        <v>42217</v>
      </c>
      <c r="B399" s="7">
        <v>0.25694444444444448</v>
      </c>
      <c r="C399" s="7">
        <v>0.27638888888888885</v>
      </c>
      <c r="D399" s="7">
        <f>(0.276388888888889-0.256944444444444)</f>
        <v>1.9444444444445041E-2</v>
      </c>
      <c r="E399" s="7">
        <f>ABS(0.019444444444445-0.020833333333333)</f>
        <v>1.3888888888879992E-3</v>
      </c>
      <c r="F399" s="1" t="s">
        <v>10</v>
      </c>
      <c r="G399" s="7"/>
    </row>
    <row r="400" spans="1:7" x14ac:dyDescent="0.25">
      <c r="A400" s="11">
        <v>42217</v>
      </c>
      <c r="B400" s="7">
        <v>0.36180555555555555</v>
      </c>
      <c r="C400" s="7">
        <v>0.38263888888888892</v>
      </c>
      <c r="D400" s="7">
        <f>(0.382638888888889-0.361805555555556)</f>
        <v>2.0833333333332982E-2</v>
      </c>
      <c r="E400" s="7">
        <f>ABS(0.020833333333333-0.013194444444445)</f>
        <v>7.6388888888879996E-3</v>
      </c>
      <c r="F400" s="1" t="s">
        <v>10</v>
      </c>
      <c r="G400" s="7"/>
    </row>
    <row r="401" spans="1:7" x14ac:dyDescent="0.25">
      <c r="A401" s="11">
        <v>42217</v>
      </c>
      <c r="B401" s="7">
        <v>0.48333333333333334</v>
      </c>
      <c r="C401" s="7">
        <v>0.49652777777777773</v>
      </c>
      <c r="D401" s="7">
        <f>(0.496527777777778-0.483333333333333)</f>
        <v>1.3194444444445008E-2</v>
      </c>
      <c r="E401" s="7">
        <f>ABS(0.013194444444445-0.0215277777777779)</f>
        <v>8.3333333333328995E-3</v>
      </c>
      <c r="F401" s="1" t="s">
        <v>10</v>
      </c>
      <c r="G401" s="7"/>
    </row>
    <row r="402" spans="1:7" x14ac:dyDescent="0.25">
      <c r="A402" s="11">
        <v>42217</v>
      </c>
      <c r="B402" s="7">
        <v>0.49374999999999997</v>
      </c>
      <c r="C402" s="7">
        <v>0.51527777777777783</v>
      </c>
      <c r="D402" s="7">
        <f>(0.515277777777778-0.49375)</f>
        <v>2.1527777777777923E-2</v>
      </c>
      <c r="E402" s="7">
        <f>ABS(0.0215277777777779-0.0416666666666671)</f>
        <v>2.0138888888889202E-2</v>
      </c>
      <c r="F402" s="1" t="s">
        <v>10</v>
      </c>
      <c r="G402" s="7"/>
    </row>
    <row r="403" spans="1:7" x14ac:dyDescent="0.25">
      <c r="A403" s="11">
        <v>42217</v>
      </c>
      <c r="B403" s="7">
        <v>0.54097222222222219</v>
      </c>
      <c r="C403" s="7">
        <v>0.58263888888888882</v>
      </c>
      <c r="D403" s="7">
        <f>(0.582638888888889-0.540972222222222)</f>
        <v>4.1666666666667074E-2</v>
      </c>
      <c r="E403" s="7">
        <f>ABS(0.0416666666666671-0.0152777777777769)</f>
        <v>2.6388888888890204E-2</v>
      </c>
      <c r="F403" s="1" t="s">
        <v>10</v>
      </c>
      <c r="G403" s="7"/>
    </row>
    <row r="404" spans="1:7" x14ac:dyDescent="0.25">
      <c r="A404" s="11">
        <v>42217</v>
      </c>
      <c r="B404" s="7">
        <v>0.9243055555555556</v>
      </c>
      <c r="C404" s="7">
        <v>0.93958333333333333</v>
      </c>
      <c r="D404" s="7">
        <f>(0.939583333333333-0.924305555555556)</f>
        <v>1.5277777777776946E-2</v>
      </c>
      <c r="E404" s="7">
        <f>ABS(0.0152777777777769-0.013888888888888)</f>
        <v>1.3888888888888996E-3</v>
      </c>
      <c r="F404" s="1" t="s">
        <v>10</v>
      </c>
      <c r="G404" s="7"/>
    </row>
    <row r="405" spans="1:7" x14ac:dyDescent="0.25">
      <c r="A405" s="11">
        <v>42217</v>
      </c>
      <c r="B405" s="7">
        <v>0.71805555555555556</v>
      </c>
      <c r="C405" s="7">
        <v>0.7319444444444444</v>
      </c>
      <c r="D405" s="7">
        <f>(0.731944444444444-0.718055555555556)</f>
        <v>1.3888888888887951E-2</v>
      </c>
      <c r="E405" s="7">
        <f>ABS(0.013888888888888-0.020833333333334)</f>
        <v>6.9444444444459984E-3</v>
      </c>
      <c r="F405" s="1" t="s">
        <v>10</v>
      </c>
      <c r="G405" s="7"/>
    </row>
    <row r="406" spans="1:7" x14ac:dyDescent="0.25">
      <c r="A406" s="11">
        <v>42217</v>
      </c>
      <c r="B406" s="7">
        <v>0.90347222222222223</v>
      </c>
      <c r="C406" s="7">
        <v>0.9243055555555556</v>
      </c>
      <c r="D406" s="7">
        <f>(0.924305555555556-0.903472222222222)</f>
        <v>2.0833333333334036E-2</v>
      </c>
      <c r="E406" s="7">
        <f>ABS(0.020833333333334-0.022222222222222)</f>
        <v>1.3888888888880027E-3</v>
      </c>
      <c r="F406" s="1" t="s">
        <v>10</v>
      </c>
      <c r="G406" s="7"/>
    </row>
    <row r="407" spans="1:7" x14ac:dyDescent="0.25">
      <c r="A407" s="11">
        <v>42217</v>
      </c>
      <c r="B407" s="7">
        <v>0.30902777777777779</v>
      </c>
      <c r="C407" s="7">
        <v>0.33124999999999999</v>
      </c>
      <c r="D407" s="7">
        <f>(0.33125-0.309027777777778)</f>
        <v>2.2222222222221977E-2</v>
      </c>
      <c r="E407" s="7">
        <f>ABS(0.022222222222222-0.0201388888888889)</f>
        <v>2.0833333333331004E-3</v>
      </c>
      <c r="F407" s="1" t="s">
        <v>10</v>
      </c>
      <c r="G407" s="7"/>
    </row>
    <row r="408" spans="1:7" x14ac:dyDescent="0.25">
      <c r="A408" s="11">
        <v>42217</v>
      </c>
      <c r="B408" s="7">
        <v>0.58611111111111114</v>
      </c>
      <c r="C408" s="7">
        <v>0.60625000000000007</v>
      </c>
      <c r="D408" s="7">
        <f>(0.60625-0.586111111111111)</f>
        <v>2.0138888888888928E-2</v>
      </c>
      <c r="E408" s="7">
        <f>ABS(0.0201388888888889-0.024305555555556)</f>
        <v>4.1666666666670994E-3</v>
      </c>
      <c r="F408" s="1" t="s">
        <v>10</v>
      </c>
      <c r="G408" s="7"/>
    </row>
    <row r="409" spans="1:7" x14ac:dyDescent="0.25">
      <c r="A409" s="11">
        <v>42217</v>
      </c>
      <c r="B409" s="7">
        <v>0.56944444444444442</v>
      </c>
      <c r="C409" s="7">
        <v>0.59375</v>
      </c>
      <c r="D409" s="7">
        <f>(0.59375-0.569444444444444)</f>
        <v>2.4305555555556024E-2</v>
      </c>
      <c r="E409" s="7">
        <f>ABS(0.024305555555556-0.0159722222222219)</f>
        <v>8.3333333333341017E-3</v>
      </c>
      <c r="F409" s="1" t="s">
        <v>10</v>
      </c>
      <c r="G409" s="7"/>
    </row>
    <row r="410" spans="1:7" x14ac:dyDescent="0.25">
      <c r="A410" s="11">
        <v>42217</v>
      </c>
      <c r="B410" s="7">
        <v>0.65277777777777779</v>
      </c>
      <c r="C410" s="7">
        <v>0.66875000000000007</v>
      </c>
      <c r="D410" s="7">
        <f>(0.66875-0.652777777777778)</f>
        <v>1.5972222222221943E-2</v>
      </c>
      <c r="E410" s="7">
        <f>ABS(0.0159722222222219-0.017361111111111)</f>
        <v>1.3888888888891025E-3</v>
      </c>
      <c r="F410" s="1" t="s">
        <v>10</v>
      </c>
      <c r="G410" s="7"/>
    </row>
    <row r="411" spans="1:7" x14ac:dyDescent="0.25">
      <c r="A411" s="11">
        <v>42217</v>
      </c>
      <c r="B411" s="7">
        <v>0.69861111111111107</v>
      </c>
      <c r="C411" s="7">
        <v>0.71597222222222223</v>
      </c>
      <c r="D411" s="7">
        <f>(0.715972222222222-0.698611111111111)</f>
        <v>1.7361111111111049E-2</v>
      </c>
      <c r="E411" s="7">
        <f>ABS(0.017361111111111-0.0166666666666661)</f>
        <v>6.9444444444489994E-4</v>
      </c>
      <c r="F411" s="1" t="s">
        <v>10</v>
      </c>
      <c r="G411" s="7"/>
    </row>
    <row r="412" spans="1:7" x14ac:dyDescent="0.25">
      <c r="A412" s="11">
        <v>42217</v>
      </c>
      <c r="B412" s="7">
        <v>0.72638888888888886</v>
      </c>
      <c r="C412" s="7">
        <v>0.74305555555555547</v>
      </c>
      <c r="D412" s="7">
        <f>(0.743055555555555-0.726388888888889)</f>
        <v>1.6666666666666052E-2</v>
      </c>
      <c r="E412" s="7">
        <f>ABS(0.0166666666666661-0.024305555555556)</f>
        <v>7.6388888888898991E-3</v>
      </c>
      <c r="F412" s="1" t="s">
        <v>10</v>
      </c>
      <c r="G412" s="7"/>
    </row>
    <row r="413" spans="1:7" x14ac:dyDescent="0.25">
      <c r="A413" s="11">
        <v>42217</v>
      </c>
      <c r="B413" s="7">
        <v>0.46736111111111112</v>
      </c>
      <c r="C413" s="7">
        <v>0.4916666666666667</v>
      </c>
      <c r="D413" s="7">
        <f>(0.491666666666667-0.467361111111111)</f>
        <v>2.4305555555555969E-2</v>
      </c>
      <c r="E413" s="7">
        <f>ABS(0.024305555555556-0.01875)</f>
        <v>5.5555555555560007E-3</v>
      </c>
      <c r="F413" s="1" t="s">
        <v>10</v>
      </c>
      <c r="G413" s="7"/>
    </row>
    <row r="414" spans="1:7" x14ac:dyDescent="0.25">
      <c r="A414" s="11">
        <v>42217</v>
      </c>
      <c r="B414" s="7">
        <v>0.48958333333333331</v>
      </c>
      <c r="C414" s="7">
        <v>0.5083333333333333</v>
      </c>
      <c r="D414" s="7">
        <f>(0.508333333333333-0.489583333333333)</f>
        <v>1.8749999999999989E-2</v>
      </c>
      <c r="E414" s="7">
        <f>ABS(0.01875-0.018055555555556)</f>
        <v>6.9444444444399789E-4</v>
      </c>
      <c r="F414" s="1" t="s">
        <v>10</v>
      </c>
      <c r="G414" s="7"/>
    </row>
    <row r="415" spans="1:7" x14ac:dyDescent="0.25">
      <c r="A415" s="11">
        <v>42217</v>
      </c>
      <c r="B415" s="7">
        <v>0.10486111111111111</v>
      </c>
      <c r="C415" s="7">
        <v>0.12291666666666667</v>
      </c>
      <c r="D415" s="7">
        <f>(0.122916666666667-0.104861111111111)</f>
        <v>1.8055555555555991E-2</v>
      </c>
      <c r="E415" s="7">
        <f>ABS(0.018055555555556-0.015277777777778)</f>
        <v>2.7777777777780021E-3</v>
      </c>
      <c r="F415" s="1" t="s">
        <v>10</v>
      </c>
      <c r="G415" s="7"/>
    </row>
    <row r="416" spans="1:7" x14ac:dyDescent="0.25">
      <c r="A416" s="11">
        <v>42217</v>
      </c>
      <c r="B416" s="7">
        <v>0.18263888888888891</v>
      </c>
      <c r="C416" s="7">
        <v>0.19791666666666666</v>
      </c>
      <c r="D416" s="7">
        <f>(0.197916666666667-0.182638888888889)</f>
        <v>1.5277777777778001E-2</v>
      </c>
      <c r="E416" s="7">
        <f>ABS(0.015277777777778-0.0166666666666669)</f>
        <v>1.3888888888888996E-3</v>
      </c>
      <c r="F416" s="1" t="s">
        <v>10</v>
      </c>
      <c r="G416" s="7"/>
    </row>
    <row r="417" spans="1:7" x14ac:dyDescent="0.25">
      <c r="A417" s="11">
        <v>42217</v>
      </c>
      <c r="B417" s="7">
        <v>0.68194444444444446</v>
      </c>
      <c r="C417" s="7">
        <v>0.69861111111111107</v>
      </c>
      <c r="D417" s="7">
        <f>(0.698611111111111-0.681944444444444)</f>
        <v>1.6666666666666941E-2</v>
      </c>
      <c r="E417" s="7">
        <f>ABS(0.0166666666666669-0.018055555555556)</f>
        <v>1.3888888888891025E-3</v>
      </c>
      <c r="F417" s="1" t="s">
        <v>10</v>
      </c>
      <c r="G417" s="7"/>
    </row>
    <row r="418" spans="1:7" x14ac:dyDescent="0.25">
      <c r="A418" s="11">
        <v>42217</v>
      </c>
      <c r="B418" s="7">
        <v>0.75208333333333333</v>
      </c>
      <c r="C418" s="7">
        <v>0.77013888888888893</v>
      </c>
      <c r="D418" s="7">
        <f>(0.770138888888889-0.752083333333333)</f>
        <v>1.8055555555556047E-2</v>
      </c>
      <c r="E418" s="7">
        <f>ABS(0.018055555555556-0.036111111111111)</f>
        <v>1.8055555555554995E-2</v>
      </c>
      <c r="F418" s="1" t="s">
        <v>10</v>
      </c>
      <c r="G418" s="7"/>
    </row>
    <row r="419" spans="1:7" x14ac:dyDescent="0.25">
      <c r="A419" s="11">
        <v>42217</v>
      </c>
      <c r="B419" s="7">
        <v>0.7270833333333333</v>
      </c>
      <c r="C419" s="7">
        <v>0.7631944444444444</v>
      </c>
      <c r="D419" s="7">
        <f>(0.763194444444444-0.727083333333333)</f>
        <v>3.6111111111110983E-2</v>
      </c>
      <c r="E419" s="7">
        <f>ABS(0.036111111111111-0.0166666666666671)</f>
        <v>1.9444444444443897E-2</v>
      </c>
      <c r="F419" s="1" t="s">
        <v>10</v>
      </c>
      <c r="G419" s="7"/>
    </row>
    <row r="420" spans="1:7" x14ac:dyDescent="0.25">
      <c r="A420" s="11">
        <v>42217</v>
      </c>
      <c r="B420" s="7">
        <v>0.78125</v>
      </c>
      <c r="C420" s="7">
        <v>0.79791666666666661</v>
      </c>
      <c r="D420" s="7">
        <f>(0.797916666666667-0.78125)</f>
        <v>1.6666666666667052E-2</v>
      </c>
      <c r="E420" s="7">
        <f>ABS(0.0166666666666671-0.020138888888889)</f>
        <v>3.4722222222219011E-3</v>
      </c>
      <c r="F420" s="1" t="s">
        <v>10</v>
      </c>
      <c r="G420" s="7"/>
    </row>
    <row r="421" spans="1:7" x14ac:dyDescent="0.25">
      <c r="A421" s="11">
        <v>42217</v>
      </c>
      <c r="B421" s="7">
        <v>0.46458333333333335</v>
      </c>
      <c r="C421" s="7">
        <v>0.48472222222222222</v>
      </c>
      <c r="D421" s="7">
        <f>(0.484722222222222-0.464583333333333)</f>
        <v>2.0138888888888984E-2</v>
      </c>
      <c r="E421" s="7">
        <f>ABS(0.020138888888889-0.017361111111111)</f>
        <v>2.7777777777780004E-3</v>
      </c>
      <c r="F421" s="1" t="s">
        <v>10</v>
      </c>
      <c r="G421" s="7"/>
    </row>
    <row r="422" spans="1:7" x14ac:dyDescent="0.25">
      <c r="A422" s="11">
        <v>42217</v>
      </c>
      <c r="B422" s="7">
        <v>0.59791666666666665</v>
      </c>
      <c r="C422" s="7">
        <v>0.61527777777777781</v>
      </c>
      <c r="D422" s="7">
        <f>(0.615277777777778-0.597916666666667)</f>
        <v>1.7361111111111049E-2</v>
      </c>
      <c r="E422" s="7">
        <f>ABS(0.017361111111111-0.019444444444444)</f>
        <v>2.0833333333329998E-3</v>
      </c>
      <c r="F422" s="1" t="s">
        <v>10</v>
      </c>
      <c r="G422" s="7"/>
    </row>
    <row r="423" spans="1:7" x14ac:dyDescent="0.25">
      <c r="A423" s="11">
        <v>42217</v>
      </c>
      <c r="B423" s="7">
        <v>0.65625</v>
      </c>
      <c r="C423" s="7">
        <v>0.67569444444444438</v>
      </c>
      <c r="D423" s="7">
        <f>(0.675694444444444-0.65625)</f>
        <v>1.9444444444444042E-2</v>
      </c>
      <c r="E423" s="7">
        <f>ABS(0.019444444444444-0.0125)</f>
        <v>6.944444444444E-3</v>
      </c>
      <c r="F423" s="1" t="s">
        <v>10</v>
      </c>
      <c r="G423" s="7"/>
    </row>
    <row r="424" spans="1:7" x14ac:dyDescent="0.25">
      <c r="A424" s="11">
        <v>42217</v>
      </c>
      <c r="B424" s="7">
        <v>0.8125</v>
      </c>
      <c r="C424" s="7">
        <v>0.82500000000000007</v>
      </c>
      <c r="D424" s="7">
        <f>(0.825-0.8125)</f>
        <v>1.2499999999999956E-2</v>
      </c>
      <c r="E424" s="7">
        <f>ABS(0.0125-0.011111111111111)</f>
        <v>1.3888888888890002E-3</v>
      </c>
      <c r="F424" s="1" t="s">
        <v>10</v>
      </c>
      <c r="G424" s="7"/>
    </row>
    <row r="425" spans="1:7" x14ac:dyDescent="0.25">
      <c r="A425" s="11">
        <v>42217</v>
      </c>
      <c r="B425" s="7">
        <v>0.78541666666666676</v>
      </c>
      <c r="C425" s="7">
        <v>0.79652777777777783</v>
      </c>
      <c r="D425" s="7">
        <f>(0.796527777777778-0.785416666666667)</f>
        <v>1.1111111111110961E-2</v>
      </c>
      <c r="E425" s="7">
        <f>ABS(0.011111111111111-0.01875)</f>
        <v>7.6388888888889988E-3</v>
      </c>
      <c r="F425" s="1" t="s">
        <v>10</v>
      </c>
      <c r="G425" s="7"/>
    </row>
    <row r="426" spans="1:7" x14ac:dyDescent="0.25">
      <c r="A426" s="11">
        <v>42217</v>
      </c>
      <c r="B426" s="7">
        <v>0.53263888888888888</v>
      </c>
      <c r="C426" s="7">
        <v>0.55138888888888882</v>
      </c>
      <c r="D426" s="7">
        <f>(0.551388888888889-0.532638888888889)</f>
        <v>1.8750000000000044E-2</v>
      </c>
      <c r="E426" s="7">
        <f>ABS(0.01875-0.024305555555556)</f>
        <v>5.5555555555560007E-3</v>
      </c>
      <c r="F426" s="1" t="s">
        <v>10</v>
      </c>
      <c r="G426" s="7"/>
    </row>
    <row r="427" spans="1:7" x14ac:dyDescent="0.25">
      <c r="A427" s="11">
        <v>42217</v>
      </c>
      <c r="B427" s="7">
        <v>0.56597222222222221</v>
      </c>
      <c r="C427" s="7">
        <v>0.59027777777777779</v>
      </c>
      <c r="D427" s="7">
        <f>(0.590277777777778-0.565972222222222)</f>
        <v>2.4305555555556024E-2</v>
      </c>
      <c r="E427" s="7">
        <f>ABS(0.024305555555556-0.025694444444445)</f>
        <v>1.3888888888889984E-3</v>
      </c>
      <c r="F427" s="1" t="s">
        <v>10</v>
      </c>
      <c r="G427" s="7"/>
    </row>
    <row r="428" spans="1:7" x14ac:dyDescent="0.25">
      <c r="A428" s="11">
        <v>42217</v>
      </c>
      <c r="B428" s="7">
        <v>0.59722222222222221</v>
      </c>
      <c r="C428" s="7">
        <v>0.62291666666666667</v>
      </c>
      <c r="D428" s="7">
        <f>(0.622916666666667-0.597222222222222)</f>
        <v>2.5694444444445019E-2</v>
      </c>
      <c r="E428" s="7">
        <f>ABS(0.025694444444445-0.0173611111111109)</f>
        <v>8.3333333333340982E-3</v>
      </c>
      <c r="F428" s="1" t="s">
        <v>10</v>
      </c>
      <c r="G428" s="7"/>
    </row>
    <row r="429" spans="1:7" x14ac:dyDescent="0.25">
      <c r="A429" s="11">
        <v>42217</v>
      </c>
      <c r="B429" s="7">
        <v>0.7090277777777777</v>
      </c>
      <c r="C429" s="7">
        <v>0.72638888888888886</v>
      </c>
      <c r="D429" s="7">
        <f>(0.726388888888889-0.709027777777778)</f>
        <v>1.7361111111110938E-2</v>
      </c>
      <c r="E429" s="7">
        <f>ABS(0.0173611111111109-0.018055555555556)</f>
        <v>6.9444444444510117E-4</v>
      </c>
      <c r="F429" s="1" t="s">
        <v>10</v>
      </c>
      <c r="G429" s="7"/>
    </row>
    <row r="430" spans="1:7" x14ac:dyDescent="0.25">
      <c r="A430" s="11">
        <v>42217</v>
      </c>
      <c r="B430" s="7">
        <v>0.76111111111111107</v>
      </c>
      <c r="C430" s="7">
        <v>0.77916666666666667</v>
      </c>
      <c r="D430" s="7">
        <f>(0.779166666666667-0.761111111111111)</f>
        <v>1.8055555555556047E-2</v>
      </c>
      <c r="E430" s="7">
        <f>ABS(0.018055555555556-0.01875)</f>
        <v>6.9444444444399789E-4</v>
      </c>
      <c r="F430" s="1" t="s">
        <v>10</v>
      </c>
      <c r="G430" s="7"/>
    </row>
    <row r="431" spans="1:7" x14ac:dyDescent="0.25">
      <c r="A431" s="11">
        <v>42217</v>
      </c>
      <c r="B431" s="7">
        <v>0.89027777777777783</v>
      </c>
      <c r="C431" s="7">
        <v>0.90902777777777777</v>
      </c>
      <c r="D431" s="7">
        <f>(0.909027777777778-0.890277777777778)</f>
        <v>1.8750000000000044E-2</v>
      </c>
      <c r="E431" s="7">
        <f>ABS(0.01875-0.020833333333337)</f>
        <v>2.0833333333370001E-3</v>
      </c>
      <c r="F431" s="1" t="s">
        <v>10</v>
      </c>
      <c r="G431" s="7"/>
    </row>
    <row r="432" spans="1:7" x14ac:dyDescent="0.25">
      <c r="A432" s="11">
        <v>42217</v>
      </c>
      <c r="B432" s="7">
        <v>0.98333333333333339</v>
      </c>
      <c r="C432" s="7">
        <v>1.0041666666666667</v>
      </c>
      <c r="D432" s="7">
        <f>(1.00416666666667-0.983333333333333)</f>
        <v>2.0833333333337034E-2</v>
      </c>
      <c r="E432" s="7">
        <f>ABS(0.020833333333337-0.020138888888891)</f>
        <v>6.9444444444599976E-4</v>
      </c>
      <c r="F432" s="1" t="s">
        <v>10</v>
      </c>
      <c r="G432" s="7"/>
    </row>
    <row r="433" spans="1:7" x14ac:dyDescent="0.25">
      <c r="A433" s="11">
        <v>42217</v>
      </c>
      <c r="B433" s="7">
        <v>0.98263888888888884</v>
      </c>
      <c r="C433" s="7">
        <v>1.0027777777777778</v>
      </c>
      <c r="D433" s="7">
        <f>(1.00277777777778-0.982638888888889)</f>
        <v>2.0138888888891038E-2</v>
      </c>
      <c r="E433" s="7">
        <f>ABS(0.020138888888891-0.0194444444444439)</f>
        <v>6.9444444444709957E-4</v>
      </c>
      <c r="F433" s="1" t="s">
        <v>10</v>
      </c>
      <c r="G433" s="7"/>
    </row>
    <row r="434" spans="1:7" x14ac:dyDescent="0.25">
      <c r="A434" s="11">
        <v>42217</v>
      </c>
      <c r="B434" s="7">
        <v>0.73888888888888893</v>
      </c>
      <c r="C434" s="7">
        <v>0.7583333333333333</v>
      </c>
      <c r="D434" s="7">
        <f>(0.758333333333333-0.738888888888889)</f>
        <v>1.9444444444443931E-2</v>
      </c>
      <c r="E434" s="7">
        <f>ABS(0.0194444444444439-0.00902777777777697)</f>
        <v>1.041666666666693E-2</v>
      </c>
      <c r="F434" s="1" t="s">
        <v>10</v>
      </c>
      <c r="G434" s="7"/>
    </row>
    <row r="435" spans="1:7" x14ac:dyDescent="0.25">
      <c r="A435" s="11">
        <v>42217</v>
      </c>
      <c r="B435" s="7">
        <v>0.82916666666666661</v>
      </c>
      <c r="C435" s="7">
        <v>0.83819444444444446</v>
      </c>
      <c r="D435" s="7">
        <f>(0.838194444444444-0.829166666666667)</f>
        <v>9.0277777777769685E-3</v>
      </c>
      <c r="E435" s="7">
        <f>ABS(0.00902777777777697-0.045138888888889)</f>
        <v>3.6111111111112031E-2</v>
      </c>
      <c r="F435" s="1" t="s">
        <v>10</v>
      </c>
      <c r="G435" s="7"/>
    </row>
    <row r="436" spans="1:7" x14ac:dyDescent="0.25">
      <c r="A436" s="11">
        <v>42217</v>
      </c>
      <c r="B436" s="7">
        <v>0.95416666666666661</v>
      </c>
      <c r="C436" s="7">
        <v>0.99930555555555556</v>
      </c>
      <c r="D436" s="7">
        <f>(0.999305555555556-0.954166666666667)</f>
        <v>4.5138888888888951E-2</v>
      </c>
      <c r="E436" s="7">
        <f>ABS(0.045138888888889-0.0187499999999999)</f>
        <v>2.63888888888891E-2</v>
      </c>
      <c r="F436" s="1" t="s">
        <v>10</v>
      </c>
      <c r="G436" s="7"/>
    </row>
    <row r="437" spans="1:7" x14ac:dyDescent="0.25">
      <c r="A437" s="11">
        <v>42217</v>
      </c>
      <c r="B437" s="7">
        <v>0.95486111111111116</v>
      </c>
      <c r="C437" s="7">
        <v>0.97361111111111109</v>
      </c>
      <c r="D437" s="7">
        <f>(0.973611111111111-0.954861111111111)</f>
        <v>1.8749999999999933E-2</v>
      </c>
      <c r="E437" s="7">
        <f>ABS(0.0187499999999999-0.025)</f>
        <v>6.2500000000001027E-3</v>
      </c>
      <c r="F437" s="1" t="s">
        <v>10</v>
      </c>
      <c r="G437" s="7"/>
    </row>
    <row r="438" spans="1:7" x14ac:dyDescent="0.25">
      <c r="A438" s="11">
        <v>42217</v>
      </c>
      <c r="B438" s="7">
        <v>0.94861111111111107</v>
      </c>
      <c r="C438" s="7">
        <v>0.97361111111111109</v>
      </c>
      <c r="D438" s="7">
        <f>(0.973611111111111-0.948611111111111)</f>
        <v>2.5000000000000022E-2</v>
      </c>
      <c r="E438" s="7">
        <f>ABS(0.025-0.0173611111111111)</f>
        <v>7.6388888888888999E-3</v>
      </c>
      <c r="F438" s="1" t="s">
        <v>10</v>
      </c>
      <c r="G438" s="7"/>
    </row>
    <row r="439" spans="1:7" x14ac:dyDescent="0.25">
      <c r="A439" s="11">
        <v>42217</v>
      </c>
      <c r="B439" s="7">
        <v>5.7638888888888885E-2</v>
      </c>
      <c r="C439" s="7">
        <v>7.4999999999999997E-2</v>
      </c>
      <c r="D439" s="7">
        <f>(0.075-0.0576388888888889)</f>
        <v>1.7361111111111098E-2</v>
      </c>
      <c r="E439" s="7">
        <f>ABS(0.0173611111111111-0.0187499999999999)</f>
        <v>1.3888888888887972E-3</v>
      </c>
      <c r="F439" s="1" t="s">
        <v>10</v>
      </c>
      <c r="G439" s="7"/>
    </row>
    <row r="440" spans="1:7" x14ac:dyDescent="0.25">
      <c r="A440" s="11">
        <v>42217</v>
      </c>
      <c r="B440" s="7">
        <v>8.6111111111111124E-2</v>
      </c>
      <c r="C440" s="7">
        <v>0.10486111111111111</v>
      </c>
      <c r="D440" s="7">
        <f>(0.104861111111111-0.0861111111111111)</f>
        <v>1.8749999999999906E-2</v>
      </c>
      <c r="E440" s="7">
        <f>ABS(0.0187499999999999-0.051388888888888)</f>
        <v>3.26388888888881E-2</v>
      </c>
      <c r="F440" s="1" t="s">
        <v>10</v>
      </c>
      <c r="G440" s="7"/>
    </row>
    <row r="441" spans="1:7" x14ac:dyDescent="0.25">
      <c r="A441" s="11">
        <v>42217</v>
      </c>
      <c r="B441" s="7">
        <v>0.11805555555555557</v>
      </c>
      <c r="C441" s="7">
        <v>0.16944444444444443</v>
      </c>
      <c r="D441" s="7">
        <f>(0.169444444444444-0.118055555555556)</f>
        <v>5.1388888888888012E-2</v>
      </c>
      <c r="E441" s="7">
        <f>ABS(0.051388888888888-0.022222222222222)</f>
        <v>2.9166666666665998E-2</v>
      </c>
      <c r="F441" s="1" t="s">
        <v>10</v>
      </c>
      <c r="G441" s="7"/>
    </row>
    <row r="442" spans="1:7" x14ac:dyDescent="0.25">
      <c r="A442" s="11">
        <v>42217</v>
      </c>
      <c r="B442" s="7">
        <v>0.36180555555555555</v>
      </c>
      <c r="C442" s="7">
        <v>0.3840277777777778</v>
      </c>
      <c r="D442" s="7">
        <f>(0.384027777777778-0.361805555555556)</f>
        <v>2.2222222222222032E-2</v>
      </c>
      <c r="E442" s="7">
        <f>ABS(0.022222222222222-0.011805555555555)</f>
        <v>1.0416666666667001E-2</v>
      </c>
      <c r="F442" s="1" t="s">
        <v>10</v>
      </c>
      <c r="G442" s="7"/>
    </row>
    <row r="443" spans="1:7" x14ac:dyDescent="0.25">
      <c r="A443" s="11">
        <v>42217</v>
      </c>
      <c r="B443" s="7">
        <v>0.55138888888888882</v>
      </c>
      <c r="C443" s="7">
        <v>0.56319444444444444</v>
      </c>
      <c r="D443" s="7">
        <f>(0.563194444444444-0.551388888888889)</f>
        <v>1.1805555555554959E-2</v>
      </c>
      <c r="E443" s="7">
        <f>ABS(0.011805555555555-0.029166666666666)</f>
        <v>1.7361111111111001E-2</v>
      </c>
      <c r="F443" s="1" t="s">
        <v>10</v>
      </c>
      <c r="G443" s="7"/>
    </row>
    <row r="444" spans="1:7" x14ac:dyDescent="0.25">
      <c r="A444" s="11">
        <v>42217</v>
      </c>
      <c r="B444" s="7">
        <v>0.58402777777777781</v>
      </c>
      <c r="C444" s="7">
        <v>0.61319444444444449</v>
      </c>
      <c r="D444" s="7">
        <f>(0.613194444444444-0.584027777777778)</f>
        <v>2.9166666666666008E-2</v>
      </c>
      <c r="E444" s="7">
        <f>ABS(0.029166666666666-0.017361111111111)</f>
        <v>1.1805555555555E-2</v>
      </c>
      <c r="F444" s="1" t="s">
        <v>10</v>
      </c>
      <c r="G444" s="7"/>
    </row>
    <row r="445" spans="1:7" x14ac:dyDescent="0.25">
      <c r="A445" s="11">
        <v>42217</v>
      </c>
      <c r="B445" s="7">
        <v>0.75624999999999998</v>
      </c>
      <c r="C445" s="7">
        <v>0.77361111111111114</v>
      </c>
      <c r="D445" s="7">
        <f>(0.773611111111111-0.75625)</f>
        <v>1.7361111111111049E-2</v>
      </c>
      <c r="E445" s="7">
        <f>ABS(0.017361111111111-0.039583333333333)</f>
        <v>2.2222222222221998E-2</v>
      </c>
      <c r="F445" s="1" t="s">
        <v>10</v>
      </c>
      <c r="G445" s="7"/>
    </row>
    <row r="446" spans="1:7" x14ac:dyDescent="0.25">
      <c r="A446" s="11">
        <v>42217</v>
      </c>
      <c r="B446" s="7">
        <v>0.78541666666666676</v>
      </c>
      <c r="C446" s="7">
        <v>0.82500000000000007</v>
      </c>
      <c r="D446" s="7">
        <f>(0.825-0.785416666666667)</f>
        <v>3.9583333333332971E-2</v>
      </c>
      <c r="E446" s="7">
        <f>ABS(0.039583333333333-0.018055555555555)</f>
        <v>2.1527777777778E-2</v>
      </c>
      <c r="F446" s="1" t="s">
        <v>10</v>
      </c>
      <c r="G446" s="7"/>
    </row>
    <row r="447" spans="1:7" x14ac:dyDescent="0.25">
      <c r="A447" s="11">
        <v>42217</v>
      </c>
      <c r="B447" s="7">
        <v>0.3840277777777778</v>
      </c>
      <c r="C447" s="7">
        <v>0.40208333333333335</v>
      </c>
      <c r="D447" s="7">
        <f>(0.402083333333333-0.384027777777778)</f>
        <v>1.8055555555554992E-2</v>
      </c>
      <c r="E447" s="7">
        <f>ABS(0.018055555555555-0.00277777777777705)</f>
        <v>1.5277777777777949E-2</v>
      </c>
      <c r="F447" s="1" t="s">
        <v>10</v>
      </c>
      <c r="G447" s="7"/>
    </row>
    <row r="448" spans="1:7" x14ac:dyDescent="0.25">
      <c r="A448" s="11">
        <v>42217</v>
      </c>
      <c r="B448" s="7">
        <v>0.44305555555555554</v>
      </c>
      <c r="C448" s="7">
        <v>0.4458333333333333</v>
      </c>
      <c r="D448" s="7">
        <f>(0.445833333333333-0.443055555555556)</f>
        <v>2.7777777777770463E-3</v>
      </c>
      <c r="E448" s="7">
        <f>ABS(0.00277777777777705-0.024305555555556)</f>
        <v>2.152777777777895E-2</v>
      </c>
      <c r="F448" s="1" t="s">
        <v>10</v>
      </c>
      <c r="G448" s="7"/>
    </row>
    <row r="449" spans="1:7" x14ac:dyDescent="0.25">
      <c r="A449" s="11">
        <v>42217</v>
      </c>
      <c r="B449" s="7">
        <v>0.42986111111111108</v>
      </c>
      <c r="C449" s="7">
        <v>0.45416666666666666</v>
      </c>
      <c r="D449" s="7">
        <f>(0.454166666666667-0.429861111111111)</f>
        <v>2.4305555555555969E-2</v>
      </c>
      <c r="E449" s="7">
        <f>ABS(0.024305555555556-0.0166666666666659)</f>
        <v>7.6388888888901003E-3</v>
      </c>
      <c r="F449" s="1" t="s">
        <v>10</v>
      </c>
      <c r="G449" s="7"/>
    </row>
    <row r="450" spans="1:7" x14ac:dyDescent="0.25">
      <c r="A450" s="11">
        <v>42217</v>
      </c>
      <c r="B450" s="7">
        <v>0.56041666666666667</v>
      </c>
      <c r="C450" s="7">
        <v>0.57708333333333328</v>
      </c>
      <c r="D450" s="7">
        <f>(0.577083333333333-0.560416666666667)</f>
        <v>1.6666666666665941E-2</v>
      </c>
      <c r="E450" s="7">
        <f>ABS(0.0166666666666659-0.0166666666666667)</f>
        <v>8.0144224590128488E-16</v>
      </c>
      <c r="F450" s="1" t="s">
        <v>10</v>
      </c>
      <c r="G450" s="7"/>
    </row>
    <row r="451" spans="1:7" x14ac:dyDescent="0.25">
      <c r="A451" s="11">
        <v>42217</v>
      </c>
      <c r="B451" s="7">
        <v>8.1250000000000003E-2</v>
      </c>
      <c r="C451" s="7">
        <v>9.7916666666666666E-2</v>
      </c>
      <c r="D451" s="7">
        <f>(0.0979166666666667-0.08125)</f>
        <v>1.6666666666666691E-2</v>
      </c>
      <c r="E451" s="7">
        <f>ABS(0.0166666666666667-0.0159722222222219)</f>
        <v>6.944444444448028E-4</v>
      </c>
      <c r="F451" s="1" t="s">
        <v>10</v>
      </c>
      <c r="G451" s="7"/>
    </row>
    <row r="452" spans="1:7" x14ac:dyDescent="0.25">
      <c r="A452" s="11">
        <v>42217</v>
      </c>
      <c r="B452" s="7">
        <v>0.77638888888888891</v>
      </c>
      <c r="C452" s="7">
        <v>0.79236111111111107</v>
      </c>
      <c r="D452" s="7">
        <f>(0.792361111111111-0.776388888888889)</f>
        <v>1.5972222222221943E-2</v>
      </c>
      <c r="E452" s="7">
        <f>ABS(0.0159722222222219-0.020138888888889)</f>
        <v>4.1666666666671029E-3</v>
      </c>
      <c r="F452" s="1" t="s">
        <v>10</v>
      </c>
      <c r="G452" s="7"/>
    </row>
    <row r="453" spans="1:7" x14ac:dyDescent="0.25">
      <c r="A453" s="11">
        <v>42217</v>
      </c>
      <c r="B453" s="7">
        <v>0.3611111111111111</v>
      </c>
      <c r="C453" s="7">
        <v>0.38125000000000003</v>
      </c>
      <c r="D453" s="7">
        <f>(0.38125-0.361111111111111)</f>
        <v>2.0138888888888984E-2</v>
      </c>
      <c r="E453" s="7">
        <f>ABS(0.020138888888889-0.0173611111111111)</f>
        <v>2.7777777777778997E-3</v>
      </c>
      <c r="F453" s="1" t="s">
        <v>10</v>
      </c>
      <c r="G453" s="7"/>
    </row>
    <row r="454" spans="1:7" x14ac:dyDescent="0.25">
      <c r="A454" s="11">
        <v>42217</v>
      </c>
      <c r="B454" s="7">
        <v>5.486111111111111E-2</v>
      </c>
      <c r="C454" s="7">
        <v>7.2222222222222229E-2</v>
      </c>
      <c r="D454" s="7">
        <f>(0.0722222222222222-0.0548611111111111)</f>
        <v>1.7361111111111105E-2</v>
      </c>
      <c r="E454" s="7">
        <f>ABS(0.0173611111111111-0.0215277777777779)</f>
        <v>4.1666666666667976E-3</v>
      </c>
      <c r="F454" s="1" t="s">
        <v>10</v>
      </c>
      <c r="G454" s="7"/>
    </row>
    <row r="455" spans="1:7" x14ac:dyDescent="0.25">
      <c r="A455" s="11">
        <v>42217</v>
      </c>
      <c r="B455" s="7">
        <v>0.61597222222222225</v>
      </c>
      <c r="C455" s="7">
        <v>0.63750000000000007</v>
      </c>
      <c r="D455" s="7">
        <f>(0.6375-0.615972222222222)</f>
        <v>2.1527777777777923E-2</v>
      </c>
      <c r="E455" s="7">
        <f>ABS(0.0215277777777779-0.030555555555555)</f>
        <v>9.0277777777771004E-3</v>
      </c>
      <c r="F455" s="1" t="s">
        <v>10</v>
      </c>
      <c r="G455" s="7"/>
    </row>
    <row r="456" spans="1:7" x14ac:dyDescent="0.25">
      <c r="A456" s="11">
        <v>42217</v>
      </c>
      <c r="B456" s="7">
        <v>0.3666666666666667</v>
      </c>
      <c r="C456" s="7">
        <v>0.3972222222222222</v>
      </c>
      <c r="D456" s="7">
        <f>(0.397222222222222-0.366666666666667)</f>
        <v>3.0555555555555003E-2</v>
      </c>
      <c r="E456" s="7">
        <f>ABS(0.030555555555555-0.025)</f>
        <v>5.5555555555549981E-3</v>
      </c>
      <c r="F456" s="1" t="s">
        <v>10</v>
      </c>
      <c r="G456" s="7"/>
    </row>
    <row r="457" spans="1:7" x14ac:dyDescent="0.25">
      <c r="A457" s="11">
        <v>42217</v>
      </c>
      <c r="B457" s="7">
        <v>0.52708333333333335</v>
      </c>
      <c r="C457" s="7">
        <v>0.55208333333333337</v>
      </c>
      <c r="D457" s="7">
        <f>(0.552083333333333-0.527083333333333)</f>
        <v>2.5000000000000022E-2</v>
      </c>
      <c r="E457" s="7">
        <f>ABS(0.025-0.0180555555555559)</f>
        <v>6.9444444444441006E-3</v>
      </c>
      <c r="F457" s="1" t="s">
        <v>10</v>
      </c>
      <c r="G457" s="7"/>
    </row>
    <row r="458" spans="1:7" x14ac:dyDescent="0.25">
      <c r="A458" s="11">
        <v>42217</v>
      </c>
      <c r="B458" s="7">
        <v>0.70833333333333337</v>
      </c>
      <c r="C458" s="7">
        <v>0.72638888888888886</v>
      </c>
      <c r="D458" s="7">
        <f>(0.726388888888889-0.708333333333333)</f>
        <v>1.8055555555555935E-2</v>
      </c>
      <c r="E458" s="7">
        <f>ABS(0.0180555555555559-0.0159722222222219)</f>
        <v>2.0833333333340025E-3</v>
      </c>
      <c r="F458" s="1" t="s">
        <v>10</v>
      </c>
      <c r="G458" s="7"/>
    </row>
    <row r="459" spans="1:7" x14ac:dyDescent="0.25">
      <c r="A459" s="11">
        <v>42217</v>
      </c>
      <c r="B459" s="7">
        <v>0.82847222222222217</v>
      </c>
      <c r="C459" s="7">
        <v>0.84444444444444444</v>
      </c>
      <c r="D459" s="7">
        <f>(0.844444444444444-0.828472222222222)</f>
        <v>1.5972222222221943E-2</v>
      </c>
      <c r="E459" s="7">
        <f>ABS(0.0159722222222219-0.0159722222222222)</f>
        <v>3.0184188481996443E-16</v>
      </c>
      <c r="F459" s="1" t="s">
        <v>10</v>
      </c>
      <c r="G459" s="7"/>
    </row>
    <row r="460" spans="1:7" x14ac:dyDescent="0.25">
      <c r="A460" s="11">
        <v>42217</v>
      </c>
      <c r="B460" s="7">
        <v>6.0416666666666667E-2</v>
      </c>
      <c r="C460" s="7">
        <v>7.6388888888888895E-2</v>
      </c>
      <c r="D460" s="7">
        <f>(0.0763888888888889-0.0604166666666667)</f>
        <v>1.5972222222222193E-2</v>
      </c>
      <c r="E460" s="7">
        <f>ABS(0.0159722222222222-0.017361111111111)</f>
        <v>1.3888888888888007E-3</v>
      </c>
      <c r="F460" s="1" t="s">
        <v>10</v>
      </c>
      <c r="G460" s="7"/>
    </row>
    <row r="461" spans="1:7" x14ac:dyDescent="0.25">
      <c r="A461" s="11">
        <v>42217</v>
      </c>
      <c r="B461" s="7">
        <v>0.40138888888888885</v>
      </c>
      <c r="C461" s="7">
        <v>0.41875000000000001</v>
      </c>
      <c r="D461" s="7">
        <f>(0.41875-0.401388888888889)</f>
        <v>1.7361111111110994E-2</v>
      </c>
      <c r="E461" s="7">
        <f>ABS(0.017361111111111-0.0159722222222219)</f>
        <v>1.3888888888891025E-3</v>
      </c>
      <c r="F461" s="1" t="s">
        <v>10</v>
      </c>
      <c r="G461" s="7"/>
    </row>
    <row r="462" spans="1:7" x14ac:dyDescent="0.25">
      <c r="A462" s="11">
        <v>42217</v>
      </c>
      <c r="B462" s="7">
        <v>0.58750000000000002</v>
      </c>
      <c r="C462" s="7">
        <v>0.60347222222222219</v>
      </c>
      <c r="D462" s="7">
        <f>(0.603472222222222-0.5875)</f>
        <v>1.5972222222221943E-2</v>
      </c>
      <c r="E462" s="7">
        <f>ABS(0.0159722222222219-0.019444444444445)</f>
        <v>3.4722222222231015E-3</v>
      </c>
      <c r="F462" s="1" t="s">
        <v>10</v>
      </c>
      <c r="G462" s="7"/>
    </row>
    <row r="463" spans="1:7" x14ac:dyDescent="0.25">
      <c r="A463" s="11">
        <v>42217</v>
      </c>
      <c r="B463" s="7">
        <v>0.59236111111111112</v>
      </c>
      <c r="C463" s="7">
        <v>0.6118055555555556</v>
      </c>
      <c r="D463" s="7">
        <f>(0.611805555555556-0.592361111111111)</f>
        <v>1.9444444444445041E-2</v>
      </c>
      <c r="E463" s="7">
        <f>ABS(0.019444444444445-0.0159722222222221)</f>
        <v>3.4722222222229003E-3</v>
      </c>
      <c r="F463" s="1" t="s">
        <v>10</v>
      </c>
      <c r="G463" s="7"/>
    </row>
    <row r="464" spans="1:7" x14ac:dyDescent="0.25">
      <c r="A464" s="11">
        <v>42217</v>
      </c>
      <c r="B464" s="7">
        <v>0.63402777777777775</v>
      </c>
      <c r="C464" s="7">
        <v>0.65</v>
      </c>
      <c r="D464" s="7">
        <f>(0.65-0.634027777777778)</f>
        <v>1.5972222222222054E-2</v>
      </c>
      <c r="E464" s="7">
        <f>ABS(0.0159722222222221-0.0138888888888891)</f>
        <v>2.0833333333329998E-3</v>
      </c>
      <c r="F464" s="1" t="s">
        <v>10</v>
      </c>
      <c r="G464" s="7"/>
    </row>
    <row r="465" spans="1:7" x14ac:dyDescent="0.25">
      <c r="A465" s="11">
        <v>42217</v>
      </c>
      <c r="B465" s="7">
        <v>0.91111111111111109</v>
      </c>
      <c r="C465" s="7">
        <v>0.92499999999999993</v>
      </c>
      <c r="D465" s="7">
        <f>(0.925-0.911111111111111)</f>
        <v>1.3888888888889062E-2</v>
      </c>
      <c r="E465" s="7">
        <f>ABS(0.0138888888888891-0.014583333333333)</f>
        <v>6.9444444444390074E-4</v>
      </c>
      <c r="F465" s="1" t="s">
        <v>10</v>
      </c>
      <c r="G465" s="7"/>
    </row>
    <row r="466" spans="1:7" x14ac:dyDescent="0.25">
      <c r="A466" s="11">
        <v>42217</v>
      </c>
      <c r="B466" s="7">
        <v>9.9999999999999992E-2</v>
      </c>
      <c r="C466" s="7">
        <v>0.11458333333333333</v>
      </c>
      <c r="D466" s="7">
        <f>(0.114583333333333-0.1)</f>
        <v>1.458333333333299E-2</v>
      </c>
      <c r="E466" s="7">
        <f>ABS(0.014583333333333-0.0125)</f>
        <v>2.0833333333329998E-3</v>
      </c>
      <c r="F466" s="1" t="s">
        <v>10</v>
      </c>
      <c r="G466" s="7"/>
    </row>
    <row r="467" spans="1:7" x14ac:dyDescent="0.25">
      <c r="A467" s="11">
        <v>42217</v>
      </c>
      <c r="B467" s="7">
        <v>0.11597222222222221</v>
      </c>
      <c r="C467" s="7">
        <v>0.12847222222222224</v>
      </c>
      <c r="D467" s="7">
        <f>(0.128472222222222-0.115972222222222)</f>
        <v>1.2499999999999983E-2</v>
      </c>
      <c r="E467" s="7">
        <f>ABS(0.0125-0.020138888888889)</f>
        <v>7.6388888888890005E-3</v>
      </c>
      <c r="F467" s="1" t="s">
        <v>10</v>
      </c>
      <c r="G467" s="7"/>
    </row>
    <row r="468" spans="1:7" x14ac:dyDescent="0.25">
      <c r="A468" s="11">
        <v>42217</v>
      </c>
      <c r="B468" s="7">
        <v>0.1763888888888889</v>
      </c>
      <c r="C468" s="7">
        <v>0.19652777777777777</v>
      </c>
      <c r="D468" s="7">
        <f>(0.196527777777778-0.176388888888889)</f>
        <v>2.0138888888888984E-2</v>
      </c>
      <c r="E468" s="7">
        <f>ABS(0.020138888888889-0.018055555555555)</f>
        <v>2.0833333333340025E-3</v>
      </c>
      <c r="F468" s="1" t="s">
        <v>10</v>
      </c>
      <c r="G468" s="7"/>
    </row>
    <row r="469" spans="1:7" x14ac:dyDescent="0.25">
      <c r="A469" s="11">
        <v>42217</v>
      </c>
      <c r="B469" s="7">
        <v>0.43541666666666662</v>
      </c>
      <c r="C469" s="7">
        <v>0.45347222222222222</v>
      </c>
      <c r="D469" s="7">
        <f>(0.453472222222222-0.435416666666667)</f>
        <v>1.8055555555554992E-2</v>
      </c>
      <c r="E469" s="7">
        <f>ABS(0.018055555555555-0.01875)</f>
        <v>6.9444444444500056E-4</v>
      </c>
      <c r="F469" s="1" t="s">
        <v>10</v>
      </c>
      <c r="G469" s="7"/>
    </row>
    <row r="470" spans="1:7" x14ac:dyDescent="0.25">
      <c r="A470" s="11">
        <v>42217</v>
      </c>
      <c r="B470" s="7">
        <v>0.46458333333333335</v>
      </c>
      <c r="C470" s="7">
        <v>0.48333333333333334</v>
      </c>
      <c r="D470" s="7">
        <f>(0.483333333333333-0.464583333333333)</f>
        <v>1.8749999999999989E-2</v>
      </c>
      <c r="E470" s="7">
        <f>ABS(0.01875-0.00902777777777808)</f>
        <v>9.7222222222219188E-3</v>
      </c>
      <c r="F470" s="1" t="s">
        <v>10</v>
      </c>
      <c r="G470" s="7"/>
    </row>
    <row r="471" spans="1:7" x14ac:dyDescent="0.25">
      <c r="A471" s="11">
        <v>42217</v>
      </c>
      <c r="B471" s="7">
        <v>0.54236111111111118</v>
      </c>
      <c r="C471" s="7">
        <v>0.55138888888888882</v>
      </c>
      <c r="D471" s="7">
        <f>(0.551388888888889-0.542361111111111)</f>
        <v>9.0277777777780788E-3</v>
      </c>
      <c r="E471" s="7">
        <f>ABS(0.00902777777777808-0.00972222222222197)</f>
        <v>6.9444444444389034E-4</v>
      </c>
      <c r="F471" s="1" t="s">
        <v>10</v>
      </c>
      <c r="G471" s="7"/>
    </row>
    <row r="472" spans="1:7" x14ac:dyDescent="0.25">
      <c r="A472" s="11">
        <v>42217</v>
      </c>
      <c r="B472" s="7">
        <v>0.57847222222222217</v>
      </c>
      <c r="C472" s="7">
        <v>0.58819444444444446</v>
      </c>
      <c r="D472" s="7">
        <f>(0.588194444444444-0.578472222222222)</f>
        <v>9.7222222222219656E-3</v>
      </c>
      <c r="E472" s="7">
        <f>ABS(0.00972222222222197-0.0249999999999999)</f>
        <v>1.527777777777793E-2</v>
      </c>
      <c r="F472" s="1" t="s">
        <v>10</v>
      </c>
      <c r="G472" s="7"/>
    </row>
    <row r="473" spans="1:7" x14ac:dyDescent="0.25">
      <c r="A473" s="11">
        <v>42217</v>
      </c>
      <c r="B473" s="7">
        <v>0.64236111111111105</v>
      </c>
      <c r="C473" s="7">
        <v>0.66736111111111107</v>
      </c>
      <c r="D473" s="7">
        <f>(0.667361111111111-0.642361111111111)</f>
        <v>2.4999999999999911E-2</v>
      </c>
      <c r="E473" s="7">
        <f>ABS(0.0249999999999999-0.0208333333333339)</f>
        <v>4.1666666666659996E-3</v>
      </c>
      <c r="F473" s="1" t="s">
        <v>10</v>
      </c>
      <c r="G473" s="7"/>
    </row>
    <row r="474" spans="1:7" x14ac:dyDescent="0.25">
      <c r="A474" s="11">
        <v>42217</v>
      </c>
      <c r="B474" s="7">
        <v>0.74097222222222225</v>
      </c>
      <c r="C474" s="7">
        <v>0.76180555555555562</v>
      </c>
      <c r="D474" s="7">
        <f>(0.761805555555556-0.740972222222222)</f>
        <v>2.0833333333333925E-2</v>
      </c>
      <c r="E474" s="7">
        <f>ABS(0.0208333333333339-0.0152777777777771)</f>
        <v>5.5555555555568004E-3</v>
      </c>
      <c r="F474" s="1" t="s">
        <v>10</v>
      </c>
      <c r="G474" s="7"/>
    </row>
    <row r="475" spans="1:7" x14ac:dyDescent="0.25">
      <c r="A475" s="11">
        <v>42217</v>
      </c>
      <c r="B475" s="7">
        <v>0.88194444444444453</v>
      </c>
      <c r="C475" s="7">
        <v>0.89722222222222225</v>
      </c>
      <c r="D475" s="7">
        <f>(0.897222222222222-0.881944444444445)</f>
        <v>1.5277777777777057E-2</v>
      </c>
      <c r="E475" s="7">
        <f>ABS(0.0152777777777771-0.018055555555555)</f>
        <v>2.777777777777898E-3</v>
      </c>
      <c r="F475" s="1" t="s">
        <v>10</v>
      </c>
      <c r="G475" s="7"/>
    </row>
    <row r="476" spans="1:7" x14ac:dyDescent="0.25">
      <c r="A476" s="11">
        <v>42217</v>
      </c>
      <c r="B476" s="7">
        <v>0.88124999999999998</v>
      </c>
      <c r="C476" s="7">
        <v>0.89930555555555547</v>
      </c>
      <c r="D476" s="7">
        <f>(0.899305555555555-0.88125)</f>
        <v>1.8055555555555047E-2</v>
      </c>
      <c r="E476" s="7">
        <f>ABS(0.018055555555555-0.0416666666666671)</f>
        <v>2.3611111111112103E-2</v>
      </c>
      <c r="F476" s="1" t="s">
        <v>10</v>
      </c>
      <c r="G476" s="7"/>
    </row>
    <row r="477" spans="1:7" x14ac:dyDescent="0.25">
      <c r="A477" s="11">
        <v>42217</v>
      </c>
      <c r="B477" s="7">
        <v>0.9145833333333333</v>
      </c>
      <c r="C477" s="7">
        <v>0.95624999999999993</v>
      </c>
      <c r="D477" s="7">
        <f>(0.95625-0.914583333333333)</f>
        <v>4.1666666666667074E-2</v>
      </c>
      <c r="E477" s="7">
        <f>ABS(0.0416666666666671-0.0291666666666671)</f>
        <v>1.2500000000000001E-2</v>
      </c>
      <c r="F477" s="1" t="s">
        <v>10</v>
      </c>
      <c r="G477" s="7"/>
    </row>
    <row r="478" spans="1:7" x14ac:dyDescent="0.25">
      <c r="A478" s="11">
        <v>42217</v>
      </c>
      <c r="B478" s="7">
        <v>0.48958333333333331</v>
      </c>
      <c r="C478" s="7">
        <v>0.51874999999999993</v>
      </c>
      <c r="D478" s="7">
        <f>(0.51875-0.489583333333333)</f>
        <v>2.9166666666667063E-2</v>
      </c>
      <c r="E478" s="7">
        <f>ABS(0.0291666666666671-0.059027777777778)</f>
        <v>2.9861111111110897E-2</v>
      </c>
      <c r="F478" s="1" t="s">
        <v>10</v>
      </c>
      <c r="G478" s="7"/>
    </row>
    <row r="479" spans="1:7" x14ac:dyDescent="0.25">
      <c r="A479" s="11">
        <v>42217</v>
      </c>
      <c r="B479" s="7">
        <v>0.6645833333333333</v>
      </c>
      <c r="C479" s="7">
        <v>0.72361111111111109</v>
      </c>
      <c r="D479" s="7">
        <f>(0.723611111111111-0.664583333333333)</f>
        <v>5.9027777777778012E-2</v>
      </c>
      <c r="E479" s="7">
        <f>ABS(0.059027777777778-0.0194444444444439)</f>
        <v>3.9583333333334095E-2</v>
      </c>
      <c r="F479" s="1" t="s">
        <v>10</v>
      </c>
      <c r="G479" s="7"/>
    </row>
    <row r="480" spans="1:7" x14ac:dyDescent="0.25">
      <c r="A480" s="11">
        <v>42217</v>
      </c>
      <c r="B480" s="7">
        <v>0.7680555555555556</v>
      </c>
      <c r="C480" s="7">
        <v>0.78749999999999998</v>
      </c>
      <c r="D480" s="7">
        <f>(0.7875-0.768055555555556)</f>
        <v>1.9444444444443931E-2</v>
      </c>
      <c r="E480" s="7">
        <f>ABS(0.0194444444444439-0.0152777777777781)</f>
        <v>4.1666666666658001E-3</v>
      </c>
      <c r="F480" s="1" t="s">
        <v>10</v>
      </c>
      <c r="G480" s="7"/>
    </row>
    <row r="481" spans="1:7" x14ac:dyDescent="0.25">
      <c r="A481" s="11">
        <v>42217</v>
      </c>
      <c r="B481" s="7">
        <v>0.82361111111111107</v>
      </c>
      <c r="C481" s="7">
        <v>0.83888888888888891</v>
      </c>
      <c r="D481" s="7">
        <f>(0.838888888888889-0.823611111111111)</f>
        <v>1.5277777777778057E-2</v>
      </c>
      <c r="E481" s="7">
        <f>ABS(0.0152777777777781-0.01875)</f>
        <v>3.4722222222218994E-3</v>
      </c>
      <c r="F481" s="1" t="s">
        <v>10</v>
      </c>
      <c r="G481" s="7"/>
    </row>
    <row r="482" spans="1:7" x14ac:dyDescent="0.25">
      <c r="A482" s="11">
        <v>42217</v>
      </c>
      <c r="B482" s="7">
        <v>0.78055555555555556</v>
      </c>
      <c r="C482" s="7">
        <v>0.7993055555555556</v>
      </c>
      <c r="D482" s="7">
        <f>(0.799305555555556-0.780555555555556)</f>
        <v>1.8750000000000044E-2</v>
      </c>
      <c r="E482" s="7">
        <f>ABS(0.01875-0.0152777777777779)</f>
        <v>3.4722222222220989E-3</v>
      </c>
      <c r="F482" s="1" t="s">
        <v>10</v>
      </c>
      <c r="G482" s="7"/>
    </row>
    <row r="483" spans="1:7" x14ac:dyDescent="0.25">
      <c r="A483" s="11">
        <v>42217</v>
      </c>
      <c r="B483" s="7">
        <v>0.89097222222222217</v>
      </c>
      <c r="C483" s="7">
        <v>0.90625</v>
      </c>
      <c r="D483" s="7">
        <f>(0.90625-0.890972222222222)</f>
        <v>1.5277777777777946E-2</v>
      </c>
      <c r="E483" s="7">
        <f>ABS(0.0152777777777779-0.013194444444447)</f>
        <v>2.0833333333309008E-3</v>
      </c>
      <c r="F483" s="1" t="s">
        <v>10</v>
      </c>
      <c r="G483" s="7"/>
    </row>
    <row r="484" spans="1:7" x14ac:dyDescent="0.25">
      <c r="A484" s="11">
        <v>42217</v>
      </c>
      <c r="B484" s="7">
        <v>0.98958333333333337</v>
      </c>
      <c r="C484" s="7">
        <v>1.0027777777777778</v>
      </c>
      <c r="D484" s="7">
        <f>(1.00277777777778-0.989583333333333)</f>
        <v>1.3194444444446951E-2</v>
      </c>
      <c r="E484" s="7">
        <f>ABS(0.013194444444447-0.013194444444445)</f>
        <v>2.0001361678012586E-15</v>
      </c>
      <c r="F484" s="1" t="s">
        <v>10</v>
      </c>
      <c r="G484" s="7"/>
    </row>
    <row r="485" spans="1:7" x14ac:dyDescent="0.25">
      <c r="A485" s="11">
        <v>42217</v>
      </c>
      <c r="B485" s="7">
        <v>0.96597222222222223</v>
      </c>
      <c r="C485" s="7">
        <v>0.97916666666666663</v>
      </c>
      <c r="D485" s="7">
        <f>(0.979166666666667-0.965972222222222)</f>
        <v>1.3194444444444953E-2</v>
      </c>
      <c r="E485" s="7">
        <f>ABS(0.013194444444445-0.015972222222222)</f>
        <v>2.7777777777769994E-3</v>
      </c>
      <c r="F485" s="1" t="s">
        <v>10</v>
      </c>
      <c r="G485" s="7"/>
    </row>
    <row r="486" spans="1:7" x14ac:dyDescent="0.25">
      <c r="A486" s="11">
        <v>42217</v>
      </c>
      <c r="B486" s="7">
        <v>0.31180555555555556</v>
      </c>
      <c r="C486" s="7">
        <v>0.32777777777777778</v>
      </c>
      <c r="D486" s="7">
        <f>(0.327777777777778-0.311805555555556)</f>
        <v>1.5972222222221999E-2</v>
      </c>
      <c r="E486" s="7">
        <f>ABS(0.015972222222222-0.035416666666667)</f>
        <v>1.9444444444445E-2</v>
      </c>
      <c r="F486" s="1" t="s">
        <v>10</v>
      </c>
      <c r="G486" s="7"/>
    </row>
    <row r="487" spans="1:7" x14ac:dyDescent="0.25">
      <c r="A487" s="11">
        <v>42217</v>
      </c>
      <c r="B487" s="7">
        <v>0.34513888888888888</v>
      </c>
      <c r="C487" s="7">
        <v>0.38055555555555554</v>
      </c>
      <c r="D487" s="7">
        <f>(0.380555555555556-0.345138888888889)</f>
        <v>3.5416666666666985E-2</v>
      </c>
      <c r="E487" s="7">
        <f>ABS(0.035416666666667-0.022916666666667)</f>
        <v>1.2499999999999997E-2</v>
      </c>
      <c r="F487" s="1" t="s">
        <v>10</v>
      </c>
      <c r="G487" s="7"/>
    </row>
    <row r="488" spans="1:7" x14ac:dyDescent="0.25">
      <c r="A488" s="11">
        <v>42217</v>
      </c>
      <c r="B488" s="7">
        <v>0.50694444444444442</v>
      </c>
      <c r="C488" s="7">
        <v>0.52986111111111112</v>
      </c>
      <c r="D488" s="7">
        <f>(0.529861111111111-0.506944444444444)</f>
        <v>2.2916666666667029E-2</v>
      </c>
      <c r="E488" s="7">
        <f>ABS(0.022916666666667-0.0152777777777771)</f>
        <v>7.6388888888899008E-3</v>
      </c>
      <c r="F488" s="1" t="s">
        <v>10</v>
      </c>
      <c r="G488" s="7"/>
    </row>
    <row r="489" spans="1:7" x14ac:dyDescent="0.25">
      <c r="A489" s="11">
        <v>42217</v>
      </c>
      <c r="B489" s="7">
        <v>0.72569444444444453</v>
      </c>
      <c r="C489" s="7">
        <v>0.74097222222222225</v>
      </c>
      <c r="D489" s="7">
        <f>(0.740972222222222-0.725694444444445)</f>
        <v>1.5277777777777057E-2</v>
      </c>
      <c r="E489" s="7">
        <f>ABS(0.0152777777777771-0.0152777777777779)</f>
        <v>7.9970752242530807E-16</v>
      </c>
      <c r="F489" s="1" t="s">
        <v>10</v>
      </c>
      <c r="G489" s="7"/>
    </row>
    <row r="490" spans="1:7" x14ac:dyDescent="0.25">
      <c r="A490" s="11">
        <v>42217</v>
      </c>
      <c r="B490" s="7">
        <v>0.83611111111111114</v>
      </c>
      <c r="C490" s="7">
        <v>0.85138888888888886</v>
      </c>
      <c r="D490" s="7">
        <f>(0.851388888888889-0.836111111111111)</f>
        <v>1.5277777777777946E-2</v>
      </c>
      <c r="E490" s="7">
        <f>ABS(0.0152777777777779-0.0166666666666667)</f>
        <v>1.3888888888888007E-3</v>
      </c>
      <c r="F490" s="1" t="s">
        <v>10</v>
      </c>
      <c r="G490" s="7"/>
    </row>
    <row r="491" spans="1:7" x14ac:dyDescent="0.25">
      <c r="A491" s="11">
        <v>42217</v>
      </c>
      <c r="B491" s="7">
        <v>4.2361111111111106E-2</v>
      </c>
      <c r="C491" s="7">
        <v>5.9027777777777783E-2</v>
      </c>
      <c r="D491" s="7">
        <f>(0.0590277777777778-0.0423611111111111)</f>
        <v>1.6666666666666698E-2</v>
      </c>
      <c r="E491" s="7">
        <f>ABS(0.0166666666666667-0.010416666666666)</f>
        <v>6.2500000000007012E-3</v>
      </c>
      <c r="F491" s="1" t="s">
        <v>10</v>
      </c>
      <c r="G491" s="7"/>
    </row>
    <row r="492" spans="1:7" x14ac:dyDescent="0.25">
      <c r="A492" s="11">
        <v>42217</v>
      </c>
      <c r="B492" s="7">
        <v>0.10902777777777778</v>
      </c>
      <c r="C492" s="7">
        <v>0.11944444444444445</v>
      </c>
      <c r="D492" s="7">
        <f>(0.119444444444444-0.109027777777778)</f>
        <v>1.0416666666666005E-2</v>
      </c>
      <c r="E492" s="7">
        <f>ABS(0.010416666666666-0.016666666666666)</f>
        <v>6.2500000000000003E-3</v>
      </c>
      <c r="F492" s="1" t="s">
        <v>10</v>
      </c>
      <c r="G492" s="7"/>
    </row>
    <row r="493" spans="1:7" x14ac:dyDescent="0.25">
      <c r="A493" s="11">
        <v>42217</v>
      </c>
      <c r="B493" s="7">
        <v>0.3430555555555555</v>
      </c>
      <c r="C493" s="7">
        <v>0.35972222222222222</v>
      </c>
      <c r="D493" s="7">
        <f>(0.359722222222222-0.343055555555556)</f>
        <v>1.6666666666665997E-2</v>
      </c>
      <c r="E493" s="7">
        <f>ABS(0.016666666666666-0.01875)</f>
        <v>2.083333333333999E-3</v>
      </c>
      <c r="F493" s="1" t="s">
        <v>10</v>
      </c>
      <c r="G493" s="7"/>
    </row>
    <row r="494" spans="1:7" x14ac:dyDescent="0.25">
      <c r="A494" s="11">
        <v>42217</v>
      </c>
      <c r="B494" s="7">
        <v>0.42638888888888887</v>
      </c>
      <c r="C494" s="7">
        <v>0.44513888888888892</v>
      </c>
      <c r="D494" s="7">
        <f>(0.445138888888889-0.426388888888889)</f>
        <v>1.8749999999999989E-2</v>
      </c>
      <c r="E494" s="7">
        <f>ABS(0.01875-0.017361111111111)</f>
        <v>1.3888888888889984E-3</v>
      </c>
      <c r="F494" s="1" t="s">
        <v>10</v>
      </c>
      <c r="G494" s="7"/>
    </row>
    <row r="495" spans="1:7" x14ac:dyDescent="0.25">
      <c r="A495" s="11">
        <v>42217</v>
      </c>
      <c r="B495" s="7">
        <v>0.48958333333333331</v>
      </c>
      <c r="C495" s="7">
        <v>0.50694444444444442</v>
      </c>
      <c r="D495" s="7">
        <f>(0.506944444444444-0.489583333333333)</f>
        <v>1.7361111111110994E-2</v>
      </c>
      <c r="E495" s="7">
        <f>ABS(0.017361111111111-0.022222222222222)</f>
        <v>4.8611111111110002E-3</v>
      </c>
      <c r="F495" s="1" t="s">
        <v>10</v>
      </c>
      <c r="G495" s="7"/>
    </row>
    <row r="496" spans="1:7" x14ac:dyDescent="0.25">
      <c r="A496" s="11">
        <v>42217</v>
      </c>
      <c r="B496" s="7">
        <v>0.51180555555555551</v>
      </c>
      <c r="C496" s="7">
        <v>0.53402777777777777</v>
      </c>
      <c r="D496" s="7">
        <f>(0.534027777777778-0.511805555555556)</f>
        <v>2.2222222222222032E-2</v>
      </c>
      <c r="E496" s="7">
        <f>ABS(0.022222222222222-0.0180555555555559)</f>
        <v>4.1666666666661002E-3</v>
      </c>
      <c r="F496" s="1" t="s">
        <v>10</v>
      </c>
      <c r="G496" s="7"/>
    </row>
    <row r="497" spans="1:7" x14ac:dyDescent="0.25">
      <c r="A497" s="11">
        <v>42217</v>
      </c>
      <c r="B497" s="7">
        <v>0.51597222222222217</v>
      </c>
      <c r="C497" s="7">
        <v>0.53402777777777777</v>
      </c>
      <c r="D497" s="7">
        <f>(0.534027777777778-0.515972222222222)</f>
        <v>1.8055555555555935E-2</v>
      </c>
      <c r="E497" s="7">
        <f>ABS(0.0180555555555559-0.0145833333333339)</f>
        <v>3.472222222222E-3</v>
      </c>
      <c r="F497" s="1" t="s">
        <v>10</v>
      </c>
      <c r="G497" s="7"/>
    </row>
    <row r="498" spans="1:7" x14ac:dyDescent="0.25">
      <c r="A498" s="11">
        <v>42217</v>
      </c>
      <c r="B498" s="7">
        <v>0.86944444444444446</v>
      </c>
      <c r="C498" s="7">
        <v>0.88402777777777775</v>
      </c>
      <c r="D498" s="7">
        <f>(0.884027777777778-0.869444444444444)</f>
        <v>1.4583333333333948E-2</v>
      </c>
      <c r="E498" s="7">
        <f>ABS(0.0145833333333339-0.0159722222222221)</f>
        <v>1.3888888888881987E-3</v>
      </c>
      <c r="F498" s="1" t="s">
        <v>10</v>
      </c>
      <c r="G498" s="7"/>
    </row>
    <row r="499" spans="1:7" x14ac:dyDescent="0.25">
      <c r="A499" s="11">
        <v>42217</v>
      </c>
      <c r="B499" s="7">
        <v>0.94236111111111109</v>
      </c>
      <c r="C499" s="7">
        <v>0.95833333333333337</v>
      </c>
      <c r="D499" s="7">
        <f>(0.958333333333333-0.942361111111111)</f>
        <v>1.5972222222222054E-2</v>
      </c>
      <c r="E499" s="7">
        <f>ABS(0.0159722222222221-0.031250000000005)</f>
        <v>1.5277777777782903E-2</v>
      </c>
      <c r="F499" s="1" t="s">
        <v>10</v>
      </c>
      <c r="G499" s="7"/>
    </row>
    <row r="500" spans="1:7" x14ac:dyDescent="0.25">
      <c r="A500" s="11">
        <v>42217</v>
      </c>
      <c r="B500" s="7">
        <v>0.99305555555555547</v>
      </c>
      <c r="C500" s="7">
        <v>1.0243055555555556</v>
      </c>
      <c r="D500" s="7">
        <f>(1.02430555555556-0.993055555555555)</f>
        <v>3.1250000000004996E-2</v>
      </c>
      <c r="E500" s="7">
        <f>ABS(0.031250000000005-0.0152777777777778)</f>
        <v>1.5972222222227203E-2</v>
      </c>
      <c r="F500" s="1" t="s">
        <v>10</v>
      </c>
      <c r="G500" s="7"/>
    </row>
    <row r="501" spans="1:7" x14ac:dyDescent="0.25">
      <c r="A501" s="11">
        <v>42217</v>
      </c>
      <c r="B501" s="7">
        <v>3.1944444444444449E-2</v>
      </c>
      <c r="C501" s="7">
        <v>4.7222222222222221E-2</v>
      </c>
      <c r="D501" s="7">
        <f>(0.0472222222222222-0.0319444444444444)</f>
        <v>1.52777777777778E-2</v>
      </c>
      <c r="E501" s="7">
        <f>ABS(0.0152777777777778-0.01736111111112)</f>
        <v>2.0833333333422008E-3</v>
      </c>
      <c r="F501" s="1" t="s">
        <v>10</v>
      </c>
      <c r="G501" s="7"/>
    </row>
    <row r="502" spans="1:7" x14ac:dyDescent="0.25">
      <c r="A502" s="11">
        <v>42217</v>
      </c>
      <c r="B502" s="7">
        <v>1.0131944444444445</v>
      </c>
      <c r="C502" s="7">
        <v>1.0305555555555557</v>
      </c>
      <c r="D502" s="7">
        <f>(1.03055555555556-1.01319444444444)</f>
        <v>1.7361111111120042E-2</v>
      </c>
      <c r="E502" s="7">
        <f>ABS(0.01736111111112-0.01875)</f>
        <v>1.3888888888799987E-3</v>
      </c>
      <c r="F502" s="1" t="s">
        <v>10</v>
      </c>
      <c r="G502" s="7"/>
    </row>
    <row r="503" spans="1:7" x14ac:dyDescent="0.25">
      <c r="A503" s="11">
        <v>42217</v>
      </c>
      <c r="B503" s="7">
        <v>0.39930555555555558</v>
      </c>
      <c r="C503" s="7">
        <v>0.41805555555555557</v>
      </c>
      <c r="D503" s="7">
        <f>(0.418055555555556-0.399305555555556)</f>
        <v>1.8749999999999989E-2</v>
      </c>
      <c r="E503" s="7">
        <f>ABS(0.01875-0.011111111111112)</f>
        <v>7.6388888888879996E-3</v>
      </c>
      <c r="F503" s="1" t="s">
        <v>10</v>
      </c>
      <c r="G503" s="7"/>
    </row>
    <row r="504" spans="1:7" x14ac:dyDescent="0.25">
      <c r="A504" s="11">
        <v>42217</v>
      </c>
      <c r="B504" s="7">
        <v>0.38819444444444445</v>
      </c>
      <c r="C504" s="7">
        <v>0.39930555555555558</v>
      </c>
      <c r="D504" s="7">
        <f>(0.399305555555556-0.388194444444444)</f>
        <v>1.1111111111112015E-2</v>
      </c>
      <c r="E504" s="7">
        <f>ABS(0.011111111111112-0.020833333333333)</f>
        <v>9.7222222222209994E-3</v>
      </c>
      <c r="F504" s="1" t="s">
        <v>10</v>
      </c>
      <c r="G504" s="7"/>
    </row>
    <row r="505" spans="1:7" x14ac:dyDescent="0.25">
      <c r="A505" s="11">
        <v>42217</v>
      </c>
      <c r="B505" s="7">
        <v>0.62777777777777777</v>
      </c>
      <c r="C505" s="7">
        <v>0.64861111111111114</v>
      </c>
      <c r="D505" s="7">
        <f>(0.648611111111111-0.627777777777778)</f>
        <v>2.0833333333333037E-2</v>
      </c>
      <c r="E505" s="7">
        <f>ABS(0.020833333333333-0.236111111111111)</f>
        <v>0.21527777777777798</v>
      </c>
      <c r="F505" s="1" t="s">
        <v>10</v>
      </c>
      <c r="G505" s="7"/>
    </row>
    <row r="506" spans="1:7" x14ac:dyDescent="0.25">
      <c r="A506" s="11">
        <v>42217</v>
      </c>
      <c r="B506" s="7">
        <v>0.65208333333333335</v>
      </c>
      <c r="C506" s="7">
        <v>0.8881944444444444</v>
      </c>
      <c r="D506" s="7">
        <f>(0.888194444444444-0.652083333333333)</f>
        <v>0.23611111111111094</v>
      </c>
      <c r="E506" s="7">
        <f>ABS(0.236111111111111-0.024305555555555)</f>
        <v>0.211805555555556</v>
      </c>
      <c r="F506" s="1" t="s">
        <v>10</v>
      </c>
      <c r="G506" s="7"/>
    </row>
    <row r="507" spans="1:7" x14ac:dyDescent="0.25">
      <c r="A507" s="11">
        <v>42217</v>
      </c>
      <c r="B507" s="7">
        <v>0.83888888888888891</v>
      </c>
      <c r="C507" s="7">
        <v>0.86319444444444438</v>
      </c>
      <c r="D507" s="7">
        <f>(0.863194444444444-0.838888888888889)</f>
        <v>2.4305555555555025E-2</v>
      </c>
      <c r="E507" s="7">
        <f>ABS(0.024305555555555-0.020138888888889)</f>
        <v>4.1666666666659996E-3</v>
      </c>
      <c r="F507" s="1" t="s">
        <v>10</v>
      </c>
      <c r="G507" s="7"/>
    </row>
    <row r="508" spans="1:7" x14ac:dyDescent="0.25">
      <c r="A508" s="11">
        <v>42217</v>
      </c>
      <c r="B508" s="7">
        <v>0.85416666666666663</v>
      </c>
      <c r="C508" s="7">
        <v>0.87430555555555556</v>
      </c>
      <c r="D508" s="7">
        <f>(0.874305555555556-0.854166666666667)</f>
        <v>2.0138888888889039E-2</v>
      </c>
      <c r="E508" s="7">
        <f>ABS(0.020138888888889-0.023611111111111)</f>
        <v>3.4722222222219983E-3</v>
      </c>
      <c r="F508" s="1" t="s">
        <v>10</v>
      </c>
      <c r="G508" s="7"/>
    </row>
    <row r="509" spans="1:7" x14ac:dyDescent="0.25">
      <c r="A509" s="11">
        <v>42217</v>
      </c>
      <c r="B509" s="7">
        <v>0.50416666666666665</v>
      </c>
      <c r="C509" s="7">
        <v>0.52777777777777779</v>
      </c>
      <c r="D509" s="7">
        <f>(0.527777777777778-0.504166666666667)</f>
        <v>2.3611111111111027E-2</v>
      </c>
      <c r="E509" s="7"/>
      <c r="F509" s="1" t="s">
        <v>10</v>
      </c>
      <c r="G509" s="7"/>
    </row>
    <row r="510" spans="1:7" x14ac:dyDescent="0.25">
      <c r="A510" s="11">
        <v>42217</v>
      </c>
      <c r="B510" s="7">
        <v>1.0250000000000001</v>
      </c>
      <c r="C510" s="7">
        <v>1.0409722222222222</v>
      </c>
      <c r="D510" s="7">
        <f>(1.04097222222222-1.025)</f>
        <v>1.5972222222220056E-2</v>
      </c>
      <c r="E510" s="7">
        <f>ABS(0.0159722222222201-0.013194444444444)</f>
        <v>2.7777777777761008E-3</v>
      </c>
      <c r="F510" s="1" t="s">
        <v>8</v>
      </c>
      <c r="G510" s="7"/>
    </row>
    <row r="511" spans="1:7" x14ac:dyDescent="0.25">
      <c r="A511" s="11">
        <v>42217</v>
      </c>
      <c r="B511" s="7">
        <v>0.78125</v>
      </c>
      <c r="C511" s="7">
        <v>0.7944444444444444</v>
      </c>
      <c r="D511" s="7">
        <f>(0.794444444444444-0.78125)</f>
        <v>1.3194444444443953E-2</v>
      </c>
      <c r="E511" s="7">
        <f>ABS(0.013194444444444-0.018055555555555)</f>
        <v>4.8611111111109984E-3</v>
      </c>
      <c r="F511" s="1" t="s">
        <v>8</v>
      </c>
      <c r="G511" s="7"/>
    </row>
    <row r="512" spans="1:7" x14ac:dyDescent="0.25">
      <c r="A512" s="11">
        <v>42217</v>
      </c>
      <c r="B512" s="7">
        <v>0.48680555555555555</v>
      </c>
      <c r="C512" s="7">
        <v>0.50486111111111109</v>
      </c>
      <c r="D512" s="7">
        <f>(0.504861111111111-0.486805555555556)</f>
        <v>1.8055555555554992E-2</v>
      </c>
      <c r="E512" s="7">
        <f>ABS(0.018055555555555-0.0125)</f>
        <v>5.5555555555549981E-3</v>
      </c>
      <c r="F512" s="1" t="s">
        <v>8</v>
      </c>
      <c r="G512" s="7"/>
    </row>
    <row r="513" spans="1:7" x14ac:dyDescent="0.25">
      <c r="A513" s="11">
        <v>42217</v>
      </c>
      <c r="B513" s="7">
        <v>0.65347222222222223</v>
      </c>
      <c r="C513" s="7">
        <v>0.66597222222222219</v>
      </c>
      <c r="D513" s="7">
        <f>(0.665972222222222-0.653472222222222)</f>
        <v>1.2499999999999956E-2</v>
      </c>
      <c r="E513" s="7">
        <f>ABS(0.0125-0.0229166666666669)</f>
        <v>1.04166666666669E-2</v>
      </c>
      <c r="F513" s="1" t="s">
        <v>8</v>
      </c>
      <c r="G513" s="7"/>
    </row>
    <row r="514" spans="1:7" x14ac:dyDescent="0.25">
      <c r="A514" s="11">
        <v>42217</v>
      </c>
      <c r="B514" s="7">
        <v>0.76874999999999993</v>
      </c>
      <c r="C514" s="7">
        <v>0.79166666666666663</v>
      </c>
      <c r="D514" s="7">
        <f>(0.791666666666667-0.76875)</f>
        <v>2.2916666666666918E-2</v>
      </c>
      <c r="E514" s="7">
        <f>ABS(0.0229166666666669-0.0298611111111111)</f>
        <v>6.9444444444441977E-3</v>
      </c>
      <c r="F514" s="1" t="s">
        <v>8</v>
      </c>
      <c r="G514" s="7"/>
    </row>
    <row r="515" spans="1:7" x14ac:dyDescent="0.25">
      <c r="A515" s="11">
        <v>42217</v>
      </c>
      <c r="B515" s="7">
        <v>6.805555555555555E-2</v>
      </c>
      <c r="C515" s="7">
        <v>9.7916666666666666E-2</v>
      </c>
      <c r="D515" s="7">
        <f>(0.0979166666666667-0.0680555555555556)</f>
        <v>2.9861111111111088E-2</v>
      </c>
      <c r="E515" s="7">
        <f>ABS(0.0298611111111111-0.01875)</f>
        <v>1.1111111111111099E-2</v>
      </c>
      <c r="F515" s="1" t="s">
        <v>8</v>
      </c>
      <c r="G515" s="7"/>
    </row>
    <row r="516" spans="1:7" x14ac:dyDescent="0.25">
      <c r="A516" s="11">
        <v>42217</v>
      </c>
      <c r="B516" s="7">
        <v>0.71875</v>
      </c>
      <c r="C516" s="7">
        <v>0.73749999999999993</v>
      </c>
      <c r="D516" s="7">
        <f>(0.7375-0.71875)</f>
        <v>1.8750000000000044E-2</v>
      </c>
      <c r="E516" s="7">
        <f>ABS(0.01875-0.00972222222222197)</f>
        <v>9.0277777777780285E-3</v>
      </c>
      <c r="F516" s="1" t="s">
        <v>8</v>
      </c>
      <c r="G516" s="7"/>
    </row>
    <row r="517" spans="1:7" x14ac:dyDescent="0.25">
      <c r="A517" s="11">
        <v>42217</v>
      </c>
      <c r="B517" s="7">
        <v>0.90555555555555556</v>
      </c>
      <c r="C517" s="7">
        <v>0.91527777777777775</v>
      </c>
      <c r="D517" s="7">
        <f>(0.915277777777778-0.905555555555556)</f>
        <v>9.7222222222219656E-3</v>
      </c>
      <c r="E517" s="7">
        <f>ABS(0.00972222222222197-0.013888888888889)</f>
        <v>4.1666666666670283E-3</v>
      </c>
      <c r="F517" s="1" t="s">
        <v>8</v>
      </c>
      <c r="G517" s="7"/>
    </row>
    <row r="518" spans="1:7" x14ac:dyDescent="0.25">
      <c r="A518" s="11">
        <v>42217</v>
      </c>
      <c r="B518" s="7">
        <v>0.43541666666666662</v>
      </c>
      <c r="C518" s="7">
        <v>0.44930555555555557</v>
      </c>
      <c r="D518" s="7">
        <f>(0.449305555555556-0.435416666666667)</f>
        <v>1.3888888888889006E-2</v>
      </c>
      <c r="E518" s="7">
        <f>ABS(0.013888888888889-0.036111111111111)</f>
        <v>2.2222222222221998E-2</v>
      </c>
      <c r="F518" s="1" t="s">
        <v>8</v>
      </c>
      <c r="G518" s="7"/>
    </row>
    <row r="519" spans="1:7" x14ac:dyDescent="0.25">
      <c r="A519" s="11">
        <v>42217</v>
      </c>
      <c r="B519" s="7">
        <v>0.59375</v>
      </c>
      <c r="C519" s="7">
        <v>0.62986111111111109</v>
      </c>
      <c r="D519" s="7">
        <f>(0.629861111111111-0.59375)</f>
        <v>3.6111111111110983E-2</v>
      </c>
      <c r="E519" s="7">
        <f>ABS(0.036111111111111-0.0152777777777779)</f>
        <v>2.0833333333333096E-2</v>
      </c>
      <c r="F519" s="1" t="s">
        <v>8</v>
      </c>
      <c r="G519" s="7"/>
    </row>
    <row r="520" spans="1:7" x14ac:dyDescent="0.25">
      <c r="A520" s="11">
        <v>42217</v>
      </c>
      <c r="B520" s="7">
        <v>0.71875</v>
      </c>
      <c r="C520" s="7">
        <v>0.73402777777777783</v>
      </c>
      <c r="D520" s="7">
        <f>(0.734027777777778-0.71875)</f>
        <v>1.5277777777777946E-2</v>
      </c>
      <c r="E520" s="7">
        <f>ABS(0.0152777777777779-0.017361111111111)</f>
        <v>2.0833333333331004E-3</v>
      </c>
      <c r="F520" s="1" t="s">
        <v>8</v>
      </c>
      <c r="G520" s="7"/>
    </row>
    <row r="521" spans="1:7" x14ac:dyDescent="0.25">
      <c r="A521" s="11">
        <v>42217</v>
      </c>
      <c r="B521" s="7">
        <v>0.25833333333333336</v>
      </c>
      <c r="C521" s="7">
        <v>0.27569444444444446</v>
      </c>
      <c r="D521" s="7">
        <f>(0.275694444444444-0.258333333333333)</f>
        <v>1.7361111111110994E-2</v>
      </c>
      <c r="E521" s="7">
        <f>ABS(0.017361111111111-0.01111111111111)</f>
        <v>6.2500000000010013E-3</v>
      </c>
      <c r="F521" s="1" t="s">
        <v>8</v>
      </c>
      <c r="G521" s="7"/>
    </row>
    <row r="522" spans="1:7" x14ac:dyDescent="0.25">
      <c r="A522" s="11">
        <v>42217</v>
      </c>
      <c r="B522" s="7">
        <v>1.0013888888888889</v>
      </c>
      <c r="C522" s="7">
        <v>1.0125</v>
      </c>
      <c r="D522" s="7">
        <f>(1.0125-1.00138888888889)</f>
        <v>1.1111111111109961E-2</v>
      </c>
      <c r="E522" s="7">
        <f>ABS(0.01111111111111-0.0118055555555551)</f>
        <v>6.9444444444510117E-4</v>
      </c>
      <c r="F522" s="1" t="s">
        <v>8</v>
      </c>
      <c r="G522" s="7"/>
    </row>
    <row r="523" spans="1:7" x14ac:dyDescent="0.25">
      <c r="A523" s="11">
        <v>42217</v>
      </c>
      <c r="B523" s="7">
        <v>0.73055555555555562</v>
      </c>
      <c r="C523" s="7">
        <v>0.74236111111111114</v>
      </c>
      <c r="D523" s="7">
        <f>(0.742361111111111-0.730555555555556)</f>
        <v>1.180555555555507E-2</v>
      </c>
      <c r="E523" s="7">
        <f>ABS(0.0118055555555551-0.013194444444444)</f>
        <v>1.3888888888888996E-3</v>
      </c>
      <c r="F523" s="1" t="s">
        <v>8</v>
      </c>
      <c r="G523" s="7"/>
    </row>
    <row r="524" spans="1:7" x14ac:dyDescent="0.25">
      <c r="A524" s="11">
        <v>42217</v>
      </c>
      <c r="B524" s="7">
        <v>0.59166666666666667</v>
      </c>
      <c r="C524" s="7">
        <v>0.60486111111111118</v>
      </c>
      <c r="D524" s="7">
        <f>(0.604861111111111-0.591666666666667)</f>
        <v>1.3194444444443953E-2</v>
      </c>
      <c r="E524" s="7">
        <f>ABS(0.013194444444444-0.0187499999999999)</f>
        <v>5.5555555555558984E-3</v>
      </c>
      <c r="F524" s="1" t="s">
        <v>8</v>
      </c>
      <c r="G524" s="7"/>
    </row>
    <row r="525" spans="1:7" x14ac:dyDescent="0.25">
      <c r="A525" s="11">
        <v>42217</v>
      </c>
      <c r="B525" s="7">
        <v>0.68125000000000002</v>
      </c>
      <c r="C525" s="7">
        <v>0.70000000000000007</v>
      </c>
      <c r="D525" s="7">
        <f>(0.7-0.68125)</f>
        <v>1.8749999999999933E-2</v>
      </c>
      <c r="E525" s="7">
        <f>ABS(0.0187499999999999-0.0222222222222229)</f>
        <v>3.4722222222230009E-3</v>
      </c>
      <c r="F525" s="1" t="s">
        <v>8</v>
      </c>
      <c r="G525" s="7"/>
    </row>
    <row r="526" spans="1:7" x14ac:dyDescent="0.25">
      <c r="A526" s="11">
        <v>42217</v>
      </c>
      <c r="B526" s="7">
        <v>0.89583333333333337</v>
      </c>
      <c r="C526" s="7">
        <v>0.91805555555555562</v>
      </c>
      <c r="D526" s="7">
        <f>(0.918055555555556-0.895833333333333)</f>
        <v>2.222222222222292E-2</v>
      </c>
      <c r="E526" s="7">
        <f>ABS(0.0222222222222229-0.013194444444445)</f>
        <v>9.0277777777779001E-3</v>
      </c>
      <c r="F526" s="1" t="s">
        <v>8</v>
      </c>
      <c r="G526" s="7"/>
    </row>
    <row r="527" spans="1:7" x14ac:dyDescent="0.25">
      <c r="A527" s="11">
        <v>42217</v>
      </c>
      <c r="B527" s="7">
        <v>0.71319444444444446</v>
      </c>
      <c r="C527" s="7">
        <v>0.72638888888888886</v>
      </c>
      <c r="D527" s="7">
        <f>(0.726388888888889-0.713194444444444)</f>
        <v>1.3194444444444953E-2</v>
      </c>
      <c r="E527" s="7">
        <f>ABS(0.013194444444445-0.011805555555555)</f>
        <v>1.3888888888899994E-3</v>
      </c>
      <c r="F527" s="1" t="s">
        <v>8</v>
      </c>
      <c r="G527" s="7"/>
    </row>
    <row r="528" spans="1:7" x14ac:dyDescent="0.25">
      <c r="A528" s="11">
        <v>42217</v>
      </c>
      <c r="B528" s="7">
        <v>0.81527777777777777</v>
      </c>
      <c r="C528" s="7">
        <v>0.82708333333333339</v>
      </c>
      <c r="D528" s="7">
        <f>(0.827083333333333-0.815277777777778)</f>
        <v>1.1805555555554959E-2</v>
      </c>
      <c r="E528" s="7">
        <f>ABS(0.011805555555555-0.0166666666666661)</f>
        <v>4.8611111111111008E-3</v>
      </c>
      <c r="F528" s="1" t="s">
        <v>8</v>
      </c>
      <c r="G528" s="7"/>
    </row>
    <row r="529" spans="1:7" x14ac:dyDescent="0.25">
      <c r="A529" s="11">
        <v>42217</v>
      </c>
      <c r="B529" s="7">
        <v>0.65902777777777777</v>
      </c>
      <c r="C529" s="7">
        <v>0.67569444444444438</v>
      </c>
      <c r="D529" s="7">
        <f>(0.675694444444444-0.659027777777778)</f>
        <v>1.6666666666666052E-2</v>
      </c>
      <c r="E529" s="7">
        <f>ABS(0.0166666666666661-0.020138888888889)</f>
        <v>3.4722222222229003E-3</v>
      </c>
      <c r="F529" s="1" t="s">
        <v>8</v>
      </c>
      <c r="G529" s="7"/>
    </row>
    <row r="530" spans="1:7" x14ac:dyDescent="0.25">
      <c r="A530" s="11">
        <v>42217</v>
      </c>
      <c r="B530" s="7">
        <v>0.48333333333333334</v>
      </c>
      <c r="C530" s="7">
        <v>0.50347222222222221</v>
      </c>
      <c r="D530" s="7">
        <f>(0.503472222222222-0.483333333333333)</f>
        <v>2.0138888888888984E-2</v>
      </c>
      <c r="E530" s="7">
        <f>ABS(0.020138888888889-0.0173611111111109)</f>
        <v>2.777777777778101E-3</v>
      </c>
      <c r="F530" s="1" t="s">
        <v>8</v>
      </c>
      <c r="G530" s="7"/>
    </row>
    <row r="531" spans="1:7" x14ac:dyDescent="0.25">
      <c r="A531" s="11">
        <v>42217</v>
      </c>
      <c r="B531" s="7">
        <v>0.55625000000000002</v>
      </c>
      <c r="C531" s="7">
        <v>0.57361111111111118</v>
      </c>
      <c r="D531" s="7">
        <f>(0.573611111111111-0.55625)</f>
        <v>1.7361111111110938E-2</v>
      </c>
      <c r="E531" s="7">
        <f>ABS(0.0173611111111109-0.0152777777777779)</f>
        <v>2.0833333333329998E-3</v>
      </c>
      <c r="F531" s="1" t="s">
        <v>8</v>
      </c>
      <c r="G531" s="7"/>
    </row>
    <row r="532" spans="1:7" x14ac:dyDescent="0.25">
      <c r="A532" s="11">
        <v>42217</v>
      </c>
      <c r="B532" s="7">
        <v>0.58611111111111114</v>
      </c>
      <c r="C532" s="7">
        <v>0.60138888888888886</v>
      </c>
      <c r="D532" s="7">
        <f>(0.601388888888889-0.586111111111111)</f>
        <v>1.5277777777777946E-2</v>
      </c>
      <c r="E532" s="7">
        <f>ABS(0.0152777777777779-0.0138888888888891)</f>
        <v>1.3888888888888007E-3</v>
      </c>
      <c r="F532" s="1" t="s">
        <v>8</v>
      </c>
      <c r="G532" s="7"/>
    </row>
    <row r="533" spans="1:7" x14ac:dyDescent="0.25">
      <c r="A533" s="11">
        <v>42217</v>
      </c>
      <c r="B533" s="7">
        <v>0.56944444444444442</v>
      </c>
      <c r="C533" s="7">
        <v>0.58333333333333337</v>
      </c>
      <c r="D533" s="7">
        <f>(0.583333333333333-0.569444444444444)</f>
        <v>1.3888888888889062E-2</v>
      </c>
      <c r="E533" s="7">
        <f>ABS(0.0138888888888891-0.0145833333333331)</f>
        <v>6.9444444444399962E-4</v>
      </c>
      <c r="F533" s="1" t="s">
        <v>8</v>
      </c>
      <c r="G533" s="7"/>
    </row>
    <row r="534" spans="1:7" x14ac:dyDescent="0.25">
      <c r="A534" s="11">
        <v>42217</v>
      </c>
      <c r="B534" s="7">
        <v>0.69861111111111107</v>
      </c>
      <c r="C534" s="7">
        <v>0.71319444444444446</v>
      </c>
      <c r="D534" s="7">
        <f>(0.713194444444444-0.698611111111111)</f>
        <v>1.4583333333333059E-2</v>
      </c>
      <c r="E534" s="7">
        <f>ABS(0.0145833333333331-0.013194444444444)</f>
        <v>1.3888888888890991E-3</v>
      </c>
      <c r="F534" s="1" t="s">
        <v>8</v>
      </c>
      <c r="G534" s="7"/>
    </row>
    <row r="535" spans="1:7" x14ac:dyDescent="0.25">
      <c r="A535" s="11">
        <v>42217</v>
      </c>
      <c r="B535" s="7">
        <v>0.47152777777777777</v>
      </c>
      <c r="C535" s="7">
        <v>0.48472222222222222</v>
      </c>
      <c r="D535" s="7">
        <f>(0.484722222222222-0.471527777777778)</f>
        <v>1.3194444444444009E-2</v>
      </c>
      <c r="E535" s="7">
        <f>ABS(0.013194444444444-0.019444444444444)</f>
        <v>6.2500000000000003E-3</v>
      </c>
      <c r="F535" s="1" t="s">
        <v>8</v>
      </c>
      <c r="G535" s="7"/>
    </row>
    <row r="536" spans="1:7" x14ac:dyDescent="0.25">
      <c r="A536" s="11">
        <v>42217</v>
      </c>
      <c r="B536" s="7">
        <v>0.53263888888888888</v>
      </c>
      <c r="C536" s="13">
        <v>0.55208333333333337</v>
      </c>
      <c r="D536" s="13">
        <f>(0.552083333333333-0.532638888888889)</f>
        <v>1.9444444444444042E-2</v>
      </c>
      <c r="E536" s="13">
        <f>ABS(0.019444444444444-0.0215277777777779)</f>
        <v>2.0833333333338984E-3</v>
      </c>
      <c r="F536" s="1" t="s">
        <v>8</v>
      </c>
      <c r="G536" s="13"/>
    </row>
    <row r="537" spans="1:7" x14ac:dyDescent="0.25">
      <c r="A537" s="11">
        <v>42217</v>
      </c>
      <c r="B537" s="7">
        <v>0.7090277777777777</v>
      </c>
      <c r="C537" s="7">
        <v>0.73055555555555562</v>
      </c>
      <c r="D537" s="7">
        <f>(0.730555555555556-0.709027777777778)</f>
        <v>2.1527777777777923E-2</v>
      </c>
      <c r="E537" s="7">
        <f>ABS(0.0215277777777779-0.0159722222222221)</f>
        <v>5.5555555555557995E-3</v>
      </c>
      <c r="F537" s="1" t="s">
        <v>8</v>
      </c>
      <c r="G537" s="7"/>
    </row>
    <row r="538" spans="1:7" x14ac:dyDescent="0.25">
      <c r="A538" s="11">
        <v>42217</v>
      </c>
      <c r="B538" s="7">
        <v>0.98263888888888884</v>
      </c>
      <c r="C538" s="7">
        <v>0.99861111111111101</v>
      </c>
      <c r="D538" s="7">
        <f>(0.998611111111111-0.982638888888889)</f>
        <v>1.5972222222222054E-2</v>
      </c>
      <c r="E538" s="7">
        <f>ABS(0.0159722222222221-0.0145833333333331)</f>
        <v>1.3888888888890002E-3</v>
      </c>
      <c r="F538" s="1" t="s">
        <v>8</v>
      </c>
      <c r="G538" s="7"/>
    </row>
    <row r="539" spans="1:7" x14ac:dyDescent="0.25">
      <c r="A539" s="11">
        <v>42217</v>
      </c>
      <c r="B539" s="7">
        <v>0.8847222222222223</v>
      </c>
      <c r="C539" s="7">
        <v>0.89930555555555547</v>
      </c>
      <c r="D539" s="7">
        <f>(0.899305555555555-0.884722222222222)</f>
        <v>1.4583333333333059E-2</v>
      </c>
      <c r="E539" s="7">
        <f>ABS(0.0145833333333331-0.026388888888889)</f>
        <v>1.18055555555559E-2</v>
      </c>
      <c r="F539" s="1" t="s">
        <v>8</v>
      </c>
      <c r="G539" s="7"/>
    </row>
    <row r="540" spans="1:7" x14ac:dyDescent="0.25">
      <c r="A540" s="11">
        <v>42217</v>
      </c>
      <c r="B540" s="7">
        <v>0.3666666666666667</v>
      </c>
      <c r="C540" s="7">
        <v>0.39305555555555555</v>
      </c>
      <c r="D540" s="7">
        <f>(0.393055555555556-0.366666666666667)</f>
        <v>2.6388888888889017E-2</v>
      </c>
      <c r="E540" s="7">
        <f>ABS(0.026388888888889-0.089583333333334)</f>
        <v>6.3194444444444997E-2</v>
      </c>
      <c r="F540" s="1" t="s">
        <v>8</v>
      </c>
      <c r="G540" s="7"/>
    </row>
    <row r="541" spans="1:7" x14ac:dyDescent="0.25">
      <c r="A541" s="11">
        <v>42217</v>
      </c>
      <c r="B541" s="7">
        <v>0.52708333333333335</v>
      </c>
      <c r="C541" s="7">
        <v>0.6166666666666667</v>
      </c>
      <c r="D541" s="7">
        <f>(0.616666666666667-0.527083333333333)</f>
        <v>8.9583333333334014E-2</v>
      </c>
      <c r="E541" s="7">
        <f>ABS(0.089583333333334-0.026388888888889)</f>
        <v>6.3194444444444997E-2</v>
      </c>
      <c r="F541" s="1" t="s">
        <v>8</v>
      </c>
      <c r="G541" s="7"/>
    </row>
    <row r="542" spans="1:7" x14ac:dyDescent="0.25">
      <c r="A542" s="11">
        <v>42217</v>
      </c>
      <c r="B542" s="7">
        <v>0.70833333333333337</v>
      </c>
      <c r="C542" s="7">
        <v>0.73472222222222217</v>
      </c>
      <c r="D542" s="7">
        <f>(0.734722222222222-0.708333333333333)</f>
        <v>2.6388888888889017E-2</v>
      </c>
      <c r="E542" s="7">
        <f>ABS(0.026388888888889-0.013888888888888)</f>
        <v>1.2500000000001E-2</v>
      </c>
      <c r="F542" s="1" t="s">
        <v>8</v>
      </c>
      <c r="G542" s="7"/>
    </row>
    <row r="543" spans="1:7" x14ac:dyDescent="0.25">
      <c r="A543" s="11">
        <v>42217</v>
      </c>
      <c r="B543" s="7">
        <v>0.7680555555555556</v>
      </c>
      <c r="C543" s="7">
        <v>0.78194444444444444</v>
      </c>
      <c r="D543" s="7">
        <f>(0.781944444444444-0.768055555555556)</f>
        <v>1.3888888888887951E-2</v>
      </c>
      <c r="E543" s="7">
        <f>ABS(0.013888888888888-0.01875)</f>
        <v>4.8611111111119994E-3</v>
      </c>
      <c r="F543" s="1" t="s">
        <v>8</v>
      </c>
      <c r="G543" s="7"/>
    </row>
    <row r="544" spans="1:7" x14ac:dyDescent="0.25">
      <c r="A544" s="11">
        <v>42217</v>
      </c>
      <c r="B544" s="7">
        <v>0.78055555555555556</v>
      </c>
      <c r="C544" s="7">
        <v>0.7993055555555556</v>
      </c>
      <c r="D544" s="7">
        <f>(0.799305555555556-0.780555555555556)</f>
        <v>1.8750000000000044E-2</v>
      </c>
      <c r="E544" s="7">
        <f>ABS(0.01875-0.0131944444444451)</f>
        <v>5.5555555555548992E-3</v>
      </c>
      <c r="F544" s="1" t="s">
        <v>8</v>
      </c>
      <c r="G544" s="7"/>
    </row>
    <row r="545" spans="1:7" x14ac:dyDescent="0.25">
      <c r="A545" s="11">
        <v>42217</v>
      </c>
      <c r="B545" s="7">
        <v>0.84722222222222221</v>
      </c>
      <c r="C545" s="7">
        <v>0.86041666666666661</v>
      </c>
      <c r="D545" s="7">
        <f>(0.860416666666667-0.847222222222222)</f>
        <v>1.3194444444445064E-2</v>
      </c>
      <c r="E545" s="7">
        <f>ABS(0.0131944444444451-0.0152777777777778)</f>
        <v>2.0833333333326997E-3</v>
      </c>
      <c r="F545" s="1" t="s">
        <v>8</v>
      </c>
      <c r="G545" s="7"/>
    </row>
    <row r="546" spans="1:7" x14ac:dyDescent="0.25">
      <c r="A546" s="11">
        <v>42217</v>
      </c>
      <c r="B546" s="7">
        <v>3.1944444444444449E-2</v>
      </c>
      <c r="C546" s="7">
        <v>4.7222222222222221E-2</v>
      </c>
      <c r="D546" s="7">
        <f>(0.0472222222222222-0.0319444444444444)</f>
        <v>1.52777777777778E-2</v>
      </c>
      <c r="E546" s="7">
        <f>ABS(0.0152777777777778-0.022222222222222)</f>
        <v>6.9444444444442012E-3</v>
      </c>
      <c r="F546" s="1" t="s">
        <v>8</v>
      </c>
      <c r="G546" s="7"/>
    </row>
    <row r="547" spans="1:7" x14ac:dyDescent="0.25">
      <c r="A547" s="11">
        <v>42217</v>
      </c>
      <c r="B547" s="7">
        <v>0.55972222222222223</v>
      </c>
      <c r="C547" s="7">
        <v>0.58194444444444449</v>
      </c>
      <c r="D547" s="7">
        <f>(0.581944444444444-0.559722222222222)</f>
        <v>2.2222222222222032E-2</v>
      </c>
      <c r="E547" s="7"/>
      <c r="F547" s="1" t="s">
        <v>8</v>
      </c>
      <c r="G547" s="7"/>
    </row>
    <row r="548" spans="1:7" x14ac:dyDescent="0.25">
      <c r="A548" s="11">
        <v>42217</v>
      </c>
      <c r="B548" s="7">
        <v>0.36458333333333331</v>
      </c>
      <c r="C548" s="7">
        <v>0.3840277777777778</v>
      </c>
      <c r="D548" s="7">
        <f>(0.384027777777778-0.364583333333333)</f>
        <v>1.9444444444445041E-2</v>
      </c>
      <c r="E548" s="7">
        <f>ABS(0.019444444444445-0.0145833333333339)</f>
        <v>4.861111111111099E-3</v>
      </c>
      <c r="F548" s="1" t="s">
        <v>11</v>
      </c>
      <c r="G548" s="7"/>
    </row>
    <row r="549" spans="1:7" x14ac:dyDescent="0.25">
      <c r="A549" s="11">
        <v>42217</v>
      </c>
      <c r="B549" s="7">
        <v>0.49444444444444446</v>
      </c>
      <c r="C549" s="7">
        <v>0.50902777777777775</v>
      </c>
      <c r="D549" s="7">
        <f>(0.509027777777778-0.494444444444444)</f>
        <v>1.4583333333333948E-2</v>
      </c>
      <c r="E549" s="7">
        <f>ABS(0.0145833333333339-0.0201388888888889)</f>
        <v>5.5555555555549998E-3</v>
      </c>
      <c r="F549" s="1" t="s">
        <v>11</v>
      </c>
      <c r="G549" s="7"/>
    </row>
    <row r="550" spans="1:7" x14ac:dyDescent="0.25">
      <c r="A550" s="11">
        <v>42217</v>
      </c>
      <c r="B550" s="7">
        <v>0.58124999999999993</v>
      </c>
      <c r="C550" s="7">
        <v>0.60138888888888886</v>
      </c>
      <c r="D550" s="7">
        <f>(0.601388888888889-0.58125)</f>
        <v>2.0138888888888928E-2</v>
      </c>
      <c r="E550" s="7">
        <f>ABS(0.0201388888888889-0.022222222222222)</f>
        <v>2.0833333333331004E-3</v>
      </c>
      <c r="F550" s="1" t="s">
        <v>11</v>
      </c>
      <c r="G550" s="7"/>
    </row>
    <row r="551" spans="1:7" x14ac:dyDescent="0.25">
      <c r="A551" s="11">
        <v>42217</v>
      </c>
      <c r="B551" s="7">
        <v>0.63680555555555551</v>
      </c>
      <c r="C551" s="7">
        <v>0.65902777777777777</v>
      </c>
      <c r="D551" s="7">
        <f>(0.659027777777778-0.636805555555556)</f>
        <v>2.2222222222222032E-2</v>
      </c>
      <c r="E551" s="7">
        <f>ABS(0.022222222222222-0.0256944444444449)</f>
        <v>3.4722222222229003E-3</v>
      </c>
      <c r="F551" s="1" t="s">
        <v>11</v>
      </c>
      <c r="G551" s="7"/>
    </row>
    <row r="552" spans="1:7" x14ac:dyDescent="0.25">
      <c r="A552" s="11">
        <v>42217</v>
      </c>
      <c r="B552" s="7">
        <v>0.58333333333333337</v>
      </c>
      <c r="C552" s="7">
        <v>0.60902777777777783</v>
      </c>
      <c r="D552" s="7">
        <f>(0.609027777777778-0.583333333333333)</f>
        <v>2.5694444444444908E-2</v>
      </c>
      <c r="E552" s="7">
        <f>ABS(0.0256944444444449-0.0159722222222221)</f>
        <v>9.7222222222228018E-3</v>
      </c>
      <c r="F552" s="1" t="s">
        <v>11</v>
      </c>
      <c r="G552" s="7"/>
    </row>
    <row r="553" spans="1:7" x14ac:dyDescent="0.25">
      <c r="A553" s="11">
        <v>42217</v>
      </c>
      <c r="B553" s="7">
        <v>0.8208333333333333</v>
      </c>
      <c r="C553" s="7">
        <v>0.83680555555555547</v>
      </c>
      <c r="D553" s="7">
        <f>(0.836805555555555-0.820833333333333)</f>
        <v>1.5972222222222054E-2</v>
      </c>
      <c r="E553" s="7">
        <f>ABS(0.0159722222222221-0.00416666666666704)</f>
        <v>1.1805555555555059E-2</v>
      </c>
      <c r="F553" s="1" t="s">
        <v>11</v>
      </c>
      <c r="G553" s="7"/>
    </row>
    <row r="554" spans="1:7" x14ac:dyDescent="0.25">
      <c r="A554" s="11">
        <v>42217</v>
      </c>
      <c r="B554" s="7">
        <v>0.44444444444444442</v>
      </c>
      <c r="C554" s="7">
        <v>0.44861111111111113</v>
      </c>
      <c r="D554" s="7">
        <f>(0.448611111111111-0.444444444444444)</f>
        <v>4.1666666666670404E-3</v>
      </c>
      <c r="E554" s="7">
        <f>ABS(0.00416666666666704-0.022222222222222)</f>
        <v>1.8055555555554961E-2</v>
      </c>
      <c r="F554" s="1" t="s">
        <v>11</v>
      </c>
      <c r="G554" s="7"/>
    </row>
    <row r="555" spans="1:7" x14ac:dyDescent="0.25">
      <c r="A555" s="11">
        <v>42217</v>
      </c>
      <c r="B555" s="7">
        <v>0.46527777777777773</v>
      </c>
      <c r="C555" s="7">
        <v>0.48749999999999999</v>
      </c>
      <c r="D555" s="7">
        <f>(0.4875-0.465277777777778)</f>
        <v>2.2222222222221977E-2</v>
      </c>
      <c r="E555" s="7">
        <f>ABS(0.022222222222222-0.021527777777778)</f>
        <v>6.9444444444400136E-4</v>
      </c>
      <c r="F555" s="1" t="s">
        <v>11</v>
      </c>
      <c r="G555" s="7"/>
    </row>
    <row r="556" spans="1:7" x14ac:dyDescent="0.25">
      <c r="A556" s="11">
        <v>42217</v>
      </c>
      <c r="B556" s="7">
        <v>0.52986111111111112</v>
      </c>
      <c r="C556" s="7">
        <v>0.55138888888888882</v>
      </c>
      <c r="D556" s="7">
        <f>(0.551388888888889-0.529861111111111)</f>
        <v>2.1527777777778034E-2</v>
      </c>
      <c r="E556" s="7">
        <f>ABS(0.021527777777778-0.022222222222222)</f>
        <v>6.9444444444400136E-4</v>
      </c>
      <c r="F556" s="1" t="s">
        <v>11</v>
      </c>
      <c r="G556" s="7"/>
    </row>
    <row r="557" spans="1:7" x14ac:dyDescent="0.25">
      <c r="A557" s="11">
        <v>42217</v>
      </c>
      <c r="B557" s="7">
        <v>0.66666666666666663</v>
      </c>
      <c r="C557" s="7">
        <v>0.68888888888888899</v>
      </c>
      <c r="D557" s="7">
        <f>(0.688888888888889-0.666666666666667)</f>
        <v>2.2222222222222032E-2</v>
      </c>
      <c r="E557" s="7">
        <f>ABS(0.022222222222222-0.021527777777778)</f>
        <v>6.9444444444400136E-4</v>
      </c>
      <c r="F557" s="1" t="s">
        <v>11</v>
      </c>
      <c r="G557" s="7"/>
    </row>
    <row r="558" spans="1:7" x14ac:dyDescent="0.25">
      <c r="A558" s="11">
        <v>42217</v>
      </c>
      <c r="B558" s="7">
        <v>0.4465277777777778</v>
      </c>
      <c r="C558" s="7">
        <v>0.4680555555555555</v>
      </c>
      <c r="D558" s="7">
        <f>(0.468055555555556-0.446527777777778)</f>
        <v>2.1527777777777979E-2</v>
      </c>
      <c r="E558" s="7">
        <f>ABS(0.021527777777778-0.038888888888889)</f>
        <v>1.7361111111111001E-2</v>
      </c>
      <c r="F558" s="1" t="s">
        <v>11</v>
      </c>
      <c r="G558" s="7"/>
    </row>
    <row r="559" spans="1:7" x14ac:dyDescent="0.25">
      <c r="A559" s="11">
        <v>42217</v>
      </c>
      <c r="B559" s="7">
        <v>0.90972222222222221</v>
      </c>
      <c r="C559" s="7">
        <v>0.94861111111111107</v>
      </c>
      <c r="D559" s="7">
        <f>(0.948611111111111-0.909722222222222)</f>
        <v>3.8888888888888973E-2</v>
      </c>
      <c r="E559" s="7">
        <f>ABS(0.038888888888889-0.0361111111111111)</f>
        <v>2.7777777777778997E-3</v>
      </c>
      <c r="F559" s="1" t="s">
        <v>11</v>
      </c>
      <c r="G559" s="7"/>
    </row>
    <row r="560" spans="1:7" x14ac:dyDescent="0.25">
      <c r="A560" s="11">
        <v>42217</v>
      </c>
      <c r="B560" s="7">
        <v>2.9166666666666664E-2</v>
      </c>
      <c r="C560" s="7">
        <v>6.5277777777777782E-2</v>
      </c>
      <c r="D560" s="7">
        <f>(0.0652777777777778-0.0291666666666667)</f>
        <v>3.6111111111111094E-2</v>
      </c>
      <c r="E560" s="7">
        <f>ABS(0.0361111111111111-0.021527777777778)</f>
        <v>1.4583333333333101E-2</v>
      </c>
      <c r="F560" s="1" t="s">
        <v>11</v>
      </c>
      <c r="G560" s="7"/>
    </row>
    <row r="561" spans="1:7" x14ac:dyDescent="0.25">
      <c r="A561" s="11">
        <v>42217</v>
      </c>
      <c r="B561" s="7">
        <v>0.27638888888888885</v>
      </c>
      <c r="C561" s="7">
        <v>0.29791666666666666</v>
      </c>
      <c r="D561" s="7">
        <f>(0.297916666666667-0.276388888888889)</f>
        <v>2.1527777777777979E-2</v>
      </c>
      <c r="E561" s="7">
        <f>ABS(0.021527777777778-0.021527777777778)</f>
        <v>0</v>
      </c>
      <c r="F561" s="1" t="s">
        <v>11</v>
      </c>
      <c r="G561" s="7"/>
    </row>
    <row r="562" spans="1:7" x14ac:dyDescent="0.25">
      <c r="A562" s="11">
        <v>42217</v>
      </c>
      <c r="B562" s="7">
        <v>0.44236111111111115</v>
      </c>
      <c r="C562" s="7">
        <v>0.46388888888888885</v>
      </c>
      <c r="D562" s="7">
        <f>(0.463888888888889-0.442361111111111)</f>
        <v>2.1527777777778034E-2</v>
      </c>
      <c r="E562" s="7">
        <f>ABS(0.021527777777778-0.023611111111111)</f>
        <v>2.0833333333329998E-3</v>
      </c>
      <c r="F562" s="1" t="s">
        <v>11</v>
      </c>
      <c r="G562" s="7"/>
    </row>
    <row r="563" spans="1:7" x14ac:dyDescent="0.25">
      <c r="A563" s="11">
        <v>42217</v>
      </c>
      <c r="B563" s="7">
        <v>0.44097222222222227</v>
      </c>
      <c r="C563" s="7">
        <v>0.46458333333333335</v>
      </c>
      <c r="D563" s="7">
        <f>(0.464583333333333-0.440972222222222)</f>
        <v>2.3611111111111027E-2</v>
      </c>
      <c r="E563" s="7">
        <f>ABS(0.023611111111111-0.020833333333333)</f>
        <v>2.7777777777780004E-3</v>
      </c>
      <c r="F563" s="1" t="s">
        <v>11</v>
      </c>
      <c r="G563" s="7"/>
    </row>
    <row r="564" spans="1:7" x14ac:dyDescent="0.25">
      <c r="A564" s="11">
        <v>42217</v>
      </c>
      <c r="B564" s="7">
        <v>0.48680555555555555</v>
      </c>
      <c r="C564" s="7">
        <v>0.50763888888888886</v>
      </c>
      <c r="D564" s="7">
        <f>(0.507638888888889-0.486805555555556)</f>
        <v>2.0833333333332982E-2</v>
      </c>
      <c r="E564" s="7">
        <f>ABS(0.020833333333333-0.028472222222223)</f>
        <v>7.6388888888899997E-3</v>
      </c>
      <c r="F564" s="1" t="s">
        <v>11</v>
      </c>
      <c r="G564" s="7"/>
    </row>
    <row r="565" spans="1:7" x14ac:dyDescent="0.25">
      <c r="A565" s="11">
        <v>42217</v>
      </c>
      <c r="B565" s="7">
        <v>0.50069444444444444</v>
      </c>
      <c r="C565" s="7">
        <v>0.52916666666666667</v>
      </c>
      <c r="D565" s="7">
        <f>(0.529166666666667-0.500694444444444)</f>
        <v>2.8472222222223009E-2</v>
      </c>
      <c r="E565" s="7">
        <f>ABS(0.028472222222223-0.040277777777778)</f>
        <v>1.1805555555555004E-2</v>
      </c>
      <c r="F565" s="1" t="s">
        <v>11</v>
      </c>
      <c r="G565" s="7"/>
    </row>
    <row r="566" spans="1:7" x14ac:dyDescent="0.25">
      <c r="A566" s="11">
        <v>42217</v>
      </c>
      <c r="B566" s="7">
        <v>0.68402777777777779</v>
      </c>
      <c r="C566" s="7">
        <v>0.72430555555555554</v>
      </c>
      <c r="D566" s="7">
        <f>(0.724305555555556-0.684027777777778)</f>
        <v>4.0277777777777968E-2</v>
      </c>
      <c r="E566" s="7">
        <f>ABS(0.040277777777778-0.025694444444444)</f>
        <v>1.4583333333334003E-2</v>
      </c>
      <c r="F566" s="1" t="s">
        <v>11</v>
      </c>
      <c r="G566" s="7"/>
    </row>
    <row r="567" spans="1:7" x14ac:dyDescent="0.25">
      <c r="A567" s="11">
        <v>42217</v>
      </c>
      <c r="B567" s="7">
        <v>0.93888888888888899</v>
      </c>
      <c r="C567" s="7">
        <v>0.96458333333333324</v>
      </c>
      <c r="D567" s="7">
        <f>(0.964583333333333-0.938888888888889)</f>
        <v>2.569444444444402E-2</v>
      </c>
      <c r="E567" s="7">
        <f>ABS(0.025694444444444-0.01875)</f>
        <v>6.944444444444E-3</v>
      </c>
      <c r="F567" s="1" t="s">
        <v>11</v>
      </c>
      <c r="G567" s="7"/>
    </row>
    <row r="568" spans="1:7" x14ac:dyDescent="0.25">
      <c r="A568" s="11">
        <v>42217</v>
      </c>
      <c r="B568" s="7">
        <v>0.54513888888888895</v>
      </c>
      <c r="C568" s="7">
        <v>0.56388888888888888</v>
      </c>
      <c r="D568" s="7">
        <f>(0.563888888888889-0.545138888888889)</f>
        <v>1.8750000000000044E-2</v>
      </c>
      <c r="E568" s="7">
        <f>ABS(0.01875-0.026388888888888)</f>
        <v>7.6388888888880013E-3</v>
      </c>
      <c r="F568" s="1" t="s">
        <v>11</v>
      </c>
      <c r="G568" s="7"/>
    </row>
    <row r="569" spans="1:7" x14ac:dyDescent="0.25">
      <c r="A569" s="11">
        <v>42217</v>
      </c>
      <c r="B569" s="7">
        <v>0.59305555555555556</v>
      </c>
      <c r="C569" s="7">
        <v>0.61944444444444446</v>
      </c>
      <c r="D569" s="7">
        <f>(0.619444444444444-0.593055555555556)</f>
        <v>2.6388888888888018E-2</v>
      </c>
      <c r="E569" s="7">
        <f>ABS(0.026388888888888-0.025694444444445)</f>
        <v>6.9444444444300216E-4</v>
      </c>
      <c r="F569" s="1" t="s">
        <v>11</v>
      </c>
      <c r="G569" s="7"/>
    </row>
    <row r="570" spans="1:7" x14ac:dyDescent="0.25">
      <c r="A570" s="11">
        <v>42217</v>
      </c>
      <c r="B570" s="7">
        <v>0.65347222222222223</v>
      </c>
      <c r="C570" s="7">
        <v>0.6791666666666667</v>
      </c>
      <c r="D570" s="7">
        <f>(0.679166666666667-0.653472222222222)</f>
        <v>2.5694444444445019E-2</v>
      </c>
      <c r="E570" s="7">
        <f>ABS(0.025694444444445-0.0270833333333329)</f>
        <v>1.3888888888879021E-3</v>
      </c>
      <c r="F570" s="1" t="s">
        <v>11</v>
      </c>
      <c r="G570" s="7"/>
    </row>
    <row r="571" spans="1:7" x14ac:dyDescent="0.25">
      <c r="A571" s="11">
        <v>42217</v>
      </c>
      <c r="B571" s="7">
        <v>0.7680555555555556</v>
      </c>
      <c r="C571" s="7">
        <v>0.79513888888888884</v>
      </c>
      <c r="D571" s="7">
        <f>(0.795138888888889-0.768055555555556)</f>
        <v>2.7083333333332904E-2</v>
      </c>
      <c r="E571" s="7">
        <f>ABS(0.0270833333333329-0.011805555555556)</f>
        <v>1.5277777777776901E-2</v>
      </c>
      <c r="F571" s="1" t="s">
        <v>11</v>
      </c>
      <c r="G571" s="7"/>
    </row>
    <row r="572" spans="1:7" x14ac:dyDescent="0.25">
      <c r="A572" s="11">
        <v>42217</v>
      </c>
      <c r="B572" s="7">
        <v>0.71597222222222223</v>
      </c>
      <c r="C572" s="7">
        <v>0.72777777777777775</v>
      </c>
      <c r="D572" s="7">
        <f>(0.727777777777778-0.715972222222222)</f>
        <v>1.1805555555555958E-2</v>
      </c>
      <c r="E572" s="7">
        <f>ABS(0.011805555555556-0.0263888888888889)</f>
        <v>1.45833333333329E-2</v>
      </c>
      <c r="F572" s="1" t="s">
        <v>11</v>
      </c>
      <c r="G572" s="7"/>
    </row>
    <row r="573" spans="1:7" x14ac:dyDescent="0.25">
      <c r="A573" s="11">
        <v>42217</v>
      </c>
      <c r="B573" s="7">
        <v>0.76874999999999993</v>
      </c>
      <c r="C573" s="7">
        <v>0.79513888888888884</v>
      </c>
      <c r="D573" s="7">
        <f>(0.795138888888889-0.76875)</f>
        <v>2.6388888888888906E-2</v>
      </c>
      <c r="E573" s="7">
        <f>ABS(0.0263888888888889-0.0243055555555549)</f>
        <v>2.083333333333999E-3</v>
      </c>
      <c r="F573" s="1" t="s">
        <v>11</v>
      </c>
      <c r="G573" s="7"/>
    </row>
    <row r="574" spans="1:7" x14ac:dyDescent="0.25">
      <c r="A574" s="11">
        <v>42217</v>
      </c>
      <c r="B574" s="7">
        <v>0.79791666666666661</v>
      </c>
      <c r="C574" s="7">
        <v>0.8222222222222223</v>
      </c>
      <c r="D574" s="7">
        <f>(0.822222222222222-0.797916666666667)</f>
        <v>2.4305555555554914E-2</v>
      </c>
      <c r="E574" s="7">
        <f>ABS(0.0243055555555549-0.022222222222222)</f>
        <v>2.0833333333328992E-3</v>
      </c>
      <c r="F574" s="1" t="s">
        <v>11</v>
      </c>
      <c r="G574" s="7"/>
    </row>
    <row r="575" spans="1:7" x14ac:dyDescent="0.25">
      <c r="A575" s="11">
        <v>42217</v>
      </c>
      <c r="B575" s="7">
        <v>0.91041666666666676</v>
      </c>
      <c r="C575" s="7">
        <v>0.93263888888888891</v>
      </c>
      <c r="D575" s="7">
        <f>(0.932638888888889-0.910416666666667)</f>
        <v>2.2222222222222032E-2</v>
      </c>
      <c r="E575" s="7">
        <f>ABS(0.022222222222222-0.0423611111111111)</f>
        <v>2.0138888888889098E-2</v>
      </c>
      <c r="F575" s="1" t="s">
        <v>11</v>
      </c>
      <c r="G575" s="7"/>
    </row>
    <row r="576" spans="1:7" x14ac:dyDescent="0.25">
      <c r="A576" s="11">
        <v>42217</v>
      </c>
      <c r="B576" s="7">
        <v>2.2222222222222223E-2</v>
      </c>
      <c r="C576" s="7">
        <v>6.458333333333334E-2</v>
      </c>
      <c r="D576" s="7">
        <f>(0.0645833333333333-0.0222222222222222)</f>
        <v>4.2361111111111099E-2</v>
      </c>
      <c r="E576" s="7">
        <f>ABS(0.0423611111111111-0.0395833333333334)</f>
        <v>2.7777777777776985E-3</v>
      </c>
      <c r="F576" s="1" t="s">
        <v>11</v>
      </c>
      <c r="G576" s="7"/>
    </row>
    <row r="577" spans="1:7" x14ac:dyDescent="0.25">
      <c r="A577" s="11">
        <v>42217</v>
      </c>
      <c r="B577" s="7">
        <v>6.805555555555555E-2</v>
      </c>
      <c r="C577" s="7">
        <v>0.1076388888888889</v>
      </c>
      <c r="D577" s="7">
        <f>(0.107638888888889-0.0680555555555556)</f>
        <v>3.9583333333333401E-2</v>
      </c>
      <c r="E577" s="7">
        <f>ABS(0.0395833333333334-0.024305555555556)</f>
        <v>1.5277777777777401E-2</v>
      </c>
      <c r="F577" s="1" t="s">
        <v>11</v>
      </c>
      <c r="G577" s="7"/>
    </row>
    <row r="578" spans="1:7" x14ac:dyDescent="0.25">
      <c r="A578" s="11">
        <v>42217</v>
      </c>
      <c r="B578" s="7">
        <v>0.12361111111111112</v>
      </c>
      <c r="C578" s="7">
        <v>0.14791666666666667</v>
      </c>
      <c r="D578" s="7">
        <f>(0.147916666666667-0.123611111111111)</f>
        <v>2.4305555555555997E-2</v>
      </c>
      <c r="E578" s="7">
        <f>ABS(0.024305555555556-0.03125)</f>
        <v>6.944444444444E-3</v>
      </c>
      <c r="F578" s="1" t="s">
        <v>11</v>
      </c>
      <c r="G578" s="7"/>
    </row>
    <row r="579" spans="1:7" x14ac:dyDescent="0.25">
      <c r="A579" s="11">
        <v>42217</v>
      </c>
      <c r="B579" s="7">
        <v>6.6666666666666666E-2</v>
      </c>
      <c r="C579" s="7">
        <v>9.7916666666666666E-2</v>
      </c>
      <c r="D579" s="7">
        <f>(0.0979166666666667-0.0666666666666667)</f>
        <v>3.125E-2</v>
      </c>
      <c r="E579" s="7">
        <f>ABS(0.03125-0.042361111111111)</f>
        <v>1.1111111111111002E-2</v>
      </c>
      <c r="F579" s="1" t="s">
        <v>11</v>
      </c>
      <c r="G579" s="7"/>
    </row>
    <row r="580" spans="1:7" x14ac:dyDescent="0.25">
      <c r="A580" s="11">
        <v>42217</v>
      </c>
      <c r="B580" s="7">
        <v>0.74652777777777779</v>
      </c>
      <c r="C580" s="7">
        <v>0.78888888888888886</v>
      </c>
      <c r="D580" s="7">
        <f>(0.788888888888889-0.746527777777778)</f>
        <v>4.2361111111110961E-2</v>
      </c>
      <c r="E580" s="7">
        <f>ABS(0.042361111111111-0.017361111111111)</f>
        <v>2.5000000000000001E-2</v>
      </c>
      <c r="F580" s="1" t="s">
        <v>11</v>
      </c>
      <c r="G580" s="7"/>
    </row>
    <row r="581" spans="1:7" x14ac:dyDescent="0.25">
      <c r="A581" s="11">
        <v>42217</v>
      </c>
      <c r="B581" s="7">
        <v>0.43333333333333335</v>
      </c>
      <c r="C581" s="7">
        <v>0.45069444444444445</v>
      </c>
      <c r="D581" s="7">
        <f>(0.450694444444444-0.433333333333333)</f>
        <v>1.7361111111110994E-2</v>
      </c>
      <c r="E581" s="7">
        <f>ABS(0.017361111111111-0.030555555555556)</f>
        <v>1.3194444444444998E-2</v>
      </c>
      <c r="F581" s="1" t="s">
        <v>11</v>
      </c>
      <c r="G581" s="7"/>
    </row>
    <row r="582" spans="1:7" x14ac:dyDescent="0.25">
      <c r="A582" s="11">
        <v>42217</v>
      </c>
      <c r="B582" s="7">
        <v>0.5131944444444444</v>
      </c>
      <c r="C582" s="7">
        <v>0.54375000000000007</v>
      </c>
      <c r="D582" s="7">
        <f>(0.54375-0.513194444444444)</f>
        <v>3.0555555555556002E-2</v>
      </c>
      <c r="E582" s="7">
        <f>ABS(0.030555555555556-0.028472222222223)</f>
        <v>2.0833333333329998E-3</v>
      </c>
      <c r="F582" s="1" t="s">
        <v>11</v>
      </c>
      <c r="G582" s="7"/>
    </row>
    <row r="583" spans="1:7" x14ac:dyDescent="0.25">
      <c r="A583" s="11">
        <v>42217</v>
      </c>
      <c r="B583" s="7">
        <v>0.39444444444444443</v>
      </c>
      <c r="C583" s="7">
        <v>0.42291666666666666</v>
      </c>
      <c r="D583" s="7">
        <f>(0.422916666666667-0.394444444444444)</f>
        <v>2.8472222222223009E-2</v>
      </c>
      <c r="E583" s="7">
        <f>ABS(0.028472222222223-0.019444444444445)</f>
        <v>9.027777777777999E-3</v>
      </c>
      <c r="F583" s="1" t="s">
        <v>11</v>
      </c>
      <c r="G583" s="7"/>
    </row>
    <row r="584" spans="1:7" x14ac:dyDescent="0.25">
      <c r="A584" s="11">
        <v>42217</v>
      </c>
      <c r="B584" s="7">
        <v>0.34097222222222223</v>
      </c>
      <c r="C584" s="7">
        <v>0.36041666666666666</v>
      </c>
      <c r="D584" s="7">
        <f>(0.360416666666667-0.340972222222222)</f>
        <v>1.9444444444444986E-2</v>
      </c>
      <c r="E584" s="7">
        <f>ABS(0.019444444444445-0.013888888888889)</f>
        <v>5.5555555555560007E-3</v>
      </c>
      <c r="F584" s="1" t="s">
        <v>11</v>
      </c>
      <c r="G584" s="7"/>
    </row>
    <row r="585" spans="1:7" x14ac:dyDescent="0.25">
      <c r="A585" s="11">
        <v>42217</v>
      </c>
      <c r="B585" s="7">
        <v>0.35138888888888892</v>
      </c>
      <c r="C585" s="7">
        <v>0.36527777777777781</v>
      </c>
      <c r="D585" s="7">
        <f>(0.365277777777778-0.351388888888889)</f>
        <v>1.3888888888889006E-2</v>
      </c>
      <c r="E585" s="7">
        <f>ABS(0.013888888888889-0.066666666666667)</f>
        <v>5.2777777777778E-2</v>
      </c>
      <c r="F585" s="1" t="s">
        <v>11</v>
      </c>
      <c r="G585" s="7"/>
    </row>
    <row r="586" spans="1:7" x14ac:dyDescent="0.25">
      <c r="A586" s="11">
        <v>42217</v>
      </c>
      <c r="B586" s="7">
        <v>0.71875</v>
      </c>
      <c r="C586" s="7">
        <v>0.78541666666666676</v>
      </c>
      <c r="D586" s="7">
        <f>(0.785416666666667-0.71875)</f>
        <v>6.6666666666666985E-2</v>
      </c>
      <c r="E586" s="7">
        <f>ABS(0.066666666666667-0.027083333333334)</f>
        <v>3.9583333333332998E-2</v>
      </c>
      <c r="F586" s="1" t="s">
        <v>11</v>
      </c>
      <c r="G586" s="7"/>
    </row>
    <row r="587" spans="1:7" x14ac:dyDescent="0.25">
      <c r="A587" s="11">
        <v>42217</v>
      </c>
      <c r="B587" s="7">
        <v>0.25833333333333336</v>
      </c>
      <c r="C587" s="7">
        <v>0.28541666666666665</v>
      </c>
      <c r="D587" s="7">
        <f>(0.285416666666667-0.258333333333333)</f>
        <v>2.7083333333333959E-2</v>
      </c>
      <c r="E587" s="7">
        <f>ABS(0.027083333333334-0)</f>
        <v>2.7083333333334E-2</v>
      </c>
      <c r="F587" s="1" t="s">
        <v>11</v>
      </c>
      <c r="G587" s="7"/>
    </row>
    <row r="588" spans="1:7" x14ac:dyDescent="0.25">
      <c r="A588" s="11">
        <v>42217</v>
      </c>
      <c r="B588" s="7">
        <v>0.82013888888888886</v>
      </c>
      <c r="C588" s="7">
        <v>0.82013888888888886</v>
      </c>
      <c r="D588" s="7">
        <f>(0.820138888888889-0.820138888888889)</f>
        <v>0</v>
      </c>
      <c r="E588" s="7">
        <f>ABS(0-0.0125)</f>
        <v>1.2500000000000001E-2</v>
      </c>
      <c r="F588" s="1" t="s">
        <v>11</v>
      </c>
      <c r="G588" s="7"/>
    </row>
    <row r="589" spans="1:7" x14ac:dyDescent="0.25">
      <c r="A589" s="11">
        <v>42217</v>
      </c>
      <c r="B589" s="7">
        <v>0.89166666666666661</v>
      </c>
      <c r="C589" s="7">
        <v>0.90416666666666667</v>
      </c>
      <c r="D589" s="7">
        <f>(0.904166666666667-0.891666666666667)</f>
        <v>1.2499999999999956E-2</v>
      </c>
      <c r="E589" s="7">
        <f>ABS(0.0125-0.0249999999999999)</f>
        <v>1.24999999999999E-2</v>
      </c>
      <c r="F589" s="1" t="s">
        <v>11</v>
      </c>
      <c r="G589" s="7"/>
    </row>
    <row r="590" spans="1:7" x14ac:dyDescent="0.25">
      <c r="A590" s="11">
        <v>42217</v>
      </c>
      <c r="B590" s="7">
        <v>0.95486111111111116</v>
      </c>
      <c r="C590" s="7">
        <v>0.97986111111111107</v>
      </c>
      <c r="D590" s="7">
        <f>(0.979861111111111-0.954861111111111)</f>
        <v>2.4999999999999911E-2</v>
      </c>
      <c r="E590" s="7">
        <f>ABS(0.0249999999999999-0.01875)</f>
        <v>6.2499999999999015E-3</v>
      </c>
      <c r="F590" s="1" t="s">
        <v>11</v>
      </c>
      <c r="G590" s="7"/>
    </row>
    <row r="591" spans="1:7" x14ac:dyDescent="0.25">
      <c r="A591" s="11">
        <v>42217</v>
      </c>
      <c r="B591" s="7">
        <v>0.60555555555555551</v>
      </c>
      <c r="C591" s="7">
        <v>0.62430555555555556</v>
      </c>
      <c r="D591" s="7">
        <f>(0.624305555555556-0.605555555555556)</f>
        <v>1.8750000000000044E-2</v>
      </c>
      <c r="E591" s="7">
        <f>ABS(0.01875-0.019444444444444)</f>
        <v>6.9444444444400136E-4</v>
      </c>
      <c r="F591" s="1" t="s">
        <v>11</v>
      </c>
      <c r="G591" s="7"/>
    </row>
    <row r="592" spans="1:7" x14ac:dyDescent="0.25">
      <c r="A592" s="11">
        <v>42217</v>
      </c>
      <c r="B592" s="7">
        <v>0.78819444444444453</v>
      </c>
      <c r="C592" s="7">
        <v>0.80763888888888891</v>
      </c>
      <c r="D592" s="7">
        <f>(0.807638888888889-0.788194444444445)</f>
        <v>1.9444444444444042E-2</v>
      </c>
      <c r="E592" s="7">
        <f>ABS(0.019444444444444-0.0208333333333333)</f>
        <v>1.3888888888893003E-3</v>
      </c>
      <c r="F592" s="1" t="s">
        <v>11</v>
      </c>
      <c r="G592" s="7"/>
    </row>
    <row r="593" spans="1:7" x14ac:dyDescent="0.25">
      <c r="A593" s="11">
        <v>42217</v>
      </c>
      <c r="B593" s="7">
        <v>4.9305555555555554E-2</v>
      </c>
      <c r="C593" s="7">
        <v>7.013888888888889E-2</v>
      </c>
      <c r="D593" s="7">
        <f>(0.0701388888888889-0.0493055555555556)</f>
        <v>2.0833333333333301E-2</v>
      </c>
      <c r="E593" s="7">
        <f>ABS(0.0208333333333333-0.01875)</f>
        <v>2.0833333333333016E-3</v>
      </c>
      <c r="F593" s="1" t="s">
        <v>11</v>
      </c>
      <c r="G593" s="7"/>
    </row>
    <row r="594" spans="1:7" x14ac:dyDescent="0.25">
      <c r="A594" s="11">
        <v>42217</v>
      </c>
      <c r="B594" s="7">
        <v>0.98749999999999993</v>
      </c>
      <c r="C594" s="7">
        <v>1.0062499999999999</v>
      </c>
      <c r="D594" s="7">
        <f>(1.00625-0.9875)</f>
        <v>1.8750000000000044E-2</v>
      </c>
      <c r="E594" s="7">
        <f>ABS(0.01875-0.027777777777778)</f>
        <v>9.027777777777999E-3</v>
      </c>
      <c r="F594" s="1" t="s">
        <v>11</v>
      </c>
      <c r="G594" s="7"/>
    </row>
    <row r="595" spans="1:7" x14ac:dyDescent="0.25">
      <c r="A595" s="11">
        <v>42217</v>
      </c>
      <c r="B595" s="7">
        <v>0.77361111111111114</v>
      </c>
      <c r="C595" s="7">
        <v>0.80138888888888893</v>
      </c>
      <c r="D595" s="7">
        <f>(0.801388888888889-0.773611111111111)</f>
        <v>2.7777777777778012E-2</v>
      </c>
      <c r="E595" s="7">
        <f>ABS(0.027777777777778-0.0138888888888881)</f>
        <v>1.3888888888889898E-2</v>
      </c>
      <c r="F595" s="1" t="s">
        <v>11</v>
      </c>
      <c r="G595" s="7"/>
    </row>
    <row r="596" spans="1:7" x14ac:dyDescent="0.25">
      <c r="A596" s="11">
        <v>42217</v>
      </c>
      <c r="B596" s="7">
        <v>0.85069444444444453</v>
      </c>
      <c r="C596" s="7">
        <v>0.86458333333333337</v>
      </c>
      <c r="D596" s="7">
        <f>(0.864583333333333-0.850694444444445)</f>
        <v>1.3888888888888062E-2</v>
      </c>
      <c r="E596" s="7">
        <f>ABS(0.0138888888888881-0.0111111111111111)</f>
        <v>2.7777777777770012E-3</v>
      </c>
      <c r="F596" s="1" t="s">
        <v>11</v>
      </c>
      <c r="G596" s="7"/>
    </row>
    <row r="597" spans="1:7" x14ac:dyDescent="0.25">
      <c r="A597" s="11">
        <v>42217</v>
      </c>
      <c r="B597" s="7">
        <v>4.7222222222222221E-2</v>
      </c>
      <c r="C597" s="7">
        <v>5.8333333333333327E-2</v>
      </c>
      <c r="D597" s="7">
        <f>(0.0583333333333333-0.0472222222222222)</f>
        <v>1.1111111111111099E-2</v>
      </c>
      <c r="E597" s="7">
        <f>ABS(0.0111111111111111-0.018055555555556)</f>
        <v>6.944444444444902E-3</v>
      </c>
      <c r="F597" s="1" t="s">
        <v>11</v>
      </c>
      <c r="G597" s="7"/>
    </row>
    <row r="598" spans="1:7" x14ac:dyDescent="0.25">
      <c r="A598" s="11">
        <v>42217</v>
      </c>
      <c r="B598" s="7">
        <v>0.9770833333333333</v>
      </c>
      <c r="C598" s="7">
        <v>0.99513888888888891</v>
      </c>
      <c r="D598" s="7">
        <f>(0.995138888888889-0.977083333333333)</f>
        <v>1.8055555555556047E-2</v>
      </c>
      <c r="E598" s="7">
        <f>ABS(0.018055555555556-0.021527777777778)</f>
        <v>3.4722222222219983E-3</v>
      </c>
      <c r="F598" s="1" t="s">
        <v>11</v>
      </c>
      <c r="G598" s="7"/>
    </row>
    <row r="599" spans="1:7" x14ac:dyDescent="0.25">
      <c r="A599" s="11">
        <v>42217</v>
      </c>
      <c r="B599" s="7">
        <v>0.68263888888888891</v>
      </c>
      <c r="C599" s="7">
        <v>0.70416666666666661</v>
      </c>
      <c r="D599" s="7">
        <f>(0.704166666666667-0.682638888888889)</f>
        <v>2.1527777777778034E-2</v>
      </c>
      <c r="E599" s="7">
        <f>ABS(0.021527777777778-0.019444444444444)</f>
        <v>2.083333333333999E-3</v>
      </c>
      <c r="F599" s="1" t="s">
        <v>11</v>
      </c>
      <c r="G599" s="7"/>
    </row>
    <row r="600" spans="1:7" x14ac:dyDescent="0.25">
      <c r="A600" s="11">
        <v>42217</v>
      </c>
      <c r="B600" s="7">
        <v>0.93402777777777779</v>
      </c>
      <c r="C600" s="7">
        <v>0.95347222222222217</v>
      </c>
      <c r="D600" s="7">
        <f>(0.953472222222222-0.934027777777778)</f>
        <v>1.9444444444444042E-2</v>
      </c>
      <c r="E600" s="7">
        <f>ABS(0.019444444444444-0.0194444444444419)</f>
        <v>2.0990154059319366E-15</v>
      </c>
      <c r="F600" s="1" t="s">
        <v>11</v>
      </c>
      <c r="G600" s="7"/>
    </row>
    <row r="601" spans="1:7" x14ac:dyDescent="0.25">
      <c r="A601" s="11">
        <v>42217</v>
      </c>
      <c r="B601" s="7">
        <v>0.9902777777777777</v>
      </c>
      <c r="C601" s="7">
        <v>1.0097222222222222</v>
      </c>
      <c r="D601" s="7">
        <f>(1.00972222222222-0.990277777777778)</f>
        <v>1.9444444444441933E-2</v>
      </c>
      <c r="E601" s="7">
        <f>ABS(0.0194444444444419-0.0458333333333333)</f>
        <v>2.6388888888891401E-2</v>
      </c>
      <c r="F601" s="1" t="s">
        <v>11</v>
      </c>
      <c r="G601" s="7"/>
    </row>
    <row r="602" spans="1:7" x14ac:dyDescent="0.25">
      <c r="A602" s="11">
        <v>42217</v>
      </c>
      <c r="B602" s="7">
        <v>3.6805555555555557E-2</v>
      </c>
      <c r="C602" s="7">
        <v>8.2638888888888887E-2</v>
      </c>
      <c r="D602" s="7">
        <f>(0.0826388888888889-0.0368055555555556)</f>
        <v>4.5833333333333302E-2</v>
      </c>
      <c r="E602" s="7">
        <f>ABS(0.0458333333333333-0.019444444444445)</f>
        <v>2.6388888888888302E-2</v>
      </c>
      <c r="F602" s="1" t="s">
        <v>11</v>
      </c>
      <c r="G602" s="7"/>
    </row>
    <row r="603" spans="1:7" x14ac:dyDescent="0.25">
      <c r="A603" s="11">
        <v>42217</v>
      </c>
      <c r="B603" s="7">
        <v>0.44236111111111115</v>
      </c>
      <c r="C603" s="7">
        <v>0.46180555555555558</v>
      </c>
      <c r="D603" s="7">
        <f>(0.461805555555556-0.442361111111111)</f>
        <v>1.9444444444445041E-2</v>
      </c>
      <c r="E603" s="7">
        <f>ABS(0.019444444444445-0.020833333333333)</f>
        <v>1.3888888888879992E-3</v>
      </c>
      <c r="F603" s="1" t="s">
        <v>11</v>
      </c>
      <c r="G603" s="7"/>
    </row>
    <row r="604" spans="1:7" x14ac:dyDescent="0.25">
      <c r="A604" s="11">
        <v>42217</v>
      </c>
      <c r="B604" s="7">
        <v>0.48055555555555557</v>
      </c>
      <c r="C604" s="7">
        <v>0.50138888888888888</v>
      </c>
      <c r="D604" s="7">
        <f>(0.501388888888889-0.480555555555556)</f>
        <v>2.0833333333332982E-2</v>
      </c>
      <c r="E604" s="7">
        <f>ABS(0.020833333333333-0.020833333333333)</f>
        <v>0</v>
      </c>
      <c r="F604" s="1" t="s">
        <v>11</v>
      </c>
      <c r="G604" s="7"/>
    </row>
    <row r="605" spans="1:7" x14ac:dyDescent="0.25">
      <c r="A605" s="11">
        <v>42217</v>
      </c>
      <c r="B605" s="7">
        <v>0.54027777777777775</v>
      </c>
      <c r="C605" s="7">
        <v>0.56111111111111112</v>
      </c>
      <c r="D605" s="7">
        <f>(0.561111111111111-0.540277777777778)</f>
        <v>2.0833333333333037E-2</v>
      </c>
      <c r="E605" s="7">
        <f>ABS(0.020833333333333-0.0215277777777779)</f>
        <v>6.9444444444489994E-4</v>
      </c>
      <c r="F605" s="1" t="s">
        <v>11</v>
      </c>
      <c r="G605" s="7"/>
    </row>
    <row r="606" spans="1:7" x14ac:dyDescent="0.25">
      <c r="A606" s="11">
        <v>42217</v>
      </c>
      <c r="B606" s="7">
        <v>0.85972222222222217</v>
      </c>
      <c r="C606" s="7">
        <v>0.88124999999999998</v>
      </c>
      <c r="D606" s="7">
        <f>(0.88125-0.859722222222222)</f>
        <v>2.1527777777777923E-2</v>
      </c>
      <c r="E606" s="7">
        <f>ABS(0.0215277777777779-0.016666666666667)</f>
        <v>4.8611111111108996E-3</v>
      </c>
      <c r="F606" s="1" t="s">
        <v>11</v>
      </c>
      <c r="G606" s="7"/>
    </row>
    <row r="607" spans="1:7" x14ac:dyDescent="0.25">
      <c r="A607" s="11">
        <v>42217</v>
      </c>
      <c r="B607" s="7">
        <v>0.10208333333333335</v>
      </c>
      <c r="C607" s="7">
        <v>0.11875000000000001</v>
      </c>
      <c r="D607" s="7">
        <f>(0.11875-0.102083333333333)</f>
        <v>1.6666666666666996E-2</v>
      </c>
      <c r="E607" s="7">
        <f>ABS(0.016666666666667-0.0208333333333339)</f>
        <v>4.1666666666669017E-3</v>
      </c>
      <c r="F607" s="1" t="s">
        <v>11</v>
      </c>
      <c r="G607" s="7"/>
    </row>
    <row r="608" spans="1:7" x14ac:dyDescent="0.25">
      <c r="A608" s="11">
        <v>42217</v>
      </c>
      <c r="B608" s="7">
        <v>0.67222222222222217</v>
      </c>
      <c r="C608" s="7">
        <v>0.69305555555555554</v>
      </c>
      <c r="D608" s="7">
        <f>(0.693055555555556-0.672222222222222)</f>
        <v>2.0833333333333925E-2</v>
      </c>
      <c r="E608" s="7">
        <f>ABS(0.0208333333333339-0.01875)</f>
        <v>2.0833333333339019E-3</v>
      </c>
      <c r="F608" s="1" t="s">
        <v>11</v>
      </c>
      <c r="G608" s="7"/>
    </row>
    <row r="609" spans="1:7" x14ac:dyDescent="0.25">
      <c r="A609" s="11">
        <v>42217</v>
      </c>
      <c r="B609" s="7">
        <v>0.77986111111111101</v>
      </c>
      <c r="C609" s="7">
        <v>0.79861111111111116</v>
      </c>
      <c r="D609" s="7">
        <f>(0.798611111111111-0.779861111111111)</f>
        <v>1.8750000000000044E-2</v>
      </c>
      <c r="E609" s="7">
        <f>ABS(0.01875-0.0263888888888889)</f>
        <v>7.6388888888888999E-3</v>
      </c>
      <c r="F609" s="1" t="s">
        <v>11</v>
      </c>
      <c r="G609" s="7"/>
    </row>
    <row r="610" spans="1:7" x14ac:dyDescent="0.25">
      <c r="A610" s="11">
        <v>42217</v>
      </c>
      <c r="B610" s="7">
        <v>0.79999999999999993</v>
      </c>
      <c r="C610" s="7">
        <v>0.82638888888888884</v>
      </c>
      <c r="D610" s="7">
        <f>(0.826388888888889-0.8)</f>
        <v>2.6388888888888906E-2</v>
      </c>
      <c r="E610" s="7">
        <f>ABS(0.0263888888888889-0.022916666666667)</f>
        <v>3.4722222222218976E-3</v>
      </c>
      <c r="F610" s="1" t="s">
        <v>11</v>
      </c>
      <c r="G610" s="7"/>
    </row>
    <row r="611" spans="1:7" x14ac:dyDescent="0.25">
      <c r="A611" s="11">
        <v>42217</v>
      </c>
      <c r="B611" s="7">
        <v>0.82638888888888884</v>
      </c>
      <c r="C611" s="7">
        <v>0.84930555555555554</v>
      </c>
      <c r="D611" s="7">
        <f>(0.849305555555556-0.826388888888889)</f>
        <v>2.2916666666667029E-2</v>
      </c>
      <c r="E611" s="7">
        <f>ABS(0.022916666666667-0.023611111111111)</f>
        <v>6.9444444444399789E-4</v>
      </c>
      <c r="F611" s="1" t="s">
        <v>11</v>
      </c>
      <c r="G611" s="7"/>
    </row>
    <row r="612" spans="1:7" x14ac:dyDescent="0.25">
      <c r="A612" s="11">
        <v>42217</v>
      </c>
      <c r="B612" s="7">
        <v>0.84652777777777777</v>
      </c>
      <c r="C612" s="7">
        <v>0.87013888888888891</v>
      </c>
      <c r="D612" s="7">
        <f>(0.870138888888889-0.846527777777778)</f>
        <v>2.3611111111111027E-2</v>
      </c>
      <c r="E612" s="7">
        <f>ABS(0.023611111111111-0.0194444444444441)</f>
        <v>4.1666666666668982E-3</v>
      </c>
      <c r="F612" s="1" t="s">
        <v>11</v>
      </c>
      <c r="G612" s="7"/>
    </row>
    <row r="613" spans="1:7" x14ac:dyDescent="0.25">
      <c r="A613" s="11">
        <v>42217</v>
      </c>
      <c r="B613" s="7">
        <v>8.2638888888888887E-2</v>
      </c>
      <c r="C613" s="7">
        <v>0.10208333333333335</v>
      </c>
      <c r="D613" s="7">
        <f>(0.102083333333333-0.0826388888888889)</f>
        <v>1.9444444444444098E-2</v>
      </c>
      <c r="E613" s="7">
        <f>ABS(0.0194444444444441-0.013888888888889)</f>
        <v>5.5555555555551021E-3</v>
      </c>
      <c r="F613" s="1" t="s">
        <v>11</v>
      </c>
      <c r="G613" s="7"/>
    </row>
    <row r="614" spans="1:7" x14ac:dyDescent="0.25">
      <c r="A614" s="11">
        <v>42217</v>
      </c>
      <c r="B614" s="7">
        <v>0.3298611111111111</v>
      </c>
      <c r="C614" s="7">
        <v>0.34375</v>
      </c>
      <c r="D614" s="7">
        <f>(0.34375-0.329861111111111)</f>
        <v>1.3888888888889006E-2</v>
      </c>
      <c r="E614" s="7">
        <f>ABS(0.013888888888889-0.0208333333333333)</f>
        <v>6.9444444444443018E-3</v>
      </c>
      <c r="F614" s="1" t="s">
        <v>11</v>
      </c>
      <c r="G614" s="7"/>
    </row>
    <row r="615" spans="1:7" x14ac:dyDescent="0.25">
      <c r="A615" s="11">
        <v>42217</v>
      </c>
      <c r="B615" s="7">
        <v>4.5138888888888888E-2</v>
      </c>
      <c r="C615" s="7">
        <v>6.5972222222222224E-2</v>
      </c>
      <c r="D615" s="7">
        <f>(0.0659722222222222-0.0451388888888889)</f>
        <v>2.0833333333333294E-2</v>
      </c>
      <c r="E615" s="7">
        <f>ABS(0.0208333333333333-0.0201388888888889)</f>
        <v>6.9444444444440034E-4</v>
      </c>
      <c r="F615" s="1" t="s">
        <v>11</v>
      </c>
      <c r="G615" s="7"/>
    </row>
    <row r="616" spans="1:7" x14ac:dyDescent="0.25">
      <c r="A616" s="11">
        <v>42217</v>
      </c>
      <c r="B616" s="7">
        <v>4.5833333333333337E-2</v>
      </c>
      <c r="C616" s="7">
        <v>6.5972222222222224E-2</v>
      </c>
      <c r="D616" s="7">
        <f>(0.0659722222222222-0.0458333333333333)</f>
        <v>2.0138888888888894E-2</v>
      </c>
      <c r="E616" s="7">
        <f>ABS(0.0201388888888889-0.019444444444444)</f>
        <v>6.9444444444489994E-4</v>
      </c>
      <c r="F616" s="1" t="s">
        <v>11</v>
      </c>
      <c r="G616" s="7"/>
    </row>
    <row r="617" spans="1:7" x14ac:dyDescent="0.25">
      <c r="A617" s="11">
        <v>42217</v>
      </c>
      <c r="B617" s="7">
        <v>0.10625</v>
      </c>
      <c r="C617" s="7">
        <v>0.12569444444444444</v>
      </c>
      <c r="D617" s="7">
        <f>(0.125694444444444-0.10625)</f>
        <v>1.9444444444444001E-2</v>
      </c>
      <c r="E617" s="7">
        <f>ABS(0.019444444444444-0.027777777777778)</f>
        <v>8.3333333333339976E-3</v>
      </c>
      <c r="F617" s="1" t="s">
        <v>11</v>
      </c>
      <c r="G617" s="7"/>
    </row>
    <row r="618" spans="1:7" x14ac:dyDescent="0.25">
      <c r="A618" s="11">
        <v>42217</v>
      </c>
      <c r="B618" s="7">
        <v>0.65972222222222221</v>
      </c>
      <c r="C618" s="7">
        <v>0.6875</v>
      </c>
      <c r="D618" s="7">
        <f>(0.6875-0.659722222222222)</f>
        <v>2.7777777777778012E-2</v>
      </c>
      <c r="E618" s="7">
        <f>ABS(0.027777777777778-0.020138888888889)</f>
        <v>7.6388888888889971E-3</v>
      </c>
      <c r="F618" s="1" t="s">
        <v>11</v>
      </c>
      <c r="G618" s="7"/>
    </row>
    <row r="619" spans="1:7" x14ac:dyDescent="0.25">
      <c r="A619" s="11">
        <v>42217</v>
      </c>
      <c r="B619" s="7">
        <v>0.48333333333333334</v>
      </c>
      <c r="C619" s="7">
        <v>0.50347222222222221</v>
      </c>
      <c r="D619" s="7">
        <f>(0.503472222222222-0.483333333333333)</f>
        <v>2.0138888888888984E-2</v>
      </c>
      <c r="E619" s="7">
        <f>ABS(0.020138888888889-0.01875)</f>
        <v>1.3888888888890019E-3</v>
      </c>
      <c r="F619" s="1" t="s">
        <v>11</v>
      </c>
      <c r="G619" s="7"/>
    </row>
    <row r="620" spans="1:7" x14ac:dyDescent="0.25">
      <c r="A620" s="11">
        <v>42217</v>
      </c>
      <c r="B620" s="7">
        <v>0.43472222222222223</v>
      </c>
      <c r="C620" s="7">
        <v>0.45347222222222222</v>
      </c>
      <c r="D620" s="7">
        <f>(0.453472222222222-0.434722222222222)</f>
        <v>1.8749999999999989E-2</v>
      </c>
      <c r="E620" s="7">
        <f>ABS(0.01875-0.021527777777778)</f>
        <v>2.7777777777780004E-3</v>
      </c>
      <c r="F620" s="1" t="s">
        <v>11</v>
      </c>
      <c r="G620" s="7"/>
    </row>
    <row r="621" spans="1:7" x14ac:dyDescent="0.25">
      <c r="A621" s="11">
        <v>42217</v>
      </c>
      <c r="B621" s="7">
        <v>0.25694444444444448</v>
      </c>
      <c r="C621" s="7">
        <v>0.27847222222222223</v>
      </c>
      <c r="D621" s="7">
        <f>(0.278472222222222-0.256944444444444)</f>
        <v>2.1527777777778034E-2</v>
      </c>
      <c r="E621" s="7">
        <f>ABS(0.021527777777778-0.017361111111111)</f>
        <v>4.1666666666669988E-3</v>
      </c>
      <c r="F621" s="1" t="s">
        <v>11</v>
      </c>
      <c r="G621" s="7"/>
    </row>
    <row r="622" spans="1:7" x14ac:dyDescent="0.25">
      <c r="A622" s="11">
        <v>42217</v>
      </c>
      <c r="B622" s="7">
        <v>0.54097222222222219</v>
      </c>
      <c r="C622" s="7">
        <v>0.55833333333333335</v>
      </c>
      <c r="D622" s="7">
        <f>(0.558333333333333-0.540972222222222)</f>
        <v>1.7361111111111049E-2</v>
      </c>
      <c r="E622" s="7">
        <f>ABS(0.017361111111111-0.024305555555555)</f>
        <v>6.944444444444E-3</v>
      </c>
      <c r="F622" s="1" t="s">
        <v>11</v>
      </c>
      <c r="G622" s="7"/>
    </row>
    <row r="623" spans="1:7" x14ac:dyDescent="0.25">
      <c r="A623" s="11">
        <v>42217</v>
      </c>
      <c r="B623" s="7">
        <v>0.62291666666666667</v>
      </c>
      <c r="C623" s="7">
        <v>0.64722222222222225</v>
      </c>
      <c r="D623" s="7">
        <f>(0.647222222222222-0.622916666666667)</f>
        <v>2.4305555555555025E-2</v>
      </c>
      <c r="E623" s="7">
        <f>ABS(0.024305555555555-0.029166666666667)</f>
        <v>4.8611111111119994E-3</v>
      </c>
      <c r="F623" s="1" t="s">
        <v>11</v>
      </c>
      <c r="G623" s="7"/>
    </row>
    <row r="624" spans="1:7" x14ac:dyDescent="0.25">
      <c r="A624" s="11">
        <v>42217</v>
      </c>
      <c r="B624" s="7">
        <v>0.6</v>
      </c>
      <c r="C624" s="7">
        <v>0.62916666666666665</v>
      </c>
      <c r="D624" s="7">
        <f>(0.629166666666667-0.6)</f>
        <v>2.9166666666667007E-2</v>
      </c>
      <c r="E624" s="7">
        <f>ABS(0.029166666666667-0.019444444444444)</f>
        <v>9.7222222222229995E-3</v>
      </c>
      <c r="F624" s="1" t="s">
        <v>11</v>
      </c>
      <c r="G624" s="7"/>
    </row>
    <row r="625" spans="1:7" x14ac:dyDescent="0.25">
      <c r="A625" s="11">
        <v>42217</v>
      </c>
      <c r="B625" s="7">
        <v>0.71805555555555556</v>
      </c>
      <c r="C625" s="7">
        <v>0.73749999999999993</v>
      </c>
      <c r="D625" s="7">
        <f>(0.7375-0.718055555555556)</f>
        <v>1.9444444444444042E-2</v>
      </c>
      <c r="E625" s="7">
        <f>ABS(0.019444444444444-0.06736111111111)</f>
        <v>4.7916666666665997E-2</v>
      </c>
      <c r="F625" s="1" t="s">
        <v>11</v>
      </c>
      <c r="G625" s="7"/>
    </row>
    <row r="626" spans="1:7" x14ac:dyDescent="0.25">
      <c r="A626" s="11">
        <v>42217</v>
      </c>
      <c r="B626" s="7">
        <v>0.96250000000000002</v>
      </c>
      <c r="C626" s="7">
        <v>1.0298611111111111</v>
      </c>
      <c r="D626" s="7">
        <f>(1.02986111111111-0.9625)</f>
        <v>6.7361111111109984E-2</v>
      </c>
      <c r="E626" s="7">
        <f>ABS(0.06736111111111-0.019444444444445)</f>
        <v>4.7916666666664998E-2</v>
      </c>
      <c r="F626" s="1" t="s">
        <v>11</v>
      </c>
      <c r="G626" s="7"/>
    </row>
    <row r="627" spans="1:7" x14ac:dyDescent="0.25">
      <c r="A627" s="11">
        <v>42217</v>
      </c>
      <c r="B627" s="7">
        <v>0.90347222222222223</v>
      </c>
      <c r="C627" s="7">
        <v>0.92291666666666661</v>
      </c>
      <c r="D627" s="7">
        <f>(0.922916666666667-0.903472222222222)</f>
        <v>1.9444444444445041E-2</v>
      </c>
      <c r="E627" s="7">
        <f>ABS(0.019444444444445-0.0215277777777779)</f>
        <v>2.0833333333328992E-3</v>
      </c>
      <c r="F627" s="1" t="s">
        <v>11</v>
      </c>
      <c r="G627" s="7"/>
    </row>
    <row r="628" spans="1:7" x14ac:dyDescent="0.25">
      <c r="A628" s="11">
        <v>42217</v>
      </c>
      <c r="B628" s="7">
        <v>0.89097222222222217</v>
      </c>
      <c r="C628" s="7">
        <v>0.91249999999999998</v>
      </c>
      <c r="D628" s="7">
        <f>(0.9125-0.890972222222222)</f>
        <v>2.1527777777777923E-2</v>
      </c>
      <c r="E628" s="7">
        <f>ABS(0.0215277777777779-0.022916666666666)</f>
        <v>1.3888888888880999E-3</v>
      </c>
      <c r="F628" s="1" t="s">
        <v>11</v>
      </c>
      <c r="G628" s="7"/>
    </row>
    <row r="629" spans="1:7" x14ac:dyDescent="0.25">
      <c r="A629" s="11">
        <v>42217</v>
      </c>
      <c r="B629" s="7">
        <v>0.30902777777777779</v>
      </c>
      <c r="C629" s="7">
        <v>0.33194444444444443</v>
      </c>
      <c r="D629" s="7">
        <f>(0.331944444444444-0.309027777777778)</f>
        <v>2.2916666666665975E-2</v>
      </c>
      <c r="E629" s="7">
        <f>ABS(0.022916666666666-0.027777777777778)</f>
        <v>4.8611111111119994E-3</v>
      </c>
      <c r="F629" s="1" t="s">
        <v>11</v>
      </c>
      <c r="G629" s="7"/>
    </row>
    <row r="630" spans="1:7" x14ac:dyDescent="0.25">
      <c r="A630" s="11">
        <v>42217</v>
      </c>
      <c r="B630" s="7">
        <v>0.3923611111111111</v>
      </c>
      <c r="C630" s="7">
        <v>0.4201388888888889</v>
      </c>
      <c r="D630" s="7">
        <f>(0.420138888888889-0.392361111111111)</f>
        <v>2.7777777777778012E-2</v>
      </c>
      <c r="E630" s="7">
        <f>ABS(0.027777777777778-0.025)</f>
        <v>2.7777777777779969E-3</v>
      </c>
      <c r="F630" s="1" t="s">
        <v>11</v>
      </c>
      <c r="G630" s="7"/>
    </row>
    <row r="631" spans="1:7" x14ac:dyDescent="0.25">
      <c r="A631" s="11">
        <v>42217</v>
      </c>
      <c r="B631" s="7">
        <v>0.63888888888888895</v>
      </c>
      <c r="C631" s="7">
        <v>0.66388888888888886</v>
      </c>
      <c r="D631" s="7">
        <f>(0.663888888888889-0.638888888888889)</f>
        <v>2.5000000000000022E-2</v>
      </c>
      <c r="E631" s="7">
        <f>ABS(0.025-0.0208333333333339)</f>
        <v>4.1666666666661002E-3</v>
      </c>
      <c r="F631" s="1" t="s">
        <v>11</v>
      </c>
      <c r="G631" s="7"/>
    </row>
    <row r="632" spans="1:7" x14ac:dyDescent="0.25">
      <c r="A632" s="11">
        <v>42217</v>
      </c>
      <c r="B632" s="7">
        <v>0.89097222222222217</v>
      </c>
      <c r="C632" s="7">
        <v>0.91180555555555554</v>
      </c>
      <c r="D632" s="7">
        <f>(0.911805555555556-0.890972222222222)</f>
        <v>2.0833333333333925E-2</v>
      </c>
      <c r="E632" s="7">
        <f>ABS(0.0208333333333339-0.024305555555556)</f>
        <v>3.4722222222220989E-3</v>
      </c>
      <c r="F632" s="1" t="s">
        <v>11</v>
      </c>
      <c r="G632" s="7"/>
    </row>
    <row r="633" spans="1:7" x14ac:dyDescent="0.25">
      <c r="A633" s="11">
        <v>42217</v>
      </c>
      <c r="B633" s="7">
        <v>0.58611111111111114</v>
      </c>
      <c r="C633" s="7">
        <v>0.61041666666666672</v>
      </c>
      <c r="D633" s="7">
        <f>(0.610416666666667-0.586111111111111)</f>
        <v>2.4305555555556024E-2</v>
      </c>
      <c r="E633" s="7">
        <f>ABS(0.024305555555556-0.024305555555556)</f>
        <v>0</v>
      </c>
      <c r="F633" s="1" t="s">
        <v>11</v>
      </c>
      <c r="G633" s="7"/>
    </row>
    <row r="634" spans="1:7" x14ac:dyDescent="0.25">
      <c r="A634" s="11">
        <v>42217</v>
      </c>
      <c r="B634" s="7">
        <v>0.56944444444444442</v>
      </c>
      <c r="C634" s="7">
        <v>0.59375</v>
      </c>
      <c r="D634" s="7">
        <f>(0.59375-0.569444444444444)</f>
        <v>2.4305555555556024E-2</v>
      </c>
      <c r="E634" s="7">
        <f>ABS(0.024305555555556-0.0118055555555561)</f>
        <v>1.24999999999999E-2</v>
      </c>
      <c r="F634" s="1" t="s">
        <v>11</v>
      </c>
      <c r="G634" s="7"/>
    </row>
    <row r="635" spans="1:7" x14ac:dyDescent="0.25">
      <c r="A635" s="11">
        <v>42217</v>
      </c>
      <c r="B635" s="7">
        <v>0.73333333333333339</v>
      </c>
      <c r="C635" s="7">
        <v>0.74513888888888891</v>
      </c>
      <c r="D635" s="7">
        <f>(0.745138888888889-0.733333333333333)</f>
        <v>1.1805555555556069E-2</v>
      </c>
      <c r="E635" s="7">
        <f>ABS(0.0118055555555561-0.0187499999999999)</f>
        <v>6.9444444444437987E-3</v>
      </c>
      <c r="F635" s="1" t="s">
        <v>11</v>
      </c>
      <c r="G635" s="7"/>
    </row>
    <row r="636" spans="1:7" x14ac:dyDescent="0.25">
      <c r="A636" s="11">
        <v>42217</v>
      </c>
      <c r="B636" s="7">
        <v>0.74583333333333324</v>
      </c>
      <c r="C636" s="7">
        <v>0.76458333333333339</v>
      </c>
      <c r="D636" s="7">
        <f>(0.764583333333333-0.745833333333333)</f>
        <v>1.8749999999999933E-2</v>
      </c>
      <c r="E636" s="7">
        <f>ABS(0.0187499999999999-0.018055555555555)</f>
        <v>6.9444444444489994E-4</v>
      </c>
      <c r="F636" s="1" t="s">
        <v>11</v>
      </c>
      <c r="G636" s="7"/>
    </row>
    <row r="637" spans="1:7" x14ac:dyDescent="0.25">
      <c r="A637" s="11">
        <v>42217</v>
      </c>
      <c r="B637" s="7">
        <v>0.18263888888888891</v>
      </c>
      <c r="C637" s="7">
        <v>0.20069444444444443</v>
      </c>
      <c r="D637" s="7">
        <f>(0.200694444444444-0.182638888888889)</f>
        <v>1.805555555555502E-2</v>
      </c>
      <c r="E637" s="7">
        <f>ABS(0.018055555555555-0.027083333333334)</f>
        <v>9.0277777777790016E-3</v>
      </c>
      <c r="F637" s="1" t="s">
        <v>11</v>
      </c>
      <c r="G637" s="7"/>
    </row>
    <row r="638" spans="1:7" x14ac:dyDescent="0.25">
      <c r="A638" s="11">
        <v>42217</v>
      </c>
      <c r="B638" s="7">
        <v>0.42222222222222222</v>
      </c>
      <c r="C638" s="7">
        <v>0.44930555555555557</v>
      </c>
      <c r="D638" s="7">
        <f>(0.449305555555556-0.422222222222222)</f>
        <v>2.7083333333334014E-2</v>
      </c>
      <c r="E638" s="7">
        <f>ABS(0.027083333333334-0.0166666666666669)</f>
        <v>1.0416666666667102E-2</v>
      </c>
      <c r="F638" s="1" t="s">
        <v>11</v>
      </c>
      <c r="G638" s="7"/>
    </row>
    <row r="639" spans="1:7" x14ac:dyDescent="0.25">
      <c r="A639" s="11">
        <v>42217</v>
      </c>
      <c r="B639" s="7">
        <v>0.68263888888888891</v>
      </c>
      <c r="C639" s="7">
        <v>0.69930555555555562</v>
      </c>
      <c r="D639" s="7">
        <f>(0.699305555555556-0.682638888888889)</f>
        <v>1.6666666666666941E-2</v>
      </c>
      <c r="E639" s="7">
        <f>ABS(0.0166666666666669-0.022222222222222)</f>
        <v>5.5555555555551021E-3</v>
      </c>
      <c r="F639" s="1" t="s">
        <v>11</v>
      </c>
      <c r="G639" s="7"/>
    </row>
    <row r="640" spans="1:7" x14ac:dyDescent="0.25">
      <c r="A640" s="11">
        <v>42217</v>
      </c>
      <c r="B640" s="7">
        <v>0.75208333333333333</v>
      </c>
      <c r="C640" s="7">
        <v>0.77430555555555547</v>
      </c>
      <c r="D640" s="7">
        <f>(0.774305555555555-0.752083333333333)</f>
        <v>2.2222222222222032E-2</v>
      </c>
      <c r="E640" s="7">
        <f>ABS(0.022222222222222-0.025694444444445)</f>
        <v>3.4722222222229975E-3</v>
      </c>
      <c r="F640" s="1" t="s">
        <v>11</v>
      </c>
      <c r="G640" s="7"/>
    </row>
    <row r="641" spans="1:7" x14ac:dyDescent="0.25">
      <c r="A641" s="11">
        <v>42217</v>
      </c>
      <c r="B641" s="7">
        <v>0.46458333333333335</v>
      </c>
      <c r="C641" s="7">
        <v>0.49027777777777781</v>
      </c>
      <c r="D641" s="7">
        <f>(0.490277777777778-0.464583333333333)</f>
        <v>2.5694444444444964E-2</v>
      </c>
      <c r="E641" s="7">
        <f>ABS(0.025694444444445-0.022222222222222)</f>
        <v>3.4722222222229975E-3</v>
      </c>
      <c r="F641" s="1" t="s">
        <v>11</v>
      </c>
      <c r="G641" s="7"/>
    </row>
    <row r="642" spans="1:7" x14ac:dyDescent="0.25">
      <c r="A642" s="11">
        <v>42217</v>
      </c>
      <c r="B642" s="7">
        <v>0.59791666666666665</v>
      </c>
      <c r="C642" s="7">
        <v>0.62013888888888891</v>
      </c>
      <c r="D642" s="7">
        <f>(0.620138888888889-0.597916666666667)</f>
        <v>2.2222222222222032E-2</v>
      </c>
      <c r="E642" s="7">
        <f>ABS(0.022222222222222-0.065972222222222)</f>
        <v>4.3749999999999997E-2</v>
      </c>
      <c r="F642" s="1" t="s">
        <v>11</v>
      </c>
      <c r="G642" s="7"/>
    </row>
    <row r="643" spans="1:7" x14ac:dyDescent="0.25">
      <c r="A643" s="11">
        <v>42217</v>
      </c>
      <c r="B643" s="7">
        <v>0.66805555555555562</v>
      </c>
      <c r="C643" s="7">
        <v>0.73402777777777783</v>
      </c>
      <c r="D643" s="7">
        <f>(0.734027777777778-0.668055555555556)</f>
        <v>6.5972222222221988E-2</v>
      </c>
      <c r="E643" s="7">
        <f>ABS(0.065972222222222-0.022916666666667)</f>
        <v>4.3055555555555E-2</v>
      </c>
      <c r="F643" s="1" t="s">
        <v>11</v>
      </c>
      <c r="G643" s="7"/>
    </row>
    <row r="644" spans="1:7" x14ac:dyDescent="0.25">
      <c r="A644" s="11">
        <v>42217</v>
      </c>
      <c r="B644" s="7">
        <v>0.65625</v>
      </c>
      <c r="C644" s="7">
        <v>0.6791666666666667</v>
      </c>
      <c r="D644" s="7">
        <f>(0.679166666666667-0.65625)</f>
        <v>2.2916666666667029E-2</v>
      </c>
      <c r="E644" s="7">
        <f>ABS(0.022916666666667-0.026388888888889)</f>
        <v>3.4722222222219983E-3</v>
      </c>
      <c r="F644" s="1" t="s">
        <v>11</v>
      </c>
      <c r="G644" s="7"/>
    </row>
    <row r="645" spans="1:7" x14ac:dyDescent="0.25">
      <c r="A645" s="11">
        <v>42217</v>
      </c>
      <c r="B645" s="7">
        <v>0.70208333333333339</v>
      </c>
      <c r="C645" s="7">
        <v>0.7284722222222223</v>
      </c>
      <c r="D645" s="7">
        <f>(0.728472222222222-0.702083333333333)</f>
        <v>2.6388888888889017E-2</v>
      </c>
      <c r="E645" s="7">
        <f>ABS(0.026388888888889-0.030555555555555)</f>
        <v>4.1666666666659996E-3</v>
      </c>
      <c r="F645" s="1" t="s">
        <v>11</v>
      </c>
      <c r="G645" s="7"/>
    </row>
    <row r="646" spans="1:7" x14ac:dyDescent="0.25">
      <c r="A646" s="11">
        <v>42217</v>
      </c>
      <c r="B646" s="7">
        <v>0.53263888888888888</v>
      </c>
      <c r="C646" s="7">
        <v>0.56319444444444444</v>
      </c>
      <c r="D646" s="7">
        <f>(0.563194444444444-0.532638888888889)</f>
        <v>3.0555555555555003E-2</v>
      </c>
      <c r="E646" s="7">
        <f>ABS(0.030555555555555-0.026388888888889)</f>
        <v>4.1666666666659996E-3</v>
      </c>
      <c r="F646" s="1" t="s">
        <v>11</v>
      </c>
      <c r="G646" s="7"/>
    </row>
    <row r="647" spans="1:7" x14ac:dyDescent="0.25">
      <c r="A647" s="11">
        <v>42217</v>
      </c>
      <c r="B647" s="7">
        <v>0.56597222222222221</v>
      </c>
      <c r="C647" s="7">
        <v>0.59236111111111112</v>
      </c>
      <c r="D647" s="7">
        <f>(0.592361111111111-0.565972222222222)</f>
        <v>2.6388888888889017E-2</v>
      </c>
      <c r="E647" s="7">
        <f>ABS(0.026388888888889-0.032638888888889)</f>
        <v>6.2500000000000021E-3</v>
      </c>
      <c r="F647" s="1" t="s">
        <v>11</v>
      </c>
      <c r="G647" s="7"/>
    </row>
    <row r="648" spans="1:7" x14ac:dyDescent="0.25">
      <c r="A648" s="11">
        <v>42217</v>
      </c>
      <c r="B648" s="7">
        <v>0.59722222222222221</v>
      </c>
      <c r="C648" s="7">
        <v>0.62986111111111109</v>
      </c>
      <c r="D648" s="7">
        <f>(0.629861111111111-0.597222222222222)</f>
        <v>3.2638888888888995E-2</v>
      </c>
      <c r="E648" s="7">
        <f>ABS(0.032638888888889-0.0194444444444439)</f>
        <v>1.3194444444445102E-2</v>
      </c>
      <c r="F648" s="1" t="s">
        <v>11</v>
      </c>
      <c r="G648" s="7"/>
    </row>
    <row r="649" spans="1:7" x14ac:dyDescent="0.25">
      <c r="A649" s="11">
        <v>42217</v>
      </c>
      <c r="B649" s="7">
        <v>0.7090277777777777</v>
      </c>
      <c r="C649" s="7">
        <v>0.7284722222222223</v>
      </c>
      <c r="D649" s="7">
        <f>(0.728472222222222-0.709027777777778)</f>
        <v>1.9444444444443931E-2</v>
      </c>
      <c r="E649" s="7">
        <f>ABS(0.0194444444444439-0.025694444444441)</f>
        <v>6.2499999999971016E-3</v>
      </c>
      <c r="F649" s="1" t="s">
        <v>11</v>
      </c>
      <c r="G649" s="7"/>
    </row>
    <row r="650" spans="1:7" x14ac:dyDescent="0.25">
      <c r="A650" s="11">
        <v>42217</v>
      </c>
      <c r="B650" s="7">
        <v>0.98263888888888884</v>
      </c>
      <c r="C650" s="7">
        <v>1.0083333333333333</v>
      </c>
      <c r="D650" s="7">
        <f>(1.00833333333333-0.982638888888889)</f>
        <v>2.5694444444441022E-2</v>
      </c>
      <c r="E650" s="7">
        <f>ABS(0.025694444444441-0.020138888888888)</f>
        <v>5.5555555555530031E-3</v>
      </c>
      <c r="F650" s="1" t="s">
        <v>11</v>
      </c>
      <c r="G650" s="7"/>
    </row>
    <row r="651" spans="1:7" x14ac:dyDescent="0.25">
      <c r="A651" s="11">
        <v>42217</v>
      </c>
      <c r="B651" s="7">
        <v>0.91319444444444453</v>
      </c>
      <c r="C651" s="7">
        <v>0.93333333333333324</v>
      </c>
      <c r="D651" s="7">
        <f>(0.933333333333333-0.913194444444445)</f>
        <v>2.013888888888804E-2</v>
      </c>
      <c r="E651" s="7">
        <f>ABS(0.020138888888888-0.022222222222222)</f>
        <v>2.0833333333340025E-3</v>
      </c>
      <c r="F651" s="1" t="s">
        <v>11</v>
      </c>
      <c r="G651" s="7"/>
    </row>
    <row r="652" spans="1:7" x14ac:dyDescent="0.25">
      <c r="A652" s="11">
        <v>42217</v>
      </c>
      <c r="B652" s="7">
        <v>0.18402777777777779</v>
      </c>
      <c r="C652" s="7">
        <v>0.20625000000000002</v>
      </c>
      <c r="D652" s="7">
        <f>(0.20625-0.184027777777778)</f>
        <v>2.2222222222221977E-2</v>
      </c>
      <c r="E652" s="7">
        <f>ABS(0.022222222222222-0.011805555555555)</f>
        <v>1.0416666666667001E-2</v>
      </c>
      <c r="F652" s="1" t="s">
        <v>11</v>
      </c>
      <c r="G652" s="7"/>
    </row>
    <row r="653" spans="1:7" x14ac:dyDescent="0.25">
      <c r="A653" s="11">
        <v>42217</v>
      </c>
      <c r="B653" s="7">
        <v>0.82916666666666661</v>
      </c>
      <c r="C653" s="7">
        <v>0.84097222222222223</v>
      </c>
      <c r="D653" s="7">
        <f>(0.840972222222222-0.829166666666667)</f>
        <v>1.1805555555554959E-2</v>
      </c>
      <c r="E653" s="7">
        <f>ABS(0.011805555555555-0.045138888888889)</f>
        <v>3.3333333333333999E-2</v>
      </c>
      <c r="F653" s="1" t="s">
        <v>11</v>
      </c>
      <c r="G653" s="7"/>
    </row>
    <row r="654" spans="1:7" x14ac:dyDescent="0.25">
      <c r="A654" s="11">
        <v>42217</v>
      </c>
      <c r="B654" s="7">
        <v>0.86736111111111114</v>
      </c>
      <c r="C654" s="7">
        <v>0.91249999999999998</v>
      </c>
      <c r="D654" s="7">
        <f>(0.9125-0.867361111111111)</f>
        <v>4.5138888888888951E-2</v>
      </c>
      <c r="E654" s="7">
        <f>ABS(0.045138888888889-0.056250000000003)</f>
        <v>1.1111111111114E-2</v>
      </c>
      <c r="F654" s="1" t="s">
        <v>11</v>
      </c>
      <c r="G654" s="7"/>
    </row>
    <row r="655" spans="1:7" x14ac:dyDescent="0.25">
      <c r="A655" s="11">
        <v>42217</v>
      </c>
      <c r="B655" s="7">
        <v>0.95416666666666661</v>
      </c>
      <c r="C655" s="7">
        <v>1.0104166666666667</v>
      </c>
      <c r="D655" s="7">
        <f>(1.01041666666667-0.954166666666667)</f>
        <v>5.625000000000302E-2</v>
      </c>
      <c r="E655" s="7">
        <f>ABS(0.056250000000003-0.0166666666666669)</f>
        <v>3.95833333333361E-2</v>
      </c>
      <c r="F655" s="1" t="s">
        <v>11</v>
      </c>
      <c r="G655" s="7"/>
    </row>
    <row r="656" spans="1:7" x14ac:dyDescent="0.25">
      <c r="A656" s="11">
        <v>42217</v>
      </c>
      <c r="B656" s="7">
        <v>0.95486111111111116</v>
      </c>
      <c r="C656" s="7">
        <v>0.97152777777777777</v>
      </c>
      <c r="D656" s="7">
        <f>(0.971527777777778-0.954861111111111)</f>
        <v>1.6666666666666941E-2</v>
      </c>
      <c r="E656" s="7">
        <f>ABS(0.0166666666666669-0.0194444444444449)</f>
        <v>2.7777777777780004E-3</v>
      </c>
      <c r="F656" s="1" t="s">
        <v>11</v>
      </c>
      <c r="G656" s="7"/>
    </row>
    <row r="657" spans="1:7" x14ac:dyDescent="0.25">
      <c r="A657" s="11">
        <v>42217</v>
      </c>
      <c r="B657" s="7">
        <v>8.6111111111111124E-2</v>
      </c>
      <c r="C657" s="7">
        <v>0.10555555555555556</v>
      </c>
      <c r="D657" s="7">
        <f>(0.105555555555556-0.0861111111111111)</f>
        <v>1.9444444444444903E-2</v>
      </c>
      <c r="E657" s="7">
        <f>ABS(0.0194444444444449-0.022222222222222)</f>
        <v>2.7777777777771018E-3</v>
      </c>
      <c r="F657" s="1" t="s">
        <v>11</v>
      </c>
      <c r="G657" s="7"/>
    </row>
    <row r="658" spans="1:7" x14ac:dyDescent="0.25">
      <c r="A658" s="11">
        <v>42217</v>
      </c>
      <c r="B658" s="7">
        <v>0.18402777777777779</v>
      </c>
      <c r="C658" s="7">
        <v>0.20625000000000002</v>
      </c>
      <c r="D658" s="7">
        <f>(0.20625-0.184027777777778)</f>
        <v>2.2222222222221977E-2</v>
      </c>
      <c r="E658" s="7">
        <f>ABS(0.022222222222222-0.026388888888888)</f>
        <v>4.1666666666659996E-3</v>
      </c>
      <c r="F658" s="1" t="s">
        <v>11</v>
      </c>
      <c r="G658" s="7"/>
    </row>
    <row r="659" spans="1:7" x14ac:dyDescent="0.25">
      <c r="A659" s="11">
        <v>42217</v>
      </c>
      <c r="B659" s="7">
        <v>0.36180555555555555</v>
      </c>
      <c r="C659" s="7">
        <v>0.38819444444444445</v>
      </c>
      <c r="D659" s="7">
        <f>(0.388194444444444-0.361805555555556)</f>
        <v>2.6388888888888018E-2</v>
      </c>
      <c r="E659" s="7">
        <f>ABS(0.026388888888888-0.011805555555555)</f>
        <v>1.4583333333333E-2</v>
      </c>
      <c r="F659" s="1" t="s">
        <v>11</v>
      </c>
      <c r="G659" s="7"/>
    </row>
    <row r="660" spans="1:7" x14ac:dyDescent="0.25">
      <c r="A660" s="11">
        <v>42217</v>
      </c>
      <c r="B660" s="7">
        <v>0.58402777777777781</v>
      </c>
      <c r="C660" s="7">
        <v>0.59583333333333333</v>
      </c>
      <c r="D660" s="7">
        <f>(0.595833333333333-0.584027777777778)</f>
        <v>1.1805555555554959E-2</v>
      </c>
      <c r="E660" s="7">
        <f>ABS(0.011805555555555-0.020138888888889)</f>
        <v>8.3333333333340011E-3</v>
      </c>
      <c r="F660" s="1" t="s">
        <v>11</v>
      </c>
      <c r="G660" s="7"/>
    </row>
    <row r="661" spans="1:7" x14ac:dyDescent="0.25">
      <c r="A661" s="11">
        <v>42217</v>
      </c>
      <c r="B661" s="7">
        <v>0.75624999999999998</v>
      </c>
      <c r="C661" s="7">
        <v>0.77638888888888891</v>
      </c>
      <c r="D661" s="7">
        <f>(0.776388888888889-0.75625)</f>
        <v>2.0138888888889039E-2</v>
      </c>
      <c r="E661" s="7">
        <f>ABS(0.020138888888889-0.09375)</f>
        <v>7.3611111111111002E-2</v>
      </c>
      <c r="F661" s="1" t="s">
        <v>11</v>
      </c>
      <c r="G661" s="7"/>
    </row>
    <row r="662" spans="1:7" x14ac:dyDescent="0.25">
      <c r="A662" s="11">
        <v>42217</v>
      </c>
      <c r="B662" s="7">
        <v>0.78541666666666676</v>
      </c>
      <c r="C662" s="7">
        <v>0.87916666666666676</v>
      </c>
      <c r="D662" s="7">
        <f>(0.879166666666667-0.785416666666667)</f>
        <v>9.375E-2</v>
      </c>
      <c r="E662" s="7">
        <f>ABS(0.09375-0.028472222222222)</f>
        <v>6.5277777777778004E-2</v>
      </c>
      <c r="F662" s="1" t="s">
        <v>11</v>
      </c>
      <c r="G662" s="7"/>
    </row>
    <row r="663" spans="1:7" x14ac:dyDescent="0.25">
      <c r="A663" s="11">
        <v>42217</v>
      </c>
      <c r="B663" s="7">
        <v>0.42986111111111108</v>
      </c>
      <c r="C663" s="7">
        <v>0.45833333333333331</v>
      </c>
      <c r="D663" s="7">
        <f>(0.458333333333333-0.429861111111111)</f>
        <v>2.8472222222221955E-2</v>
      </c>
      <c r="E663" s="7">
        <f>ABS(0.028472222222222-0.021527777777777)</f>
        <v>6.9444444444449992E-3</v>
      </c>
      <c r="F663" s="1" t="s">
        <v>11</v>
      </c>
      <c r="G663" s="7"/>
    </row>
    <row r="664" spans="1:7" x14ac:dyDescent="0.25">
      <c r="A664" s="11">
        <v>42217</v>
      </c>
      <c r="B664" s="7">
        <v>0.56041666666666667</v>
      </c>
      <c r="C664" s="7">
        <v>0.58194444444444449</v>
      </c>
      <c r="D664" s="7">
        <f>(0.581944444444444-0.560416666666667)</f>
        <v>2.1527777777777035E-2</v>
      </c>
      <c r="E664" s="7">
        <f>ABS(0.021527777777777-0.020833333333333)</f>
        <v>6.9444444444400136E-4</v>
      </c>
      <c r="F664" s="1" t="s">
        <v>11</v>
      </c>
      <c r="G664" s="7"/>
    </row>
    <row r="665" spans="1:7" x14ac:dyDescent="0.25">
      <c r="A665" s="11">
        <v>42217</v>
      </c>
      <c r="B665" s="7">
        <v>8.1250000000000003E-2</v>
      </c>
      <c r="C665" s="7">
        <v>0.10208333333333335</v>
      </c>
      <c r="D665" s="7">
        <f>(0.102083333333333-0.08125)</f>
        <v>2.0833333333332996E-2</v>
      </c>
      <c r="E665" s="7">
        <f>ABS(0.020833333333333-0.0187499999999999)</f>
        <v>2.0833333333331004E-3</v>
      </c>
      <c r="F665" s="1" t="s">
        <v>11</v>
      </c>
      <c r="G665" s="7"/>
    </row>
    <row r="666" spans="1:7" x14ac:dyDescent="0.25">
      <c r="A666" s="11">
        <v>42217</v>
      </c>
      <c r="B666" s="7">
        <v>0.77638888888888891</v>
      </c>
      <c r="C666" s="7">
        <v>0.79513888888888884</v>
      </c>
      <c r="D666" s="7">
        <f>(0.795138888888889-0.776388888888889)</f>
        <v>1.8749999999999933E-2</v>
      </c>
      <c r="E666" s="7">
        <f>ABS(0.0187499999999999-0.022916666666667)</f>
        <v>4.1666666666671029E-3</v>
      </c>
      <c r="F666" s="1" t="s">
        <v>11</v>
      </c>
      <c r="G666" s="7"/>
    </row>
    <row r="667" spans="1:7" x14ac:dyDescent="0.25">
      <c r="A667" s="11">
        <v>42217</v>
      </c>
      <c r="B667" s="7">
        <v>0.3611111111111111</v>
      </c>
      <c r="C667" s="7">
        <v>0.3840277777777778</v>
      </c>
      <c r="D667" s="7">
        <f>(0.384027777777778-0.361111111111111)</f>
        <v>2.2916666666667029E-2</v>
      </c>
      <c r="E667" s="7">
        <f>ABS(0.022916666666667-0.025)</f>
        <v>2.0833333333329998E-3</v>
      </c>
      <c r="F667" s="1" t="s">
        <v>11</v>
      </c>
      <c r="G667" s="7"/>
    </row>
    <row r="668" spans="1:7" x14ac:dyDescent="0.25">
      <c r="A668" s="11">
        <v>42217</v>
      </c>
      <c r="B668" s="7">
        <v>0.61597222222222225</v>
      </c>
      <c r="C668" s="7">
        <v>0.64097222222222217</v>
      </c>
      <c r="D668" s="7">
        <f>(0.640972222222222-0.615972222222222)</f>
        <v>2.5000000000000022E-2</v>
      </c>
      <c r="E668" s="7">
        <f>ABS(0.025-0.029861111111111)</f>
        <v>4.8611111111110002E-3</v>
      </c>
      <c r="F668" s="1" t="s">
        <v>11</v>
      </c>
      <c r="G668" s="7"/>
    </row>
    <row r="669" spans="1:7" x14ac:dyDescent="0.25">
      <c r="A669" s="11">
        <v>42217</v>
      </c>
      <c r="B669" s="7">
        <v>0.52708333333333335</v>
      </c>
      <c r="C669" s="7">
        <v>0.55694444444444446</v>
      </c>
      <c r="D669" s="7">
        <f>(0.556944444444444-0.527083333333333)</f>
        <v>2.9861111111111005E-2</v>
      </c>
      <c r="E669" s="7">
        <f>ABS(0.029861111111111-0.0229166666666669)</f>
        <v>6.9444444444441006E-3</v>
      </c>
      <c r="F669" s="1" t="s">
        <v>11</v>
      </c>
      <c r="G669" s="7"/>
    </row>
    <row r="670" spans="1:7" x14ac:dyDescent="0.25">
      <c r="A670" s="11">
        <v>42217</v>
      </c>
      <c r="B670" s="7">
        <v>0.82847222222222217</v>
      </c>
      <c r="C670" s="7">
        <v>0.85138888888888886</v>
      </c>
      <c r="D670" s="7">
        <f>(0.851388888888889-0.828472222222222)</f>
        <v>2.2916666666666918E-2</v>
      </c>
      <c r="E670" s="7">
        <f>ABS(0.0229166666666669-0.021527777777778)</f>
        <v>1.3888888888889013E-3</v>
      </c>
      <c r="F670" s="1" t="s">
        <v>11</v>
      </c>
      <c r="G670" s="7"/>
    </row>
    <row r="671" spans="1:7" x14ac:dyDescent="0.25">
      <c r="A671" s="11">
        <v>42217</v>
      </c>
      <c r="B671" s="7">
        <v>0.63402777777777775</v>
      </c>
      <c r="C671" s="7">
        <v>0.65555555555555556</v>
      </c>
      <c r="D671" s="7">
        <f>(0.655555555555556-0.634027777777778)</f>
        <v>2.1527777777778034E-2</v>
      </c>
      <c r="E671" s="7">
        <f>ABS(0.021527777777778-0.0166666666666671)</f>
        <v>4.8611111111108996E-3</v>
      </c>
      <c r="F671" s="1" t="s">
        <v>11</v>
      </c>
      <c r="G671" s="7"/>
    </row>
    <row r="672" spans="1:7" x14ac:dyDescent="0.25">
      <c r="A672" s="11">
        <v>42217</v>
      </c>
      <c r="B672" s="7">
        <v>0.91111111111111109</v>
      </c>
      <c r="C672" s="7">
        <v>0.9277777777777777</v>
      </c>
      <c r="D672" s="7">
        <f>(0.927777777777778-0.911111111111111)</f>
        <v>1.6666666666667052E-2</v>
      </c>
      <c r="E672" s="7">
        <f>ABS(0.0166666666666671-0.0243055555555556)</f>
        <v>7.6388888888885009E-3</v>
      </c>
      <c r="F672" s="1" t="s">
        <v>11</v>
      </c>
      <c r="G672" s="7"/>
    </row>
    <row r="673" spans="1:7" x14ac:dyDescent="0.25">
      <c r="A673" s="11">
        <v>42217</v>
      </c>
      <c r="B673" s="7">
        <v>6.1111111111111116E-2</v>
      </c>
      <c r="C673" s="7">
        <v>8.5416666666666655E-2</v>
      </c>
      <c r="D673" s="7">
        <f>(0.0854166666666667-0.0611111111111111)</f>
        <v>2.4305555555555594E-2</v>
      </c>
      <c r="E673" s="7">
        <f>ABS(0.0243055555555556-0.288888888888889)</f>
        <v>0.26458333333333339</v>
      </c>
      <c r="F673" s="1" t="s">
        <v>11</v>
      </c>
      <c r="G673" s="7"/>
    </row>
    <row r="674" spans="1:7" x14ac:dyDescent="0.25">
      <c r="A674" s="11">
        <v>42217</v>
      </c>
      <c r="B674" s="7">
        <v>6.1111111111111116E-2</v>
      </c>
      <c r="C674" s="7">
        <v>0.35000000000000003</v>
      </c>
      <c r="D674" s="7">
        <f>(0.35-0.0611111111111111)</f>
        <v>0.28888888888888886</v>
      </c>
      <c r="E674" s="7">
        <f>ABS(0.288888888888889-0.023611111111111)</f>
        <v>0.26527777777777795</v>
      </c>
      <c r="F674" s="1" t="s">
        <v>11</v>
      </c>
      <c r="G674" s="7"/>
    </row>
    <row r="675" spans="1:7" x14ac:dyDescent="0.25">
      <c r="A675" s="11">
        <v>42217</v>
      </c>
      <c r="B675" s="7">
        <v>0.1763888888888889</v>
      </c>
      <c r="C675" s="7">
        <v>0.19999999999999998</v>
      </c>
      <c r="D675" s="7">
        <f>(0.2-0.176388888888889)</f>
        <v>2.3611111111110999E-2</v>
      </c>
      <c r="E675" s="7">
        <f>ABS(0.023611111111111-0.0145833333333331)</f>
        <v>9.0277777777779001E-3</v>
      </c>
      <c r="F675" s="1" t="s">
        <v>11</v>
      </c>
      <c r="G675" s="7"/>
    </row>
    <row r="676" spans="1:7" x14ac:dyDescent="0.25">
      <c r="A676" s="11">
        <v>42217</v>
      </c>
      <c r="B676" s="7">
        <v>0.54236111111111118</v>
      </c>
      <c r="C676" s="7">
        <v>0.55694444444444446</v>
      </c>
      <c r="D676" s="7">
        <f>(0.556944444444444-0.542361111111111)</f>
        <v>1.4583333333333059E-2</v>
      </c>
      <c r="E676" s="7">
        <f>ABS(0.0145833333333331-0.0263888888888889)</f>
        <v>1.18055555555558E-2</v>
      </c>
      <c r="F676" s="1" t="s">
        <v>11</v>
      </c>
      <c r="G676" s="7"/>
    </row>
    <row r="677" spans="1:7" x14ac:dyDescent="0.25">
      <c r="A677" s="11">
        <v>42217</v>
      </c>
      <c r="B677" s="7">
        <v>0.64236111111111105</v>
      </c>
      <c r="C677" s="7">
        <v>0.66875000000000007</v>
      </c>
      <c r="D677" s="7">
        <f>(0.66875-0.642361111111111)</f>
        <v>2.6388888888888906E-2</v>
      </c>
      <c r="E677" s="7">
        <f>ABS(0.0263888888888889-0.023611111111111)</f>
        <v>2.7777777777778997E-3</v>
      </c>
      <c r="F677" s="1" t="s">
        <v>11</v>
      </c>
      <c r="G677" s="7"/>
    </row>
    <row r="678" spans="1:7" x14ac:dyDescent="0.25">
      <c r="A678" s="11">
        <v>42217</v>
      </c>
      <c r="B678" s="7">
        <v>0.78541666666666676</v>
      </c>
      <c r="C678" s="7">
        <v>0.80902777777777779</v>
      </c>
      <c r="D678" s="7">
        <f>(0.809027777777778-0.785416666666667)</f>
        <v>2.3611111111111027E-2</v>
      </c>
      <c r="E678" s="7">
        <f>ABS(0.023611111111111-0.0395833333333341)</f>
        <v>1.5972222222223102E-2</v>
      </c>
      <c r="F678" s="1" t="s">
        <v>11</v>
      </c>
      <c r="G678" s="7"/>
    </row>
    <row r="679" spans="1:7" x14ac:dyDescent="0.25">
      <c r="A679" s="11">
        <v>42217</v>
      </c>
      <c r="B679" s="7">
        <v>0.9145833333333333</v>
      </c>
      <c r="C679" s="7">
        <v>0.95416666666666661</v>
      </c>
      <c r="D679" s="7">
        <f>(0.954166666666667-0.914583333333333)</f>
        <v>3.9583333333334081E-2</v>
      </c>
      <c r="E679" s="7">
        <f>ABS(0.0395833333333341-0.022916666666666)</f>
        <v>1.6666666666668103E-2</v>
      </c>
      <c r="F679" s="1" t="s">
        <v>11</v>
      </c>
      <c r="G679" s="7"/>
    </row>
    <row r="680" spans="1:7" x14ac:dyDescent="0.25">
      <c r="A680" s="11">
        <v>42217</v>
      </c>
      <c r="B680" s="7">
        <v>0.78055555555555556</v>
      </c>
      <c r="C680" s="7">
        <v>0.80347222222222225</v>
      </c>
      <c r="D680" s="7">
        <f>(0.803472222222222-0.780555555555556)</f>
        <v>2.291666666666603E-2</v>
      </c>
      <c r="E680" s="7">
        <f>ABS(0.022916666666666-0.0159722222222219)</f>
        <v>6.9444444444441006E-3</v>
      </c>
      <c r="F680" s="1" t="s">
        <v>11</v>
      </c>
      <c r="G680" s="7"/>
    </row>
    <row r="681" spans="1:7" x14ac:dyDescent="0.25">
      <c r="A681" s="11">
        <v>42217</v>
      </c>
      <c r="B681" s="7">
        <v>0.92361111111111116</v>
      </c>
      <c r="C681" s="7">
        <v>0.93958333333333333</v>
      </c>
      <c r="D681" s="7">
        <f>(0.939583333333333-0.923611111111111)</f>
        <v>1.5972222222221943E-2</v>
      </c>
      <c r="E681" s="7">
        <f>ABS(0.0159722222222219-0.0166666666666671)</f>
        <v>6.9444444444520179E-4</v>
      </c>
      <c r="F681" s="1" t="s">
        <v>11</v>
      </c>
      <c r="G681" s="7"/>
    </row>
    <row r="682" spans="1:7" x14ac:dyDescent="0.25">
      <c r="A682" s="11">
        <v>42217</v>
      </c>
      <c r="B682" s="7">
        <v>0.98958333333333337</v>
      </c>
      <c r="C682" s="7">
        <v>1.0062499999999999</v>
      </c>
      <c r="D682" s="7">
        <f>(1.00625-0.989583333333333)</f>
        <v>1.6666666666667052E-2</v>
      </c>
      <c r="E682" s="7">
        <f>ABS(0.0166666666666671-0.014583333333333)</f>
        <v>2.0833333333340996E-3</v>
      </c>
      <c r="F682" s="1" t="s">
        <v>11</v>
      </c>
      <c r="G682" s="7"/>
    </row>
    <row r="683" spans="1:7" x14ac:dyDescent="0.25">
      <c r="A683" s="11">
        <v>42217</v>
      </c>
      <c r="B683" s="7">
        <v>0.10902777777777778</v>
      </c>
      <c r="C683" s="7">
        <v>0.12361111111111112</v>
      </c>
      <c r="D683" s="7">
        <f>(0.123611111111111-0.109027777777778)</f>
        <v>1.4583333333333004E-2</v>
      </c>
      <c r="E683" s="7">
        <f>ABS(0.014583333333333-0.038888888888889)</f>
        <v>2.4305555555556E-2</v>
      </c>
      <c r="F683" s="1" t="s">
        <v>11</v>
      </c>
      <c r="G683" s="7"/>
    </row>
    <row r="684" spans="1:7" x14ac:dyDescent="0.25">
      <c r="A684" s="11">
        <v>42217</v>
      </c>
      <c r="B684" s="7">
        <v>0.6791666666666667</v>
      </c>
      <c r="C684" s="7">
        <v>0.71805555555555556</v>
      </c>
      <c r="D684" s="7">
        <f>(0.718055555555556-0.679166666666667)</f>
        <v>3.8888888888888973E-2</v>
      </c>
      <c r="E684" s="7">
        <f>ABS(0.038888888888889-0.0201388888888889)</f>
        <v>1.87500000000001E-2</v>
      </c>
      <c r="F684" s="1" t="s">
        <v>11</v>
      </c>
      <c r="G684" s="7"/>
    </row>
    <row r="685" spans="1:7" x14ac:dyDescent="0.25">
      <c r="A685" s="11">
        <v>42217</v>
      </c>
      <c r="B685" s="7">
        <v>0.86944444444444446</v>
      </c>
      <c r="C685" s="7">
        <v>0.88958333333333339</v>
      </c>
      <c r="D685" s="7">
        <f>(0.889583333333333-0.869444444444444)</f>
        <v>2.0138888888888928E-2</v>
      </c>
      <c r="E685" s="7">
        <f>ABS(0.0201388888888889-0.022916666666667)</f>
        <v>2.777777777778101E-3</v>
      </c>
      <c r="F685" s="1" t="s">
        <v>11</v>
      </c>
      <c r="G685" s="7"/>
    </row>
    <row r="686" spans="1:7" x14ac:dyDescent="0.25">
      <c r="A686" s="11">
        <v>42217</v>
      </c>
      <c r="B686" s="7">
        <v>0.94236111111111109</v>
      </c>
      <c r="C686" s="7">
        <v>0.96527777777777779</v>
      </c>
      <c r="D686" s="7">
        <f>(0.965277777777778-0.942361111111111)</f>
        <v>2.2916666666667029E-2</v>
      </c>
      <c r="E686" s="7">
        <f>ABS(0.022916666666667-0.0194444444444499)</f>
        <v>3.4722222222171029E-3</v>
      </c>
      <c r="F686" s="1" t="s">
        <v>11</v>
      </c>
      <c r="G686" s="7"/>
    </row>
    <row r="687" spans="1:7" x14ac:dyDescent="0.25">
      <c r="A687" s="11">
        <v>42217</v>
      </c>
      <c r="B687" s="7">
        <v>1.0131944444444445</v>
      </c>
      <c r="C687" s="7">
        <v>1.0326388888888889</v>
      </c>
      <c r="D687" s="7">
        <f>(1.03263888888889-1.01319444444444)</f>
        <v>1.9444444444449926E-2</v>
      </c>
      <c r="E687" s="7">
        <f>ABS(0.0194444444444499-0.029166666666667)</f>
        <v>9.7222222222171015E-3</v>
      </c>
      <c r="F687" s="1" t="s">
        <v>11</v>
      </c>
      <c r="G687" s="7"/>
    </row>
    <row r="688" spans="1:7" x14ac:dyDescent="0.25">
      <c r="A688" s="11">
        <v>42217</v>
      </c>
      <c r="B688" s="7">
        <v>0.38819444444444445</v>
      </c>
      <c r="C688" s="7">
        <v>0.41736111111111113</v>
      </c>
      <c r="D688" s="7">
        <f>(0.417361111111111-0.388194444444444)</f>
        <v>2.9166666666667007E-2</v>
      </c>
      <c r="E688" s="7"/>
      <c r="F688" s="1" t="s">
        <v>11</v>
      </c>
      <c r="G688" s="7"/>
    </row>
  </sheetData>
  <sortState ref="B4:J694">
    <sortCondition ref="H3:H693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591"/>
  <sheetViews>
    <sheetView workbookViewId="0">
      <selection activeCell="H4" sqref="H4:M8"/>
    </sheetView>
  </sheetViews>
  <sheetFormatPr defaultRowHeight="15" x14ac:dyDescent="0.25"/>
  <cols>
    <col min="1" max="1" width="9.140625" style="6" customWidth="1"/>
    <col min="2" max="5" width="9.140625" style="6"/>
    <col min="9" max="9" width="9.140625" customWidth="1"/>
    <col min="10" max="10" width="12" bestFit="1" customWidth="1"/>
    <col min="11" max="11" width="17" bestFit="1" customWidth="1"/>
    <col min="12" max="12" width="12" bestFit="1" customWidth="1"/>
    <col min="13" max="14" width="17" bestFit="1" customWidth="1"/>
    <col min="15" max="15" width="12" bestFit="1" customWidth="1"/>
  </cols>
  <sheetData>
    <row r="1" spans="1:15" x14ac:dyDescent="0.25">
      <c r="A1" s="8" t="s">
        <v>12</v>
      </c>
      <c r="B1" s="8" t="s">
        <v>4</v>
      </c>
      <c r="C1" s="8" t="s">
        <v>5</v>
      </c>
      <c r="D1" s="8" t="s">
        <v>13</v>
      </c>
      <c r="E1" s="8" t="s">
        <v>18</v>
      </c>
      <c r="F1" s="9" t="s">
        <v>2</v>
      </c>
      <c r="G1" s="9"/>
      <c r="H1" s="9"/>
    </row>
    <row r="2" spans="1:15" x14ac:dyDescent="0.25">
      <c r="J2" s="1"/>
      <c r="K2" s="1"/>
      <c r="L2" s="1"/>
    </row>
    <row r="3" spans="1:15" x14ac:dyDescent="0.25">
      <c r="A3" s="11">
        <v>42248</v>
      </c>
      <c r="B3" s="7">
        <v>0.29236111111111113</v>
      </c>
      <c r="C3" s="7">
        <v>0.30972222222222223</v>
      </c>
      <c r="D3" s="7">
        <f>(0.309722222222222-0.292361111111111)</f>
        <v>1.7361111111110994E-2</v>
      </c>
      <c r="E3" s="7">
        <f>ABS(0.017361111111111-0.010416666666667)</f>
        <v>6.9444444444440017E-3</v>
      </c>
      <c r="F3" s="1" t="s">
        <v>9</v>
      </c>
      <c r="G3" s="1"/>
      <c r="H3" s="11"/>
      <c r="I3" s="1"/>
      <c r="J3" s="1" t="s">
        <v>7</v>
      </c>
      <c r="K3" s="1" t="s">
        <v>15</v>
      </c>
      <c r="L3" s="7" t="s">
        <v>17</v>
      </c>
      <c r="M3" s="7" t="s">
        <v>16</v>
      </c>
      <c r="N3" s="1"/>
      <c r="O3" s="1"/>
    </row>
    <row r="4" spans="1:15" x14ac:dyDescent="0.25">
      <c r="A4" s="11">
        <v>42248</v>
      </c>
      <c r="B4" s="7">
        <v>0.3659722222222222</v>
      </c>
      <c r="C4" s="7">
        <v>0.37638888888888888</v>
      </c>
      <c r="D4" s="7">
        <f>(0.376388888888889-0.365972222222222)</f>
        <v>1.0416666666667018E-2</v>
      </c>
      <c r="E4" s="7">
        <f>ABS(0.010416666666667-0.0173611111111119)</f>
        <v>6.9444444444449003E-3</v>
      </c>
      <c r="F4" s="1" t="s">
        <v>9</v>
      </c>
      <c r="G4" s="1"/>
      <c r="H4" s="11">
        <v>42248</v>
      </c>
      <c r="I4" t="s">
        <v>19</v>
      </c>
      <c r="J4" s="14" t="s">
        <v>9</v>
      </c>
      <c r="K4">
        <v>62</v>
      </c>
      <c r="L4" s="3">
        <f>AVERAGE(D3:D64)</f>
        <v>1.5748207885304663E-2</v>
      </c>
      <c r="M4" s="3">
        <f>AVERAGE(E3:E63)</f>
        <v>4.8269581056464769E-3</v>
      </c>
    </row>
    <row r="5" spans="1:15" x14ac:dyDescent="0.25">
      <c r="A5" s="11">
        <v>42248</v>
      </c>
      <c r="B5" s="7">
        <v>0.51944444444444449</v>
      </c>
      <c r="C5" s="7">
        <v>0.53680555555555554</v>
      </c>
      <c r="D5" s="7">
        <f>(0.536805555555556-0.519444444444444)</f>
        <v>1.7361111111111938E-2</v>
      </c>
      <c r="E5" s="7">
        <f>ABS(0.0173611111111119-0.0215277777777779)</f>
        <v>4.1666666666659996E-3</v>
      </c>
      <c r="F5" s="1" t="s">
        <v>9</v>
      </c>
      <c r="G5" s="1"/>
      <c r="H5" s="11">
        <v>42248</v>
      </c>
      <c r="I5" t="s">
        <v>19</v>
      </c>
      <c r="J5" s="14" t="s">
        <v>3</v>
      </c>
      <c r="K5">
        <v>228</v>
      </c>
      <c r="L5" s="3">
        <f>AVERAGE(D65:D292)</f>
        <v>1.0724293372319676E-2</v>
      </c>
      <c r="M5" s="3">
        <f>AVERAGE(E65:E291)</f>
        <v>8.1222466960352915E-3</v>
      </c>
    </row>
    <row r="6" spans="1:15" x14ac:dyDescent="0.25">
      <c r="A6" s="11">
        <v>42248</v>
      </c>
      <c r="B6" s="7">
        <v>0.58263888888888882</v>
      </c>
      <c r="C6" s="7">
        <v>0.60416666666666663</v>
      </c>
      <c r="D6" s="7">
        <f>(0.604166666666667-0.582638888888889)</f>
        <v>2.1527777777777923E-2</v>
      </c>
      <c r="E6" s="7">
        <f>ABS(0.0215277777777779-0.01875)</f>
        <v>2.7777777777778997E-3</v>
      </c>
      <c r="F6" s="1" t="s">
        <v>9</v>
      </c>
      <c r="G6" s="1"/>
      <c r="H6" s="11">
        <v>42248</v>
      </c>
      <c r="I6" t="s">
        <v>19</v>
      </c>
      <c r="J6" s="14" t="s">
        <v>10</v>
      </c>
      <c r="K6">
        <v>172</v>
      </c>
      <c r="L6" s="3">
        <f>AVERAGE(D293:D464)</f>
        <v>1.9569605943152532E-2</v>
      </c>
      <c r="M6" s="3">
        <f>AVERAGE(E293:E463)</f>
        <v>5.3931124106563894E-3</v>
      </c>
    </row>
    <row r="7" spans="1:15" x14ac:dyDescent="0.25">
      <c r="A7" s="11">
        <v>42248</v>
      </c>
      <c r="B7" s="7">
        <v>0.44791666666666669</v>
      </c>
      <c r="C7" s="7">
        <v>0.46666666666666662</v>
      </c>
      <c r="D7" s="7">
        <f>(0.466666666666667-0.447916666666667)</f>
        <v>1.8749999999999989E-2</v>
      </c>
      <c r="E7" s="7">
        <f>ABS(0.01875-0.020833333333333)</f>
        <v>2.0833333333329998E-3</v>
      </c>
      <c r="F7" s="1" t="s">
        <v>9</v>
      </c>
      <c r="G7" s="1"/>
      <c r="H7" s="11">
        <v>42248</v>
      </c>
      <c r="I7" t="s">
        <v>19</v>
      </c>
      <c r="J7" s="14" t="s">
        <v>8</v>
      </c>
      <c r="K7">
        <v>23</v>
      </c>
      <c r="L7" s="3">
        <f>AVERAGE(D465:D487)</f>
        <v>2.1437198067632772E-2</v>
      </c>
      <c r="M7" s="3">
        <f>AVERAGE(E465:E486)</f>
        <v>1.3131313131313077E-2</v>
      </c>
    </row>
    <row r="8" spans="1:15" x14ac:dyDescent="0.25">
      <c r="A8" s="11">
        <v>42248</v>
      </c>
      <c r="B8" s="7">
        <v>0.62291666666666667</v>
      </c>
      <c r="C8" s="7">
        <v>0.64374999999999993</v>
      </c>
      <c r="D8" s="7">
        <f>(0.64375-0.622916666666667)</f>
        <v>2.0833333333333037E-2</v>
      </c>
      <c r="E8" s="7">
        <f>ABS(0.020833333333333-0.0118055555555561)</f>
        <v>9.0277777777768992E-3</v>
      </c>
      <c r="F8" s="1" t="s">
        <v>9</v>
      </c>
      <c r="G8" s="1"/>
      <c r="H8" s="11">
        <v>42248</v>
      </c>
      <c r="I8" t="s">
        <v>19</v>
      </c>
      <c r="J8" s="14" t="s">
        <v>11</v>
      </c>
      <c r="K8">
        <v>104</v>
      </c>
      <c r="L8" s="3">
        <f>AVERAGE(D488:D591)</f>
        <v>2.1955128205128297E-2</v>
      </c>
      <c r="M8" s="3">
        <f>AVERAGE(E488:E590)</f>
        <v>4.5307443365695419E-3</v>
      </c>
    </row>
    <row r="9" spans="1:15" x14ac:dyDescent="0.25">
      <c r="A9" s="11">
        <v>42248</v>
      </c>
      <c r="B9" s="7">
        <v>0.98333333333333339</v>
      </c>
      <c r="C9" s="7">
        <v>0.99513888888888891</v>
      </c>
      <c r="D9" s="7">
        <f>(0.995138888888889-0.983333333333333)</f>
        <v>1.1805555555556069E-2</v>
      </c>
      <c r="E9" s="7">
        <f>ABS(0.0118055555555561-0.01875)</f>
        <v>6.9444444444438994E-3</v>
      </c>
      <c r="F9" s="1" t="s">
        <v>9</v>
      </c>
      <c r="G9" s="1"/>
    </row>
    <row r="10" spans="1:15" x14ac:dyDescent="0.25">
      <c r="A10" s="11">
        <v>42248</v>
      </c>
      <c r="B10" s="7">
        <v>0.3972222222222222</v>
      </c>
      <c r="C10" s="7">
        <v>0.41597222222222219</v>
      </c>
      <c r="D10" s="7">
        <f>(0.415972222222222-0.397222222222222)</f>
        <v>1.8750000000000044E-2</v>
      </c>
      <c r="E10" s="7">
        <f>ABS(0.01875-0.022916666666666)</f>
        <v>4.1666666666659996E-3</v>
      </c>
      <c r="F10" s="1" t="s">
        <v>9</v>
      </c>
      <c r="G10" s="1"/>
    </row>
    <row r="11" spans="1:15" x14ac:dyDescent="0.25">
      <c r="A11" s="11">
        <v>42248</v>
      </c>
      <c r="B11" s="7">
        <v>0.57777777777777783</v>
      </c>
      <c r="C11" s="7">
        <v>0.60069444444444442</v>
      </c>
      <c r="D11" s="7">
        <f>(0.600694444444444-0.577777777777778)</f>
        <v>2.291666666666603E-2</v>
      </c>
      <c r="E11" s="7">
        <f>ABS(0.022916666666666-0.0118055555555551)</f>
        <v>1.1111111111110898E-2</v>
      </c>
      <c r="F11" s="1" t="s">
        <v>9</v>
      </c>
      <c r="G11" s="1"/>
    </row>
    <row r="12" spans="1:15" x14ac:dyDescent="0.25">
      <c r="A12" s="11">
        <v>42248</v>
      </c>
      <c r="B12" s="7">
        <v>0.78680555555555554</v>
      </c>
      <c r="C12" s="7">
        <v>0.79861111111111116</v>
      </c>
      <c r="D12" s="7">
        <f>(0.798611111111111-0.786805555555556)</f>
        <v>1.180555555555507E-2</v>
      </c>
      <c r="E12" s="7">
        <f>ABS(0.0118055555555551-0.0159722222222221)</f>
        <v>4.1666666666669988E-3</v>
      </c>
      <c r="F12" s="1" t="s">
        <v>9</v>
      </c>
      <c r="G12" s="1"/>
    </row>
    <row r="13" spans="1:15" x14ac:dyDescent="0.25">
      <c r="A13" s="11">
        <v>42248</v>
      </c>
      <c r="B13" s="7">
        <v>0.8125</v>
      </c>
      <c r="C13" s="7">
        <v>0.82847222222222217</v>
      </c>
      <c r="D13" s="7">
        <f>(0.828472222222222-0.8125)</f>
        <v>1.5972222222222054E-2</v>
      </c>
      <c r="E13" s="7">
        <f>ABS(0.0159722222222221-0.0138888888888891)</f>
        <v>2.0833333333329998E-3</v>
      </c>
      <c r="F13" s="1" t="s">
        <v>9</v>
      </c>
      <c r="G13" s="1"/>
    </row>
    <row r="14" spans="1:15" x14ac:dyDescent="0.25">
      <c r="A14" s="11">
        <v>42248</v>
      </c>
      <c r="B14" s="7">
        <v>0.85</v>
      </c>
      <c r="C14" s="7">
        <v>0.86388888888888893</v>
      </c>
      <c r="D14" s="7">
        <f>(0.863888888888889-0.85)</f>
        <v>1.3888888888889062E-2</v>
      </c>
      <c r="E14" s="7">
        <f>ABS(0.0138888888888891-0.014583333333333)</f>
        <v>6.9444444444390074E-4</v>
      </c>
      <c r="F14" s="1" t="s">
        <v>9</v>
      </c>
      <c r="G14" s="1"/>
    </row>
    <row r="15" spans="1:15" x14ac:dyDescent="0.25">
      <c r="A15" s="11">
        <v>42248</v>
      </c>
      <c r="B15" s="7">
        <v>0.32777777777777778</v>
      </c>
      <c r="C15" s="7">
        <v>0.34236111111111112</v>
      </c>
      <c r="D15" s="7">
        <f>(0.342361111111111-0.327777777777778)</f>
        <v>1.4583333333333004E-2</v>
      </c>
      <c r="E15" s="7">
        <f>ABS(0.014583333333333-0.017361111111111)</f>
        <v>2.7777777777780004E-3</v>
      </c>
      <c r="F15" s="1" t="s">
        <v>9</v>
      </c>
      <c r="G15" s="1"/>
    </row>
    <row r="16" spans="1:15" x14ac:dyDescent="0.25">
      <c r="A16" s="11">
        <v>42248</v>
      </c>
      <c r="B16" s="7">
        <v>0.59305555555555556</v>
      </c>
      <c r="C16" s="7">
        <v>0.61041666666666672</v>
      </c>
      <c r="D16" s="7">
        <f>(0.610416666666667-0.593055555555556)</f>
        <v>1.7361111111111049E-2</v>
      </c>
      <c r="E16" s="7">
        <f>ABS(0.017361111111111-0.0152777777777769)</f>
        <v>2.0833333333341014E-3</v>
      </c>
      <c r="F16" s="1" t="s">
        <v>9</v>
      </c>
      <c r="G16" s="1"/>
    </row>
    <row r="17" spans="1:7" x14ac:dyDescent="0.25">
      <c r="A17" s="11">
        <v>42248</v>
      </c>
      <c r="B17" s="7">
        <v>0.7055555555555556</v>
      </c>
      <c r="C17" s="7">
        <v>0.72083333333333333</v>
      </c>
      <c r="D17" s="7">
        <f>(0.720833333333333-0.705555555555556)</f>
        <v>1.5277777777776946E-2</v>
      </c>
      <c r="E17" s="7">
        <f>ABS(0.0152777777777769-0.0187499999999999)</f>
        <v>3.4722222222229992E-3</v>
      </c>
      <c r="F17" s="1" t="s">
        <v>9</v>
      </c>
      <c r="G17" s="1"/>
    </row>
    <row r="18" spans="1:7" x14ac:dyDescent="0.25">
      <c r="A18" s="11">
        <v>42248</v>
      </c>
      <c r="B18" s="7">
        <v>0.77500000000000002</v>
      </c>
      <c r="C18" s="7">
        <v>0.79375000000000007</v>
      </c>
      <c r="D18" s="7">
        <f>(0.79375-0.775)</f>
        <v>1.8749999999999933E-2</v>
      </c>
      <c r="E18" s="7">
        <f>ABS(0.0187499999999999-0.013888888888889)</f>
        <v>4.8611111111108996E-3</v>
      </c>
      <c r="F18" s="1" t="s">
        <v>9</v>
      </c>
      <c r="G18" s="1"/>
    </row>
    <row r="19" spans="1:7" x14ac:dyDescent="0.25">
      <c r="A19" s="11">
        <v>42248</v>
      </c>
      <c r="B19" s="7">
        <v>0.33611111111111108</v>
      </c>
      <c r="C19" s="7">
        <v>0.35000000000000003</v>
      </c>
      <c r="D19" s="7">
        <f>(0.35-0.336111111111111)</f>
        <v>1.3888888888888951E-2</v>
      </c>
      <c r="E19" s="7">
        <f>ABS(0.013888888888889-0.00624999999999998)</f>
        <v>7.6388888888890187E-3</v>
      </c>
      <c r="F19" s="1" t="s">
        <v>9</v>
      </c>
      <c r="G19" s="1"/>
    </row>
    <row r="20" spans="1:7" x14ac:dyDescent="0.25">
      <c r="A20" s="11">
        <v>42248</v>
      </c>
      <c r="B20" s="7">
        <v>0.3430555555555555</v>
      </c>
      <c r="C20" s="7">
        <v>0.34930555555555554</v>
      </c>
      <c r="D20" s="7">
        <f>(0.349305555555556-0.343055555555556)</f>
        <v>6.2499999999999778E-3</v>
      </c>
      <c r="E20" s="7">
        <f>ABS(0.00624999999999998-0.026388888888889)</f>
        <v>2.0138888888889019E-2</v>
      </c>
      <c r="F20" s="1" t="s">
        <v>9</v>
      </c>
      <c r="G20" s="1"/>
    </row>
    <row r="21" spans="1:7" x14ac:dyDescent="0.25">
      <c r="A21" s="11">
        <v>42248</v>
      </c>
      <c r="B21" s="7">
        <v>0.40138888888888885</v>
      </c>
      <c r="C21" s="7">
        <v>0.42777777777777781</v>
      </c>
      <c r="D21" s="7">
        <f>(0.427777777777778-0.401388888888889)</f>
        <v>2.6388888888888962E-2</v>
      </c>
      <c r="E21" s="7">
        <f>ABS(0.026388888888889-0.017361111111112)</f>
        <v>9.0277777777769998E-3</v>
      </c>
      <c r="F21" s="1" t="s">
        <v>9</v>
      </c>
      <c r="G21" s="1"/>
    </row>
    <row r="22" spans="1:7" x14ac:dyDescent="0.25">
      <c r="A22" s="11">
        <v>42248</v>
      </c>
      <c r="B22" s="7">
        <v>0.45694444444444443</v>
      </c>
      <c r="C22" s="7">
        <v>0.47430555555555554</v>
      </c>
      <c r="D22" s="7">
        <f>(0.474305555555556-0.456944444444444)</f>
        <v>1.7361111111111993E-2</v>
      </c>
      <c r="E22" s="7">
        <f>ABS(0.017361111111112-0.018055555555555)</f>
        <v>6.9444444444299869E-4</v>
      </c>
      <c r="F22" s="1" t="s">
        <v>9</v>
      </c>
      <c r="G22" s="1"/>
    </row>
    <row r="23" spans="1:7" x14ac:dyDescent="0.25">
      <c r="A23" s="11">
        <v>42248</v>
      </c>
      <c r="B23" s="7">
        <v>0.54305555555555551</v>
      </c>
      <c r="C23" s="7">
        <v>0.56111111111111112</v>
      </c>
      <c r="D23" s="7">
        <f>(0.561111111111111-0.543055555555556)</f>
        <v>1.8055555555555047E-2</v>
      </c>
      <c r="E23" s="7">
        <f>ABS(0.018055555555555-0.0138888888888899)</f>
        <v>4.1666666666650993E-3</v>
      </c>
      <c r="F23" s="1" t="s">
        <v>9</v>
      </c>
      <c r="G23" s="1"/>
    </row>
    <row r="24" spans="1:7" x14ac:dyDescent="0.25">
      <c r="A24" s="11">
        <v>42248</v>
      </c>
      <c r="B24" s="7">
        <v>0.71180555555555547</v>
      </c>
      <c r="C24" s="7">
        <v>0.72569444444444453</v>
      </c>
      <c r="D24" s="7">
        <f>(0.725694444444445-0.711805555555555)</f>
        <v>1.388888888888995E-2</v>
      </c>
      <c r="E24" s="7">
        <f>ABS(0.0138888888888899-0.025)</f>
        <v>1.1111111111110102E-2</v>
      </c>
      <c r="F24" s="1" t="s">
        <v>9</v>
      </c>
      <c r="G24" s="1"/>
    </row>
    <row r="25" spans="1:7" x14ac:dyDescent="0.25">
      <c r="A25" s="11">
        <v>42248</v>
      </c>
      <c r="B25" s="7">
        <v>0.45555555555555555</v>
      </c>
      <c r="C25" s="7">
        <v>0.48055555555555557</v>
      </c>
      <c r="D25" s="7">
        <f>(0.480555555555556-0.455555555555556)</f>
        <v>2.5000000000000022E-2</v>
      </c>
      <c r="E25" s="7">
        <f>ABS(0.025-0.019444444444444)</f>
        <v>5.5555555555560007E-3</v>
      </c>
      <c r="F25" s="1" t="s">
        <v>9</v>
      </c>
      <c r="G25" s="1"/>
    </row>
    <row r="26" spans="1:7" x14ac:dyDescent="0.25">
      <c r="A26" s="11">
        <v>42248</v>
      </c>
      <c r="B26" s="7">
        <v>0.60902777777777783</v>
      </c>
      <c r="C26" s="7">
        <v>0.62847222222222221</v>
      </c>
      <c r="D26" s="7">
        <f>(0.628472222222222-0.609027777777778)</f>
        <v>1.9444444444444042E-2</v>
      </c>
      <c r="E26" s="7">
        <f>ABS(0.019444444444444-0.023611111111111)</f>
        <v>4.1666666666669988E-3</v>
      </c>
      <c r="F26" s="1" t="s">
        <v>9</v>
      </c>
      <c r="G26" s="1"/>
    </row>
    <row r="27" spans="1:7" x14ac:dyDescent="0.25">
      <c r="A27" s="11">
        <v>42248</v>
      </c>
      <c r="B27" s="7">
        <v>0.81944444444444453</v>
      </c>
      <c r="C27" s="7">
        <v>0.84305555555555556</v>
      </c>
      <c r="D27" s="7">
        <f>(0.843055555555556-0.819444444444445)</f>
        <v>2.3611111111111027E-2</v>
      </c>
      <c r="E27" s="7">
        <f>ABS(0.023611111111111-0.0180555555555559)</f>
        <v>5.5555555555550987E-3</v>
      </c>
      <c r="F27" s="1" t="s">
        <v>9</v>
      </c>
      <c r="G27" s="1"/>
    </row>
    <row r="28" spans="1:7" x14ac:dyDescent="0.25">
      <c r="A28" s="11">
        <v>42248</v>
      </c>
      <c r="B28" s="7">
        <v>0.83263888888888893</v>
      </c>
      <c r="C28" s="7">
        <v>0.85069444444444453</v>
      </c>
      <c r="D28" s="7">
        <f>(0.850694444444445-0.832638888888889)</f>
        <v>1.8055555555555935E-2</v>
      </c>
      <c r="E28" s="7">
        <f>ABS(0.0180555555555559-0.0125000000000001)</f>
        <v>5.5555555555558012E-3</v>
      </c>
      <c r="F28" s="1" t="s">
        <v>9</v>
      </c>
      <c r="G28" s="1"/>
    </row>
    <row r="29" spans="1:7" x14ac:dyDescent="0.25">
      <c r="A29" s="11">
        <v>42248</v>
      </c>
      <c r="B29" s="7">
        <v>0.8847222222222223</v>
      </c>
      <c r="C29" s="7">
        <v>0.89722222222222225</v>
      </c>
      <c r="D29" s="7">
        <f>(0.897222222222222-0.884722222222222)</f>
        <v>1.2500000000000067E-2</v>
      </c>
      <c r="E29" s="7">
        <f>ABS(0.0125000000000001-0.0166666666666662)</f>
        <v>4.166666666666102E-3</v>
      </c>
      <c r="F29" s="1" t="s">
        <v>9</v>
      </c>
      <c r="G29" s="1"/>
    </row>
    <row r="30" spans="1:7" x14ac:dyDescent="0.25">
      <c r="A30" s="11">
        <v>42248</v>
      </c>
      <c r="B30" s="7">
        <v>9.6527777777777768E-2</v>
      </c>
      <c r="C30" s="7">
        <v>0.11319444444444444</v>
      </c>
      <c r="D30" s="7">
        <f>(0.113194444444444-0.0965277777777778)</f>
        <v>1.6666666666666205E-2</v>
      </c>
      <c r="E30" s="7">
        <f>ABS(0.0166666666666662-0.020138888888889)</f>
        <v>3.4722222222227997E-3</v>
      </c>
      <c r="F30" s="1" t="s">
        <v>9</v>
      </c>
      <c r="G30" s="1"/>
    </row>
    <row r="31" spans="1:7" x14ac:dyDescent="0.25">
      <c r="A31" s="11">
        <v>42248</v>
      </c>
      <c r="B31" s="7">
        <v>0.12708333333333333</v>
      </c>
      <c r="C31" s="7">
        <v>0.14722222222222223</v>
      </c>
      <c r="D31" s="7">
        <f>(0.147222222222222-0.127083333333333)</f>
        <v>2.0138888888889012E-2</v>
      </c>
      <c r="E31" s="7">
        <f>ABS(0.020138888888889-0.013888888888889)</f>
        <v>6.2500000000000021E-3</v>
      </c>
      <c r="F31" s="1" t="s">
        <v>9</v>
      </c>
      <c r="G31" s="1"/>
    </row>
    <row r="32" spans="1:7" x14ac:dyDescent="0.25">
      <c r="A32" s="11">
        <v>42248</v>
      </c>
      <c r="B32" s="7">
        <v>0.43611111111111112</v>
      </c>
      <c r="C32" s="7">
        <v>0.45</v>
      </c>
      <c r="D32" s="7">
        <f>(0.45-0.436111111111111)</f>
        <v>1.3888888888889006E-2</v>
      </c>
      <c r="E32" s="7">
        <f>ABS(0.013888888888889-0.015972222222222)</f>
        <v>2.0833333333329998E-3</v>
      </c>
      <c r="F32" s="1" t="s">
        <v>9</v>
      </c>
      <c r="G32" s="1"/>
    </row>
    <row r="33" spans="1:7" x14ac:dyDescent="0.25">
      <c r="A33" s="11">
        <v>42248</v>
      </c>
      <c r="B33" s="7">
        <v>0.48055555555555557</v>
      </c>
      <c r="C33" s="7">
        <v>0.49652777777777773</v>
      </c>
      <c r="D33" s="7">
        <f>(0.496527777777778-0.480555555555556)</f>
        <v>1.5972222222221999E-2</v>
      </c>
      <c r="E33" s="7">
        <f>ABS(0.015972222222222-0.013888888888888)</f>
        <v>2.083333333333999E-3</v>
      </c>
      <c r="F33" s="1" t="s">
        <v>9</v>
      </c>
      <c r="G33" s="1"/>
    </row>
    <row r="34" spans="1:7" x14ac:dyDescent="0.25">
      <c r="A34" s="11">
        <v>42248</v>
      </c>
      <c r="B34" s="7">
        <v>0.3430555555555555</v>
      </c>
      <c r="C34" s="7">
        <v>0.35694444444444445</v>
      </c>
      <c r="D34" s="7">
        <f>(0.356944444444444-0.343055555555556)</f>
        <v>1.3888888888888007E-2</v>
      </c>
      <c r="E34" s="7">
        <f>ABS(0.013888888888888-0.00972222222222202)</f>
        <v>4.1666666666659805E-3</v>
      </c>
      <c r="F34" s="1" t="s">
        <v>9</v>
      </c>
      <c r="G34" s="1"/>
    </row>
    <row r="35" spans="1:7" x14ac:dyDescent="0.25">
      <c r="A35" s="11">
        <v>42248</v>
      </c>
      <c r="B35" s="7">
        <v>0.4291666666666667</v>
      </c>
      <c r="C35" s="7">
        <v>0.43888888888888888</v>
      </c>
      <c r="D35" s="7">
        <f>(0.438888888888889-0.429166666666667)</f>
        <v>9.7222222222220211E-3</v>
      </c>
      <c r="E35" s="7">
        <f>ABS(0.00972222222222202-0.00833333333333397)</f>
        <v>1.3888888888880496E-3</v>
      </c>
      <c r="F35" s="1" t="s">
        <v>9</v>
      </c>
      <c r="G35" s="1"/>
    </row>
    <row r="36" spans="1:7" x14ac:dyDescent="0.25">
      <c r="A36" s="11">
        <v>42248</v>
      </c>
      <c r="B36" s="7">
        <v>0.68611111111111101</v>
      </c>
      <c r="C36" s="7">
        <v>0.69444444444444453</v>
      </c>
      <c r="D36" s="7">
        <f>(0.694444444444445-0.686111111111111)</f>
        <v>8.3333333333339699E-3</v>
      </c>
      <c r="E36" s="7">
        <f>ABS(0.00833333333333397-0.013194444444444)</f>
        <v>4.8611111111100305E-3</v>
      </c>
      <c r="F36" s="1" t="s">
        <v>9</v>
      </c>
      <c r="G36" s="1"/>
    </row>
    <row r="37" spans="1:7" x14ac:dyDescent="0.25">
      <c r="A37" s="11">
        <v>42248</v>
      </c>
      <c r="B37" s="7">
        <v>0.78263888888888899</v>
      </c>
      <c r="C37" s="7">
        <v>0.79583333333333339</v>
      </c>
      <c r="D37" s="7">
        <f>(0.795833333333333-0.782638888888889)</f>
        <v>1.3194444444443953E-2</v>
      </c>
      <c r="E37" s="7">
        <f>ABS(0.013194444444444-0.0159722222222219)</f>
        <v>2.777777777777898E-3</v>
      </c>
      <c r="F37" s="1" t="s">
        <v>9</v>
      </c>
      <c r="G37" s="1"/>
    </row>
    <row r="38" spans="1:7" x14ac:dyDescent="0.25">
      <c r="A38" s="11">
        <v>42248</v>
      </c>
      <c r="B38" s="7">
        <v>0.79791666666666661</v>
      </c>
      <c r="C38" s="7">
        <v>0.81388888888888899</v>
      </c>
      <c r="D38" s="7">
        <f>(0.813888888888889-0.797916666666667)</f>
        <v>1.5972222222221943E-2</v>
      </c>
      <c r="E38" s="7">
        <f>ABS(0.0159722222222219-0.011805555555556)</f>
        <v>4.166666666665899E-3</v>
      </c>
      <c r="F38" s="1" t="s">
        <v>9</v>
      </c>
      <c r="G38" s="1"/>
    </row>
    <row r="39" spans="1:7" x14ac:dyDescent="0.25">
      <c r="A39" s="11">
        <v>42248</v>
      </c>
      <c r="B39" s="7">
        <v>0.65208333333333335</v>
      </c>
      <c r="C39" s="7">
        <v>0.66388888888888886</v>
      </c>
      <c r="D39" s="7">
        <f>(0.663888888888889-0.652083333333333)</f>
        <v>1.1805555555555958E-2</v>
      </c>
      <c r="E39" s="7">
        <f>ABS(0.011805555555556-0.011111111111111)</f>
        <v>6.9444444444499882E-4</v>
      </c>
      <c r="F39" s="1" t="s">
        <v>9</v>
      </c>
      <c r="G39" s="1"/>
    </row>
    <row r="40" spans="1:7" x14ac:dyDescent="0.25">
      <c r="A40" s="11">
        <v>42248</v>
      </c>
      <c r="B40" s="7">
        <v>0.39166666666666666</v>
      </c>
      <c r="C40" s="7">
        <v>0.40277777777777773</v>
      </c>
      <c r="D40" s="7">
        <f>(0.402777777777778-0.391666666666667)</f>
        <v>1.1111111111111016E-2</v>
      </c>
      <c r="E40" s="7">
        <f>ABS(0.011111111111111-0.0125)</f>
        <v>1.3888888888890002E-3</v>
      </c>
      <c r="F40" s="1" t="s">
        <v>9</v>
      </c>
      <c r="G40" s="1"/>
    </row>
    <row r="41" spans="1:7" x14ac:dyDescent="0.25">
      <c r="A41" s="11">
        <v>42248</v>
      </c>
      <c r="B41" s="7">
        <v>0.65555555555555556</v>
      </c>
      <c r="C41" s="7">
        <v>0.66805555555555562</v>
      </c>
      <c r="D41" s="7">
        <f>(0.668055555555556-0.655555555555556)</f>
        <v>1.2499999999999956E-2</v>
      </c>
      <c r="E41" s="7">
        <f>ABS(0.0125-0.00972222222222197)</f>
        <v>2.7777777777780299E-3</v>
      </c>
      <c r="F41" s="1" t="s">
        <v>9</v>
      </c>
      <c r="G41" s="1"/>
    </row>
    <row r="42" spans="1:7" x14ac:dyDescent="0.25">
      <c r="A42" s="11">
        <v>42248</v>
      </c>
      <c r="B42" s="7">
        <v>0.73888888888888893</v>
      </c>
      <c r="C42" s="7">
        <v>0.74861111111111101</v>
      </c>
      <c r="D42" s="7">
        <f>(0.748611111111111-0.738888888888889)</f>
        <v>9.7222222222219656E-3</v>
      </c>
      <c r="E42" s="7">
        <f>ABS(0.00972222222222197-0.015972222222222)</f>
        <v>6.2500000000000281E-3</v>
      </c>
      <c r="F42" s="1" t="s">
        <v>9</v>
      </c>
      <c r="G42" s="1"/>
    </row>
    <row r="43" spans="1:7" x14ac:dyDescent="0.25">
      <c r="A43" s="11">
        <v>42248</v>
      </c>
      <c r="B43" s="7">
        <v>0.35625000000000001</v>
      </c>
      <c r="C43" s="7">
        <v>0.37222222222222223</v>
      </c>
      <c r="D43" s="7">
        <f>(0.372222222222222-0.35625)</f>
        <v>1.5972222222221999E-2</v>
      </c>
      <c r="E43" s="7">
        <f>ABS(0.015972222222222-0.019444444444444)</f>
        <v>3.4722222222220017E-3</v>
      </c>
      <c r="F43" s="1" t="s">
        <v>9</v>
      </c>
      <c r="G43" s="1"/>
    </row>
    <row r="44" spans="1:7" x14ac:dyDescent="0.25">
      <c r="A44" s="11">
        <v>42248</v>
      </c>
      <c r="B44" s="7">
        <v>0.45277777777777778</v>
      </c>
      <c r="C44" s="7">
        <v>0.47222222222222227</v>
      </c>
      <c r="D44" s="7">
        <f>(0.472222222222222-0.452777777777778)</f>
        <v>1.9444444444443987E-2</v>
      </c>
      <c r="E44" s="7">
        <f>ABS(0.019444444444444-0.023611111111111)</f>
        <v>4.1666666666669988E-3</v>
      </c>
      <c r="F44" s="1" t="s">
        <v>9</v>
      </c>
      <c r="G44" s="1"/>
    </row>
    <row r="45" spans="1:7" x14ac:dyDescent="0.25">
      <c r="A45" s="11">
        <v>42248</v>
      </c>
      <c r="B45" s="7">
        <v>0.58680555555555558</v>
      </c>
      <c r="C45" s="7">
        <v>0.61041666666666672</v>
      </c>
      <c r="D45" s="7">
        <f>(0.610416666666667-0.586805555555556)</f>
        <v>2.3611111111111027E-2</v>
      </c>
      <c r="E45" s="7">
        <f>ABS(0.023611111111111-0.0145833333333329)</f>
        <v>9.0277777777780996E-3</v>
      </c>
      <c r="F45" s="1" t="s">
        <v>9</v>
      </c>
      <c r="G45" s="1"/>
    </row>
    <row r="46" spans="1:7" x14ac:dyDescent="0.25">
      <c r="A46" s="11">
        <v>42248</v>
      </c>
      <c r="B46" s="7">
        <v>0.6777777777777777</v>
      </c>
      <c r="C46" s="7">
        <v>0.69236111111111109</v>
      </c>
      <c r="D46" s="7">
        <f>(0.692361111111111-0.677777777777778)</f>
        <v>1.4583333333332948E-2</v>
      </c>
      <c r="E46" s="7">
        <f>ABS(0.0145833333333329-0.0138888888888891)</f>
        <v>6.9444444444380013E-4</v>
      </c>
      <c r="F46" s="1" t="s">
        <v>9</v>
      </c>
      <c r="G46" s="1"/>
    </row>
    <row r="47" spans="1:7" x14ac:dyDescent="0.25">
      <c r="A47" s="11">
        <v>42248</v>
      </c>
      <c r="B47" s="7">
        <v>0.75208333333333333</v>
      </c>
      <c r="C47" s="7">
        <v>0.76597222222222217</v>
      </c>
      <c r="D47" s="7">
        <f>(0.765972222222222-0.752083333333333)</f>
        <v>1.3888888888889062E-2</v>
      </c>
      <c r="E47" s="7">
        <f>ABS(0.0138888888888891-0.015972222222222)</f>
        <v>2.0833333333328992E-3</v>
      </c>
      <c r="F47" s="1" t="s">
        <v>9</v>
      </c>
      <c r="G47" s="1"/>
    </row>
    <row r="48" spans="1:7" x14ac:dyDescent="0.25">
      <c r="A48" s="11">
        <v>42248</v>
      </c>
      <c r="B48" s="7">
        <v>0.3743055555555555</v>
      </c>
      <c r="C48" s="7">
        <v>0.39027777777777778</v>
      </c>
      <c r="D48" s="7">
        <f>(0.390277777777778-0.374305555555556)</f>
        <v>1.5972222222221999E-2</v>
      </c>
      <c r="E48" s="7">
        <f>ABS(0.015972222222222-0.0138888888888891)</f>
        <v>2.0833333333328992E-3</v>
      </c>
      <c r="F48" s="1" t="s">
        <v>9</v>
      </c>
      <c r="G48" s="1"/>
    </row>
    <row r="49" spans="1:7" x14ac:dyDescent="0.25">
      <c r="A49" s="11">
        <v>42248</v>
      </c>
      <c r="B49" s="7">
        <v>0.56874999999999998</v>
      </c>
      <c r="C49" s="7">
        <v>0.58263888888888882</v>
      </c>
      <c r="D49" s="7">
        <f>(0.582638888888889-0.56875)</f>
        <v>1.3888888888889062E-2</v>
      </c>
      <c r="E49" s="7">
        <f>ABS(0.0138888888888891-0.020138888888889)</f>
        <v>6.2499999999999015E-3</v>
      </c>
      <c r="F49" s="1" t="s">
        <v>9</v>
      </c>
      <c r="G49" s="1"/>
    </row>
    <row r="50" spans="1:7" x14ac:dyDescent="0.25">
      <c r="A50" s="11">
        <v>42248</v>
      </c>
      <c r="B50" s="7">
        <v>0.57291666666666663</v>
      </c>
      <c r="C50" s="7">
        <v>0.59305555555555556</v>
      </c>
      <c r="D50" s="7">
        <f>(0.593055555555556-0.572916666666667)</f>
        <v>2.0138888888889039E-2</v>
      </c>
      <c r="E50" s="7">
        <f>ABS(0.020138888888889-0.0145833333333329)</f>
        <v>5.5555555555561013E-3</v>
      </c>
      <c r="F50" s="1" t="s">
        <v>9</v>
      </c>
      <c r="G50" s="1"/>
    </row>
    <row r="51" spans="1:7" x14ac:dyDescent="0.25">
      <c r="A51" s="11">
        <v>42248</v>
      </c>
      <c r="B51" s="7">
        <v>0.62291666666666667</v>
      </c>
      <c r="C51" s="7">
        <v>0.63750000000000007</v>
      </c>
      <c r="D51" s="7">
        <f>(0.6375-0.622916666666667)</f>
        <v>1.4583333333332948E-2</v>
      </c>
      <c r="E51" s="7">
        <f>ABS(0.0145833333333329-0.013194444444444)</f>
        <v>1.3888888888888996E-3</v>
      </c>
      <c r="F51" s="1" t="s">
        <v>9</v>
      </c>
      <c r="G51" s="1"/>
    </row>
    <row r="52" spans="1:7" x14ac:dyDescent="0.25">
      <c r="A52" s="11">
        <v>42248</v>
      </c>
      <c r="B52" s="7">
        <v>0.84513888888888899</v>
      </c>
      <c r="C52" s="7">
        <v>0.85833333333333339</v>
      </c>
      <c r="D52" s="7">
        <f>(0.858333333333333-0.845138888888889)</f>
        <v>1.3194444444443953E-2</v>
      </c>
      <c r="E52" s="7">
        <f>ABS(0.013194444444444-0.0145833333333341)</f>
        <v>1.3888888888901E-3</v>
      </c>
      <c r="F52" s="1" t="s">
        <v>9</v>
      </c>
      <c r="G52" s="1"/>
    </row>
    <row r="53" spans="1:7" x14ac:dyDescent="0.25">
      <c r="A53" s="11">
        <v>42248</v>
      </c>
      <c r="B53" s="7">
        <v>0.5083333333333333</v>
      </c>
      <c r="C53" s="7">
        <v>0.5229166666666667</v>
      </c>
      <c r="D53" s="7">
        <f>(0.522916666666667-0.508333333333333)</f>
        <v>1.4583333333334059E-2</v>
      </c>
      <c r="E53" s="7">
        <f>ABS(0.0145833333333341-0.00694444444444497)</f>
        <v>7.6388888888891306E-3</v>
      </c>
      <c r="F53" s="1" t="s">
        <v>9</v>
      </c>
      <c r="G53" s="1"/>
    </row>
    <row r="54" spans="1:7" x14ac:dyDescent="0.25">
      <c r="A54" s="11">
        <v>42248</v>
      </c>
      <c r="B54" s="7">
        <v>0.77083333333333337</v>
      </c>
      <c r="C54" s="7">
        <v>0.77777777777777779</v>
      </c>
      <c r="D54" s="7">
        <f>(0.777777777777778-0.770833333333333)</f>
        <v>6.9444444444449749E-3</v>
      </c>
      <c r="E54" s="7">
        <f>ABS(0.00694444444444497-0.013888888888889)</f>
        <v>6.9444444444440295E-3</v>
      </c>
      <c r="F54" s="1" t="s">
        <v>9</v>
      </c>
      <c r="G54" s="1"/>
    </row>
    <row r="55" spans="1:7" x14ac:dyDescent="0.25">
      <c r="A55" s="11">
        <v>42248</v>
      </c>
      <c r="B55" s="7">
        <v>0.8666666666666667</v>
      </c>
      <c r="C55" s="7">
        <v>0.88055555555555554</v>
      </c>
      <c r="D55" s="7">
        <f>(0.880555555555556-0.866666666666667)</f>
        <v>1.3888888888888951E-2</v>
      </c>
      <c r="E55" s="7">
        <f>ABS(0.013888888888889-0.021527777777778)</f>
        <v>7.6388888888890005E-3</v>
      </c>
      <c r="F55" s="1" t="s">
        <v>9</v>
      </c>
      <c r="G55" s="1"/>
    </row>
    <row r="56" spans="1:7" x14ac:dyDescent="0.25">
      <c r="A56" s="11">
        <v>42248</v>
      </c>
      <c r="B56" s="7">
        <v>0.39513888888888887</v>
      </c>
      <c r="C56" s="7">
        <v>0.41666666666666669</v>
      </c>
      <c r="D56" s="7">
        <f>(0.416666666666667-0.395138888888889)</f>
        <v>2.1527777777778034E-2</v>
      </c>
      <c r="E56" s="7">
        <f>ABS(0.021527777777778-0.0138888888888891)</f>
        <v>7.6388888888888999E-3</v>
      </c>
      <c r="F56" s="1" t="s">
        <v>9</v>
      </c>
      <c r="G56" s="1"/>
    </row>
    <row r="57" spans="1:7" x14ac:dyDescent="0.25">
      <c r="A57" s="11">
        <v>42248</v>
      </c>
      <c r="B57" s="7">
        <v>0.7006944444444444</v>
      </c>
      <c r="C57" s="7">
        <v>0.71458333333333324</v>
      </c>
      <c r="D57" s="7">
        <f>(0.714583333333333-0.700694444444444)</f>
        <v>1.3888888888889062E-2</v>
      </c>
      <c r="E57" s="7">
        <f>ABS(0.0138888888888891-0.0125)</f>
        <v>1.3888888888890991E-3</v>
      </c>
      <c r="F57" s="1" t="s">
        <v>9</v>
      </c>
      <c r="G57" s="1"/>
    </row>
    <row r="58" spans="1:7" x14ac:dyDescent="0.25">
      <c r="A58" s="11">
        <v>42248</v>
      </c>
      <c r="B58" s="7">
        <v>0.11666666666666665</v>
      </c>
      <c r="C58" s="7">
        <v>0.12916666666666668</v>
      </c>
      <c r="D58" s="7">
        <f>(0.129166666666667-0.116666666666667)</f>
        <v>1.2500000000000011E-2</v>
      </c>
      <c r="E58" s="7">
        <f>ABS(0.0125-0.014583333333334)</f>
        <v>2.083333333333999E-3</v>
      </c>
      <c r="F58" s="1" t="s">
        <v>9</v>
      </c>
      <c r="G58" s="1"/>
    </row>
    <row r="59" spans="1:7" x14ac:dyDescent="0.25">
      <c r="A59" s="11">
        <v>42248</v>
      </c>
      <c r="B59" s="7">
        <v>0.34097222222222223</v>
      </c>
      <c r="C59" s="7">
        <v>0.35555555555555557</v>
      </c>
      <c r="D59" s="7">
        <f>(0.355555555555556-0.340972222222222)</f>
        <v>1.4583333333334003E-2</v>
      </c>
      <c r="E59" s="7">
        <f>ABS(0.014583333333334-0.0194444444444449)</f>
        <v>4.8611111111108996E-3</v>
      </c>
      <c r="F59" s="1" t="s">
        <v>9</v>
      </c>
      <c r="G59" s="1"/>
    </row>
    <row r="60" spans="1:7" x14ac:dyDescent="0.25">
      <c r="A60" s="11">
        <v>42248</v>
      </c>
      <c r="B60" s="7">
        <v>0.70833333333333337</v>
      </c>
      <c r="C60" s="7">
        <v>0.72777777777777775</v>
      </c>
      <c r="D60" s="7">
        <f>(0.727777777777778-0.708333333333333)</f>
        <v>1.944444444444493E-2</v>
      </c>
      <c r="E60" s="7">
        <f>ABS(0.0194444444444449-0.016666666666667)</f>
        <v>2.7777777777778997E-3</v>
      </c>
      <c r="F60" s="1" t="s">
        <v>9</v>
      </c>
      <c r="G60" s="1"/>
    </row>
    <row r="61" spans="1:7" x14ac:dyDescent="0.25">
      <c r="A61" s="11">
        <v>42248</v>
      </c>
      <c r="B61" s="7">
        <v>0.46249999999999997</v>
      </c>
      <c r="C61" s="7">
        <v>0.47916666666666669</v>
      </c>
      <c r="D61" s="7">
        <f>(0.479166666666667-0.4625)</f>
        <v>1.6666666666666996E-2</v>
      </c>
      <c r="E61" s="7">
        <f>ABS(0.016666666666667-0.018055555555555)</f>
        <v>1.3888888888879992E-3</v>
      </c>
      <c r="F61" s="1" t="s">
        <v>9</v>
      </c>
      <c r="G61" s="1"/>
    </row>
    <row r="62" spans="1:7" x14ac:dyDescent="0.25">
      <c r="A62" s="11">
        <v>42248</v>
      </c>
      <c r="B62" s="7">
        <v>0.65902777777777777</v>
      </c>
      <c r="C62" s="7">
        <v>0.67708333333333337</v>
      </c>
      <c r="D62" s="7">
        <f>(0.677083333333333-0.659027777777778)</f>
        <v>1.8055555555555047E-2</v>
      </c>
      <c r="E62" s="7">
        <f>ABS(0.018055555555555-0.00694444444444497)</f>
        <v>1.1111111111110029E-2</v>
      </c>
      <c r="F62" s="1" t="s">
        <v>9</v>
      </c>
      <c r="G62" s="1"/>
    </row>
    <row r="63" spans="1:7" x14ac:dyDescent="0.25">
      <c r="A63" s="11">
        <v>42248</v>
      </c>
      <c r="B63" s="7">
        <v>0.77361111111111114</v>
      </c>
      <c r="C63" s="7">
        <v>0.78055555555555556</v>
      </c>
      <c r="D63" s="7">
        <f>(0.780555555555556-0.773611111111111)</f>
        <v>6.9444444444449749E-3</v>
      </c>
      <c r="E63" s="7">
        <f>ABS(0.00694444444444497-0.017361111111111)</f>
        <v>1.0416666666666031E-2</v>
      </c>
      <c r="F63" s="1" t="s">
        <v>9</v>
      </c>
      <c r="G63" s="1"/>
    </row>
    <row r="64" spans="1:7" x14ac:dyDescent="0.25">
      <c r="A64" s="11">
        <v>42248</v>
      </c>
      <c r="B64" s="7">
        <v>0.72083333333333333</v>
      </c>
      <c r="C64" s="7">
        <v>0.73819444444444438</v>
      </c>
      <c r="D64" s="7">
        <f>(0.738194444444444-0.720833333333333)</f>
        <v>1.7361111111111049E-2</v>
      </c>
      <c r="E64" s="7"/>
      <c r="F64" s="1" t="s">
        <v>9</v>
      </c>
      <c r="G64" s="1"/>
    </row>
    <row r="65" spans="1:7" x14ac:dyDescent="0.25">
      <c r="A65" s="11">
        <v>42248</v>
      </c>
      <c r="B65" s="7">
        <v>0.14375000000000002</v>
      </c>
      <c r="C65" s="7">
        <v>0.15902777777777777</v>
      </c>
      <c r="D65" s="7">
        <f>(0.159027777777778-0.14375)</f>
        <v>1.5277777777778001E-2</v>
      </c>
      <c r="E65" s="7">
        <f>ABS(0.015277777777778-0.011111111111112)</f>
        <v>4.1666666666659996E-3</v>
      </c>
      <c r="F65" s="1" t="s">
        <v>3</v>
      </c>
      <c r="G65" s="1"/>
    </row>
    <row r="66" spans="1:7" x14ac:dyDescent="0.25">
      <c r="A66" s="11">
        <v>42248</v>
      </c>
      <c r="B66" s="7">
        <v>0.41944444444444445</v>
      </c>
      <c r="C66" s="7">
        <v>0.43055555555555558</v>
      </c>
      <c r="D66" s="7">
        <f>(0.430555555555556-0.419444444444444)</f>
        <v>1.1111111111112015E-2</v>
      </c>
      <c r="E66" s="7">
        <f>ABS(0.011111111111112-0.00624999999999998)</f>
        <v>4.8611111111120193E-3</v>
      </c>
      <c r="F66" s="1" t="s">
        <v>3</v>
      </c>
      <c r="G66" s="1"/>
    </row>
    <row r="67" spans="1:7" x14ac:dyDescent="0.25">
      <c r="A67" s="11">
        <v>42248</v>
      </c>
      <c r="B67" s="7">
        <v>0.4993055555555555</v>
      </c>
      <c r="C67" s="7">
        <v>0.50555555555555554</v>
      </c>
      <c r="D67" s="7">
        <f>(0.505555555555556-0.499305555555556)</f>
        <v>6.2499999999999778E-3</v>
      </c>
      <c r="E67" s="7">
        <f>ABS(0.00624999999999998-0.013888888888889)</f>
        <v>7.6388888888890187E-3</v>
      </c>
      <c r="F67" s="1" t="s">
        <v>3</v>
      </c>
      <c r="G67" s="1"/>
    </row>
    <row r="68" spans="1:7" x14ac:dyDescent="0.25">
      <c r="A68" s="11">
        <v>42248</v>
      </c>
      <c r="B68" s="7">
        <v>0.8965277777777777</v>
      </c>
      <c r="C68" s="7">
        <v>0.91041666666666676</v>
      </c>
      <c r="D68" s="7">
        <f>(0.910416666666667-0.896527777777778)</f>
        <v>1.3888888888888951E-2</v>
      </c>
      <c r="E68" s="7">
        <f>ABS(0.013888888888889-0.0145833333333329)</f>
        <v>6.9444444444390074E-4</v>
      </c>
      <c r="F68" s="1" t="s">
        <v>3</v>
      </c>
      <c r="G68" s="1"/>
    </row>
    <row r="69" spans="1:7" x14ac:dyDescent="0.25">
      <c r="A69" s="11">
        <v>42248</v>
      </c>
      <c r="B69" s="7">
        <v>0.92361111111111116</v>
      </c>
      <c r="C69" s="7">
        <v>0.93819444444444444</v>
      </c>
      <c r="D69" s="7">
        <f>(0.938194444444444-0.923611111111111)</f>
        <v>1.4583333333332948E-2</v>
      </c>
      <c r="E69" s="7">
        <f>ABS(0.0145833333333329-0.00555555555555598)</f>
        <v>9.02777777777692E-3</v>
      </c>
      <c r="F69" s="1" t="s">
        <v>3</v>
      </c>
      <c r="G69" s="1"/>
    </row>
    <row r="70" spans="1:7" x14ac:dyDescent="0.25">
      <c r="A70" s="11">
        <v>42248</v>
      </c>
      <c r="B70" s="7">
        <v>0.51944444444444449</v>
      </c>
      <c r="C70" s="7">
        <v>0.52500000000000002</v>
      </c>
      <c r="D70" s="7">
        <f>(0.525-0.519444444444444)</f>
        <v>5.5555555555559799E-3</v>
      </c>
      <c r="E70" s="7">
        <f>ABS(0.00555555555555598-0.00555555555555498)</f>
        <v>1.0000680839006293E-15</v>
      </c>
      <c r="F70" s="1" t="s">
        <v>3</v>
      </c>
      <c r="G70" s="1"/>
    </row>
    <row r="71" spans="1:7" x14ac:dyDescent="0.25">
      <c r="A71" s="11">
        <v>42248</v>
      </c>
      <c r="B71" s="7">
        <v>0.58263888888888882</v>
      </c>
      <c r="C71" s="7">
        <v>0.58819444444444446</v>
      </c>
      <c r="D71" s="7">
        <f>(0.588194444444444-0.582638888888889)</f>
        <v>5.5555555555549807E-3</v>
      </c>
      <c r="E71" s="7">
        <f>ABS(0.00555555555555498-0.00486111111111098)</f>
        <v>6.9444444444399962E-4</v>
      </c>
      <c r="F71" s="1" t="s">
        <v>3</v>
      </c>
      <c r="G71" s="1"/>
    </row>
    <row r="72" spans="1:7" x14ac:dyDescent="0.25">
      <c r="A72" s="11">
        <v>42248</v>
      </c>
      <c r="B72" s="7">
        <v>0.63055555555555554</v>
      </c>
      <c r="C72" s="7">
        <v>0.63541666666666663</v>
      </c>
      <c r="D72" s="7">
        <f>(0.635416666666667-0.630555555555556)</f>
        <v>4.8611111111109828E-3</v>
      </c>
      <c r="E72" s="7">
        <f>ABS(0.00486111111111098-0.0125)</f>
        <v>7.6388888888890205E-3</v>
      </c>
      <c r="F72" s="1" t="s">
        <v>3</v>
      </c>
      <c r="G72" s="1"/>
    </row>
    <row r="73" spans="1:7" x14ac:dyDescent="0.25">
      <c r="A73" s="11">
        <v>42248</v>
      </c>
      <c r="B73" s="7">
        <v>0.82916666666666661</v>
      </c>
      <c r="C73" s="7">
        <v>0.84166666666666667</v>
      </c>
      <c r="D73" s="7">
        <f>(0.841666666666667-0.829166666666667)</f>
        <v>1.2499999999999956E-2</v>
      </c>
      <c r="E73" s="7">
        <f>ABS(0.0125-0.00416666666666698)</f>
        <v>8.333333333333021E-3</v>
      </c>
      <c r="F73" s="1" t="s">
        <v>3</v>
      </c>
      <c r="G73" s="1"/>
    </row>
    <row r="74" spans="1:7" x14ac:dyDescent="0.25">
      <c r="A74" s="11">
        <v>42248</v>
      </c>
      <c r="B74" s="7">
        <v>0.90347222222222223</v>
      </c>
      <c r="C74" s="7">
        <v>0.90763888888888899</v>
      </c>
      <c r="D74" s="7">
        <f>(0.907638888888889-0.903472222222222)</f>
        <v>4.1666666666669849E-3</v>
      </c>
      <c r="E74" s="7">
        <f>ABS(0.00416666666666698-0.00694444444444398)</f>
        <v>2.7777777777770003E-3</v>
      </c>
      <c r="F74" s="1" t="s">
        <v>3</v>
      </c>
      <c r="G74" s="1"/>
    </row>
    <row r="75" spans="1:7" x14ac:dyDescent="0.25">
      <c r="A75" s="11">
        <v>42248</v>
      </c>
      <c r="B75" s="7">
        <v>0.9604166666666667</v>
      </c>
      <c r="C75" s="7">
        <v>0.96736111111111101</v>
      </c>
      <c r="D75" s="7">
        <f>(0.967361111111111-0.960416666666667)</f>
        <v>6.9444444444439757E-3</v>
      </c>
      <c r="E75" s="7">
        <f>ABS(0.00694444444444398-0.00555555555554998)</f>
        <v>1.3888888888939997E-3</v>
      </c>
      <c r="F75" s="1" t="s">
        <v>3</v>
      </c>
      <c r="G75" s="1"/>
    </row>
    <row r="76" spans="1:7" x14ac:dyDescent="0.25">
      <c r="A76" s="11">
        <v>42248</v>
      </c>
      <c r="B76" s="7">
        <v>1.007638888888889</v>
      </c>
      <c r="C76" s="7">
        <v>1.0131944444444445</v>
      </c>
      <c r="D76" s="7">
        <f>(1.01319444444444-1.00763888888889)</f>
        <v>5.5555555555499847E-3</v>
      </c>
      <c r="E76" s="7">
        <f>ABS(0.00555555555554998-0.015277777777778)</f>
        <v>9.7222222222280198E-3</v>
      </c>
      <c r="F76" s="1" t="s">
        <v>3</v>
      </c>
      <c r="G76" s="1"/>
    </row>
    <row r="77" spans="1:7" x14ac:dyDescent="0.25">
      <c r="A77" s="11">
        <v>42248</v>
      </c>
      <c r="B77" s="7">
        <v>0.25625000000000003</v>
      </c>
      <c r="C77" s="7">
        <v>0.27152777777777776</v>
      </c>
      <c r="D77" s="7">
        <f>(0.271527777777778-0.25625)</f>
        <v>1.5277777777778001E-2</v>
      </c>
      <c r="E77" s="7">
        <f>ABS(0.015277777777778-0.013888888888889)</f>
        <v>1.3888888888890002E-3</v>
      </c>
      <c r="F77" s="1" t="s">
        <v>3</v>
      </c>
      <c r="G77" s="1"/>
    </row>
    <row r="78" spans="1:7" x14ac:dyDescent="0.25">
      <c r="A78" s="11">
        <v>42248</v>
      </c>
      <c r="B78" s="7">
        <v>0.42569444444444443</v>
      </c>
      <c r="C78" s="7">
        <v>0.43958333333333338</v>
      </c>
      <c r="D78" s="7">
        <f>(0.439583333333333-0.425694444444444)</f>
        <v>1.3888888888889006E-2</v>
      </c>
      <c r="E78" s="7">
        <f>ABS(0.013888888888889-0.03125)</f>
        <v>1.7361111111111001E-2</v>
      </c>
      <c r="F78" s="1" t="s">
        <v>3</v>
      </c>
      <c r="G78" s="1"/>
    </row>
    <row r="79" spans="1:7" x14ac:dyDescent="0.25">
      <c r="A79" s="11">
        <v>42248</v>
      </c>
      <c r="B79" s="7">
        <v>0.50555555555555554</v>
      </c>
      <c r="C79" s="7">
        <v>0.53680555555555554</v>
      </c>
      <c r="D79" s="7">
        <f>(0.536805555555556-0.505555555555556)</f>
        <v>3.125E-2</v>
      </c>
      <c r="E79" s="7">
        <f>ABS(0.03125-0.010416666666666)</f>
        <v>2.0833333333334002E-2</v>
      </c>
      <c r="F79" s="1" t="s">
        <v>3</v>
      </c>
      <c r="G79" s="1"/>
    </row>
    <row r="80" spans="1:7" x14ac:dyDescent="0.25">
      <c r="A80" s="11">
        <v>42248</v>
      </c>
      <c r="B80" s="7">
        <v>0.62291666666666667</v>
      </c>
      <c r="C80" s="7">
        <v>0.6333333333333333</v>
      </c>
      <c r="D80" s="7">
        <f>(0.633333333333333-0.622916666666667)</f>
        <v>1.0416666666665964E-2</v>
      </c>
      <c r="E80" s="7">
        <f>ABS(0.010416666666666-0.0118055555555551)</f>
        <v>1.3888888888891008E-3</v>
      </c>
      <c r="F80" s="1" t="s">
        <v>3</v>
      </c>
      <c r="G80" s="1"/>
    </row>
    <row r="81" spans="1:7" x14ac:dyDescent="0.25">
      <c r="A81" s="11">
        <v>42248</v>
      </c>
      <c r="B81" s="7">
        <v>0.72430555555555554</v>
      </c>
      <c r="C81" s="7">
        <v>0.73611111111111116</v>
      </c>
      <c r="D81" s="7">
        <f>(0.736111111111111-0.724305555555556)</f>
        <v>1.180555555555507E-2</v>
      </c>
      <c r="E81" s="7">
        <f>ABS(0.0118055555555551-0.00486111111111109)</f>
        <v>6.9444444444440104E-3</v>
      </c>
      <c r="F81" s="1" t="s">
        <v>3</v>
      </c>
      <c r="G81" s="1"/>
    </row>
    <row r="82" spans="1:7" x14ac:dyDescent="0.25">
      <c r="A82" s="11">
        <v>42248</v>
      </c>
      <c r="B82" s="7">
        <v>0.88958333333333339</v>
      </c>
      <c r="C82" s="7">
        <v>0.89444444444444438</v>
      </c>
      <c r="D82" s="7">
        <f>(0.894444444444444-0.889583333333333)</f>
        <v>4.8611111111110938E-3</v>
      </c>
      <c r="E82" s="7">
        <f>ABS(0.00486111111111109-0.00763888888888908)</f>
        <v>2.77777777777799E-3</v>
      </c>
      <c r="F82" s="1" t="s">
        <v>3</v>
      </c>
      <c r="G82" s="1"/>
    </row>
    <row r="83" spans="1:7" x14ac:dyDescent="0.25">
      <c r="A83" s="11">
        <v>42248</v>
      </c>
      <c r="B83" s="7">
        <v>0.98333333333333339</v>
      </c>
      <c r="C83" s="7">
        <v>0.99097222222222225</v>
      </c>
      <c r="D83" s="7">
        <f>(0.990972222222222-0.983333333333333)</f>
        <v>7.6388888888890838E-3</v>
      </c>
      <c r="E83" s="7">
        <f>ABS(0.00763888888888908-0.0152777777777769)</f>
        <v>7.6388888888878192E-3</v>
      </c>
      <c r="F83" s="1" t="s">
        <v>3</v>
      </c>
      <c r="G83" s="1"/>
    </row>
    <row r="84" spans="1:7" x14ac:dyDescent="0.25">
      <c r="A84" s="11">
        <v>42248</v>
      </c>
      <c r="B84" s="7">
        <v>0.52916666666666667</v>
      </c>
      <c r="C84" s="7">
        <v>0.5444444444444444</v>
      </c>
      <c r="D84" s="7">
        <f>(0.544444444444444-0.529166666666667)</f>
        <v>1.5277777777776946E-2</v>
      </c>
      <c r="E84" s="7">
        <f>ABS(0.0152777777777769-0.0159722222222229)</f>
        <v>6.9444444444600149E-4</v>
      </c>
      <c r="F84" s="1" t="s">
        <v>3</v>
      </c>
      <c r="G84" s="1"/>
    </row>
    <row r="85" spans="1:7" x14ac:dyDescent="0.25">
      <c r="A85" s="11">
        <v>42248</v>
      </c>
      <c r="B85" s="7">
        <v>0.51944444444444449</v>
      </c>
      <c r="C85" s="7">
        <v>0.53541666666666665</v>
      </c>
      <c r="D85" s="7">
        <f>(0.535416666666667-0.519444444444444)</f>
        <v>1.5972222222222943E-2</v>
      </c>
      <c r="E85" s="7">
        <f>ABS(0.0159722222222229-0.00763888888888897)</f>
        <v>8.3333333333339317E-3</v>
      </c>
      <c r="F85" s="1" t="s">
        <v>3</v>
      </c>
      <c r="G85" s="1"/>
    </row>
    <row r="86" spans="1:7" x14ac:dyDescent="0.25">
      <c r="A86" s="11">
        <v>42248</v>
      </c>
      <c r="B86" s="7">
        <v>0.87152777777777779</v>
      </c>
      <c r="C86" s="7">
        <v>0.87916666666666676</v>
      </c>
      <c r="D86" s="7">
        <f>(0.879166666666667-0.871527777777778)</f>
        <v>7.6388888888889728E-3</v>
      </c>
      <c r="E86" s="7">
        <f>ABS(0.00763888888888897-0.0041666666666671)</f>
        <v>3.4722222222218699E-3</v>
      </c>
      <c r="F86" s="1" t="s">
        <v>3</v>
      </c>
      <c r="G86" s="1"/>
    </row>
    <row r="87" spans="1:7" x14ac:dyDescent="0.25">
      <c r="A87" s="11">
        <v>42248</v>
      </c>
      <c r="B87" s="7">
        <v>0.9194444444444444</v>
      </c>
      <c r="C87" s="7">
        <v>0.92361111111111116</v>
      </c>
      <c r="D87" s="7">
        <f>(0.923611111111111-0.919444444444444)</f>
        <v>4.166666666667096E-3</v>
      </c>
      <c r="E87" s="7">
        <f>ABS(0.0041666666666671-0.00555555555555498)</f>
        <v>1.3888888888878795E-3</v>
      </c>
      <c r="F87" s="1" t="s">
        <v>3</v>
      </c>
      <c r="G87" s="1"/>
    </row>
    <row r="88" spans="1:7" x14ac:dyDescent="0.25">
      <c r="A88" s="11">
        <v>42248</v>
      </c>
      <c r="B88" s="7">
        <v>0.94166666666666676</v>
      </c>
      <c r="C88" s="7">
        <v>0.9472222222222223</v>
      </c>
      <c r="D88" s="7">
        <f>(0.947222222222222-0.941666666666667)</f>
        <v>5.5555555555549807E-3</v>
      </c>
      <c r="E88" s="7">
        <f>ABS(0.00555555555555498-0.00763888888888797)</f>
        <v>2.0833333333329903E-3</v>
      </c>
      <c r="F88" s="1" t="s">
        <v>3</v>
      </c>
      <c r="G88" s="1"/>
    </row>
    <row r="89" spans="1:7" x14ac:dyDescent="0.25">
      <c r="A89" s="11">
        <v>42248</v>
      </c>
      <c r="B89" s="7">
        <v>0.94444444444444453</v>
      </c>
      <c r="C89" s="7">
        <v>0.95208333333333339</v>
      </c>
      <c r="D89" s="7">
        <f>(0.952083333333333-0.944444444444445)</f>
        <v>7.6388888888879736E-3</v>
      </c>
      <c r="E89" s="7">
        <f>ABS(0.00763888888888797-0.0131944444444441)</f>
        <v>5.5555555555561291E-3</v>
      </c>
      <c r="F89" s="1" t="s">
        <v>3</v>
      </c>
      <c r="G89" s="1"/>
    </row>
    <row r="90" spans="1:7" x14ac:dyDescent="0.25">
      <c r="A90" s="11">
        <v>42248</v>
      </c>
      <c r="B90" s="7">
        <v>0.97430555555555554</v>
      </c>
      <c r="C90" s="7">
        <v>0.98749999999999993</v>
      </c>
      <c r="D90" s="7">
        <f>(0.9875-0.974305555555556)</f>
        <v>1.3194444444444065E-2</v>
      </c>
      <c r="E90" s="7">
        <f>ABS(0.0131944444444441-0.0173611111111111)</f>
        <v>4.1666666666670023E-3</v>
      </c>
      <c r="F90" s="1" t="s">
        <v>3</v>
      </c>
      <c r="G90" s="1"/>
    </row>
    <row r="91" spans="1:7" x14ac:dyDescent="0.25">
      <c r="A91" s="11">
        <v>42248</v>
      </c>
      <c r="B91" s="7">
        <v>6.8749999999999992E-2</v>
      </c>
      <c r="C91" s="7">
        <v>8.6111111111111124E-2</v>
      </c>
      <c r="D91" s="7">
        <f>(0.0861111111111111-0.06875)</f>
        <v>1.7361111111111091E-2</v>
      </c>
      <c r="E91" s="7">
        <f>ABS(0.0173611111111111-0.00694444444444503)</f>
        <v>1.0416666666666071E-2</v>
      </c>
      <c r="F91" s="1" t="s">
        <v>3</v>
      </c>
      <c r="G91" s="1"/>
    </row>
    <row r="92" spans="1:7" x14ac:dyDescent="0.25">
      <c r="A92" s="11">
        <v>42248</v>
      </c>
      <c r="B92" s="7">
        <v>0.3972222222222222</v>
      </c>
      <c r="C92" s="7">
        <v>0.40416666666666662</v>
      </c>
      <c r="D92" s="7">
        <f>(0.404166666666667-0.397222222222222)</f>
        <v>6.9444444444450304E-3</v>
      </c>
      <c r="E92" s="7">
        <f>ABS(0.00694444444444503-0.00763888888888908)</f>
        <v>6.9444444444404993E-4</v>
      </c>
      <c r="F92" s="1" t="s">
        <v>3</v>
      </c>
      <c r="G92" s="1"/>
    </row>
    <row r="93" spans="1:7" x14ac:dyDescent="0.25">
      <c r="A93" s="11">
        <v>42248</v>
      </c>
      <c r="B93" s="7">
        <v>0.51250000000000007</v>
      </c>
      <c r="C93" s="7">
        <v>0.52013888888888882</v>
      </c>
      <c r="D93" s="7">
        <f>(0.520138888888889-0.5125)</f>
        <v>7.6388888888890838E-3</v>
      </c>
      <c r="E93" s="7">
        <f>ABS(0.00763888888888908-0.0041666666666661)</f>
        <v>3.4722222222229801E-3</v>
      </c>
      <c r="F93" s="1" t="s">
        <v>3</v>
      </c>
      <c r="G93" s="1"/>
    </row>
    <row r="94" spans="1:7" x14ac:dyDescent="0.25">
      <c r="A94" s="11">
        <v>42248</v>
      </c>
      <c r="B94" s="7">
        <v>0.57777777777777783</v>
      </c>
      <c r="C94" s="7">
        <v>0.58194444444444449</v>
      </c>
      <c r="D94" s="7">
        <f>(0.581944444444444-0.577777777777778)</f>
        <v>4.1666666666660968E-3</v>
      </c>
      <c r="E94" s="7">
        <f>ABS(0.0041666666666661-0.013888888888889)</f>
        <v>9.7222222222228989E-3</v>
      </c>
      <c r="F94" s="1" t="s">
        <v>3</v>
      </c>
      <c r="G94" s="1"/>
    </row>
    <row r="95" spans="1:7" x14ac:dyDescent="0.25">
      <c r="A95" s="11">
        <v>42248</v>
      </c>
      <c r="B95" s="7">
        <v>0.64374999999999993</v>
      </c>
      <c r="C95" s="7">
        <v>0.65763888888888888</v>
      </c>
      <c r="D95" s="7">
        <f>(0.657638888888889-0.64375)</f>
        <v>1.3888888888888951E-2</v>
      </c>
      <c r="E95" s="7">
        <f>ABS(0.013888888888889-0.00555555555555598)</f>
        <v>8.3333333333330192E-3</v>
      </c>
      <c r="F95" s="1" t="s">
        <v>3</v>
      </c>
      <c r="G95" s="1"/>
    </row>
    <row r="96" spans="1:7" x14ac:dyDescent="0.25">
      <c r="A96" s="11">
        <v>42248</v>
      </c>
      <c r="B96" s="7">
        <v>0.67361111111111116</v>
      </c>
      <c r="C96" s="7">
        <v>0.6791666666666667</v>
      </c>
      <c r="D96" s="7">
        <f>(0.679166666666667-0.673611111111111)</f>
        <v>5.5555555555559799E-3</v>
      </c>
      <c r="E96" s="7">
        <f>ABS(0.00555555555555598-0.00277777777777799)</f>
        <v>2.77777777777799E-3</v>
      </c>
      <c r="F96" s="1" t="s">
        <v>3</v>
      </c>
      <c r="G96" s="1"/>
    </row>
    <row r="97" spans="1:7" x14ac:dyDescent="0.25">
      <c r="A97" s="11">
        <v>42248</v>
      </c>
      <c r="B97" s="7">
        <v>0.73888888888888893</v>
      </c>
      <c r="C97" s="7">
        <v>0.7416666666666667</v>
      </c>
      <c r="D97" s="7">
        <f>(0.741666666666667-0.738888888888889)</f>
        <v>2.77777777777799E-3</v>
      </c>
      <c r="E97" s="7">
        <f>ABS(0.00277777777777799-0.00624999999999998)</f>
        <v>3.4722222222219904E-3</v>
      </c>
      <c r="F97" s="1" t="s">
        <v>3</v>
      </c>
      <c r="G97" s="1"/>
    </row>
    <row r="98" spans="1:7" x14ac:dyDescent="0.25">
      <c r="A98" s="11">
        <v>42248</v>
      </c>
      <c r="B98" s="7">
        <v>0.74513888888888891</v>
      </c>
      <c r="C98" s="7">
        <v>0.75138888888888899</v>
      </c>
      <c r="D98" s="7">
        <f>(0.751388888888889-0.745138888888889)</f>
        <v>6.2499999999999778E-3</v>
      </c>
      <c r="E98" s="7">
        <f>ABS(0.00624999999999998-0.00902777777777702)</f>
        <v>2.7777777777770402E-3</v>
      </c>
      <c r="F98" s="1" t="s">
        <v>3</v>
      </c>
      <c r="G98" s="1"/>
    </row>
    <row r="99" spans="1:7" x14ac:dyDescent="0.25">
      <c r="A99" s="11">
        <v>42248</v>
      </c>
      <c r="B99" s="7">
        <v>0.3743055555555555</v>
      </c>
      <c r="C99" s="7">
        <v>0.3833333333333333</v>
      </c>
      <c r="D99" s="7">
        <f>(0.383333333333333-0.374305555555556)</f>
        <v>9.0277777777770241E-3</v>
      </c>
      <c r="E99" s="7">
        <f>ABS(0.00902777777777702-0.00416666666666698)</f>
        <v>4.8611111111100409E-3</v>
      </c>
      <c r="F99" s="1" t="s">
        <v>3</v>
      </c>
      <c r="G99" s="1"/>
    </row>
    <row r="100" spans="1:7" x14ac:dyDescent="0.25">
      <c r="A100" s="11">
        <v>42248</v>
      </c>
      <c r="B100" s="7">
        <v>0.47847222222222219</v>
      </c>
      <c r="C100" s="7">
        <v>0.4826388888888889</v>
      </c>
      <c r="D100" s="7">
        <f>(0.482638888888889-0.478472222222222)</f>
        <v>4.1666666666669849E-3</v>
      </c>
      <c r="E100" s="7">
        <f>ABS(0.00416666666666698-0.00902777777777808)</f>
        <v>4.8611111111111008E-3</v>
      </c>
      <c r="F100" s="1" t="s">
        <v>3</v>
      </c>
      <c r="G100" s="1"/>
    </row>
    <row r="101" spans="1:7" x14ac:dyDescent="0.25">
      <c r="A101" s="11">
        <v>42248</v>
      </c>
      <c r="B101" s="7">
        <v>0.60347222222222219</v>
      </c>
      <c r="C101" s="7">
        <v>0.61249999999999993</v>
      </c>
      <c r="D101" s="7">
        <f>(0.6125-0.603472222222222)</f>
        <v>9.0277777777780788E-3</v>
      </c>
      <c r="E101" s="7">
        <f>ABS(0.00902777777777808-0.00555555555555598)</f>
        <v>3.4722222222221006E-3</v>
      </c>
      <c r="F101" s="1" t="s">
        <v>3</v>
      </c>
      <c r="G101" s="1"/>
    </row>
    <row r="102" spans="1:7" x14ac:dyDescent="0.25">
      <c r="A102" s="11">
        <v>42248</v>
      </c>
      <c r="B102" s="7">
        <v>0.58958333333333335</v>
      </c>
      <c r="C102" s="7">
        <v>0.59513888888888888</v>
      </c>
      <c r="D102" s="7">
        <f>(0.595138888888889-0.589583333333333)</f>
        <v>5.5555555555559799E-3</v>
      </c>
      <c r="E102" s="7">
        <f>ABS(0.00555555555555598-0.00555555555555598)</f>
        <v>0</v>
      </c>
      <c r="F102" s="1" t="s">
        <v>3</v>
      </c>
      <c r="G102" s="1"/>
    </row>
    <row r="103" spans="1:7" x14ac:dyDescent="0.25">
      <c r="A103" s="11">
        <v>42248</v>
      </c>
      <c r="B103" s="7">
        <v>0.74375000000000002</v>
      </c>
      <c r="C103" s="7">
        <v>0.74930555555555556</v>
      </c>
      <c r="D103" s="7">
        <f>(0.749305555555556-0.74375)</f>
        <v>5.5555555555559799E-3</v>
      </c>
      <c r="E103" s="7">
        <f>ABS(0.00555555555555598-0.010416666666666)</f>
        <v>4.86111111111002E-3</v>
      </c>
      <c r="F103" s="1" t="s">
        <v>3</v>
      </c>
      <c r="G103" s="1"/>
    </row>
    <row r="104" spans="1:7" x14ac:dyDescent="0.25">
      <c r="A104" s="11">
        <v>42248</v>
      </c>
      <c r="B104" s="7">
        <v>0.23402777777777781</v>
      </c>
      <c r="C104" s="7">
        <v>0.24444444444444446</v>
      </c>
      <c r="D104" s="7">
        <f>(0.244444444444444-0.234027777777778)</f>
        <v>1.0416666666665991E-2</v>
      </c>
      <c r="E104" s="7">
        <f>ABS(0.010416666666666-0.00694444444444497)</f>
        <v>3.4722222222210303E-3</v>
      </c>
      <c r="F104" s="1" t="s">
        <v>3</v>
      </c>
      <c r="G104" s="1"/>
    </row>
    <row r="105" spans="1:7" x14ac:dyDescent="0.25">
      <c r="A105" s="11">
        <v>42248</v>
      </c>
      <c r="B105" s="7">
        <v>0.74444444444444446</v>
      </c>
      <c r="C105" s="7">
        <v>0.75138888888888899</v>
      </c>
      <c r="D105" s="7">
        <f>(0.751388888888889-0.744444444444444)</f>
        <v>6.9444444444449749E-3</v>
      </c>
      <c r="E105" s="7">
        <f>ABS(0.00694444444444497-0.00972222222222197)</f>
        <v>2.7777777777770012E-3</v>
      </c>
      <c r="F105" s="1" t="s">
        <v>3</v>
      </c>
      <c r="G105" s="1"/>
    </row>
    <row r="106" spans="1:7" x14ac:dyDescent="0.25">
      <c r="A106" s="11">
        <v>42248</v>
      </c>
      <c r="B106" s="7">
        <v>0.98472222222222217</v>
      </c>
      <c r="C106" s="7">
        <v>0.99444444444444446</v>
      </c>
      <c r="D106" s="7">
        <f>(0.994444444444444-0.984722222222222)</f>
        <v>9.7222222222219656E-3</v>
      </c>
      <c r="E106" s="7">
        <f>ABS(0.00972222222222197-0.00555555555555604)</f>
        <v>4.1666666666659311E-3</v>
      </c>
      <c r="F106" s="1" t="s">
        <v>3</v>
      </c>
      <c r="G106" s="1"/>
    </row>
    <row r="107" spans="1:7" x14ac:dyDescent="0.25">
      <c r="A107" s="11">
        <v>42248</v>
      </c>
      <c r="B107" s="7">
        <v>0.31944444444444448</v>
      </c>
      <c r="C107" s="7">
        <v>0.32500000000000001</v>
      </c>
      <c r="D107" s="7">
        <f>(0.325-0.319444444444444)</f>
        <v>5.5555555555560354E-3</v>
      </c>
      <c r="E107" s="7">
        <f>ABS(0.00555555555555604-0.00763888888888897)</f>
        <v>2.0833333333329304E-3</v>
      </c>
      <c r="F107" s="1" t="s">
        <v>3</v>
      </c>
      <c r="G107" s="1"/>
    </row>
    <row r="108" spans="1:7" x14ac:dyDescent="0.25">
      <c r="A108" s="11">
        <v>42248</v>
      </c>
      <c r="B108" s="7">
        <v>0.38611111111111113</v>
      </c>
      <c r="C108" s="7">
        <v>0.39374999999999999</v>
      </c>
      <c r="D108" s="7">
        <f>(0.39375-0.386111111111111)</f>
        <v>7.6388888888889728E-3</v>
      </c>
      <c r="E108" s="7">
        <f>ABS(0.00763888888888897-0.0138888888888891)</f>
        <v>6.2500000000001296E-3</v>
      </c>
      <c r="F108" s="1" t="s">
        <v>3</v>
      </c>
      <c r="G108" s="1"/>
    </row>
    <row r="109" spans="1:7" x14ac:dyDescent="0.25">
      <c r="A109" s="11">
        <v>42248</v>
      </c>
      <c r="B109" s="7">
        <v>0.54513888888888895</v>
      </c>
      <c r="C109" s="7">
        <v>0.55902777777777779</v>
      </c>
      <c r="D109" s="7">
        <f>(0.559027777777778-0.545138888888889)</f>
        <v>1.3888888888889062E-2</v>
      </c>
      <c r="E109" s="7">
        <f>ABS(0.0138888888888891-0.00277777777777699)</f>
        <v>1.1111111111112109E-2</v>
      </c>
      <c r="F109" s="1" t="s">
        <v>3</v>
      </c>
      <c r="G109" s="1"/>
    </row>
    <row r="110" spans="1:7" x14ac:dyDescent="0.25">
      <c r="A110" s="11">
        <v>42248</v>
      </c>
      <c r="B110" s="7">
        <v>0.78680555555555554</v>
      </c>
      <c r="C110" s="7">
        <v>0.7895833333333333</v>
      </c>
      <c r="D110" s="7">
        <f>(0.789583333333333-0.786805555555556)</f>
        <v>2.7777777777769908E-3</v>
      </c>
      <c r="E110" s="7">
        <f>ABS(0.00277777777777699-0.010416666666667)</f>
        <v>7.6388888888900093E-3</v>
      </c>
      <c r="F110" s="1" t="s">
        <v>3</v>
      </c>
      <c r="G110" s="1"/>
    </row>
    <row r="111" spans="1:7" x14ac:dyDescent="0.25">
      <c r="A111" s="11">
        <v>42248</v>
      </c>
      <c r="B111" s="7">
        <v>0.80208333333333337</v>
      </c>
      <c r="C111" s="7">
        <v>0.8125</v>
      </c>
      <c r="D111" s="7">
        <f>(0.8125-0.802083333333333)</f>
        <v>1.0416666666666963E-2</v>
      </c>
      <c r="E111" s="7">
        <f>ABS(0.010416666666667-0.00833333333333297)</f>
        <v>2.0833333333340285E-3</v>
      </c>
      <c r="F111" s="1" t="s">
        <v>3</v>
      </c>
      <c r="G111" s="1"/>
    </row>
    <row r="112" spans="1:7" x14ac:dyDescent="0.25">
      <c r="A112" s="11">
        <v>42248</v>
      </c>
      <c r="B112" s="7">
        <v>0.87291666666666667</v>
      </c>
      <c r="C112" s="7">
        <v>0.88124999999999998</v>
      </c>
      <c r="D112" s="7">
        <f>(0.88125-0.872916666666667)</f>
        <v>8.3333333333329707E-3</v>
      </c>
      <c r="E112" s="7">
        <f>ABS(0.00833333333333297-0.00833333333333303)</f>
        <v>5.8980598183211441E-17</v>
      </c>
      <c r="F112" s="1" t="s">
        <v>3</v>
      </c>
      <c r="G112" s="1"/>
    </row>
    <row r="113" spans="1:7" x14ac:dyDescent="0.25">
      <c r="A113" s="11">
        <v>42248</v>
      </c>
      <c r="B113" s="7">
        <v>0.40902777777777777</v>
      </c>
      <c r="C113" s="7">
        <v>0.41736111111111113</v>
      </c>
      <c r="D113" s="7">
        <f>(0.417361111111111-0.409027777777778)</f>
        <v>8.3333333333330262E-3</v>
      </c>
      <c r="E113" s="7">
        <f>ABS(0.00833333333333303-0.00486111111111098)</f>
        <v>3.4722222222220494E-3</v>
      </c>
      <c r="F113" s="1" t="s">
        <v>3</v>
      </c>
      <c r="G113" s="1"/>
    </row>
    <row r="114" spans="1:7" x14ac:dyDescent="0.25">
      <c r="A114" s="11">
        <v>42248</v>
      </c>
      <c r="B114" s="7">
        <v>0.44027777777777777</v>
      </c>
      <c r="C114" s="7">
        <v>0.44513888888888892</v>
      </c>
      <c r="D114" s="7">
        <f>(0.445138888888889-0.440277777777778)</f>
        <v>4.8611111111109828E-3</v>
      </c>
      <c r="E114" s="7">
        <f>ABS(0.00486111111111098-0.00624999999999998)</f>
        <v>1.3888888888890002E-3</v>
      </c>
      <c r="F114" s="1" t="s">
        <v>3</v>
      </c>
      <c r="G114" s="1"/>
    </row>
    <row r="115" spans="1:7" x14ac:dyDescent="0.25">
      <c r="A115" s="11">
        <v>42248</v>
      </c>
      <c r="B115" s="7">
        <v>0.55763888888888891</v>
      </c>
      <c r="C115" s="7">
        <v>0.56388888888888888</v>
      </c>
      <c r="D115" s="7">
        <f>(0.563888888888889-0.557638888888889)</f>
        <v>6.2499999999999778E-3</v>
      </c>
      <c r="E115" s="7">
        <f>ABS(0.00624999999999998-0.0798611111111109)</f>
        <v>7.3611111111110919E-2</v>
      </c>
      <c r="F115" s="1" t="s">
        <v>3</v>
      </c>
      <c r="G115" s="1"/>
    </row>
    <row r="116" spans="1:7" x14ac:dyDescent="0.25">
      <c r="A116" s="11">
        <v>42248</v>
      </c>
      <c r="B116" s="7">
        <v>0.55347222222222225</v>
      </c>
      <c r="C116" s="7">
        <v>0.6333333333333333</v>
      </c>
      <c r="D116" s="7">
        <f>(0.633333333333333-0.553472222222222)</f>
        <v>7.9861111111110938E-2</v>
      </c>
      <c r="E116" s="7">
        <f>ABS(0.0798611111111109-0.00555555555555498)</f>
        <v>7.4305555555555916E-2</v>
      </c>
      <c r="F116" s="1" t="s">
        <v>3</v>
      </c>
      <c r="G116" s="1"/>
    </row>
    <row r="117" spans="1:7" x14ac:dyDescent="0.25">
      <c r="A117" s="11">
        <v>42248</v>
      </c>
      <c r="B117" s="7">
        <v>0.69305555555555554</v>
      </c>
      <c r="C117" s="7">
        <v>0.69861111111111107</v>
      </c>
      <c r="D117" s="7">
        <f>(0.698611111111111-0.693055555555556)</f>
        <v>5.5555555555549807E-3</v>
      </c>
      <c r="E117" s="7">
        <f>ABS(0.00555555555555498-0.00624999999999998)</f>
        <v>6.9444444444500056E-4</v>
      </c>
      <c r="F117" s="1" t="s">
        <v>3</v>
      </c>
      <c r="G117" s="1"/>
    </row>
    <row r="118" spans="1:7" x14ac:dyDescent="0.25">
      <c r="A118" s="11">
        <v>42248</v>
      </c>
      <c r="B118" s="7">
        <v>0.81180555555555556</v>
      </c>
      <c r="C118" s="7">
        <v>0.81805555555555554</v>
      </c>
      <c r="D118" s="7">
        <f>(0.818055555555556-0.811805555555556)</f>
        <v>6.2499999999999778E-3</v>
      </c>
      <c r="E118" s="7">
        <f>ABS(0.00624999999999998-0.0131944444444441)</f>
        <v>6.9444444444441188E-3</v>
      </c>
      <c r="F118" s="1" t="s">
        <v>3</v>
      </c>
      <c r="G118" s="1"/>
    </row>
    <row r="119" spans="1:7" x14ac:dyDescent="0.25">
      <c r="A119" s="11">
        <v>42248</v>
      </c>
      <c r="B119" s="7">
        <v>0.85</v>
      </c>
      <c r="C119" s="7">
        <v>0.86319444444444438</v>
      </c>
      <c r="D119" s="7">
        <f>(0.863194444444444-0.85)</f>
        <v>1.3194444444444065E-2</v>
      </c>
      <c r="E119" s="7">
        <f>ABS(0.0131944444444441-0.00486111111111098)</f>
        <v>8.3333333333331198E-3</v>
      </c>
      <c r="F119" s="1" t="s">
        <v>3</v>
      </c>
      <c r="G119" s="1"/>
    </row>
    <row r="120" spans="1:7" x14ac:dyDescent="0.25">
      <c r="A120" s="11">
        <v>42248</v>
      </c>
      <c r="B120" s="7">
        <v>0.32777777777777778</v>
      </c>
      <c r="C120" s="7">
        <v>0.33263888888888887</v>
      </c>
      <c r="D120" s="7">
        <f>(0.332638888888889-0.327777777777778)</f>
        <v>4.8611111111109828E-3</v>
      </c>
      <c r="E120" s="7">
        <f>ABS(0.00486111111111098-0.00208333333333399)</f>
        <v>2.7777777777769903E-3</v>
      </c>
      <c r="F120" s="1" t="s">
        <v>3</v>
      </c>
      <c r="G120" s="1"/>
    </row>
    <row r="121" spans="1:7" x14ac:dyDescent="0.25">
      <c r="A121" s="11">
        <v>42248</v>
      </c>
      <c r="B121" s="7">
        <v>0.38958333333333334</v>
      </c>
      <c r="C121" s="7">
        <v>0.39166666666666666</v>
      </c>
      <c r="D121" s="7">
        <f>(0.391666666666667-0.389583333333333)</f>
        <v>2.0833333333339921E-3</v>
      </c>
      <c r="E121" s="7">
        <f>ABS(0.00208333333333399-0.00694444444444497)</f>
        <v>4.8611111111109793E-3</v>
      </c>
      <c r="F121" s="1" t="s">
        <v>3</v>
      </c>
      <c r="G121" s="1"/>
    </row>
    <row r="122" spans="1:7" x14ac:dyDescent="0.25">
      <c r="A122" s="11">
        <v>42248</v>
      </c>
      <c r="B122" s="7">
        <v>0.50486111111111109</v>
      </c>
      <c r="C122" s="7">
        <v>0.51180555555555551</v>
      </c>
      <c r="D122" s="7">
        <f>(0.511805555555556-0.504861111111111)</f>
        <v>6.9444444444449749E-3</v>
      </c>
      <c r="E122" s="7">
        <f>ABS(0.00694444444444497-0.00555555555555498)</f>
        <v>1.3888888888899898E-3</v>
      </c>
      <c r="F122" s="1" t="s">
        <v>3</v>
      </c>
      <c r="G122" s="1"/>
    </row>
    <row r="123" spans="1:7" x14ac:dyDescent="0.25">
      <c r="A123" s="11">
        <v>42248</v>
      </c>
      <c r="B123" s="7">
        <v>0.56180555555555556</v>
      </c>
      <c r="C123" s="7">
        <v>0.56736111111111109</v>
      </c>
      <c r="D123" s="7">
        <f>(0.567361111111111-0.561805555555556)</f>
        <v>5.5555555555549807E-3</v>
      </c>
      <c r="E123" s="7">
        <f>ABS(0.00555555555555498-0.010416666666666)</f>
        <v>4.8611111111110201E-3</v>
      </c>
      <c r="F123" s="1" t="s">
        <v>3</v>
      </c>
      <c r="G123" s="1"/>
    </row>
    <row r="124" spans="1:7" x14ac:dyDescent="0.25">
      <c r="A124" s="11">
        <v>42248</v>
      </c>
      <c r="B124" s="7">
        <v>0.59305555555555556</v>
      </c>
      <c r="C124" s="7">
        <v>0.60347222222222219</v>
      </c>
      <c r="D124" s="7">
        <f>(0.603472222222222-0.593055555555556)</f>
        <v>1.0416666666665964E-2</v>
      </c>
      <c r="E124" s="7">
        <f>ABS(0.010416666666666-0.00624999999999898)</f>
        <v>4.1666666666670196E-3</v>
      </c>
      <c r="F124" s="1" t="s">
        <v>3</v>
      </c>
      <c r="G124" s="1"/>
    </row>
    <row r="125" spans="1:7" x14ac:dyDescent="0.25">
      <c r="A125" s="11">
        <v>42248</v>
      </c>
      <c r="B125" s="7">
        <v>0.7055555555555556</v>
      </c>
      <c r="C125" s="7">
        <v>0.71180555555555547</v>
      </c>
      <c r="D125" s="7">
        <f>(0.711805555555555-0.705555555555556)</f>
        <v>6.2499999999989786E-3</v>
      </c>
      <c r="E125" s="7">
        <f>ABS(0.00624999999999898-0.013888888888889)</f>
        <v>7.6388888888900188E-3</v>
      </c>
      <c r="F125" s="1" t="s">
        <v>3</v>
      </c>
      <c r="G125" s="1"/>
    </row>
    <row r="126" spans="1:7" x14ac:dyDescent="0.25">
      <c r="A126" s="11">
        <v>42248</v>
      </c>
      <c r="B126" s="7">
        <v>0.77500000000000002</v>
      </c>
      <c r="C126" s="7">
        <v>0.78888888888888886</v>
      </c>
      <c r="D126" s="7">
        <f>(0.788888888888889-0.775)</f>
        <v>1.3888888888888951E-2</v>
      </c>
      <c r="E126" s="7">
        <f>ABS(0.013888888888889-0.010416666666667)</f>
        <v>3.472222222222E-3</v>
      </c>
      <c r="F126" s="1" t="s">
        <v>3</v>
      </c>
      <c r="G126" s="1"/>
    </row>
    <row r="127" spans="1:7" x14ac:dyDescent="0.25">
      <c r="A127" s="11">
        <v>42248</v>
      </c>
      <c r="B127" s="7">
        <v>0.9</v>
      </c>
      <c r="C127" s="7">
        <v>0.91041666666666676</v>
      </c>
      <c r="D127" s="7">
        <f>(0.910416666666667-0.9)</f>
        <v>1.0416666666666963E-2</v>
      </c>
      <c r="E127" s="7">
        <f>ABS(0.010416666666667-0.00625000000000003)</f>
        <v>4.1666666666669693E-3</v>
      </c>
      <c r="F127" s="1" t="s">
        <v>3</v>
      </c>
      <c r="G127" s="1"/>
    </row>
    <row r="128" spans="1:7" x14ac:dyDescent="0.25">
      <c r="A128" s="11">
        <v>42248</v>
      </c>
      <c r="B128" s="7">
        <v>0.39374999999999999</v>
      </c>
      <c r="C128" s="7">
        <v>0.39999999999999997</v>
      </c>
      <c r="D128" s="7">
        <f>(0.4-0.39375)</f>
        <v>6.2500000000000333E-3</v>
      </c>
      <c r="E128" s="7">
        <f>ABS(0.00625000000000003-0.029166666666667)</f>
        <v>2.291666666666697E-2</v>
      </c>
      <c r="F128" s="1" t="s">
        <v>3</v>
      </c>
      <c r="G128" s="1"/>
    </row>
    <row r="129" spans="1:7" x14ac:dyDescent="0.25">
      <c r="A129" s="11">
        <v>42248</v>
      </c>
      <c r="B129" s="7">
        <v>0.50347222222222221</v>
      </c>
      <c r="C129" s="7">
        <v>0.53263888888888888</v>
      </c>
      <c r="D129" s="7">
        <f>(0.532638888888889-0.503472222222222)</f>
        <v>2.9166666666667007E-2</v>
      </c>
      <c r="E129" s="7">
        <f>ABS(0.029166666666667-0.00277777777777799)</f>
        <v>2.638888888888901E-2</v>
      </c>
      <c r="F129" s="1" t="s">
        <v>3</v>
      </c>
      <c r="G129" s="1"/>
    </row>
    <row r="130" spans="1:7" x14ac:dyDescent="0.25">
      <c r="A130" s="11">
        <v>42248</v>
      </c>
      <c r="B130" s="7">
        <v>0.34027777777777773</v>
      </c>
      <c r="C130" s="7">
        <v>0.3430555555555555</v>
      </c>
      <c r="D130" s="7">
        <f>(0.343055555555556-0.340277777777778)</f>
        <v>2.77777777777799E-3</v>
      </c>
      <c r="E130" s="7">
        <f>ABS(0.00277777777777799-0.0111111111111111)</f>
        <v>8.3333333333331094E-3</v>
      </c>
      <c r="F130" s="1" t="s">
        <v>3</v>
      </c>
      <c r="G130" s="1"/>
    </row>
    <row r="131" spans="1:7" x14ac:dyDescent="0.25">
      <c r="A131" s="11">
        <v>42248</v>
      </c>
      <c r="B131" s="7">
        <v>8.5416666666666655E-2</v>
      </c>
      <c r="C131" s="7">
        <v>9.6527777777777768E-2</v>
      </c>
      <c r="D131" s="7">
        <f>(0.0965277777777778-0.0854166666666667)</f>
        <v>1.1111111111111099E-2</v>
      </c>
      <c r="E131" s="7">
        <f>ABS(0.0111111111111111-0.00972222222222302)</f>
        <v>1.388888888888079E-3</v>
      </c>
      <c r="F131" s="1" t="s">
        <v>3</v>
      </c>
      <c r="G131" s="1"/>
    </row>
    <row r="132" spans="1:7" x14ac:dyDescent="0.25">
      <c r="A132" s="11">
        <v>42248</v>
      </c>
      <c r="B132" s="7">
        <v>0.3659722222222222</v>
      </c>
      <c r="C132" s="7">
        <v>0.3756944444444445</v>
      </c>
      <c r="D132" s="7">
        <f>(0.375694444444445-0.365972222222222)</f>
        <v>9.7222222222230203E-3</v>
      </c>
      <c r="E132" s="7">
        <f>ABS(0.00972222222222302-0.00624999999999998)</f>
        <v>3.47222222222304E-3</v>
      </c>
      <c r="F132" s="1" t="s">
        <v>3</v>
      </c>
      <c r="G132" s="1"/>
    </row>
    <row r="133" spans="1:7" x14ac:dyDescent="0.25">
      <c r="A133" s="11">
        <v>42248</v>
      </c>
      <c r="B133" s="7">
        <v>0.40138888888888885</v>
      </c>
      <c r="C133" s="7">
        <v>0.40763888888888888</v>
      </c>
      <c r="D133" s="7">
        <f>(0.407638888888889-0.401388888888889)</f>
        <v>6.2499999999999778E-3</v>
      </c>
      <c r="E133" s="7">
        <f>ABS(0.00624999999999998-0.014583333333334)</f>
        <v>8.3333333333340184E-3</v>
      </c>
      <c r="F133" s="1" t="s">
        <v>3</v>
      </c>
      <c r="G133" s="1"/>
    </row>
    <row r="134" spans="1:7" x14ac:dyDescent="0.25">
      <c r="A134" s="11">
        <v>42248</v>
      </c>
      <c r="B134" s="7">
        <v>0.45694444444444443</v>
      </c>
      <c r="C134" s="7">
        <v>0.47152777777777777</v>
      </c>
      <c r="D134" s="7">
        <f>(0.471527777777778-0.456944444444444)</f>
        <v>1.4583333333334003E-2</v>
      </c>
      <c r="E134" s="7">
        <f>ABS(0.014583333333334-0.00555555555555509)</f>
        <v>9.0277777777789097E-3</v>
      </c>
      <c r="F134" s="1" t="s">
        <v>3</v>
      </c>
      <c r="G134" s="1"/>
    </row>
    <row r="135" spans="1:7" x14ac:dyDescent="0.25">
      <c r="A135" s="11">
        <v>42248</v>
      </c>
      <c r="B135" s="7">
        <v>0.54305555555555551</v>
      </c>
      <c r="C135" s="7">
        <v>0.54861111111111105</v>
      </c>
      <c r="D135" s="7">
        <f>(0.548611111111111-0.543055555555556)</f>
        <v>5.5555555555550917E-3</v>
      </c>
      <c r="E135" s="7">
        <f>ABS(0.00555555555555509-0.00347222222222199)</f>
        <v>2.0833333333331E-3</v>
      </c>
      <c r="F135" s="1" t="s">
        <v>3</v>
      </c>
      <c r="G135" s="1"/>
    </row>
    <row r="136" spans="1:7" x14ac:dyDescent="0.25">
      <c r="A136" s="11">
        <v>42248</v>
      </c>
      <c r="B136" s="7">
        <v>0.58124999999999993</v>
      </c>
      <c r="C136" s="7">
        <v>0.58472222222222225</v>
      </c>
      <c r="D136" s="7">
        <f>(0.584722222222222-0.58125)</f>
        <v>3.4722222222219878E-3</v>
      </c>
      <c r="E136" s="7">
        <f>ABS(0.00347222222222199-0.0229166666666669)</f>
        <v>1.944444444444491E-2</v>
      </c>
      <c r="F136" s="1" t="s">
        <v>3</v>
      </c>
      <c r="G136" s="1"/>
    </row>
    <row r="137" spans="1:7" x14ac:dyDescent="0.25">
      <c r="A137" s="11">
        <v>42248</v>
      </c>
      <c r="B137" s="7">
        <v>0.58333333333333337</v>
      </c>
      <c r="C137" s="7">
        <v>0.60625000000000007</v>
      </c>
      <c r="D137" s="7">
        <f>(0.60625-0.583333333333333)</f>
        <v>2.2916666666666918E-2</v>
      </c>
      <c r="E137" s="7">
        <f>ABS(0.0229166666666669-0.00833333333333397)</f>
        <v>1.4583333333332931E-2</v>
      </c>
      <c r="F137" s="1" t="s">
        <v>3</v>
      </c>
      <c r="G137" s="1"/>
    </row>
    <row r="138" spans="1:7" x14ac:dyDescent="0.25">
      <c r="A138" s="11">
        <v>42248</v>
      </c>
      <c r="B138" s="7">
        <v>0.71180555555555547</v>
      </c>
      <c r="C138" s="7">
        <v>0.72013888888888899</v>
      </c>
      <c r="D138" s="7">
        <f>(0.720138888888889-0.711805555555555)</f>
        <v>8.3333333333339699E-3</v>
      </c>
      <c r="E138" s="7">
        <f>ABS(0.00833333333333397-0.0125)</f>
        <v>4.1666666666660308E-3</v>
      </c>
      <c r="F138" s="1" t="s">
        <v>3</v>
      </c>
      <c r="G138" s="1"/>
    </row>
    <row r="139" spans="1:7" x14ac:dyDescent="0.25">
      <c r="A139" s="11">
        <v>42248</v>
      </c>
      <c r="B139" s="7">
        <v>0.77083333333333337</v>
      </c>
      <c r="C139" s="7">
        <v>0.78333333333333333</v>
      </c>
      <c r="D139" s="7">
        <f>(0.783333333333333-0.770833333333333)</f>
        <v>1.2499999999999956E-2</v>
      </c>
      <c r="E139" s="7">
        <f>ABS(0.0125-0.013194444444444)</f>
        <v>6.9444444444399962E-4</v>
      </c>
      <c r="F139" s="1" t="s">
        <v>3</v>
      </c>
      <c r="G139" s="1"/>
    </row>
    <row r="140" spans="1:7" x14ac:dyDescent="0.25">
      <c r="A140" s="11">
        <v>42248</v>
      </c>
      <c r="B140" s="7">
        <v>0.28750000000000003</v>
      </c>
      <c r="C140" s="7">
        <v>0.30069444444444443</v>
      </c>
      <c r="D140" s="7">
        <f>(0.300694444444444-0.2875)</f>
        <v>1.3194444444444009E-2</v>
      </c>
      <c r="E140" s="7">
        <f>ABS(0.013194444444444-0.017361111111111)</f>
        <v>4.1666666666670005E-3</v>
      </c>
      <c r="F140" s="1" t="s">
        <v>3</v>
      </c>
      <c r="G140" s="1"/>
    </row>
    <row r="141" spans="1:7" x14ac:dyDescent="0.25">
      <c r="A141" s="11">
        <v>42248</v>
      </c>
      <c r="B141" s="7">
        <v>0.31597222222222221</v>
      </c>
      <c r="C141" s="7">
        <v>0.33333333333333331</v>
      </c>
      <c r="D141" s="7">
        <f>(0.333333333333333-0.315972222222222)</f>
        <v>1.7361111111110994E-2</v>
      </c>
      <c r="E141" s="7">
        <f>ABS(0.017361111111111-0.017361111111111)</f>
        <v>0</v>
      </c>
      <c r="F141" s="1" t="s">
        <v>3</v>
      </c>
      <c r="G141" s="1"/>
    </row>
    <row r="142" spans="1:7" x14ac:dyDescent="0.25">
      <c r="A142" s="11">
        <v>42248</v>
      </c>
      <c r="B142" s="7">
        <v>0.33680555555555558</v>
      </c>
      <c r="C142" s="7">
        <v>0.35416666666666669</v>
      </c>
      <c r="D142" s="7">
        <f>(0.354166666666667-0.336805555555556)</f>
        <v>1.7361111111110994E-2</v>
      </c>
      <c r="E142" s="7">
        <f>ABS(0.017361111111111-0.00416666666666704)</f>
        <v>1.319444444444396E-2</v>
      </c>
      <c r="F142" s="1" t="s">
        <v>3</v>
      </c>
      <c r="G142" s="1"/>
    </row>
    <row r="143" spans="1:7" x14ac:dyDescent="0.25">
      <c r="A143" s="11">
        <v>42248</v>
      </c>
      <c r="B143" s="7">
        <v>0.38263888888888892</v>
      </c>
      <c r="C143" s="7">
        <v>0.38680555555555557</v>
      </c>
      <c r="D143" s="7">
        <f>(0.386805555555556-0.382638888888889)</f>
        <v>4.1666666666670404E-3</v>
      </c>
      <c r="E143" s="7">
        <f>ABS(0.00416666666666704-0.00972222222222296)</f>
        <v>5.5555555555559201E-3</v>
      </c>
      <c r="F143" s="1" t="s">
        <v>3</v>
      </c>
      <c r="G143" s="1"/>
    </row>
    <row r="144" spans="1:7" x14ac:dyDescent="0.25">
      <c r="A144" s="11">
        <v>42248</v>
      </c>
      <c r="B144" s="7">
        <v>0.43194444444444446</v>
      </c>
      <c r="C144" s="7">
        <v>0.44166666666666665</v>
      </c>
      <c r="D144" s="7">
        <f>(0.441666666666667-0.431944444444444)</f>
        <v>9.7222222222229648E-3</v>
      </c>
      <c r="E144" s="7">
        <f>ABS(0.00972222222222296-0.00902777777777797)</f>
        <v>6.9444444444499015E-4</v>
      </c>
      <c r="F144" s="1" t="s">
        <v>3</v>
      </c>
      <c r="G144" s="1"/>
    </row>
    <row r="145" spans="1:7" x14ac:dyDescent="0.25">
      <c r="A145" s="11">
        <v>42248</v>
      </c>
      <c r="B145" s="7">
        <v>0.46388888888888885</v>
      </c>
      <c r="C145" s="7">
        <v>0.47291666666666665</v>
      </c>
      <c r="D145" s="7">
        <f>(0.472916666666667-0.463888888888889)</f>
        <v>9.0277777777779677E-3</v>
      </c>
      <c r="E145" s="7">
        <f>ABS(0.00902777777777797-0.00694444444444497)</f>
        <v>2.0833333333329998E-3</v>
      </c>
      <c r="F145" s="1" t="s">
        <v>3</v>
      </c>
      <c r="G145" s="1"/>
    </row>
    <row r="146" spans="1:7" x14ac:dyDescent="0.25">
      <c r="A146" s="11">
        <v>42248</v>
      </c>
      <c r="B146" s="7">
        <v>0.48333333333333334</v>
      </c>
      <c r="C146" s="7">
        <v>0.49027777777777781</v>
      </c>
      <c r="D146" s="7">
        <f>(0.490277777777778-0.483333333333333)</f>
        <v>6.9444444444449749E-3</v>
      </c>
      <c r="E146" s="7">
        <f>ABS(0.00694444444444497-0.00555555555555509)</f>
        <v>1.3888888888898797E-3</v>
      </c>
      <c r="F146" s="1" t="s">
        <v>3</v>
      </c>
      <c r="G146" s="1"/>
    </row>
    <row r="147" spans="1:7" x14ac:dyDescent="0.25">
      <c r="A147" s="11">
        <v>42248</v>
      </c>
      <c r="B147" s="7">
        <v>0.60902777777777783</v>
      </c>
      <c r="C147" s="7">
        <v>0.61458333333333337</v>
      </c>
      <c r="D147" s="7">
        <f>(0.614583333333333-0.609027777777778)</f>
        <v>5.5555555555550917E-3</v>
      </c>
      <c r="E147" s="7">
        <f>ABS(0.00555555555555509-0.00555555555555509)</f>
        <v>0</v>
      </c>
      <c r="F147" s="1" t="s">
        <v>3</v>
      </c>
      <c r="G147" s="1"/>
    </row>
    <row r="148" spans="1:7" x14ac:dyDescent="0.25">
      <c r="A148" s="11">
        <v>42248</v>
      </c>
      <c r="B148" s="7">
        <v>0.60763888888888895</v>
      </c>
      <c r="C148" s="7">
        <v>0.61319444444444449</v>
      </c>
      <c r="D148" s="7">
        <f>(0.613194444444444-0.607638888888889)</f>
        <v>5.5555555555550917E-3</v>
      </c>
      <c r="E148" s="7">
        <f>ABS(0.00555555555555509-0.020833333333333)</f>
        <v>1.5277777777777909E-2</v>
      </c>
      <c r="F148" s="1" t="s">
        <v>3</v>
      </c>
      <c r="G148" s="1"/>
    </row>
    <row r="149" spans="1:7" x14ac:dyDescent="0.25">
      <c r="A149" s="11">
        <v>42248</v>
      </c>
      <c r="B149" s="7">
        <v>0.81944444444444453</v>
      </c>
      <c r="C149" s="7">
        <v>0.84027777777777779</v>
      </c>
      <c r="D149" s="7">
        <f>(0.840277777777778-0.819444444444445)</f>
        <v>2.0833333333333037E-2</v>
      </c>
      <c r="E149" s="7">
        <f>ABS(0.020833333333333-0.00138888888888911)</f>
        <v>1.944444444444389E-2</v>
      </c>
      <c r="F149" s="1" t="s">
        <v>3</v>
      </c>
      <c r="G149" s="1"/>
    </row>
    <row r="150" spans="1:7" x14ac:dyDescent="0.25">
      <c r="A150" s="11">
        <v>42248</v>
      </c>
      <c r="B150" s="7">
        <v>0.79583333333333339</v>
      </c>
      <c r="C150" s="7">
        <v>0.79722222222222217</v>
      </c>
      <c r="D150" s="7">
        <f>(0.797222222222222-0.795833333333333)</f>
        <v>1.388888888889106E-3</v>
      </c>
      <c r="E150" s="7">
        <f>ABS(0.00138888888888911-0.0159722222222231)</f>
        <v>1.4583333333333989E-2</v>
      </c>
      <c r="F150" s="1" t="s">
        <v>3</v>
      </c>
      <c r="G150" s="1"/>
    </row>
    <row r="151" spans="1:7" x14ac:dyDescent="0.25">
      <c r="A151" s="11">
        <v>42248</v>
      </c>
      <c r="B151" s="7">
        <v>0.82708333333333339</v>
      </c>
      <c r="C151" s="7">
        <v>0.84305555555555556</v>
      </c>
      <c r="D151" s="7">
        <f>(0.843055555555556-0.827083333333333)</f>
        <v>1.5972222222223054E-2</v>
      </c>
      <c r="E151" s="7">
        <f>ABS(0.0159722222222231-0.0180555555555553)</f>
        <v>2.0833333333322018E-3</v>
      </c>
      <c r="F151" s="1" t="s">
        <v>3</v>
      </c>
      <c r="G151" s="1"/>
    </row>
    <row r="152" spans="1:7" x14ac:dyDescent="0.25">
      <c r="A152" s="11">
        <v>42248</v>
      </c>
      <c r="B152" s="7">
        <v>9.1666666666666674E-2</v>
      </c>
      <c r="C152" s="7">
        <v>0.10972222222222222</v>
      </c>
      <c r="D152" s="7">
        <f>(0.109722222222222-0.0916666666666667)</f>
        <v>1.8055555555555297E-2</v>
      </c>
      <c r="E152" s="7">
        <f>ABS(0.0180555555555553-0.00833333333333303)</f>
        <v>9.7222222222222709E-3</v>
      </c>
      <c r="F152" s="1" t="s">
        <v>3</v>
      </c>
      <c r="G152" s="1"/>
    </row>
    <row r="153" spans="1:7" x14ac:dyDescent="0.25">
      <c r="A153" s="11">
        <v>42248</v>
      </c>
      <c r="B153" s="7">
        <v>0.44305555555555554</v>
      </c>
      <c r="C153" s="7">
        <v>0.4513888888888889</v>
      </c>
      <c r="D153" s="7">
        <f>(0.451388888888889-0.443055555555556)</f>
        <v>8.3333333333330262E-3</v>
      </c>
      <c r="E153" s="7">
        <f>ABS(0.00833333333333303-0.00416666666666698)</f>
        <v>4.1666666666660499E-3</v>
      </c>
      <c r="F153" s="1" t="s">
        <v>3</v>
      </c>
      <c r="G153" s="1"/>
    </row>
    <row r="154" spans="1:7" x14ac:dyDescent="0.25">
      <c r="A154" s="11">
        <v>42248</v>
      </c>
      <c r="B154" s="7">
        <v>0.46111111111111108</v>
      </c>
      <c r="C154" s="7">
        <v>0.46527777777777773</v>
      </c>
      <c r="D154" s="7">
        <f>(0.465277777777778-0.461111111111111)</f>
        <v>4.1666666666669849E-3</v>
      </c>
      <c r="E154" s="7">
        <f>ABS(0.00416666666666698-0.00555555555555498)</f>
        <v>1.3888888888880001E-3</v>
      </c>
      <c r="F154" s="1" t="s">
        <v>3</v>
      </c>
      <c r="G154" s="1"/>
    </row>
    <row r="155" spans="1:7" x14ac:dyDescent="0.25">
      <c r="A155" s="11">
        <v>42248</v>
      </c>
      <c r="B155" s="7">
        <v>0.74513888888888891</v>
      </c>
      <c r="C155" s="7">
        <v>0.75069444444444444</v>
      </c>
      <c r="D155" s="7">
        <f>(0.750694444444444-0.745138888888889)</f>
        <v>5.5555555555549807E-3</v>
      </c>
      <c r="E155" s="7">
        <f>ABS(0.00555555555555498-0.00486111111111098)</f>
        <v>6.9444444444399962E-4</v>
      </c>
      <c r="F155" s="1" t="s">
        <v>3</v>
      </c>
      <c r="G155" s="1"/>
    </row>
    <row r="156" spans="1:7" x14ac:dyDescent="0.25">
      <c r="A156" s="11">
        <v>42248</v>
      </c>
      <c r="B156" s="7">
        <v>0.76736111111111116</v>
      </c>
      <c r="C156" s="7">
        <v>0.77222222222222225</v>
      </c>
      <c r="D156" s="7">
        <f>(0.772222222222222-0.767361111111111)</f>
        <v>4.8611111111109828E-3</v>
      </c>
      <c r="E156" s="7">
        <f>ABS(0.00486111111111098-0.00694444444444509)</f>
        <v>2.08333333333411E-3</v>
      </c>
      <c r="F156" s="1" t="s">
        <v>3</v>
      </c>
      <c r="G156" s="1"/>
    </row>
    <row r="157" spans="1:7" x14ac:dyDescent="0.25">
      <c r="A157" s="11">
        <v>42248</v>
      </c>
      <c r="B157" s="7">
        <v>0.8847222222222223</v>
      </c>
      <c r="C157" s="7">
        <v>0.89166666666666661</v>
      </c>
      <c r="D157" s="7">
        <f>(0.891666666666667-0.884722222222222)</f>
        <v>6.9444444444450859E-3</v>
      </c>
      <c r="E157" s="7">
        <f>ABS(0.00694444444444509-0.00347222222222199)</f>
        <v>3.4722222222231002E-3</v>
      </c>
      <c r="F157" s="1" t="s">
        <v>3</v>
      </c>
      <c r="G157" s="1"/>
    </row>
    <row r="158" spans="1:7" x14ac:dyDescent="0.25">
      <c r="A158" s="11">
        <v>42248</v>
      </c>
      <c r="B158" s="7">
        <v>0.92361111111111116</v>
      </c>
      <c r="C158" s="7">
        <v>0.92708333333333337</v>
      </c>
      <c r="D158" s="7">
        <f>(0.927083333333333-0.923611111111111)</f>
        <v>3.4722222222219878E-3</v>
      </c>
      <c r="E158" s="7">
        <f>ABS(0.00347222222222199-0.00416666666666701)</f>
        <v>6.9444444444502007E-4</v>
      </c>
      <c r="F158" s="1" t="s">
        <v>3</v>
      </c>
      <c r="G158" s="1"/>
    </row>
    <row r="159" spans="1:7" x14ac:dyDescent="0.25">
      <c r="A159" s="11">
        <v>42248</v>
      </c>
      <c r="B159" s="7">
        <v>0.12708333333333333</v>
      </c>
      <c r="C159" s="7">
        <v>0.13125000000000001</v>
      </c>
      <c r="D159" s="7">
        <f>(0.13125-0.127083333333333)</f>
        <v>4.1666666666670127E-3</v>
      </c>
      <c r="E159" s="7">
        <f>ABS(0.00416666666666701-0.00416666666666599)</f>
        <v>1.0200174038743626E-15</v>
      </c>
      <c r="F159" s="1" t="s">
        <v>3</v>
      </c>
      <c r="G159" s="1"/>
    </row>
    <row r="160" spans="1:7" x14ac:dyDescent="0.25">
      <c r="A160" s="11">
        <v>42248</v>
      </c>
      <c r="B160" s="7">
        <v>0.31527777777777777</v>
      </c>
      <c r="C160" s="7">
        <v>0.31944444444444448</v>
      </c>
      <c r="D160" s="7">
        <f>(0.319444444444444-0.315277777777778)</f>
        <v>4.1666666666659857E-3</v>
      </c>
      <c r="E160" s="7">
        <f>ABS(0.00416666666666599-0.00694444444444398)</f>
        <v>2.77777777777799E-3</v>
      </c>
      <c r="F160" s="1" t="s">
        <v>3</v>
      </c>
      <c r="G160" s="1"/>
    </row>
    <row r="161" spans="1:7" x14ac:dyDescent="0.25">
      <c r="A161" s="11">
        <v>42248</v>
      </c>
      <c r="B161" s="7">
        <v>0.43541666666666662</v>
      </c>
      <c r="C161" s="7">
        <v>0.44236111111111115</v>
      </c>
      <c r="D161" s="7">
        <f>(0.442361111111111-0.435416666666667)</f>
        <v>6.9444444444439757E-3</v>
      </c>
      <c r="E161" s="7">
        <f>ABS(0.00694444444444398-0.00486111111111098)</f>
        <v>2.0833333333329998E-3</v>
      </c>
      <c r="F161" s="1" t="s">
        <v>3</v>
      </c>
      <c r="G161" s="1"/>
    </row>
    <row r="162" spans="1:7" x14ac:dyDescent="0.25">
      <c r="A162" s="11">
        <v>42248</v>
      </c>
      <c r="B162" s="7">
        <v>0.6166666666666667</v>
      </c>
      <c r="C162" s="7">
        <v>0.62152777777777779</v>
      </c>
      <c r="D162" s="7">
        <f>(0.621527777777778-0.616666666666667)</f>
        <v>4.8611111111109828E-3</v>
      </c>
      <c r="E162" s="7">
        <f>ABS(0.00486111111111098-0.00624999999999998)</f>
        <v>1.3888888888890002E-3</v>
      </c>
      <c r="F162" s="1" t="s">
        <v>3</v>
      </c>
      <c r="G162" s="1"/>
    </row>
    <row r="163" spans="1:7" x14ac:dyDescent="0.25">
      <c r="A163" s="11">
        <v>42248</v>
      </c>
      <c r="B163" s="7">
        <v>0.6875</v>
      </c>
      <c r="C163" s="7">
        <v>0.69374999999999998</v>
      </c>
      <c r="D163" s="7">
        <f>(0.69375-0.6875)</f>
        <v>6.2499999999999778E-3</v>
      </c>
      <c r="E163" s="7">
        <f>ABS(0.00624999999999998-0.00347222222222199)</f>
        <v>2.7777777777779904E-3</v>
      </c>
      <c r="F163" s="1" t="s">
        <v>3</v>
      </c>
      <c r="G163" s="1"/>
    </row>
    <row r="164" spans="1:7" x14ac:dyDescent="0.25">
      <c r="A164" s="11">
        <v>42248</v>
      </c>
      <c r="B164" s="7">
        <v>0.82152777777777775</v>
      </c>
      <c r="C164" s="7">
        <v>0.82500000000000007</v>
      </c>
      <c r="D164" s="7">
        <f>(0.825-0.821527777777778)</f>
        <v>3.4722222222219878E-3</v>
      </c>
      <c r="E164" s="7">
        <f>ABS(0.00347222222222199-0.00416666666666698)</f>
        <v>6.9444444444498972E-4</v>
      </c>
      <c r="F164" s="1" t="s">
        <v>3</v>
      </c>
      <c r="G164" s="1"/>
    </row>
    <row r="165" spans="1:7" x14ac:dyDescent="0.25">
      <c r="A165" s="11">
        <v>42248</v>
      </c>
      <c r="B165" s="7">
        <v>0.79722222222222217</v>
      </c>
      <c r="C165" s="7">
        <v>0.80138888888888893</v>
      </c>
      <c r="D165" s="7">
        <f>(0.801388888888889-0.797222222222222)</f>
        <v>4.1666666666669849E-3</v>
      </c>
      <c r="E165" s="7">
        <f>ABS(0.00416666666666698-0.00902777777777702)</f>
        <v>4.8611111111100409E-3</v>
      </c>
      <c r="F165" s="1" t="s">
        <v>3</v>
      </c>
      <c r="G165" s="1"/>
    </row>
    <row r="166" spans="1:7" x14ac:dyDescent="0.25">
      <c r="A166" s="11">
        <v>42248</v>
      </c>
      <c r="B166" s="7">
        <v>0.45555555555555555</v>
      </c>
      <c r="C166" s="7">
        <v>0.46458333333333335</v>
      </c>
      <c r="D166" s="7">
        <f>(0.464583333333333-0.455555555555556)</f>
        <v>9.0277777777770241E-3</v>
      </c>
      <c r="E166" s="7">
        <f>ABS(0.00902777777777702-0.010416666666667)</f>
        <v>1.3888888888899786E-3</v>
      </c>
      <c r="F166" s="1" t="s">
        <v>3</v>
      </c>
      <c r="G166" s="1"/>
    </row>
    <row r="167" spans="1:7" x14ac:dyDescent="0.25">
      <c r="A167" s="11">
        <v>42248</v>
      </c>
      <c r="B167" s="7">
        <v>0.45694444444444443</v>
      </c>
      <c r="C167" s="7">
        <v>0.46736111111111112</v>
      </c>
      <c r="D167" s="7">
        <f>(0.467361111111111-0.456944444444444)</f>
        <v>1.0416666666667018E-2</v>
      </c>
      <c r="E167" s="7">
        <f>ABS(0.010416666666667-0.00624999999999998)</f>
        <v>4.1666666666670188E-3</v>
      </c>
      <c r="F167" s="1" t="s">
        <v>3</v>
      </c>
      <c r="G167" s="1"/>
    </row>
    <row r="168" spans="1:7" x14ac:dyDescent="0.25">
      <c r="A168" s="11">
        <v>42248</v>
      </c>
      <c r="B168" s="7">
        <v>0.51874999999999993</v>
      </c>
      <c r="C168" s="7">
        <v>0.52500000000000002</v>
      </c>
      <c r="D168" s="7">
        <f>(0.525-0.51875)</f>
        <v>6.2499999999999778E-3</v>
      </c>
      <c r="E168" s="7">
        <f>ABS(0.00624999999999998-0.00486111111111098)</f>
        <v>1.3888888888890002E-3</v>
      </c>
      <c r="F168" s="1" t="s">
        <v>3</v>
      </c>
      <c r="G168" s="1"/>
    </row>
    <row r="169" spans="1:7" x14ac:dyDescent="0.25">
      <c r="A169" s="11">
        <v>42248</v>
      </c>
      <c r="B169" s="7">
        <v>0.55138888888888882</v>
      </c>
      <c r="C169" s="7">
        <v>0.55625000000000002</v>
      </c>
      <c r="D169" s="7">
        <f>(0.55625-0.551388888888889)</f>
        <v>4.8611111111109828E-3</v>
      </c>
      <c r="E169" s="7">
        <f>ABS(0.00486111111111098-0.010416666666667)</f>
        <v>5.5555555555560189E-3</v>
      </c>
      <c r="F169" s="1" t="s">
        <v>3</v>
      </c>
      <c r="G169" s="1"/>
    </row>
    <row r="170" spans="1:7" x14ac:dyDescent="0.25">
      <c r="A170" s="11">
        <v>42248</v>
      </c>
      <c r="B170" s="7">
        <v>0.61944444444444446</v>
      </c>
      <c r="C170" s="7">
        <v>0.62986111111111109</v>
      </c>
      <c r="D170" s="7">
        <f>(0.629861111111111-0.619444444444444)</f>
        <v>1.0416666666666963E-2</v>
      </c>
      <c r="E170" s="7">
        <f>ABS(0.010416666666667-0.013888888888889)</f>
        <v>3.472222222222E-3</v>
      </c>
      <c r="F170" s="1" t="s">
        <v>3</v>
      </c>
      <c r="G170" s="1"/>
    </row>
    <row r="171" spans="1:7" x14ac:dyDescent="0.25">
      <c r="A171" s="11">
        <v>42248</v>
      </c>
      <c r="B171" s="7">
        <v>0.6791666666666667</v>
      </c>
      <c r="C171" s="7">
        <v>0.69305555555555554</v>
      </c>
      <c r="D171" s="7">
        <f>(0.693055555555556-0.679166666666667)</f>
        <v>1.3888888888888951E-2</v>
      </c>
      <c r="E171" s="7">
        <f>ABS(0.013888888888889-0.0423611111111111)</f>
        <v>2.84722222222221E-2</v>
      </c>
      <c r="F171" s="1" t="s">
        <v>3</v>
      </c>
      <c r="G171" s="1"/>
    </row>
    <row r="172" spans="1:7" x14ac:dyDescent="0.25">
      <c r="A172" s="11">
        <v>42248</v>
      </c>
      <c r="B172" s="7">
        <v>0.69444444444444453</v>
      </c>
      <c r="C172" s="7">
        <v>0.7368055555555556</v>
      </c>
      <c r="D172" s="7">
        <f>(0.736805555555556-0.694444444444445)</f>
        <v>4.2361111111111072E-2</v>
      </c>
      <c r="E172" s="7">
        <f>ABS(0.0423611111111111-0.00694444444444497)</f>
        <v>3.5416666666666131E-2</v>
      </c>
      <c r="F172" s="1" t="s">
        <v>3</v>
      </c>
      <c r="G172" s="1"/>
    </row>
    <row r="173" spans="1:7" x14ac:dyDescent="0.25">
      <c r="A173" s="11">
        <v>42248</v>
      </c>
      <c r="B173" s="7">
        <v>0.74305555555555547</v>
      </c>
      <c r="C173" s="7">
        <v>0.75</v>
      </c>
      <c r="D173" s="7">
        <f>(0.75-0.743055555555555)</f>
        <v>6.9444444444449749E-3</v>
      </c>
      <c r="E173" s="7">
        <f>ABS(0.00694444444444497-0.00347222222222199)</f>
        <v>3.4722222222229797E-3</v>
      </c>
      <c r="F173" s="1" t="s">
        <v>3</v>
      </c>
      <c r="G173" s="1"/>
    </row>
    <row r="174" spans="1:7" x14ac:dyDescent="0.25">
      <c r="A174" s="11">
        <v>42248</v>
      </c>
      <c r="B174" s="7">
        <v>0.7993055555555556</v>
      </c>
      <c r="C174" s="7">
        <v>0.8027777777777777</v>
      </c>
      <c r="D174" s="7">
        <f>(0.802777777777778-0.799305555555556)</f>
        <v>3.4722222222219878E-3</v>
      </c>
      <c r="E174" s="7">
        <f>ABS(0.00347222222222199-0.00486111111111098)</f>
        <v>1.3888888888889902E-3</v>
      </c>
      <c r="F174" s="1" t="s">
        <v>3</v>
      </c>
      <c r="G174" s="1"/>
    </row>
    <row r="175" spans="1:7" x14ac:dyDescent="0.25">
      <c r="A175" s="11">
        <v>42248</v>
      </c>
      <c r="B175" s="7">
        <v>0.93888888888888899</v>
      </c>
      <c r="C175" s="7">
        <v>0.94374999999999998</v>
      </c>
      <c r="D175" s="7">
        <f>(0.94375-0.938888888888889)</f>
        <v>4.8611111111109828E-3</v>
      </c>
      <c r="E175" s="7">
        <f>ABS(0.00486111111111098-0.00625000000000003)</f>
        <v>1.3888888888890496E-3</v>
      </c>
      <c r="F175" s="1" t="s">
        <v>3</v>
      </c>
      <c r="G175" s="1"/>
    </row>
    <row r="176" spans="1:7" x14ac:dyDescent="0.25">
      <c r="A176" s="11">
        <v>42248</v>
      </c>
      <c r="B176" s="7">
        <v>0.47361111111111115</v>
      </c>
      <c r="C176" s="7">
        <v>0.47986111111111113</v>
      </c>
      <c r="D176" s="7">
        <f>(0.479861111111111-0.473611111111111)</f>
        <v>6.2500000000000333E-3</v>
      </c>
      <c r="E176" s="7">
        <f>ABS(0.00625000000000003-0.00624999999999998)</f>
        <v>4.9439619065339002E-17</v>
      </c>
      <c r="F176" s="1" t="s">
        <v>3</v>
      </c>
      <c r="G176" s="1"/>
    </row>
    <row r="177" spans="1:7" x14ac:dyDescent="0.25">
      <c r="A177" s="11">
        <v>42248</v>
      </c>
      <c r="B177" s="7">
        <v>0.48055555555555557</v>
      </c>
      <c r="C177" s="7">
        <v>0.48680555555555555</v>
      </c>
      <c r="D177" s="7">
        <f>(0.486805555555556-0.480555555555556)</f>
        <v>6.2499999999999778E-3</v>
      </c>
      <c r="E177" s="7">
        <f>ABS(0.00624999999999998-0.00416666666666698)</f>
        <v>2.0833333333330007E-3</v>
      </c>
      <c r="F177" s="1" t="s">
        <v>3</v>
      </c>
      <c r="G177" s="1"/>
    </row>
    <row r="178" spans="1:7" x14ac:dyDescent="0.25">
      <c r="A178" s="11">
        <v>42248</v>
      </c>
      <c r="B178" s="7">
        <v>0.50138888888888888</v>
      </c>
      <c r="C178" s="7">
        <v>0.50555555555555554</v>
      </c>
      <c r="D178" s="7">
        <f>(0.505555555555556-0.501388888888889)</f>
        <v>4.1666666666669849E-3</v>
      </c>
      <c r="E178" s="7">
        <f>ABS(0.00416666666666698-0.011805555555556)</f>
        <v>7.6388888888890196E-3</v>
      </c>
      <c r="F178" s="1" t="s">
        <v>3</v>
      </c>
      <c r="G178" s="1"/>
    </row>
    <row r="179" spans="1:7" x14ac:dyDescent="0.25">
      <c r="A179" s="11">
        <v>42248</v>
      </c>
      <c r="B179" s="7">
        <v>0.55694444444444446</v>
      </c>
      <c r="C179" s="7">
        <v>0.56874999999999998</v>
      </c>
      <c r="D179" s="7">
        <f>(0.56875-0.556944444444444)</f>
        <v>1.1805555555555958E-2</v>
      </c>
      <c r="E179" s="7">
        <f>ABS(0.011805555555556-0.00763888888888808)</f>
        <v>4.1666666666679191E-3</v>
      </c>
      <c r="F179" s="1" t="s">
        <v>3</v>
      </c>
      <c r="G179" s="1"/>
    </row>
    <row r="180" spans="1:7" x14ac:dyDescent="0.25">
      <c r="A180" s="11">
        <v>42248</v>
      </c>
      <c r="B180" s="7">
        <v>0.69930555555555562</v>
      </c>
      <c r="C180" s="7">
        <v>0.70694444444444438</v>
      </c>
      <c r="D180" s="7">
        <f>(0.706944444444444-0.699305555555556)</f>
        <v>7.6388888888880846E-3</v>
      </c>
      <c r="E180" s="7">
        <f>ABS(0.00763888888888808-0.00763888888888897)</f>
        <v>8.8991314317610204E-16</v>
      </c>
      <c r="F180" s="1" t="s">
        <v>3</v>
      </c>
      <c r="G180" s="1"/>
    </row>
    <row r="181" spans="1:7" x14ac:dyDescent="0.25">
      <c r="A181" s="11">
        <v>42248</v>
      </c>
      <c r="B181" s="7">
        <v>0.72222222222222221</v>
      </c>
      <c r="C181" s="7">
        <v>0.72986111111111107</v>
      </c>
      <c r="D181" s="7">
        <f>(0.729861111111111-0.722222222222222)</f>
        <v>7.6388888888889728E-3</v>
      </c>
      <c r="E181" s="7">
        <f>ABS(0.00763888888888897-0.0152777777777781)</f>
        <v>7.6388888888891298E-3</v>
      </c>
      <c r="F181" s="1" t="s">
        <v>3</v>
      </c>
      <c r="G181" s="1"/>
    </row>
    <row r="182" spans="1:7" x14ac:dyDescent="0.25">
      <c r="A182" s="11">
        <v>42248</v>
      </c>
      <c r="B182" s="7">
        <v>0.8569444444444444</v>
      </c>
      <c r="C182" s="7">
        <v>0.87222222222222223</v>
      </c>
      <c r="D182" s="7">
        <f>(0.872222222222222-0.856944444444444)</f>
        <v>1.5277777777778057E-2</v>
      </c>
      <c r="E182" s="7">
        <f>ABS(0.0152777777777781-0.011111111111111)</f>
        <v>4.1666666666670994E-3</v>
      </c>
      <c r="F182" s="1" t="s">
        <v>3</v>
      </c>
      <c r="G182" s="1"/>
    </row>
    <row r="183" spans="1:7" x14ac:dyDescent="0.25">
      <c r="A183" s="11">
        <v>42248</v>
      </c>
      <c r="B183" s="7">
        <v>0.86111111111111116</v>
      </c>
      <c r="C183" s="7">
        <v>0.87222222222222223</v>
      </c>
      <c r="D183" s="7">
        <f>(0.872222222222222-0.861111111111111)</f>
        <v>1.1111111111110961E-2</v>
      </c>
      <c r="E183" s="7">
        <f>ABS(0.011111111111111-0.00833333333333397)</f>
        <v>2.7777777777770307E-3</v>
      </c>
      <c r="F183" s="1" t="s">
        <v>3</v>
      </c>
      <c r="G183" s="1"/>
    </row>
    <row r="184" spans="1:7" x14ac:dyDescent="0.25">
      <c r="A184" s="11">
        <v>42248</v>
      </c>
      <c r="B184" s="7">
        <v>0.45208333333333334</v>
      </c>
      <c r="C184" s="7">
        <v>0.4604166666666667</v>
      </c>
      <c r="D184" s="7">
        <f>(0.460416666666667-0.452083333333333)</f>
        <v>8.3333333333339699E-3</v>
      </c>
      <c r="E184" s="7">
        <f>ABS(0.00833333333333397-0.006944444444445)</f>
        <v>1.3888888888889698E-3</v>
      </c>
      <c r="F184" s="1" t="s">
        <v>3</v>
      </c>
      <c r="G184" s="1"/>
    </row>
    <row r="185" spans="1:7" x14ac:dyDescent="0.25">
      <c r="A185" s="11">
        <v>42248</v>
      </c>
      <c r="B185" s="7">
        <v>0.20486111111111113</v>
      </c>
      <c r="C185" s="7">
        <v>0.21180555555555555</v>
      </c>
      <c r="D185" s="7">
        <f>(0.211805555555556-0.204861111111111)</f>
        <v>6.9444444444450026E-3</v>
      </c>
      <c r="E185" s="7">
        <f>ABS(0.006944444444445-0.039583333333333)</f>
        <v>3.2638888888887996E-2</v>
      </c>
      <c r="F185" s="1" t="s">
        <v>3</v>
      </c>
      <c r="G185" s="1"/>
    </row>
    <row r="186" spans="1:7" x14ac:dyDescent="0.25">
      <c r="A186" s="11">
        <v>42248</v>
      </c>
      <c r="B186" s="7">
        <v>0.39374999999999999</v>
      </c>
      <c r="C186" s="7">
        <v>0.43333333333333335</v>
      </c>
      <c r="D186" s="7">
        <f>(0.433333333333333-0.39375)</f>
        <v>3.9583333333333026E-2</v>
      </c>
      <c r="E186" s="7">
        <f>ABS(0.039583333333333-0.00555555555555598)</f>
        <v>3.4027777777777019E-2</v>
      </c>
      <c r="F186" s="1" t="s">
        <v>3</v>
      </c>
      <c r="G186" s="1"/>
    </row>
    <row r="187" spans="1:7" x14ac:dyDescent="0.25">
      <c r="A187" s="11">
        <v>42248</v>
      </c>
      <c r="B187" s="7">
        <v>0.42083333333333334</v>
      </c>
      <c r="C187" s="7">
        <v>0.42638888888888887</v>
      </c>
      <c r="D187" s="7">
        <f>(0.426388888888889-0.420833333333333)</f>
        <v>5.5555555555559799E-3</v>
      </c>
      <c r="E187" s="7">
        <f>ABS(0.00555555555555598-0.040972222222222)</f>
        <v>3.541666666666602E-2</v>
      </c>
      <c r="F187" s="1" t="s">
        <v>3</v>
      </c>
      <c r="G187" s="1"/>
    </row>
    <row r="188" spans="1:7" x14ac:dyDescent="0.25">
      <c r="A188" s="11">
        <v>42248</v>
      </c>
      <c r="B188" s="7">
        <v>0.48125000000000001</v>
      </c>
      <c r="C188" s="7">
        <v>0.52222222222222225</v>
      </c>
      <c r="D188" s="7">
        <f>(0.522222222222222-0.48125)</f>
        <v>4.0972222222222021E-2</v>
      </c>
      <c r="E188" s="7">
        <f>ABS(0.040972222222222-0.013888888888889)</f>
        <v>2.7083333333333001E-2</v>
      </c>
      <c r="F188" s="1" t="s">
        <v>3</v>
      </c>
      <c r="G188" s="1"/>
    </row>
    <row r="189" spans="1:7" x14ac:dyDescent="0.25">
      <c r="A189" s="11">
        <v>42248</v>
      </c>
      <c r="B189" s="7">
        <v>0.52222222222222225</v>
      </c>
      <c r="C189" s="7">
        <v>0.53611111111111109</v>
      </c>
      <c r="D189" s="7">
        <f>(0.536111111111111-0.522222222222222)</f>
        <v>1.3888888888888951E-2</v>
      </c>
      <c r="E189" s="7">
        <f>ABS(0.013888888888889-0.0125)</f>
        <v>1.3888888888889984E-3</v>
      </c>
      <c r="F189" s="1" t="s">
        <v>3</v>
      </c>
      <c r="G189" s="1"/>
    </row>
    <row r="190" spans="1:7" x14ac:dyDescent="0.25">
      <c r="A190" s="11">
        <v>42248</v>
      </c>
      <c r="B190" s="7">
        <v>0.59583333333333333</v>
      </c>
      <c r="C190" s="7">
        <v>0.60833333333333328</v>
      </c>
      <c r="D190" s="7">
        <f>(0.608333333333333-0.595833333333333)</f>
        <v>1.2499999999999956E-2</v>
      </c>
      <c r="E190" s="7">
        <f>ABS(0.0125-0.035416666666667)</f>
        <v>2.2916666666666998E-2</v>
      </c>
      <c r="F190" s="1" t="s">
        <v>3</v>
      </c>
      <c r="G190" s="1"/>
    </row>
    <row r="191" spans="1:7" x14ac:dyDescent="0.25">
      <c r="A191" s="11">
        <v>42248</v>
      </c>
      <c r="B191" s="7">
        <v>0.625</v>
      </c>
      <c r="C191" s="7">
        <v>0.66041666666666665</v>
      </c>
      <c r="D191" s="7">
        <f>(0.660416666666667-0.625)</f>
        <v>3.5416666666666985E-2</v>
      </c>
      <c r="E191" s="7">
        <f>ABS(0.035416666666667-0.00763888888888897)</f>
        <v>2.777777777777803E-2</v>
      </c>
      <c r="F191" s="1" t="s">
        <v>3</v>
      </c>
      <c r="G191" s="1"/>
    </row>
    <row r="192" spans="1:7" x14ac:dyDescent="0.25">
      <c r="A192" s="11">
        <v>42248</v>
      </c>
      <c r="B192" s="7">
        <v>0.43541666666666662</v>
      </c>
      <c r="C192" s="7">
        <v>0.44305555555555554</v>
      </c>
      <c r="D192" s="7">
        <f>(0.443055555555556-0.435416666666667)</f>
        <v>7.6388888888889728E-3</v>
      </c>
      <c r="E192" s="7">
        <f>ABS(0.00763888888888897-0.00347222222222204)</f>
        <v>4.1666666666669303E-3</v>
      </c>
      <c r="F192" s="1" t="s">
        <v>3</v>
      </c>
      <c r="G192" s="1"/>
    </row>
    <row r="193" spans="1:7" x14ac:dyDescent="0.25">
      <c r="A193" s="11">
        <v>42248</v>
      </c>
      <c r="B193" s="7">
        <v>0.4291666666666667</v>
      </c>
      <c r="C193" s="7">
        <v>0.43263888888888885</v>
      </c>
      <c r="D193" s="7">
        <f>(0.432638888888889-0.429166666666667)</f>
        <v>3.4722222222220434E-3</v>
      </c>
      <c r="E193" s="7">
        <f>ABS(0.00347222222222204-0.00625000000000009)</f>
        <v>2.7777777777780498E-3</v>
      </c>
      <c r="F193" s="1" t="s">
        <v>3</v>
      </c>
      <c r="G193" s="1"/>
    </row>
    <row r="194" spans="1:7" x14ac:dyDescent="0.25">
      <c r="A194" s="11">
        <v>42248</v>
      </c>
      <c r="B194" s="7">
        <v>1.0250000000000001</v>
      </c>
      <c r="C194" s="7">
        <v>1.03125</v>
      </c>
      <c r="D194" s="7">
        <f>(1.03125-1.025)</f>
        <v>6.2500000000000888E-3</v>
      </c>
      <c r="E194" s="7">
        <f>ABS(0.00625000000000009-0.00694444444444497)</f>
        <v>6.9444444444487999E-4</v>
      </c>
      <c r="F194" s="1" t="s">
        <v>3</v>
      </c>
      <c r="G194" s="1"/>
    </row>
    <row r="195" spans="1:7" x14ac:dyDescent="0.25">
      <c r="A195" s="11">
        <v>42248</v>
      </c>
      <c r="B195" s="7">
        <v>0.57986111111111105</v>
      </c>
      <c r="C195" s="7">
        <v>0.58680555555555558</v>
      </c>
      <c r="D195" s="7">
        <f>(0.586805555555556-0.579861111111111)</f>
        <v>6.9444444444449749E-3</v>
      </c>
      <c r="E195" s="7">
        <f>ABS(0.00694444444444497-0.040972222222222)</f>
        <v>3.4027777777777032E-2</v>
      </c>
      <c r="F195" s="1" t="s">
        <v>3</v>
      </c>
      <c r="G195" s="1"/>
    </row>
    <row r="196" spans="1:7" x14ac:dyDescent="0.25">
      <c r="A196" s="11">
        <v>42248</v>
      </c>
      <c r="B196" s="7">
        <v>0.68611111111111101</v>
      </c>
      <c r="C196" s="7">
        <v>0.7270833333333333</v>
      </c>
      <c r="D196" s="7">
        <f>(0.727083333333333-0.686111111111111)</f>
        <v>4.0972222222221966E-2</v>
      </c>
      <c r="E196" s="7">
        <f>ABS(0.040972222222222-0.010416666666667)</f>
        <v>3.0555555555555003E-2</v>
      </c>
      <c r="F196" s="1" t="s">
        <v>3</v>
      </c>
      <c r="G196" s="1"/>
    </row>
    <row r="197" spans="1:7" x14ac:dyDescent="0.25">
      <c r="A197" s="11">
        <v>42248</v>
      </c>
      <c r="B197" s="7">
        <v>0.78263888888888899</v>
      </c>
      <c r="C197" s="7">
        <v>0.79305555555555562</v>
      </c>
      <c r="D197" s="7">
        <f>(0.793055555555556-0.782638888888889)</f>
        <v>1.0416666666666963E-2</v>
      </c>
      <c r="E197" s="7">
        <f>ABS(0.010416666666667-0.00763888888888797)</f>
        <v>2.7777777777790291E-3</v>
      </c>
      <c r="F197" s="1" t="s">
        <v>3</v>
      </c>
      <c r="G197" s="1"/>
    </row>
    <row r="198" spans="1:7" x14ac:dyDescent="0.25">
      <c r="A198" s="11">
        <v>42248</v>
      </c>
      <c r="B198" s="7">
        <v>0.79791666666666661</v>
      </c>
      <c r="C198" s="7">
        <v>0.80555555555555547</v>
      </c>
      <c r="D198" s="7">
        <f>(0.805555555555555-0.797916666666667)</f>
        <v>7.6388888888879736E-3</v>
      </c>
      <c r="E198" s="7">
        <f>ABS(0.00763888888888797-0.0305555555555591)</f>
        <v>2.291666666667113E-2</v>
      </c>
      <c r="F198" s="1" t="s">
        <v>3</v>
      </c>
      <c r="G198" s="1"/>
    </row>
    <row r="199" spans="1:7" x14ac:dyDescent="0.25">
      <c r="A199" s="11">
        <v>42248</v>
      </c>
      <c r="B199" s="7">
        <v>0.97986111111111107</v>
      </c>
      <c r="C199" s="7">
        <v>1.0104166666666667</v>
      </c>
      <c r="D199" s="7">
        <f>(1.01041666666667-0.979861111111111)</f>
        <v>3.0555555555559111E-2</v>
      </c>
      <c r="E199" s="7">
        <f>ABS(0.0305555555555591-0.00347222222222199)</f>
        <v>2.7083333333337109E-2</v>
      </c>
      <c r="F199" s="1" t="s">
        <v>3</v>
      </c>
      <c r="G199" s="1"/>
    </row>
    <row r="200" spans="1:7" x14ac:dyDescent="0.25">
      <c r="A200" s="11">
        <v>42248</v>
      </c>
      <c r="B200" s="7">
        <v>0.51111111111111118</v>
      </c>
      <c r="C200" s="7">
        <v>0.51458333333333328</v>
      </c>
      <c r="D200" s="7">
        <f>(0.514583333333333-0.511111111111111)</f>
        <v>3.4722222222219878E-3</v>
      </c>
      <c r="E200" s="7">
        <f>ABS(0.00347222222222199-0.00833333333333297)</f>
        <v>4.8611111111109811E-3</v>
      </c>
      <c r="F200" s="1" t="s">
        <v>3</v>
      </c>
      <c r="G200" s="1"/>
    </row>
    <row r="201" spans="1:7" x14ac:dyDescent="0.25">
      <c r="A201" s="11">
        <v>42248</v>
      </c>
      <c r="B201" s="7">
        <v>0.53402777777777777</v>
      </c>
      <c r="C201" s="7">
        <v>0.54236111111111118</v>
      </c>
      <c r="D201" s="7">
        <f>(0.542361111111111-0.534027777777778)</f>
        <v>8.3333333333329707E-3</v>
      </c>
      <c r="E201" s="7">
        <f>ABS(0.00833333333333297-0.013194444444444)</f>
        <v>4.8611111111110297E-3</v>
      </c>
      <c r="F201" s="1" t="s">
        <v>3</v>
      </c>
      <c r="G201" s="1"/>
    </row>
    <row r="202" spans="1:7" x14ac:dyDescent="0.25">
      <c r="A202" s="11">
        <v>42248</v>
      </c>
      <c r="B202" s="7">
        <v>0.4152777777777778</v>
      </c>
      <c r="C202" s="7">
        <v>0.4284722222222222</v>
      </c>
      <c r="D202" s="7">
        <f>(0.428472222222222-0.415277777777778)</f>
        <v>1.3194444444443953E-2</v>
      </c>
      <c r="E202" s="7">
        <f>ABS(0.013194444444444-0.00694444444444497)</f>
        <v>6.2499999999990306E-3</v>
      </c>
      <c r="F202" s="1" t="s">
        <v>3</v>
      </c>
      <c r="G202" s="1"/>
    </row>
    <row r="203" spans="1:7" x14ac:dyDescent="0.25">
      <c r="A203" s="11">
        <v>42248</v>
      </c>
      <c r="B203" s="7">
        <v>0.65208333333333335</v>
      </c>
      <c r="C203" s="7">
        <v>0.65902777777777777</v>
      </c>
      <c r="D203" s="7">
        <f>(0.659027777777778-0.652083333333333)</f>
        <v>6.9444444444449749E-3</v>
      </c>
      <c r="E203" s="7">
        <f>ABS(0.00694444444444497-0.00972222222222296)</f>
        <v>2.77777777777799E-3</v>
      </c>
      <c r="F203" s="1" t="s">
        <v>3</v>
      </c>
      <c r="G203" s="1"/>
    </row>
    <row r="204" spans="1:7" x14ac:dyDescent="0.25">
      <c r="A204" s="11">
        <v>42248</v>
      </c>
      <c r="B204" s="7">
        <v>0.76944444444444438</v>
      </c>
      <c r="C204" s="7">
        <v>0.77916666666666667</v>
      </c>
      <c r="D204" s="7">
        <f>(0.779166666666667-0.769444444444444)</f>
        <v>9.7222222222229648E-3</v>
      </c>
      <c r="E204" s="7">
        <f>ABS(0.00972222222222296-0.0138888888888881)</f>
        <v>4.1666666666651409E-3</v>
      </c>
      <c r="F204" s="1" t="s">
        <v>3</v>
      </c>
      <c r="G204" s="1"/>
    </row>
    <row r="205" spans="1:7" x14ac:dyDescent="0.25">
      <c r="A205" s="11">
        <v>42248</v>
      </c>
      <c r="B205" s="7">
        <v>0.85555555555555562</v>
      </c>
      <c r="C205" s="7">
        <v>0.86944444444444446</v>
      </c>
      <c r="D205" s="7">
        <f>(0.869444444444444-0.855555555555556)</f>
        <v>1.3888888888888062E-2</v>
      </c>
      <c r="E205" s="7">
        <f>ABS(0.0138888888888881-0.0090277777777778)</f>
        <v>4.8611111111103011E-3</v>
      </c>
      <c r="F205" s="1" t="s">
        <v>3</v>
      </c>
      <c r="G205" s="1"/>
    </row>
    <row r="206" spans="1:7" x14ac:dyDescent="0.25">
      <c r="A206" s="11">
        <v>42248</v>
      </c>
      <c r="B206" s="7">
        <v>3.3333333333333333E-2</v>
      </c>
      <c r="C206" s="7">
        <v>4.2361111111111106E-2</v>
      </c>
      <c r="D206" s="7">
        <f>(0.0423611111111111-0.0333333333333333)</f>
        <v>9.0277777777778012E-3</v>
      </c>
      <c r="E206" s="7">
        <f>ABS(0.0090277777777778-0.00763888888888897)</f>
        <v>1.3888888888888293E-3</v>
      </c>
      <c r="F206" s="1" t="s">
        <v>3</v>
      </c>
      <c r="G206" s="1"/>
    </row>
    <row r="207" spans="1:7" x14ac:dyDescent="0.25">
      <c r="A207" s="11">
        <v>42248</v>
      </c>
      <c r="B207" s="7">
        <v>0.39999999999999997</v>
      </c>
      <c r="C207" s="7">
        <v>0.40763888888888888</v>
      </c>
      <c r="D207" s="7">
        <f>(0.407638888888889-0.4)</f>
        <v>7.6388888888889728E-3</v>
      </c>
      <c r="E207" s="7">
        <f>ABS(0.00763888888888897-0.00555555555555498)</f>
        <v>2.0833333333339903E-3</v>
      </c>
      <c r="F207" s="1" t="s">
        <v>3</v>
      </c>
      <c r="G207" s="1"/>
    </row>
    <row r="208" spans="1:7" x14ac:dyDescent="0.25">
      <c r="A208" s="11">
        <v>42248</v>
      </c>
      <c r="B208" s="7">
        <v>0.56041666666666667</v>
      </c>
      <c r="C208" s="7">
        <v>0.56597222222222221</v>
      </c>
      <c r="D208" s="7">
        <f>(0.565972222222222-0.560416666666667)</f>
        <v>5.5555555555549807E-3</v>
      </c>
      <c r="E208" s="7">
        <f>ABS(0.00555555555555498-0.0152777777777779)</f>
        <v>9.7222222222229197E-3</v>
      </c>
      <c r="F208" s="1" t="s">
        <v>3</v>
      </c>
      <c r="G208" s="1"/>
    </row>
    <row r="209" spans="1:7" x14ac:dyDescent="0.25">
      <c r="A209" s="11">
        <v>42248</v>
      </c>
      <c r="B209" s="7">
        <v>0.65486111111111112</v>
      </c>
      <c r="C209" s="7">
        <v>0.67013888888888884</v>
      </c>
      <c r="D209" s="7">
        <f>(0.670138888888889-0.654861111111111)</f>
        <v>1.5277777777777946E-2</v>
      </c>
      <c r="E209" s="7">
        <f>ABS(0.0152777777777779-0.0145833333333329)</f>
        <v>6.9444444444500056E-4</v>
      </c>
      <c r="F209" s="1" t="s">
        <v>3</v>
      </c>
      <c r="G209" s="1"/>
    </row>
    <row r="210" spans="1:7" x14ac:dyDescent="0.25">
      <c r="A210" s="11">
        <v>42248</v>
      </c>
      <c r="B210" s="7">
        <v>0.84375</v>
      </c>
      <c r="C210" s="7">
        <v>0.85833333333333339</v>
      </c>
      <c r="D210" s="7">
        <f>(0.858333333333333-0.84375)</f>
        <v>1.4583333333332948E-2</v>
      </c>
      <c r="E210" s="7">
        <f>ABS(0.0145833333333329-0.00416666666666599)</f>
        <v>1.0416666666666911E-2</v>
      </c>
      <c r="F210" s="1" t="s">
        <v>3</v>
      </c>
      <c r="G210" s="1"/>
    </row>
    <row r="211" spans="1:7" x14ac:dyDescent="0.25">
      <c r="A211" s="11">
        <v>42248</v>
      </c>
      <c r="B211" s="7">
        <v>0.86041666666666661</v>
      </c>
      <c r="C211" s="7">
        <v>0.86458333333333337</v>
      </c>
      <c r="D211" s="7">
        <f>(0.864583333333333-0.860416666666667)</f>
        <v>4.1666666666659857E-3</v>
      </c>
      <c r="E211" s="7">
        <f>ABS(0.00416666666666599-0.00624999999999998)</f>
        <v>2.0833333333339903E-3</v>
      </c>
      <c r="F211" s="1" t="s">
        <v>3</v>
      </c>
      <c r="G211" s="1"/>
    </row>
    <row r="212" spans="1:7" x14ac:dyDescent="0.25">
      <c r="A212" s="11">
        <v>42248</v>
      </c>
      <c r="B212" s="7">
        <v>0.89236111111111116</v>
      </c>
      <c r="C212" s="7">
        <v>0.89861111111111114</v>
      </c>
      <c r="D212" s="7">
        <f>(0.898611111111111-0.892361111111111)</f>
        <v>6.2499999999999778E-3</v>
      </c>
      <c r="E212" s="7">
        <f>ABS(0.00624999999999998-0.0118055555555561)</f>
        <v>5.5555555555561196E-3</v>
      </c>
      <c r="F212" s="1" t="s">
        <v>3</v>
      </c>
      <c r="G212" s="1"/>
    </row>
    <row r="213" spans="1:7" x14ac:dyDescent="0.25">
      <c r="A213" s="11">
        <v>42248</v>
      </c>
      <c r="B213" s="7">
        <v>0.91736111111111107</v>
      </c>
      <c r="C213" s="7">
        <v>0.9291666666666667</v>
      </c>
      <c r="D213" s="7">
        <f>(0.929166666666667-0.917361111111111)</f>
        <v>1.1805555555556069E-2</v>
      </c>
      <c r="E213" s="7">
        <f>ABS(0.0118055555555561-0.0243055555555521)</f>
        <v>1.2499999999996E-2</v>
      </c>
      <c r="F213" s="1" t="s">
        <v>3</v>
      </c>
      <c r="G213" s="1"/>
    </row>
    <row r="214" spans="1:7" x14ac:dyDescent="0.25">
      <c r="A214" s="11">
        <v>42248</v>
      </c>
      <c r="B214" s="7">
        <v>0.97777777777777775</v>
      </c>
      <c r="C214" s="7">
        <v>1.0020833333333334</v>
      </c>
      <c r="D214" s="7">
        <f>(1.00208333333333-0.977777777777778)</f>
        <v>2.4305555555552139E-2</v>
      </c>
      <c r="E214" s="7">
        <f>ABS(0.0243055555555521-0.017361111111111)</f>
        <v>6.9444444444410995E-3</v>
      </c>
      <c r="F214" s="1" t="s">
        <v>3</v>
      </c>
      <c r="G214" s="1"/>
    </row>
    <row r="215" spans="1:7" x14ac:dyDescent="0.25">
      <c r="A215" s="11">
        <v>42248</v>
      </c>
      <c r="B215" s="7">
        <v>0.27152777777777776</v>
      </c>
      <c r="C215" s="7">
        <v>0.28888888888888892</v>
      </c>
      <c r="D215" s="7">
        <f>(0.288888888888889-0.271527777777778)</f>
        <v>1.7361111111110994E-2</v>
      </c>
      <c r="E215" s="7">
        <f>ABS(0.017361111111111-0.000694444444443998)</f>
        <v>1.6666666666667003E-2</v>
      </c>
      <c r="F215" s="1" t="s">
        <v>3</v>
      </c>
      <c r="G215" s="1"/>
    </row>
    <row r="216" spans="1:7" x14ac:dyDescent="0.25">
      <c r="A216" s="11">
        <v>42248</v>
      </c>
      <c r="B216" s="7">
        <v>0.39166666666666666</v>
      </c>
      <c r="C216" s="7">
        <v>0.3923611111111111</v>
      </c>
      <c r="D216" s="7">
        <f>(0.392361111111111-0.391666666666667)</f>
        <v>6.9444444444399789E-4</v>
      </c>
      <c r="E216" s="7">
        <f>ABS(0.000694444444443998-0.00763888888888908)</f>
        <v>6.9444444444450824E-3</v>
      </c>
      <c r="F216" s="1" t="s">
        <v>3</v>
      </c>
      <c r="G216" s="1"/>
    </row>
    <row r="217" spans="1:7" x14ac:dyDescent="0.25">
      <c r="A217" s="11">
        <v>42248</v>
      </c>
      <c r="B217" s="7">
        <v>0.50902777777777775</v>
      </c>
      <c r="C217" s="7">
        <v>0.51666666666666672</v>
      </c>
      <c r="D217" s="7">
        <f>(0.516666666666667-0.509027777777778)</f>
        <v>7.6388888888890838E-3</v>
      </c>
      <c r="E217" s="7">
        <f>ABS(0.00763888888888908-0.106944444444445)</f>
        <v>9.9305555555555911E-2</v>
      </c>
      <c r="F217" s="1" t="s">
        <v>3</v>
      </c>
      <c r="G217" s="1"/>
    </row>
    <row r="218" spans="1:7" x14ac:dyDescent="0.25">
      <c r="A218" s="11">
        <v>42248</v>
      </c>
      <c r="B218" s="7">
        <v>0.49861111111111112</v>
      </c>
      <c r="C218" s="7">
        <v>0.60555555555555551</v>
      </c>
      <c r="D218" s="7">
        <f>(0.605555555555556-0.498611111111111)</f>
        <v>0.10694444444444495</v>
      </c>
      <c r="E218" s="7">
        <f>ABS(0.106944444444445-0.00833333333333408)</f>
        <v>9.8611111111110913E-2</v>
      </c>
      <c r="F218" s="1" t="s">
        <v>3</v>
      </c>
      <c r="G218" s="1"/>
    </row>
    <row r="219" spans="1:7" x14ac:dyDescent="0.25">
      <c r="A219" s="11">
        <v>42248</v>
      </c>
      <c r="B219" s="7">
        <v>0.5131944444444444</v>
      </c>
      <c r="C219" s="7">
        <v>0.52152777777777781</v>
      </c>
      <c r="D219" s="7">
        <f>(0.521527777777778-0.513194444444444)</f>
        <v>8.3333333333340809E-3</v>
      </c>
      <c r="E219" s="7">
        <f>ABS(0.00833333333333408-0.011111111111111)</f>
        <v>2.7777777777769214E-3</v>
      </c>
      <c r="F219" s="1" t="s">
        <v>3</v>
      </c>
      <c r="G219" s="1"/>
    </row>
    <row r="220" spans="1:7" x14ac:dyDescent="0.25">
      <c r="A220" s="11">
        <v>42248</v>
      </c>
      <c r="B220" s="7">
        <v>0.65555555555555556</v>
      </c>
      <c r="C220" s="7">
        <v>0.66666666666666663</v>
      </c>
      <c r="D220" s="7">
        <f>(0.666666666666667-0.655555555555556)</f>
        <v>1.1111111111110961E-2</v>
      </c>
      <c r="E220" s="7">
        <f>ABS(0.011111111111111-0.00277777777777799)</f>
        <v>8.3333333333330106E-3</v>
      </c>
      <c r="F220" s="1" t="s">
        <v>3</v>
      </c>
      <c r="G220" s="1"/>
    </row>
    <row r="221" spans="1:7" x14ac:dyDescent="0.25">
      <c r="A221" s="11">
        <v>42248</v>
      </c>
      <c r="B221" s="7">
        <v>0.73125000000000007</v>
      </c>
      <c r="C221" s="7">
        <v>0.73402777777777783</v>
      </c>
      <c r="D221" s="7">
        <f>(0.734027777777778-0.73125)</f>
        <v>2.77777777777799E-3</v>
      </c>
      <c r="E221" s="7">
        <f>ABS(0.00277777777777799-0.00694444444444398)</f>
        <v>4.1666666666659901E-3</v>
      </c>
      <c r="F221" s="1" t="s">
        <v>3</v>
      </c>
      <c r="G221" s="1"/>
    </row>
    <row r="222" spans="1:7" x14ac:dyDescent="0.25">
      <c r="A222" s="11">
        <v>42248</v>
      </c>
      <c r="B222" s="7">
        <v>0.73888888888888893</v>
      </c>
      <c r="C222" s="7">
        <v>0.74583333333333324</v>
      </c>
      <c r="D222" s="7">
        <f>(0.745833333333333-0.738888888888889)</f>
        <v>6.9444444444439757E-3</v>
      </c>
      <c r="E222" s="7">
        <f>ABS(0.00694444444444398-0.00486111111111098)</f>
        <v>2.0833333333329998E-3</v>
      </c>
      <c r="F222" s="1" t="s">
        <v>3</v>
      </c>
      <c r="G222" s="1"/>
    </row>
    <row r="223" spans="1:7" x14ac:dyDescent="0.25">
      <c r="A223" s="11">
        <v>42248</v>
      </c>
      <c r="B223" s="7">
        <v>0.80902777777777779</v>
      </c>
      <c r="C223" s="7">
        <v>0.81388888888888899</v>
      </c>
      <c r="D223" s="7">
        <f>(0.813888888888889-0.809027777777778)</f>
        <v>4.8611111111109828E-3</v>
      </c>
      <c r="E223" s="7">
        <f>ABS(0.00486111111111098-0.00902777777777797)</f>
        <v>4.1666666666669893E-3</v>
      </c>
      <c r="F223" s="1" t="s">
        <v>3</v>
      </c>
      <c r="G223" s="1"/>
    </row>
    <row r="224" spans="1:7" x14ac:dyDescent="0.25">
      <c r="A224" s="11">
        <v>42248</v>
      </c>
      <c r="B224" s="7">
        <v>0.9590277777777777</v>
      </c>
      <c r="C224" s="7">
        <v>0.96805555555555556</v>
      </c>
      <c r="D224" s="7">
        <f>(0.968055555555556-0.959027777777778)</f>
        <v>9.0277777777779677E-3</v>
      </c>
      <c r="E224" s="7">
        <f>ABS(0.00902777777777797-0.00694444444444398)</f>
        <v>2.0833333333339895E-3</v>
      </c>
      <c r="F224" s="1" t="s">
        <v>3</v>
      </c>
      <c r="G224" s="1"/>
    </row>
    <row r="225" spans="1:7" x14ac:dyDescent="0.25">
      <c r="A225" s="11">
        <v>42248</v>
      </c>
      <c r="B225" s="7">
        <v>0.98888888888888893</v>
      </c>
      <c r="C225" s="7">
        <v>0.99583333333333324</v>
      </c>
      <c r="D225" s="7">
        <f>(0.995833333333333-0.988888888888889)</f>
        <v>6.9444444444439757E-3</v>
      </c>
      <c r="E225" s="7">
        <f>ABS(0.00694444444444398-0.00763888888889008)</f>
        <v>6.9444444444610037E-4</v>
      </c>
      <c r="F225" s="1" t="s">
        <v>3</v>
      </c>
      <c r="G225" s="1"/>
    </row>
    <row r="226" spans="1:7" x14ac:dyDescent="0.25">
      <c r="A226" s="11">
        <v>42248</v>
      </c>
      <c r="B226" s="7">
        <v>1.0194444444444444</v>
      </c>
      <c r="C226" s="7">
        <v>1.0270833333333333</v>
      </c>
      <c r="D226" s="7">
        <f>(1.02708333333333-1.01944444444444)</f>
        <v>7.638888888890083E-3</v>
      </c>
      <c r="E226" s="7">
        <f>ABS(0.00763888888889008-0.029861111111111)</f>
        <v>2.2222222222220922E-2</v>
      </c>
      <c r="F226" s="1" t="s">
        <v>3</v>
      </c>
      <c r="G226" s="1"/>
    </row>
    <row r="227" spans="1:7" x14ac:dyDescent="0.25">
      <c r="A227" s="11">
        <v>42248</v>
      </c>
      <c r="B227" s="7">
        <v>8.7500000000000008E-2</v>
      </c>
      <c r="C227" s="7">
        <v>0.1173611111111111</v>
      </c>
      <c r="D227" s="7">
        <f>(0.117361111111111-0.0875)</f>
        <v>2.9861111111111005E-2</v>
      </c>
      <c r="E227" s="7">
        <f>ABS(0.029861111111111-0.00486111111111098)</f>
        <v>2.5000000000000022E-2</v>
      </c>
      <c r="F227" s="1" t="s">
        <v>3</v>
      </c>
      <c r="G227" s="1"/>
    </row>
    <row r="228" spans="1:7" x14ac:dyDescent="0.25">
      <c r="A228" s="11">
        <v>42248</v>
      </c>
      <c r="B228" s="7">
        <v>0.35625000000000001</v>
      </c>
      <c r="C228" s="7">
        <v>0.3611111111111111</v>
      </c>
      <c r="D228" s="7">
        <f>(0.361111111111111-0.35625)</f>
        <v>4.8611111111109828E-3</v>
      </c>
      <c r="E228" s="7">
        <f>ABS(0.00486111111111098-0.04375)</f>
        <v>3.8888888888889014E-2</v>
      </c>
      <c r="F228" s="1" t="s">
        <v>3</v>
      </c>
      <c r="G228" s="1"/>
    </row>
    <row r="229" spans="1:7" x14ac:dyDescent="0.25">
      <c r="A229" s="11">
        <v>42248</v>
      </c>
      <c r="B229" s="7">
        <v>0.38958333333333334</v>
      </c>
      <c r="C229" s="7">
        <v>0.43333333333333335</v>
      </c>
      <c r="D229" s="7">
        <f>(0.433333333333333-0.389583333333333)</f>
        <v>4.3750000000000011E-2</v>
      </c>
      <c r="E229" s="7">
        <f>ABS(0.04375-0.011111111111111)</f>
        <v>3.2638888888888995E-2</v>
      </c>
      <c r="F229" s="1" t="s">
        <v>3</v>
      </c>
      <c r="G229" s="1"/>
    </row>
    <row r="230" spans="1:7" x14ac:dyDescent="0.25">
      <c r="A230" s="11">
        <v>42248</v>
      </c>
      <c r="B230" s="7">
        <v>0.45624999999999999</v>
      </c>
      <c r="C230" s="7">
        <v>0.46736111111111112</v>
      </c>
      <c r="D230" s="7">
        <f>(0.467361111111111-0.45625)</f>
        <v>1.1111111111111016E-2</v>
      </c>
      <c r="E230" s="7">
        <f>ABS(0.011111111111111-0.027083333333333)</f>
        <v>1.5972222222221999E-2</v>
      </c>
      <c r="F230" s="1" t="s">
        <v>3</v>
      </c>
      <c r="G230" s="1"/>
    </row>
    <row r="231" spans="1:7" x14ac:dyDescent="0.25">
      <c r="A231" s="11">
        <v>42248</v>
      </c>
      <c r="B231" s="7">
        <v>0.46666666666666662</v>
      </c>
      <c r="C231" s="7">
        <v>0.49374999999999997</v>
      </c>
      <c r="D231" s="7">
        <f>(0.49375-0.466666666666667)</f>
        <v>2.7083333333333015E-2</v>
      </c>
      <c r="E231" s="7">
        <f>ABS(0.027083333333333-0.00486111111111098)</f>
        <v>2.2222222222222022E-2</v>
      </c>
      <c r="F231" s="1" t="s">
        <v>3</v>
      </c>
      <c r="G231" s="1"/>
    </row>
    <row r="232" spans="1:7" x14ac:dyDescent="0.25">
      <c r="A232" s="11">
        <v>42248</v>
      </c>
      <c r="B232" s="7">
        <v>0.58680555555555558</v>
      </c>
      <c r="C232" s="7">
        <v>0.59166666666666667</v>
      </c>
      <c r="D232" s="7">
        <f>(0.591666666666667-0.586805555555556)</f>
        <v>4.8611111111109828E-3</v>
      </c>
      <c r="E232" s="7">
        <f>ABS(0.00486111111111098-0.0229166666666669)</f>
        <v>1.8055555555555922E-2</v>
      </c>
      <c r="F232" s="1" t="s">
        <v>3</v>
      </c>
      <c r="G232" s="1"/>
    </row>
    <row r="233" spans="1:7" x14ac:dyDescent="0.25">
      <c r="A233" s="11">
        <v>42248</v>
      </c>
      <c r="B233" s="7">
        <v>0.61458333333333337</v>
      </c>
      <c r="C233" s="7">
        <v>0.63750000000000007</v>
      </c>
      <c r="D233" s="7">
        <f>(0.6375-0.614583333333333)</f>
        <v>2.2916666666666918E-2</v>
      </c>
      <c r="E233" s="7">
        <f>ABS(0.0229166666666669-0.025694444444445)</f>
        <v>2.7777777777780975E-3</v>
      </c>
      <c r="F233" s="1" t="s">
        <v>3</v>
      </c>
      <c r="G233" s="1"/>
    </row>
    <row r="234" spans="1:7" x14ac:dyDescent="0.25">
      <c r="A234" s="11">
        <v>42248</v>
      </c>
      <c r="B234" s="7">
        <v>0.62222222222222223</v>
      </c>
      <c r="C234" s="7">
        <v>0.6479166666666667</v>
      </c>
      <c r="D234" s="7">
        <f>(0.647916666666667-0.622222222222222)</f>
        <v>2.5694444444445019E-2</v>
      </c>
      <c r="E234" s="7">
        <f>ABS(0.025694444444445-0.011805555555555)</f>
        <v>1.3888888888889998E-2</v>
      </c>
      <c r="F234" s="1" t="s">
        <v>3</v>
      </c>
      <c r="G234" s="1"/>
    </row>
    <row r="235" spans="1:7" x14ac:dyDescent="0.25">
      <c r="A235" s="11">
        <v>42248</v>
      </c>
      <c r="B235" s="7">
        <v>0.6777777777777777</v>
      </c>
      <c r="C235" s="7">
        <v>0.68958333333333333</v>
      </c>
      <c r="D235" s="7">
        <f>(0.689583333333333-0.677777777777778)</f>
        <v>1.1805555555554959E-2</v>
      </c>
      <c r="E235" s="7">
        <f>ABS(0.011805555555555-0.00416666666666599)</f>
        <v>7.6388888888890101E-3</v>
      </c>
      <c r="F235" s="1" t="s">
        <v>3</v>
      </c>
      <c r="G235" s="1"/>
    </row>
    <row r="236" spans="1:7" x14ac:dyDescent="0.25">
      <c r="A236" s="11">
        <v>42248</v>
      </c>
      <c r="B236" s="7">
        <v>0.68541666666666667</v>
      </c>
      <c r="C236" s="7">
        <v>0.68958333333333333</v>
      </c>
      <c r="D236" s="7">
        <f>(0.689583333333333-0.685416666666667)</f>
        <v>4.1666666666659857E-3</v>
      </c>
      <c r="E236" s="7">
        <f>ABS(0.00416666666666599-0.0138888888888891)</f>
        <v>9.7222222222231106E-3</v>
      </c>
      <c r="F236" s="1" t="s">
        <v>3</v>
      </c>
      <c r="G236" s="1"/>
    </row>
    <row r="237" spans="1:7" x14ac:dyDescent="0.25">
      <c r="A237" s="11">
        <v>42248</v>
      </c>
      <c r="B237" s="7">
        <v>0.75208333333333333</v>
      </c>
      <c r="C237" s="7">
        <v>0.76597222222222217</v>
      </c>
      <c r="D237" s="7">
        <f>(0.765972222222222-0.752083333333333)</f>
        <v>1.3888888888889062E-2</v>
      </c>
      <c r="E237" s="7">
        <f>ABS(0.0138888888888891-0.00694444444444497)</f>
        <v>6.9444444444441301E-3</v>
      </c>
      <c r="F237" s="1" t="s">
        <v>3</v>
      </c>
      <c r="G237" s="1"/>
    </row>
    <row r="238" spans="1:7" x14ac:dyDescent="0.25">
      <c r="A238" s="11">
        <v>42248</v>
      </c>
      <c r="B238" s="7">
        <v>0.93611111111111101</v>
      </c>
      <c r="C238" s="7">
        <v>0.94305555555555554</v>
      </c>
      <c r="D238" s="7">
        <f>(0.943055555555556-0.936111111111111)</f>
        <v>6.9444444444449749E-3</v>
      </c>
      <c r="E238" s="7">
        <f>ABS(0.00694444444444497-0.00624999999999998)</f>
        <v>6.9444444444498928E-4</v>
      </c>
      <c r="F238" s="1" t="s">
        <v>3</v>
      </c>
      <c r="G238" s="1"/>
    </row>
    <row r="239" spans="1:7" x14ac:dyDescent="0.25">
      <c r="A239" s="11">
        <v>42248</v>
      </c>
      <c r="B239" s="7">
        <v>0.56874999999999998</v>
      </c>
      <c r="C239" s="7">
        <v>0.57500000000000007</v>
      </c>
      <c r="D239" s="7">
        <f>(0.575-0.56875)</f>
        <v>6.2499999999999778E-3</v>
      </c>
      <c r="E239" s="7">
        <f>ABS(0.00624999999999998-0.00763888888888897)</f>
        <v>1.3888888888889898E-3</v>
      </c>
      <c r="F239" s="1" t="s">
        <v>3</v>
      </c>
      <c r="G239" s="1"/>
    </row>
    <row r="240" spans="1:7" x14ac:dyDescent="0.25">
      <c r="A240" s="11">
        <v>42248</v>
      </c>
      <c r="B240" s="7">
        <v>0.62291666666666667</v>
      </c>
      <c r="C240" s="7">
        <v>0.63055555555555554</v>
      </c>
      <c r="D240" s="7">
        <f>(0.630555555555556-0.622916666666667)</f>
        <v>7.6388888888889728E-3</v>
      </c>
      <c r="E240" s="7">
        <f>ABS(0.00763888888888897-0.00833333333333408)</f>
        <v>6.9444444444510898E-4</v>
      </c>
      <c r="F240" s="1" t="s">
        <v>3</v>
      </c>
      <c r="G240" s="1"/>
    </row>
    <row r="241" spans="1:8" x14ac:dyDescent="0.25">
      <c r="A241" s="11">
        <v>42248</v>
      </c>
      <c r="B241" s="7">
        <v>0.73333333333333339</v>
      </c>
      <c r="C241" s="7">
        <v>0.7416666666666667</v>
      </c>
      <c r="D241" s="7">
        <f>(0.741666666666667-0.733333333333333)</f>
        <v>8.3333333333340809E-3</v>
      </c>
      <c r="E241" s="7">
        <f>ABS(0.00833333333333408-0.00555555555555609)</f>
        <v>2.7777777777779891E-3</v>
      </c>
      <c r="F241" s="1" t="s">
        <v>3</v>
      </c>
      <c r="G241" s="1"/>
    </row>
    <row r="242" spans="1:8" x14ac:dyDescent="0.25">
      <c r="A242" s="11">
        <v>42248</v>
      </c>
      <c r="B242" s="7">
        <v>0.79375000000000007</v>
      </c>
      <c r="C242" s="7">
        <v>0.7993055555555556</v>
      </c>
      <c r="D242" s="7">
        <f>(0.799305555555556-0.79375)</f>
        <v>5.5555555555560909E-3</v>
      </c>
      <c r="E242" s="7">
        <f>ABS(0.00555555555555609-0.00416666666666698)</f>
        <v>1.3888888888891103E-3</v>
      </c>
      <c r="F242" s="1" t="s">
        <v>3</v>
      </c>
      <c r="G242" s="1"/>
    </row>
    <row r="243" spans="1:8" x14ac:dyDescent="0.25">
      <c r="A243" s="11">
        <v>42248</v>
      </c>
      <c r="B243" s="7">
        <v>0.84513888888888899</v>
      </c>
      <c r="C243" s="7">
        <v>0.84930555555555554</v>
      </c>
      <c r="D243" s="7">
        <f>(0.849305555555556-0.845138888888889)</f>
        <v>4.1666666666669849E-3</v>
      </c>
      <c r="E243" s="7">
        <f>ABS(0.00416666666666698-0.00902777777777708)</f>
        <v>4.8611111111100998E-3</v>
      </c>
      <c r="F243" s="1" t="s">
        <v>3</v>
      </c>
      <c r="G243" s="1"/>
    </row>
    <row r="244" spans="1:8" x14ac:dyDescent="0.25">
      <c r="A244" s="11">
        <v>42248</v>
      </c>
      <c r="B244" s="7">
        <v>0.85902777777777783</v>
      </c>
      <c r="C244" s="7">
        <v>0.86805555555555547</v>
      </c>
      <c r="D244" s="7">
        <f>(0.868055555555555-0.859027777777778)</f>
        <v>9.0277777777770796E-3</v>
      </c>
      <c r="E244" s="7">
        <f>ABS(0.00902777777777708-0.023611111111111)</f>
        <v>1.458333333333392E-2</v>
      </c>
      <c r="F244" s="1" t="s">
        <v>3</v>
      </c>
      <c r="G244" s="1"/>
    </row>
    <row r="245" spans="1:8" x14ac:dyDescent="0.25">
      <c r="A245" s="11">
        <v>42248</v>
      </c>
      <c r="B245" s="7">
        <v>0.94097222222222221</v>
      </c>
      <c r="C245" s="7">
        <v>0.96458333333333324</v>
      </c>
      <c r="D245" s="7">
        <f>(0.964583333333333-0.940972222222222)</f>
        <v>2.3611111111111027E-2</v>
      </c>
      <c r="E245" s="7">
        <f>ABS(0.023611111111111-0.00833333333333408)</f>
        <v>1.527777777777692E-2</v>
      </c>
      <c r="F245" s="1" t="s">
        <v>3</v>
      </c>
      <c r="G245" s="1"/>
    </row>
    <row r="246" spans="1:8" x14ac:dyDescent="0.25">
      <c r="A246" s="11">
        <v>42248</v>
      </c>
      <c r="B246" s="7">
        <v>0.5083333333333333</v>
      </c>
      <c r="C246" s="7">
        <v>0.51666666666666672</v>
      </c>
      <c r="D246" s="7">
        <f>(0.516666666666667-0.508333333333333)</f>
        <v>8.3333333333340809E-3</v>
      </c>
      <c r="E246" s="7">
        <f>ABS(0.00833333333333408-0.00833333333333408)</f>
        <v>0</v>
      </c>
      <c r="F246" s="1" t="s">
        <v>3</v>
      </c>
      <c r="G246" s="1"/>
    </row>
    <row r="247" spans="1:8" x14ac:dyDescent="0.25">
      <c r="A247" s="11">
        <v>42248</v>
      </c>
      <c r="B247" s="7">
        <v>0.54097222222222219</v>
      </c>
      <c r="C247" s="7">
        <v>0.5493055555555556</v>
      </c>
      <c r="D247" s="7">
        <f>(0.549305555555556-0.540972222222222)</f>
        <v>8.3333333333340809E-3</v>
      </c>
      <c r="E247" s="7">
        <f>ABS(0.00833333333333408-0.0159722222222229)</f>
        <v>7.6388888888888219E-3</v>
      </c>
      <c r="F247" s="1" t="s">
        <v>3</v>
      </c>
      <c r="G247" s="1"/>
    </row>
    <row r="248" spans="1:8" x14ac:dyDescent="0.25">
      <c r="A248" s="11">
        <v>42248</v>
      </c>
      <c r="B248" s="7">
        <v>0.70833333333333337</v>
      </c>
      <c r="C248" s="7">
        <v>0.72430555555555554</v>
      </c>
      <c r="D248" s="7">
        <f>(0.724305555555556-0.708333333333333)</f>
        <v>1.5972222222222943E-2</v>
      </c>
      <c r="E248" s="7">
        <f>ABS(0.0159722222222229-0.00902777777777797)</f>
        <v>6.9444444444449315E-3</v>
      </c>
      <c r="F248" s="1" t="s">
        <v>3</v>
      </c>
      <c r="G248" s="1"/>
    </row>
    <row r="249" spans="1:8" x14ac:dyDescent="0.25">
      <c r="A249" s="11">
        <v>42248</v>
      </c>
      <c r="B249" s="7">
        <v>0.77083333333333337</v>
      </c>
      <c r="C249" s="7">
        <v>0.77986111111111101</v>
      </c>
      <c r="D249" s="7">
        <f>(0.779861111111111-0.770833333333333)</f>
        <v>9.0277777777779677E-3</v>
      </c>
      <c r="E249" s="7">
        <f>ABS(0.00902777777777797-0.00902777777777797)</f>
        <v>0</v>
      </c>
      <c r="F249" s="1" t="s">
        <v>3</v>
      </c>
      <c r="G249" s="1"/>
    </row>
    <row r="250" spans="1:8" x14ac:dyDescent="0.25">
      <c r="A250" s="11">
        <v>42248</v>
      </c>
      <c r="B250" s="7">
        <v>0.87638888888888899</v>
      </c>
      <c r="C250" s="7">
        <v>0.88541666666666663</v>
      </c>
      <c r="D250" s="7">
        <f>(0.885416666666667-0.876388888888889)</f>
        <v>9.0277777777779677E-3</v>
      </c>
      <c r="E250" s="7">
        <f>ABS(0.00902777777777797-0.00555555555555598)</f>
        <v>3.4722222222219896E-3</v>
      </c>
      <c r="F250" s="1" t="s">
        <v>3</v>
      </c>
      <c r="G250" s="1"/>
    </row>
    <row r="251" spans="1:8" x14ac:dyDescent="0.25">
      <c r="A251" s="11">
        <v>42248</v>
      </c>
      <c r="B251" s="7">
        <v>0.87986111111111109</v>
      </c>
      <c r="C251" s="7">
        <v>0.88541666666666663</v>
      </c>
      <c r="D251" s="7">
        <f>(0.885416666666667-0.879861111111111)</f>
        <v>5.5555555555559799E-3</v>
      </c>
      <c r="E251" s="7">
        <f>ABS(0.00555555555555598-0.00625000000000003)</f>
        <v>6.9444444444404993E-4</v>
      </c>
      <c r="F251" s="5" t="s">
        <v>3</v>
      </c>
      <c r="G251" s="5"/>
      <c r="H251" s="4"/>
    </row>
    <row r="252" spans="1:8" x14ac:dyDescent="0.25">
      <c r="A252" s="11">
        <v>42248</v>
      </c>
      <c r="B252" s="7">
        <v>0.39513888888888887</v>
      </c>
      <c r="C252" s="7">
        <v>0.40138888888888885</v>
      </c>
      <c r="D252" s="7">
        <f>(0.401388888888889-0.395138888888889)</f>
        <v>6.2500000000000333E-3</v>
      </c>
      <c r="E252" s="7">
        <f>ABS(0.00625000000000003-0.00694444444444398)</f>
        <v>6.9444444444395018E-4</v>
      </c>
      <c r="F252" s="1" t="s">
        <v>3</v>
      </c>
      <c r="G252" s="1"/>
    </row>
    <row r="253" spans="1:8" x14ac:dyDescent="0.25">
      <c r="A253" s="11">
        <v>42248</v>
      </c>
      <c r="B253" s="7">
        <v>0.43541666666666662</v>
      </c>
      <c r="C253" s="7">
        <v>0.44236111111111115</v>
      </c>
      <c r="D253" s="7">
        <f>(0.442361111111111-0.435416666666667)</f>
        <v>6.9444444444439757E-3</v>
      </c>
      <c r="E253" s="7">
        <f>ABS(0.00694444444444398-0.00416666666666698)</f>
        <v>2.7777777777770003E-3</v>
      </c>
      <c r="F253" s="1" t="s">
        <v>3</v>
      </c>
      <c r="G253" s="1"/>
    </row>
    <row r="254" spans="1:8" x14ac:dyDescent="0.25">
      <c r="A254" s="11">
        <v>42248</v>
      </c>
      <c r="B254" s="7">
        <v>0.65486111111111112</v>
      </c>
      <c r="C254" s="7">
        <v>0.65902777777777777</v>
      </c>
      <c r="D254" s="7">
        <f>(0.659027777777778-0.654861111111111)</f>
        <v>4.1666666666669849E-3</v>
      </c>
      <c r="E254" s="7">
        <f>ABS(0.00416666666666698-0.00833333333333408)</f>
        <v>4.1666666666670994E-3</v>
      </c>
      <c r="F254" s="1" t="s">
        <v>3</v>
      </c>
      <c r="G254" s="1"/>
    </row>
    <row r="255" spans="1:8" x14ac:dyDescent="0.25">
      <c r="A255" s="11">
        <v>42248</v>
      </c>
      <c r="B255" s="7">
        <v>0.7006944444444444</v>
      </c>
      <c r="C255" s="7">
        <v>0.7090277777777777</v>
      </c>
      <c r="D255" s="7">
        <f>(0.709027777777778-0.700694444444444)</f>
        <v>8.3333333333340809E-3</v>
      </c>
      <c r="E255" s="7">
        <f>ABS(0.00833333333333408-0.011805555555555)</f>
        <v>3.472222222220921E-3</v>
      </c>
      <c r="F255" s="1" t="s">
        <v>3</v>
      </c>
      <c r="G255" s="1"/>
    </row>
    <row r="256" spans="1:8" x14ac:dyDescent="0.25">
      <c r="A256" s="11">
        <v>42248</v>
      </c>
      <c r="B256" s="7">
        <v>0.84027777777777779</v>
      </c>
      <c r="C256" s="7">
        <v>0.8520833333333333</v>
      </c>
      <c r="D256" s="7">
        <f>(0.852083333333333-0.840277777777778)</f>
        <v>1.1805555555554959E-2</v>
      </c>
      <c r="E256" s="7">
        <f>ABS(0.011805555555555-0.00972222222222229)</f>
        <v>2.0833333333327101E-3</v>
      </c>
      <c r="F256" s="1" t="s">
        <v>3</v>
      </c>
      <c r="G256" s="1"/>
    </row>
    <row r="257" spans="1:7" x14ac:dyDescent="0.25">
      <c r="A257" s="11">
        <v>42248</v>
      </c>
      <c r="B257" s="7">
        <v>5.6944444444444443E-2</v>
      </c>
      <c r="C257" s="7">
        <v>6.6666666666666666E-2</v>
      </c>
      <c r="D257" s="7">
        <f>(0.0666666666666667-0.0569444444444444)</f>
        <v>9.7222222222222918E-3</v>
      </c>
      <c r="E257" s="7">
        <f>ABS(0.00972222222222229-0.00624999999999999)</f>
        <v>3.4722222222223001E-3</v>
      </c>
      <c r="F257" s="1" t="s">
        <v>3</v>
      </c>
      <c r="G257" s="1"/>
    </row>
    <row r="258" spans="1:7" x14ac:dyDescent="0.25">
      <c r="A258" s="11">
        <v>42248</v>
      </c>
      <c r="B258" s="7">
        <v>0.11666666666666665</v>
      </c>
      <c r="C258" s="7">
        <v>0.12291666666666667</v>
      </c>
      <c r="D258" s="7">
        <f>(0.122916666666667-0.116666666666667)</f>
        <v>6.2499999999999917E-3</v>
      </c>
      <c r="E258" s="7">
        <f>ABS(0.00624999999999999-0.00694444444444497)</f>
        <v>6.9444444444497974E-4</v>
      </c>
      <c r="F258" s="1" t="s">
        <v>3</v>
      </c>
      <c r="G258" s="1"/>
    </row>
    <row r="259" spans="1:7" x14ac:dyDescent="0.25">
      <c r="A259" s="11">
        <v>42248</v>
      </c>
      <c r="B259" s="7">
        <v>0.30694444444444441</v>
      </c>
      <c r="C259" s="7">
        <v>0.31388888888888888</v>
      </c>
      <c r="D259" s="7">
        <f>(0.313888888888889-0.306944444444444)</f>
        <v>6.9444444444449749E-3</v>
      </c>
      <c r="E259" s="7">
        <f>ABS(0.00694444444444497-0.00277777777777799)</f>
        <v>4.1666666666669797E-3</v>
      </c>
      <c r="F259" s="1" t="s">
        <v>3</v>
      </c>
      <c r="G259" s="1"/>
    </row>
    <row r="260" spans="1:7" x14ac:dyDescent="0.25">
      <c r="A260" s="11">
        <v>42248</v>
      </c>
      <c r="B260" s="7">
        <v>0.39861111111111108</v>
      </c>
      <c r="C260" s="7">
        <v>0.40138888888888885</v>
      </c>
      <c r="D260" s="7">
        <f>(0.401388888888889-0.398611111111111)</f>
        <v>2.77777777777799E-3</v>
      </c>
      <c r="E260" s="7">
        <f>ABS(0.00277777777777799-0.00486111111111104)</f>
        <v>2.0833333333330501E-3</v>
      </c>
      <c r="F260" s="1" t="s">
        <v>3</v>
      </c>
      <c r="G260" s="1"/>
    </row>
    <row r="261" spans="1:7" x14ac:dyDescent="0.25">
      <c r="A261" s="11">
        <v>42248</v>
      </c>
      <c r="B261" s="7">
        <v>0.45763888888888887</v>
      </c>
      <c r="C261" s="7">
        <v>0.46249999999999997</v>
      </c>
      <c r="D261" s="7">
        <f>(0.4625-0.457638888888889)</f>
        <v>4.8611111111110383E-3</v>
      </c>
      <c r="E261" s="7">
        <f>ABS(0.00486111111111104-0.00763888888888897)</f>
        <v>2.7777777777779301E-3</v>
      </c>
      <c r="F261" s="1" t="s">
        <v>3</v>
      </c>
      <c r="G261" s="1"/>
    </row>
    <row r="262" spans="1:7" x14ac:dyDescent="0.25">
      <c r="A262" s="11">
        <v>42248</v>
      </c>
      <c r="B262" s="7">
        <v>0.73958333333333337</v>
      </c>
      <c r="C262" s="7">
        <v>0.74722222222222223</v>
      </c>
      <c r="D262" s="7">
        <f>(0.747222222222222-0.739583333333333)</f>
        <v>7.6388888888889728E-3</v>
      </c>
      <c r="E262" s="7">
        <f>ABS(0.00763888888888897-0.00416666666666698)</f>
        <v>3.4722222222219904E-3</v>
      </c>
      <c r="F262" s="1" t="s">
        <v>3</v>
      </c>
      <c r="G262" s="1"/>
    </row>
    <row r="263" spans="1:7" x14ac:dyDescent="0.25">
      <c r="A263" s="11">
        <v>42248</v>
      </c>
      <c r="B263" s="7">
        <v>0.83611111111111114</v>
      </c>
      <c r="C263" s="7">
        <v>0.84027777777777779</v>
      </c>
      <c r="D263" s="7">
        <f>(0.840277777777778-0.836111111111111)</f>
        <v>4.1666666666669849E-3</v>
      </c>
      <c r="E263" s="7">
        <f>ABS(0.00416666666666698-0.00625000000000009)</f>
        <v>2.08333333333311E-3</v>
      </c>
      <c r="F263" s="1" t="s">
        <v>3</v>
      </c>
      <c r="G263" s="1"/>
    </row>
    <row r="264" spans="1:7" x14ac:dyDescent="0.25">
      <c r="A264" s="11">
        <v>42248</v>
      </c>
      <c r="B264" s="7">
        <v>0.82638888888888884</v>
      </c>
      <c r="C264" s="7">
        <v>0.83263888888888893</v>
      </c>
      <c r="D264" s="7">
        <f>(0.832638888888889-0.826388888888889)</f>
        <v>6.2500000000000888E-3</v>
      </c>
      <c r="E264" s="7">
        <f>ABS(0.00625000000000009-0.00625)</f>
        <v>8.9338259012805565E-17</v>
      </c>
      <c r="F264" s="1" t="s">
        <v>3</v>
      </c>
      <c r="G264" s="1"/>
    </row>
    <row r="265" spans="1:7" x14ac:dyDescent="0.25">
      <c r="A265" s="11">
        <v>42248</v>
      </c>
      <c r="B265" s="7">
        <v>4.9305555555555554E-2</v>
      </c>
      <c r="C265" s="7">
        <v>5.5555555555555552E-2</v>
      </c>
      <c r="D265" s="7">
        <f>(0.0555555555555556-0.0493055555555556)</f>
        <v>6.2499999999999986E-3</v>
      </c>
      <c r="E265" s="7">
        <f>ABS(0.00625-0.00555555555555598)</f>
        <v>6.9444444444402044E-4</v>
      </c>
      <c r="F265" s="1" t="s">
        <v>3</v>
      </c>
      <c r="G265" s="1"/>
    </row>
    <row r="266" spans="1:7" x14ac:dyDescent="0.25">
      <c r="A266" s="11">
        <v>42248</v>
      </c>
      <c r="B266" s="7">
        <v>0.3923611111111111</v>
      </c>
      <c r="C266" s="7">
        <v>0.3979166666666667</v>
      </c>
      <c r="D266" s="7">
        <f>(0.397916666666667-0.392361111111111)</f>
        <v>5.5555555555559799E-3</v>
      </c>
      <c r="E266" s="7">
        <f>ABS(0.00555555555555598-0.00833333333333303)</f>
        <v>2.7777777777770497E-3</v>
      </c>
      <c r="F266" s="1" t="s">
        <v>3</v>
      </c>
      <c r="G266" s="1"/>
    </row>
    <row r="267" spans="1:7" x14ac:dyDescent="0.25">
      <c r="A267" s="11">
        <v>42248</v>
      </c>
      <c r="B267" s="7">
        <v>0.42499999999999999</v>
      </c>
      <c r="C267" s="7">
        <v>0.43333333333333335</v>
      </c>
      <c r="D267" s="7">
        <f>(0.433333333333333-0.425)</f>
        <v>8.3333333333330262E-3</v>
      </c>
      <c r="E267" s="7">
        <f>ABS(0.00833333333333303-0.00416666666666698)</f>
        <v>4.1666666666660499E-3</v>
      </c>
      <c r="F267" s="1" t="s">
        <v>3</v>
      </c>
      <c r="G267" s="1"/>
    </row>
    <row r="268" spans="1:7" x14ac:dyDescent="0.25">
      <c r="A268" s="11">
        <v>42248</v>
      </c>
      <c r="B268" s="7">
        <v>0.50138888888888888</v>
      </c>
      <c r="C268" s="7">
        <v>0.50555555555555554</v>
      </c>
      <c r="D268" s="7">
        <f>(0.505555555555556-0.501388888888889)</f>
        <v>4.1666666666669849E-3</v>
      </c>
      <c r="E268" s="7">
        <f>ABS(0.00416666666666698-0.013194444444445)</f>
        <v>9.0277777777780198E-3</v>
      </c>
      <c r="F268" s="1" t="s">
        <v>3</v>
      </c>
      <c r="G268" s="1"/>
    </row>
    <row r="269" spans="1:7" x14ac:dyDescent="0.25">
      <c r="A269" s="11">
        <v>42248</v>
      </c>
      <c r="B269" s="7">
        <v>0.55486111111111114</v>
      </c>
      <c r="C269" s="7">
        <v>0.56805555555555554</v>
      </c>
      <c r="D269" s="7">
        <f>(0.568055555555556-0.554861111111111)</f>
        <v>1.3194444444444953E-2</v>
      </c>
      <c r="E269" s="7">
        <f>ABS(0.013194444444445-0.00763888888888897)</f>
        <v>5.5555555555560293E-3</v>
      </c>
      <c r="F269" s="1" t="s">
        <v>3</v>
      </c>
      <c r="G269" s="1"/>
    </row>
    <row r="270" spans="1:7" x14ac:dyDescent="0.25">
      <c r="A270" s="11">
        <v>42248</v>
      </c>
      <c r="B270" s="7">
        <v>0.55347222222222225</v>
      </c>
      <c r="C270" s="7">
        <v>0.56111111111111112</v>
      </c>
      <c r="D270" s="7">
        <f>(0.561111111111111-0.553472222222222)</f>
        <v>7.6388888888889728E-3</v>
      </c>
      <c r="E270" s="7">
        <f>ABS(0.00763888888888897-0.00833333333333297)</f>
        <v>6.9444444444400049E-4</v>
      </c>
      <c r="F270" s="1" t="s">
        <v>3</v>
      </c>
      <c r="G270" s="1"/>
    </row>
    <row r="271" spans="1:7" x14ac:dyDescent="0.25">
      <c r="A271" s="11">
        <v>42248</v>
      </c>
      <c r="B271" s="7">
        <v>0.65902777777777777</v>
      </c>
      <c r="C271" s="7">
        <v>0.66736111111111107</v>
      </c>
      <c r="D271" s="7">
        <f>(0.667361111111111-0.659027777777778)</f>
        <v>8.3333333333329707E-3</v>
      </c>
      <c r="E271" s="7">
        <f>ABS(0.00833333333333297-0.0180555555555549)</f>
        <v>9.7222222222219309E-3</v>
      </c>
      <c r="F271" s="1" t="s">
        <v>3</v>
      </c>
      <c r="G271" s="1"/>
    </row>
    <row r="272" spans="1:7" x14ac:dyDescent="0.25">
      <c r="A272" s="11">
        <v>42248</v>
      </c>
      <c r="B272" s="7">
        <v>0.64930555555555558</v>
      </c>
      <c r="C272" s="7">
        <v>0.66736111111111107</v>
      </c>
      <c r="D272" s="7">
        <f>(0.667361111111111-0.649305555555556)</f>
        <v>1.8055555555554936E-2</v>
      </c>
      <c r="E272" s="7">
        <f>ABS(0.0180555555555549-0.00694444444444497)</f>
        <v>1.1111111111109932E-2</v>
      </c>
      <c r="F272" s="1" t="s">
        <v>3</v>
      </c>
      <c r="G272" s="1"/>
    </row>
    <row r="273" spans="1:7" x14ac:dyDescent="0.25">
      <c r="A273" s="11">
        <v>42248</v>
      </c>
      <c r="B273" s="7">
        <v>0.77361111111111114</v>
      </c>
      <c r="C273" s="7">
        <v>0.78055555555555556</v>
      </c>
      <c r="D273" s="7">
        <f>(0.780555555555556-0.773611111111111)</f>
        <v>6.9444444444449749E-3</v>
      </c>
      <c r="E273" s="7">
        <f>ABS(0.00694444444444497-0.0145833333333329)</f>
        <v>7.6388888888879302E-3</v>
      </c>
      <c r="F273" s="1" t="s">
        <v>3</v>
      </c>
      <c r="G273" s="1"/>
    </row>
    <row r="274" spans="1:7" x14ac:dyDescent="0.25">
      <c r="A274" s="11">
        <v>42248</v>
      </c>
      <c r="B274" s="7">
        <v>0.8666666666666667</v>
      </c>
      <c r="C274" s="7">
        <v>0.88124999999999998</v>
      </c>
      <c r="D274" s="7">
        <f>(0.88125-0.866666666666667)</f>
        <v>1.4583333333332948E-2</v>
      </c>
      <c r="E274" s="7">
        <f>ABS(0.0145833333333329-0.00833333333333308)</f>
        <v>6.2499999999998199E-3</v>
      </c>
      <c r="F274" s="1" t="s">
        <v>3</v>
      </c>
      <c r="G274" s="1"/>
    </row>
    <row r="275" spans="1:7" x14ac:dyDescent="0.25">
      <c r="A275" s="11">
        <v>42248</v>
      </c>
      <c r="B275" s="7">
        <v>0.95000000000000007</v>
      </c>
      <c r="C275" s="7">
        <v>0.95833333333333337</v>
      </c>
      <c r="D275" s="7">
        <f>(0.958333333333333-0.95)</f>
        <v>8.3333333333330817E-3</v>
      </c>
      <c r="E275" s="7">
        <f>ABS(0.00833333333333308-0.0069444444444445)</f>
        <v>1.3888888888885804E-3</v>
      </c>
      <c r="F275" s="1" t="s">
        <v>3</v>
      </c>
      <c r="G275" s="1"/>
    </row>
    <row r="276" spans="1:7" x14ac:dyDescent="0.25">
      <c r="A276" s="11">
        <v>42248</v>
      </c>
      <c r="B276" s="7">
        <v>8.1944444444444445E-2</v>
      </c>
      <c r="C276" s="7">
        <v>8.8888888888888892E-2</v>
      </c>
      <c r="D276" s="7">
        <f>(0.0888888888888889-0.0819444444444444)</f>
        <v>6.944444444444503E-3</v>
      </c>
      <c r="E276" s="7">
        <f>ABS(0.0069444444444445-0.00416666666666698)</f>
        <v>2.7777777777775198E-3</v>
      </c>
      <c r="F276" s="1" t="s">
        <v>3</v>
      </c>
      <c r="G276" s="1"/>
    </row>
    <row r="277" spans="1:7" x14ac:dyDescent="0.25">
      <c r="A277" s="11">
        <v>42248</v>
      </c>
      <c r="B277" s="7">
        <v>0.33611111111111108</v>
      </c>
      <c r="C277" s="7">
        <v>0.34027777777777773</v>
      </c>
      <c r="D277" s="7">
        <f>(0.340277777777778-0.336111111111111)</f>
        <v>4.1666666666669849E-3</v>
      </c>
      <c r="E277" s="7">
        <f>ABS(0.00416666666666698-0.00277777777777805)</f>
        <v>1.3888888888889299E-3</v>
      </c>
      <c r="F277" s="1" t="s">
        <v>3</v>
      </c>
      <c r="G277" s="1"/>
    </row>
    <row r="278" spans="1:7" x14ac:dyDescent="0.25">
      <c r="A278" s="11">
        <v>42248</v>
      </c>
      <c r="B278" s="7">
        <v>0.41250000000000003</v>
      </c>
      <c r="C278" s="7">
        <v>0.4152777777777778</v>
      </c>
      <c r="D278" s="7">
        <f>(0.415277777777778-0.4125)</f>
        <v>2.7777777777780455E-3</v>
      </c>
      <c r="E278" s="7">
        <f>ABS(0.00277777777777805-0.00347222222222199)</f>
        <v>6.9444444444394021E-4</v>
      </c>
      <c r="F278" s="1" t="s">
        <v>3</v>
      </c>
      <c r="G278" s="1"/>
    </row>
    <row r="279" spans="1:7" x14ac:dyDescent="0.25">
      <c r="A279" s="11">
        <v>42248</v>
      </c>
      <c r="B279" s="7">
        <v>0.5805555555555556</v>
      </c>
      <c r="C279" s="7">
        <v>0.58402777777777781</v>
      </c>
      <c r="D279" s="7">
        <f>(0.584027777777778-0.580555555555556)</f>
        <v>3.4722222222219878E-3</v>
      </c>
      <c r="E279" s="7">
        <f>ABS(0.00347222222222199-0.011805555555555)</f>
        <v>8.3333333333330106E-3</v>
      </c>
      <c r="F279" s="1" t="s">
        <v>3</v>
      </c>
      <c r="G279" s="1"/>
    </row>
    <row r="280" spans="1:7" x14ac:dyDescent="0.25">
      <c r="A280" s="11">
        <v>42248</v>
      </c>
      <c r="B280" s="7">
        <v>0.64652777777777781</v>
      </c>
      <c r="C280" s="7">
        <v>0.65833333333333333</v>
      </c>
      <c r="D280" s="7">
        <f>(0.658333333333333-0.646527777777778)</f>
        <v>1.1805555555554959E-2</v>
      </c>
      <c r="E280" s="7">
        <f>ABS(0.011805555555555-0.0159722222222219)</f>
        <v>4.1666666666668982E-3</v>
      </c>
      <c r="F280" s="1" t="s">
        <v>3</v>
      </c>
      <c r="G280" s="1"/>
    </row>
    <row r="281" spans="1:7" x14ac:dyDescent="0.25">
      <c r="A281" s="11">
        <v>42248</v>
      </c>
      <c r="B281" s="7">
        <v>0.71736111111111101</v>
      </c>
      <c r="C281" s="7">
        <v>0.73333333333333339</v>
      </c>
      <c r="D281" s="7">
        <f>(0.733333333333333-0.717361111111111)</f>
        <v>1.5972222222221943E-2</v>
      </c>
      <c r="E281" s="7">
        <f>ABS(0.0159722222222219-0.011805555555556)</f>
        <v>4.166666666665899E-3</v>
      </c>
      <c r="F281" s="1" t="s">
        <v>3</v>
      </c>
      <c r="G281" s="1"/>
    </row>
    <row r="282" spans="1:7" x14ac:dyDescent="0.25">
      <c r="A282" s="11">
        <v>42248</v>
      </c>
      <c r="B282" s="7">
        <v>0.89861111111111114</v>
      </c>
      <c r="C282" s="7">
        <v>0.91041666666666676</v>
      </c>
      <c r="D282" s="7">
        <f>(0.910416666666667-0.898611111111111)</f>
        <v>1.1805555555555958E-2</v>
      </c>
      <c r="E282" s="7">
        <f>ABS(0.011805555555556-0.00763888888888897)</f>
        <v>4.1666666666670292E-3</v>
      </c>
      <c r="F282" s="1" t="s">
        <v>3</v>
      </c>
      <c r="G282" s="1"/>
    </row>
    <row r="283" spans="1:7" x14ac:dyDescent="0.25">
      <c r="A283" s="11">
        <v>42248</v>
      </c>
      <c r="B283" s="7">
        <v>0.96597222222222223</v>
      </c>
      <c r="C283" s="7">
        <v>0.97361111111111109</v>
      </c>
      <c r="D283" s="7">
        <f>(0.973611111111111-0.965972222222222)</f>
        <v>7.6388888888889728E-3</v>
      </c>
      <c r="E283" s="7">
        <f>ABS(0.00763888888888897-0.00416666666666701)</f>
        <v>3.4722222222219601E-3</v>
      </c>
      <c r="F283" s="1" t="s">
        <v>3</v>
      </c>
      <c r="G283" s="1"/>
    </row>
    <row r="284" spans="1:7" x14ac:dyDescent="0.25">
      <c r="A284" s="11">
        <v>42248</v>
      </c>
      <c r="B284" s="7">
        <v>0.15208333333333332</v>
      </c>
      <c r="C284" s="7">
        <v>0.15625</v>
      </c>
      <c r="D284" s="7">
        <f>(0.15625-0.152083333333333)</f>
        <v>4.1666666666670127E-3</v>
      </c>
      <c r="E284" s="7">
        <f>ABS(0.00416666666666701-0.00416666666666599)</f>
        <v>1.0200174038743626E-15</v>
      </c>
      <c r="F284" s="1" t="s">
        <v>3</v>
      </c>
      <c r="G284" s="1"/>
    </row>
    <row r="285" spans="1:7" x14ac:dyDescent="0.25">
      <c r="A285" s="11">
        <v>42248</v>
      </c>
      <c r="B285" s="7">
        <v>0.39305555555555555</v>
      </c>
      <c r="C285" s="7">
        <v>0.3972222222222222</v>
      </c>
      <c r="D285" s="7">
        <f>(0.397222222222222-0.393055555555556)</f>
        <v>4.1666666666659857E-3</v>
      </c>
      <c r="E285" s="7">
        <f>ABS(0.00416666666666599-0.010416666666667)</f>
        <v>6.2500000000010091E-3</v>
      </c>
      <c r="F285" s="1" t="s">
        <v>3</v>
      </c>
      <c r="G285" s="1"/>
    </row>
    <row r="286" spans="1:7" x14ac:dyDescent="0.25">
      <c r="A286" s="11">
        <v>42248</v>
      </c>
      <c r="B286" s="7">
        <v>0.43958333333333338</v>
      </c>
      <c r="C286" s="7">
        <v>0.45</v>
      </c>
      <c r="D286" s="7">
        <f>(0.45-0.439583333333333)</f>
        <v>1.0416666666667018E-2</v>
      </c>
      <c r="E286" s="7">
        <f>ABS(0.010416666666667-0.00902777777777697)</f>
        <v>1.3888888888900289E-3</v>
      </c>
      <c r="F286" s="1" t="s">
        <v>3</v>
      </c>
      <c r="G286" s="1"/>
    </row>
    <row r="287" spans="1:7" x14ac:dyDescent="0.25">
      <c r="A287" s="11">
        <v>42248</v>
      </c>
      <c r="B287" s="7">
        <v>0.56041666666666667</v>
      </c>
      <c r="C287" s="7">
        <v>0.56944444444444442</v>
      </c>
      <c r="D287" s="7">
        <f>(0.569444444444444-0.560416666666667)</f>
        <v>9.0277777777769685E-3</v>
      </c>
      <c r="E287" s="7">
        <f>ABS(0.00902777777777697-0.00763888888888897)</f>
        <v>1.3888888888880001E-3</v>
      </c>
      <c r="F287" s="1" t="s">
        <v>3</v>
      </c>
      <c r="G287" s="1"/>
    </row>
    <row r="288" spans="1:7" x14ac:dyDescent="0.25">
      <c r="A288" s="11">
        <v>42248</v>
      </c>
      <c r="B288" s="7">
        <v>0.59375</v>
      </c>
      <c r="C288" s="7">
        <v>0.60138888888888886</v>
      </c>
      <c r="D288" s="7">
        <f>(0.601388888888889-0.59375)</f>
        <v>7.6388888888889728E-3</v>
      </c>
      <c r="E288" s="7">
        <f>ABS(0.00763888888888897-0.0111111111111111)</f>
        <v>3.4722222222221292E-3</v>
      </c>
      <c r="F288" s="1" t="s">
        <v>3</v>
      </c>
      <c r="G288" s="1"/>
    </row>
    <row r="289" spans="1:7" x14ac:dyDescent="0.25">
      <c r="A289" s="11">
        <v>42248</v>
      </c>
      <c r="B289" s="7">
        <v>0.85902777777777783</v>
      </c>
      <c r="C289" s="7">
        <v>0.87013888888888891</v>
      </c>
      <c r="D289" s="7">
        <f>(0.870138888888889-0.859027777777778)</f>
        <v>1.1111111111111072E-2</v>
      </c>
      <c r="E289" s="7">
        <f>ABS(0.0111111111111111-0.00972222222222197)</f>
        <v>1.3888888888891286E-3</v>
      </c>
      <c r="F289" s="1" t="s">
        <v>3</v>
      </c>
      <c r="G289" s="1"/>
    </row>
    <row r="290" spans="1:7" x14ac:dyDescent="0.25">
      <c r="A290" s="11">
        <v>42248</v>
      </c>
      <c r="B290" s="7">
        <v>0.56180555555555556</v>
      </c>
      <c r="C290" s="7">
        <v>0.57152777777777775</v>
      </c>
      <c r="D290" s="7">
        <f>(0.571527777777778-0.561805555555556)</f>
        <v>9.7222222222219656E-3</v>
      </c>
      <c r="E290" s="7">
        <f>ABS(0.00972222222222197-0.0159722222222221)</f>
        <v>6.2500000000001287E-3</v>
      </c>
      <c r="F290" s="1" t="s">
        <v>3</v>
      </c>
      <c r="G290" s="1"/>
    </row>
    <row r="291" spans="1:7" x14ac:dyDescent="0.25">
      <c r="A291" s="11">
        <v>42248</v>
      </c>
      <c r="B291" s="7">
        <v>0.85763888888888884</v>
      </c>
      <c r="C291" s="7">
        <v>0.87361111111111101</v>
      </c>
      <c r="D291" s="7">
        <f>(0.873611111111111-0.857638888888889)</f>
        <v>1.5972222222222054E-2</v>
      </c>
      <c r="E291" s="7">
        <f>ABS(0.0159722222222221-0.0145833333333341)</f>
        <v>1.3888888888879992E-3</v>
      </c>
      <c r="F291" s="1" t="s">
        <v>3</v>
      </c>
      <c r="G291" s="1"/>
    </row>
    <row r="292" spans="1:7" x14ac:dyDescent="0.25">
      <c r="A292" s="11">
        <v>42248</v>
      </c>
      <c r="B292" s="7">
        <v>0.85833333333333339</v>
      </c>
      <c r="C292" s="7">
        <v>0.87291666666666667</v>
      </c>
      <c r="D292" s="7">
        <f>(0.872916666666667-0.858333333333333)</f>
        <v>1.4583333333334059E-2</v>
      </c>
      <c r="E292" s="7"/>
      <c r="F292" s="1" t="s">
        <v>3</v>
      </c>
      <c r="G292" s="1"/>
    </row>
    <row r="293" spans="1:7" x14ac:dyDescent="0.25">
      <c r="A293" s="11">
        <v>42248</v>
      </c>
      <c r="B293" s="7">
        <v>0.14375000000000002</v>
      </c>
      <c r="C293" s="7">
        <v>0.18888888888888888</v>
      </c>
      <c r="D293" s="7">
        <f>(0.188888888888889-0.14375)</f>
        <v>4.5138888888889006E-2</v>
      </c>
      <c r="E293" s="7">
        <f>ABS(0.045138888888889-0.018055555555556)</f>
        <v>2.7083333333332998E-2</v>
      </c>
      <c r="F293" s="1" t="s">
        <v>10</v>
      </c>
      <c r="G293" s="1"/>
    </row>
    <row r="294" spans="1:7" x14ac:dyDescent="0.25">
      <c r="A294" s="11">
        <v>42248</v>
      </c>
      <c r="B294" s="7">
        <v>0.41944444444444445</v>
      </c>
      <c r="C294" s="7">
        <v>0.4375</v>
      </c>
      <c r="D294" s="7">
        <f>(0.4375-0.419444444444444)</f>
        <v>1.8055555555555991E-2</v>
      </c>
      <c r="E294" s="7">
        <f>ABS(0.018055555555556-0.0187499999999999)</f>
        <v>6.9444444444389727E-4</v>
      </c>
      <c r="F294" s="1" t="s">
        <v>10</v>
      </c>
      <c r="G294" s="1"/>
    </row>
    <row r="295" spans="1:7" x14ac:dyDescent="0.25">
      <c r="A295" s="11">
        <v>42248</v>
      </c>
      <c r="B295" s="7">
        <v>0.8965277777777777</v>
      </c>
      <c r="C295" s="7">
        <v>0.91527777777777775</v>
      </c>
      <c r="D295" s="7">
        <f>(0.915277777777778-0.896527777777778)</f>
        <v>1.8749999999999933E-2</v>
      </c>
      <c r="E295" s="7">
        <f>ABS(0.0187499999999999-0.0145833333333329)</f>
        <v>4.1666666666669988E-3</v>
      </c>
      <c r="F295" s="1" t="s">
        <v>10</v>
      </c>
      <c r="G295" s="1"/>
    </row>
    <row r="296" spans="1:7" x14ac:dyDescent="0.25">
      <c r="A296" s="11">
        <v>42248</v>
      </c>
      <c r="B296" s="7">
        <v>0.92361111111111116</v>
      </c>
      <c r="C296" s="7">
        <v>0.93819444444444444</v>
      </c>
      <c r="D296" s="7">
        <f>(0.938194444444444-0.923611111111111)</f>
        <v>1.4583333333332948E-2</v>
      </c>
      <c r="E296" s="7">
        <f>ABS(0.0145833333333329-0.029166666666666)</f>
        <v>1.4583333333333101E-2</v>
      </c>
      <c r="F296" s="1" t="s">
        <v>10</v>
      </c>
      <c r="G296" s="1"/>
    </row>
    <row r="297" spans="1:7" x14ac:dyDescent="0.25">
      <c r="A297" s="11">
        <v>42248</v>
      </c>
      <c r="B297" s="7">
        <v>0.63055555555555554</v>
      </c>
      <c r="C297" s="7">
        <v>0.65972222222222221</v>
      </c>
      <c r="D297" s="7">
        <f>(0.659722222222222-0.630555555555556)</f>
        <v>2.9166666666666008E-2</v>
      </c>
      <c r="E297" s="7">
        <f>ABS(0.029166666666666-0.0166666666666659)</f>
        <v>1.2500000000000101E-2</v>
      </c>
      <c r="F297" s="1" t="s">
        <v>10</v>
      </c>
      <c r="G297" s="1"/>
    </row>
    <row r="298" spans="1:7" x14ac:dyDescent="0.25">
      <c r="A298" s="11">
        <v>42248</v>
      </c>
      <c r="B298" s="7">
        <v>0.82916666666666661</v>
      </c>
      <c r="C298" s="7">
        <v>0.84583333333333333</v>
      </c>
      <c r="D298" s="7">
        <f>(0.845833333333333-0.829166666666667)</f>
        <v>1.6666666666665941E-2</v>
      </c>
      <c r="E298" s="7">
        <f>ABS(0.0166666666666659-0.0152777777777779)</f>
        <v>1.3888888888879992E-3</v>
      </c>
      <c r="F298" s="1" t="s">
        <v>10</v>
      </c>
      <c r="G298" s="1"/>
    </row>
    <row r="299" spans="1:7" x14ac:dyDescent="0.25">
      <c r="A299" s="11">
        <v>42248</v>
      </c>
      <c r="B299" s="7">
        <v>0.90347222222222223</v>
      </c>
      <c r="C299" s="7">
        <v>0.91875000000000007</v>
      </c>
      <c r="D299" s="7">
        <f>(0.91875-0.903472222222222)</f>
        <v>1.5277777777777946E-2</v>
      </c>
      <c r="E299" s="7">
        <f>ABS(0.0152777777777779-0.0166666666666659)</f>
        <v>1.3888888888879992E-3</v>
      </c>
      <c r="F299" s="1" t="s">
        <v>10</v>
      </c>
      <c r="G299" s="1"/>
    </row>
    <row r="300" spans="1:7" x14ac:dyDescent="0.25">
      <c r="A300" s="11">
        <v>42248</v>
      </c>
      <c r="B300" s="7">
        <v>0.9604166666666667</v>
      </c>
      <c r="C300" s="7">
        <v>0.9770833333333333</v>
      </c>
      <c r="D300" s="7">
        <f>(0.977083333333333-0.960416666666667)</f>
        <v>1.6666666666665941E-2</v>
      </c>
      <c r="E300" s="7">
        <f>ABS(0.0166666666666659-0.0194444444444399)</f>
        <v>2.7777777777740001E-3</v>
      </c>
      <c r="F300" s="1" t="s">
        <v>10</v>
      </c>
      <c r="G300" s="1"/>
    </row>
    <row r="301" spans="1:7" x14ac:dyDescent="0.25">
      <c r="A301" s="11">
        <v>42248</v>
      </c>
      <c r="B301" s="7">
        <v>1.007638888888889</v>
      </c>
      <c r="C301" s="7">
        <v>1.0270833333333333</v>
      </c>
      <c r="D301" s="7">
        <f>(1.02708333333333-1.00763888888889)</f>
        <v>1.9444444444439934E-2</v>
      </c>
      <c r="E301" s="7">
        <f>ABS(0.0194444444444399-0.025)</f>
        <v>5.5555555555601016E-3</v>
      </c>
      <c r="F301" s="1" t="s">
        <v>10</v>
      </c>
      <c r="G301" s="1"/>
    </row>
    <row r="302" spans="1:7" x14ac:dyDescent="0.25">
      <c r="A302" s="11">
        <v>42248</v>
      </c>
      <c r="B302" s="7">
        <v>0.25625000000000003</v>
      </c>
      <c r="C302" s="7">
        <v>0.28125</v>
      </c>
      <c r="D302" s="7">
        <f>(0.28125-0.25625)</f>
        <v>2.5000000000000022E-2</v>
      </c>
      <c r="E302" s="7">
        <f>ABS(0.025-0.020138888888888)</f>
        <v>4.8611111111120028E-3</v>
      </c>
      <c r="F302" s="1" t="s">
        <v>10</v>
      </c>
      <c r="G302" s="1"/>
    </row>
    <row r="303" spans="1:7" x14ac:dyDescent="0.25">
      <c r="A303" s="11">
        <v>42248</v>
      </c>
      <c r="B303" s="7">
        <v>0.53680555555555554</v>
      </c>
      <c r="C303" s="7">
        <v>0.55694444444444446</v>
      </c>
      <c r="D303" s="7">
        <f>(0.556944444444444-0.536805555555556)</f>
        <v>2.013888888888804E-2</v>
      </c>
      <c r="E303" s="7">
        <f>ABS(0.020138888888888-0.027083333333333)</f>
        <v>6.9444444444450026E-3</v>
      </c>
      <c r="F303" s="1" t="s">
        <v>10</v>
      </c>
      <c r="G303" s="1"/>
    </row>
    <row r="304" spans="1:7" x14ac:dyDescent="0.25">
      <c r="A304" s="11">
        <v>42248</v>
      </c>
      <c r="B304" s="7">
        <v>0.52916666666666667</v>
      </c>
      <c r="C304" s="7">
        <v>0.55625000000000002</v>
      </c>
      <c r="D304" s="7">
        <f>(0.55625-0.529166666666667)</f>
        <v>2.7083333333333015E-2</v>
      </c>
      <c r="E304" s="7">
        <f>ABS(0.027083333333333-0.021527777777778)</f>
        <v>5.5555555555550015E-3</v>
      </c>
      <c r="F304" s="1" t="s">
        <v>10</v>
      </c>
      <c r="G304" s="1"/>
    </row>
    <row r="305" spans="1:7" x14ac:dyDescent="0.25">
      <c r="A305" s="11">
        <v>42248</v>
      </c>
      <c r="B305" s="7">
        <v>0.87152777777777779</v>
      </c>
      <c r="C305" s="7">
        <v>0.8930555555555556</v>
      </c>
      <c r="D305" s="7">
        <f>(0.893055555555556-0.871527777777778)</f>
        <v>2.1527777777778034E-2</v>
      </c>
      <c r="E305" s="7">
        <f>ABS(0.021527777777778-0.023611111111112)</f>
        <v>2.083333333333999E-3</v>
      </c>
      <c r="F305" s="1" t="s">
        <v>10</v>
      </c>
      <c r="G305" s="1"/>
    </row>
    <row r="306" spans="1:7" x14ac:dyDescent="0.25">
      <c r="A306" s="11">
        <v>42248</v>
      </c>
      <c r="B306" s="7">
        <v>0.9194444444444444</v>
      </c>
      <c r="C306" s="7">
        <v>0.94305555555555554</v>
      </c>
      <c r="D306" s="7">
        <f>(0.943055555555556-0.919444444444444)</f>
        <v>2.3611111111112026E-2</v>
      </c>
      <c r="E306" s="7">
        <f>ABS(0.023611111111112-0.019444444444444)</f>
        <v>4.166666666667998E-3</v>
      </c>
      <c r="F306" s="1" t="s">
        <v>10</v>
      </c>
      <c r="G306" s="1"/>
    </row>
    <row r="307" spans="1:7" x14ac:dyDescent="0.25">
      <c r="A307" s="11">
        <v>42248</v>
      </c>
      <c r="B307" s="7">
        <v>0.94166666666666676</v>
      </c>
      <c r="C307" s="7">
        <v>0.96111111111111114</v>
      </c>
      <c r="D307" s="7">
        <f>(0.961111111111111-0.941666666666667)</f>
        <v>1.9444444444444042E-2</v>
      </c>
      <c r="E307" s="7">
        <f>ABS(0.019444444444444-0.020138888888888)</f>
        <v>6.9444444444399789E-4</v>
      </c>
      <c r="F307" s="1" t="s">
        <v>10</v>
      </c>
      <c r="G307" s="1"/>
    </row>
    <row r="308" spans="1:7" x14ac:dyDescent="0.25">
      <c r="A308" s="11">
        <v>42248</v>
      </c>
      <c r="B308" s="7">
        <v>0.94444444444444453</v>
      </c>
      <c r="C308" s="7">
        <v>0.96458333333333324</v>
      </c>
      <c r="D308" s="7">
        <f>(0.964583333333333-0.944444444444445)</f>
        <v>2.013888888888804E-2</v>
      </c>
      <c r="E308" s="7">
        <f>ABS(0.020138888888888-0.018749999999999)</f>
        <v>1.3888888888889984E-3</v>
      </c>
      <c r="F308" s="1" t="s">
        <v>10</v>
      </c>
      <c r="G308" s="1"/>
    </row>
    <row r="309" spans="1:7" x14ac:dyDescent="0.25">
      <c r="A309" s="11">
        <v>42248</v>
      </c>
      <c r="B309" s="7">
        <v>0.97430555555555554</v>
      </c>
      <c r="C309" s="7">
        <v>0.99305555555555547</v>
      </c>
      <c r="D309" s="7">
        <f>(0.993055555555555-0.974305555555556)</f>
        <v>1.8749999999999045E-2</v>
      </c>
      <c r="E309" s="7">
        <f>ABS(0.018749999999999-0.0173611111111111)</f>
        <v>1.3888888888878986E-3</v>
      </c>
      <c r="F309" s="1" t="s">
        <v>10</v>
      </c>
      <c r="G309" s="1"/>
    </row>
    <row r="310" spans="1:7" x14ac:dyDescent="0.25">
      <c r="A310" s="11">
        <v>42248</v>
      </c>
      <c r="B310" s="7">
        <v>6.8749999999999992E-2</v>
      </c>
      <c r="C310" s="7">
        <v>8.6111111111111124E-2</v>
      </c>
      <c r="D310" s="7">
        <f>(0.0861111111111111-0.06875)</f>
        <v>1.7361111111111091E-2</v>
      </c>
      <c r="E310" s="7">
        <f>ABS(0.0173611111111111-0.0270833333333329)</f>
        <v>9.7222222222217991E-3</v>
      </c>
      <c r="F310" s="1" t="s">
        <v>10</v>
      </c>
      <c r="G310" s="1"/>
    </row>
    <row r="311" spans="1:7" x14ac:dyDescent="0.25">
      <c r="A311" s="11">
        <v>42248</v>
      </c>
      <c r="B311" s="7">
        <v>0.64374999999999993</v>
      </c>
      <c r="C311" s="7">
        <v>0.67083333333333339</v>
      </c>
      <c r="D311" s="7">
        <f>(0.670833333333333-0.64375)</f>
        <v>2.7083333333332904E-2</v>
      </c>
      <c r="E311" s="7">
        <f>ABS(0.0270833333333329-0.0243055555555559)</f>
        <v>2.7777777777770012E-3</v>
      </c>
      <c r="F311" s="1" t="s">
        <v>10</v>
      </c>
      <c r="G311" s="1"/>
    </row>
    <row r="312" spans="1:7" x14ac:dyDescent="0.25">
      <c r="A312" s="11">
        <v>42248</v>
      </c>
      <c r="B312" s="7">
        <v>0.67361111111111116</v>
      </c>
      <c r="C312" s="7">
        <v>0.69791666666666663</v>
      </c>
      <c r="D312" s="7">
        <f>(0.697916666666667-0.673611111111111)</f>
        <v>2.4305555555555913E-2</v>
      </c>
      <c r="E312" s="7">
        <f>ABS(0.0243055555555559-0.0263888888888889)</f>
        <v>2.0833333333329998E-3</v>
      </c>
      <c r="F312" s="1" t="s">
        <v>10</v>
      </c>
      <c r="G312" s="1"/>
    </row>
    <row r="313" spans="1:7" x14ac:dyDescent="0.25">
      <c r="A313" s="11">
        <v>42248</v>
      </c>
      <c r="B313" s="7">
        <v>0.73888888888888893</v>
      </c>
      <c r="C313" s="7">
        <v>0.76527777777777783</v>
      </c>
      <c r="D313" s="7">
        <f>(0.765277777777778-0.738888888888889)</f>
        <v>2.6388888888888906E-2</v>
      </c>
      <c r="E313" s="7">
        <f>ABS(0.0263888888888889-0.0201388888888889)</f>
        <v>6.2499999999999986E-3</v>
      </c>
      <c r="F313" s="1" t="s">
        <v>10</v>
      </c>
      <c r="G313" s="1"/>
    </row>
    <row r="314" spans="1:7" x14ac:dyDescent="0.25">
      <c r="A314" s="11">
        <v>42248</v>
      </c>
      <c r="B314" s="7">
        <v>0.74513888888888891</v>
      </c>
      <c r="C314" s="7">
        <v>0.76527777777777783</v>
      </c>
      <c r="D314" s="7">
        <f>(0.765277777777778-0.745138888888889)</f>
        <v>2.0138888888888928E-2</v>
      </c>
      <c r="E314" s="7">
        <f>ABS(0.0201388888888889-0.019444444444444)</f>
        <v>6.9444444444489994E-4</v>
      </c>
      <c r="F314" s="1" t="s">
        <v>10</v>
      </c>
      <c r="G314" s="1"/>
    </row>
    <row r="315" spans="1:7" x14ac:dyDescent="0.25">
      <c r="A315" s="11">
        <v>42248</v>
      </c>
      <c r="B315" s="7">
        <v>0.3743055555555555</v>
      </c>
      <c r="C315" s="7">
        <v>0.39374999999999999</v>
      </c>
      <c r="D315" s="7">
        <f>(0.39375-0.374305555555556)</f>
        <v>1.9444444444443987E-2</v>
      </c>
      <c r="E315" s="7">
        <f>ABS(0.019444444444444-0.017361111111111)</f>
        <v>2.0833333333329998E-3</v>
      </c>
      <c r="F315" s="1" t="s">
        <v>10</v>
      </c>
      <c r="G315" s="1"/>
    </row>
    <row r="316" spans="1:7" x14ac:dyDescent="0.25">
      <c r="A316" s="11">
        <v>42248</v>
      </c>
      <c r="B316" s="7">
        <v>0.47847222222222219</v>
      </c>
      <c r="C316" s="7">
        <v>0.49583333333333335</v>
      </c>
      <c r="D316" s="7">
        <f>(0.495833333333333-0.478472222222222)</f>
        <v>1.7361111111110994E-2</v>
      </c>
      <c r="E316" s="7">
        <f>ABS(0.017361111111111-0.023611111111111)</f>
        <v>6.2499999999999986E-3</v>
      </c>
      <c r="F316" s="1" t="s">
        <v>10</v>
      </c>
      <c r="G316" s="1"/>
    </row>
    <row r="317" spans="1:7" x14ac:dyDescent="0.25">
      <c r="A317" s="11">
        <v>42248</v>
      </c>
      <c r="B317" s="7">
        <v>0.60347222222222219</v>
      </c>
      <c r="C317" s="7">
        <v>0.62708333333333333</v>
      </c>
      <c r="D317" s="7">
        <f>(0.627083333333333-0.603472222222222)</f>
        <v>2.3611111111111027E-2</v>
      </c>
      <c r="E317" s="7">
        <f>ABS(0.023611111111111-0.0159722222222229)</f>
        <v>7.6388888888880985E-3</v>
      </c>
      <c r="F317" s="1" t="s">
        <v>10</v>
      </c>
      <c r="G317" s="1"/>
    </row>
    <row r="318" spans="1:7" x14ac:dyDescent="0.25">
      <c r="A318" s="11">
        <v>42248</v>
      </c>
      <c r="B318" s="7">
        <v>0.58958333333333335</v>
      </c>
      <c r="C318" s="7">
        <v>0.60555555555555551</v>
      </c>
      <c r="D318" s="7">
        <f>(0.605555555555556-0.589583333333333)</f>
        <v>1.5972222222222943E-2</v>
      </c>
      <c r="E318" s="7">
        <f>ABS(0.0159722222222229-0.0173611111111109)</f>
        <v>1.3888888888879992E-3</v>
      </c>
      <c r="F318" s="1" t="s">
        <v>10</v>
      </c>
      <c r="G318" s="1"/>
    </row>
    <row r="319" spans="1:7" x14ac:dyDescent="0.25">
      <c r="A319" s="11">
        <v>42248</v>
      </c>
      <c r="B319" s="7">
        <v>0.74375000000000002</v>
      </c>
      <c r="C319" s="7">
        <v>0.76111111111111107</v>
      </c>
      <c r="D319" s="7">
        <f>(0.761111111111111-0.74375)</f>
        <v>1.7361111111110938E-2</v>
      </c>
      <c r="E319" s="7">
        <f>ABS(0.0173611111111109-0.018055555555555)</f>
        <v>6.944444444440985E-4</v>
      </c>
      <c r="F319" s="1" t="s">
        <v>10</v>
      </c>
      <c r="G319" s="1"/>
    </row>
    <row r="320" spans="1:7" x14ac:dyDescent="0.25">
      <c r="A320" s="11">
        <v>42248</v>
      </c>
      <c r="B320" s="7">
        <v>0.23402777777777781</v>
      </c>
      <c r="C320" s="7">
        <v>0.25208333333333333</v>
      </c>
      <c r="D320" s="7">
        <f>(0.252083333333333-0.234027777777778)</f>
        <v>1.8055555555554992E-2</v>
      </c>
      <c r="E320" s="7">
        <f>ABS(0.018055555555555-0.0173611111111119)</f>
        <v>6.944444444430993E-4</v>
      </c>
      <c r="F320" s="1" t="s">
        <v>10</v>
      </c>
      <c r="G320" s="1"/>
    </row>
    <row r="321" spans="1:7" x14ac:dyDescent="0.25">
      <c r="A321" s="11">
        <v>42248</v>
      </c>
      <c r="B321" s="7">
        <v>0.74444444444444446</v>
      </c>
      <c r="C321" s="7">
        <v>0.76180555555555562</v>
      </c>
      <c r="D321" s="7">
        <f>(0.761805555555556-0.744444444444444)</f>
        <v>1.7361111111111938E-2</v>
      </c>
      <c r="E321" s="7">
        <f>ABS(0.0173611111111119-0.0152777777777779)</f>
        <v>2.083333333333999E-3</v>
      </c>
      <c r="F321" s="1" t="s">
        <v>10</v>
      </c>
      <c r="G321" s="1"/>
    </row>
    <row r="322" spans="1:7" x14ac:dyDescent="0.25">
      <c r="A322" s="11">
        <v>42248</v>
      </c>
      <c r="B322" s="7">
        <v>0.98472222222222217</v>
      </c>
      <c r="C322" s="7">
        <v>1</v>
      </c>
      <c r="D322" s="7">
        <f>(1-0.984722222222222)</f>
        <v>1.5277777777777946E-2</v>
      </c>
      <c r="E322" s="7">
        <f>ABS(0.0152777777777779-0.018055555555556)</f>
        <v>2.777777777778101E-3</v>
      </c>
      <c r="F322" s="1" t="s">
        <v>10</v>
      </c>
      <c r="G322" s="1"/>
    </row>
    <row r="323" spans="1:7" x14ac:dyDescent="0.25">
      <c r="A323" s="11">
        <v>42248</v>
      </c>
      <c r="B323" s="7">
        <v>0.31944444444444448</v>
      </c>
      <c r="C323" s="7">
        <v>0.33749999999999997</v>
      </c>
      <c r="D323" s="7">
        <f>(0.3375-0.319444444444444)</f>
        <v>1.8055555555556047E-2</v>
      </c>
      <c r="E323" s="7">
        <f>ABS(0.018055555555556-0.017361111111111)</f>
        <v>6.9444444444500056E-4</v>
      </c>
      <c r="F323" s="1" t="s">
        <v>10</v>
      </c>
      <c r="G323" s="1"/>
    </row>
    <row r="324" spans="1:7" x14ac:dyDescent="0.25">
      <c r="A324" s="11">
        <v>42248</v>
      </c>
      <c r="B324" s="7">
        <v>0.38611111111111113</v>
      </c>
      <c r="C324" s="7">
        <v>0.40347222222222223</v>
      </c>
      <c r="D324" s="7">
        <f>(0.403472222222222-0.386111111111111)</f>
        <v>1.7361111111110994E-2</v>
      </c>
      <c r="E324" s="7">
        <f>ABS(0.017361111111111-0.0152777777777779)</f>
        <v>2.0833333333331004E-3</v>
      </c>
      <c r="F324" s="1" t="s">
        <v>10</v>
      </c>
      <c r="G324" s="1"/>
    </row>
    <row r="325" spans="1:7" x14ac:dyDescent="0.25">
      <c r="A325" s="11">
        <v>42248</v>
      </c>
      <c r="B325" s="7">
        <v>0.55902777777777779</v>
      </c>
      <c r="C325" s="7">
        <v>0.57430555555555551</v>
      </c>
      <c r="D325" s="7">
        <f>(0.574305555555556-0.559027777777778)</f>
        <v>1.5277777777777946E-2</v>
      </c>
      <c r="E325" s="7">
        <f>ABS(0.0152777777777779-0.019444444444444)</f>
        <v>4.1666666666661002E-3</v>
      </c>
      <c r="F325" s="1" t="s">
        <v>10</v>
      </c>
      <c r="G325" s="1"/>
    </row>
    <row r="326" spans="1:7" x14ac:dyDescent="0.25">
      <c r="A326" s="11">
        <v>42248</v>
      </c>
      <c r="B326" s="7">
        <v>0.56180555555555556</v>
      </c>
      <c r="C326" s="7">
        <v>0.58124999999999993</v>
      </c>
      <c r="D326" s="7">
        <f>(0.58125-0.561805555555556)</f>
        <v>1.9444444444444042E-2</v>
      </c>
      <c r="E326" s="7">
        <f>ABS(0.019444444444444-0.0194444444444449)</f>
        <v>8.9858676055598607E-16</v>
      </c>
      <c r="F326" s="1" t="s">
        <v>10</v>
      </c>
      <c r="G326" s="1"/>
    </row>
    <row r="327" spans="1:7" x14ac:dyDescent="0.25">
      <c r="A327" s="11">
        <v>42248</v>
      </c>
      <c r="B327" s="7">
        <v>0.80208333333333337</v>
      </c>
      <c r="C327" s="7">
        <v>0.82152777777777775</v>
      </c>
      <c r="D327" s="7">
        <f>(0.821527777777778-0.802083333333333)</f>
        <v>1.944444444444493E-2</v>
      </c>
      <c r="E327" s="7">
        <f>ABS(0.0194444444444449-0.0173611111111109)</f>
        <v>2.083333333333999E-3</v>
      </c>
      <c r="F327" s="1" t="s">
        <v>10</v>
      </c>
      <c r="G327" s="1"/>
    </row>
    <row r="328" spans="1:7" x14ac:dyDescent="0.25">
      <c r="A328" s="11">
        <v>42248</v>
      </c>
      <c r="B328" s="7">
        <v>0.87291666666666667</v>
      </c>
      <c r="C328" s="7">
        <v>0.89027777777777783</v>
      </c>
      <c r="D328" s="7">
        <f>(0.890277777777778-0.872916666666667)</f>
        <v>1.7361111111110938E-2</v>
      </c>
      <c r="E328" s="7">
        <f>ABS(0.0173611111111109-0.018055555555555)</f>
        <v>6.944444444440985E-4</v>
      </c>
      <c r="F328" s="1" t="s">
        <v>10</v>
      </c>
      <c r="G328" s="1"/>
    </row>
    <row r="329" spans="1:7" x14ac:dyDescent="0.25">
      <c r="A329" s="11">
        <v>42248</v>
      </c>
      <c r="B329" s="7">
        <v>0.40902777777777777</v>
      </c>
      <c r="C329" s="7">
        <v>0.42708333333333331</v>
      </c>
      <c r="D329" s="7">
        <f>(0.427083333333333-0.409027777777778)</f>
        <v>1.8055555555554992E-2</v>
      </c>
      <c r="E329" s="7">
        <f>ABS(0.018055555555555-0.0166666666666669)</f>
        <v>1.3888888888880999E-3</v>
      </c>
      <c r="F329" s="1" t="s">
        <v>10</v>
      </c>
      <c r="G329" s="1"/>
    </row>
    <row r="330" spans="1:7" x14ac:dyDescent="0.25">
      <c r="A330" s="11">
        <v>42248</v>
      </c>
      <c r="B330" s="7">
        <v>0.55763888888888891</v>
      </c>
      <c r="C330" s="7">
        <v>0.57430555555555551</v>
      </c>
      <c r="D330" s="7">
        <f>(0.574305555555556-0.557638888888889)</f>
        <v>1.6666666666666941E-2</v>
      </c>
      <c r="E330" s="7">
        <f>ABS(0.0166666666666669-0.0159722222222231)</f>
        <v>6.9444444444380013E-4</v>
      </c>
      <c r="F330" s="1" t="s">
        <v>10</v>
      </c>
      <c r="G330" s="1"/>
    </row>
    <row r="331" spans="1:7" x14ac:dyDescent="0.25">
      <c r="A331" s="11">
        <v>42248</v>
      </c>
      <c r="B331" s="7">
        <v>0.6333333333333333</v>
      </c>
      <c r="C331" s="7">
        <v>0.64930555555555558</v>
      </c>
      <c r="D331" s="7">
        <f>(0.649305555555556-0.633333333333333)</f>
        <v>1.5972222222223054E-2</v>
      </c>
      <c r="E331" s="7">
        <f>ABS(0.0159722222222231-0.017361111111111)</f>
        <v>1.3888888888879021E-3</v>
      </c>
      <c r="F331" s="1" t="s">
        <v>10</v>
      </c>
      <c r="G331" s="1"/>
    </row>
    <row r="332" spans="1:7" x14ac:dyDescent="0.25">
      <c r="A332" s="11">
        <v>42248</v>
      </c>
      <c r="B332" s="7">
        <v>0.69305555555555554</v>
      </c>
      <c r="C332" s="7">
        <v>0.7104166666666667</v>
      </c>
      <c r="D332" s="7">
        <f>(0.710416666666667-0.693055555555556)</f>
        <v>1.7361111111111049E-2</v>
      </c>
      <c r="E332" s="7">
        <f>ABS(0.017361111111111-0.0145833333333329)</f>
        <v>2.777777777778101E-3</v>
      </c>
      <c r="F332" s="1" t="s">
        <v>10</v>
      </c>
      <c r="G332" s="1"/>
    </row>
    <row r="333" spans="1:7" x14ac:dyDescent="0.25">
      <c r="A333" s="11">
        <v>42248</v>
      </c>
      <c r="B333" s="7">
        <v>0.81180555555555556</v>
      </c>
      <c r="C333" s="7">
        <v>0.82638888888888884</v>
      </c>
      <c r="D333" s="7">
        <f>(0.826388888888889-0.811805555555556)</f>
        <v>1.4583333333332948E-2</v>
      </c>
      <c r="E333" s="7">
        <f>ABS(0.0145833333333329-0.022916666666667)</f>
        <v>8.3333333333341017E-3</v>
      </c>
      <c r="F333" s="1" t="s">
        <v>10</v>
      </c>
      <c r="G333" s="1"/>
    </row>
    <row r="334" spans="1:7" x14ac:dyDescent="0.25">
      <c r="A334" s="11">
        <v>42248</v>
      </c>
      <c r="B334" s="7">
        <v>0.38958333333333334</v>
      </c>
      <c r="C334" s="7">
        <v>0.41250000000000003</v>
      </c>
      <c r="D334" s="7">
        <f>(0.4125-0.389583333333333)</f>
        <v>2.2916666666666974E-2</v>
      </c>
      <c r="E334" s="7">
        <f>ABS(0.022916666666667-0.020138888888889)</f>
        <v>2.7777777777780004E-3</v>
      </c>
      <c r="F334" s="1" t="s">
        <v>10</v>
      </c>
      <c r="G334" s="1"/>
    </row>
    <row r="335" spans="1:7" x14ac:dyDescent="0.25">
      <c r="A335" s="11">
        <v>42248</v>
      </c>
      <c r="B335" s="7">
        <v>0.50486111111111109</v>
      </c>
      <c r="C335" s="7">
        <v>0.52500000000000002</v>
      </c>
      <c r="D335" s="7">
        <f>(0.525-0.504861111111111)</f>
        <v>2.0138888888889039E-2</v>
      </c>
      <c r="E335" s="7">
        <f>ABS(0.020138888888889-0.017361111111111)</f>
        <v>2.7777777777780004E-3</v>
      </c>
      <c r="F335" s="1" t="s">
        <v>10</v>
      </c>
      <c r="G335" s="1"/>
    </row>
    <row r="336" spans="1:7" x14ac:dyDescent="0.25">
      <c r="A336" s="11">
        <v>42248</v>
      </c>
      <c r="B336" s="7">
        <v>0.56180555555555556</v>
      </c>
      <c r="C336" s="7">
        <v>0.57916666666666672</v>
      </c>
      <c r="D336" s="7">
        <f>(0.579166666666667-0.561805555555556)</f>
        <v>1.7361111111111049E-2</v>
      </c>
      <c r="E336" s="7">
        <f>ABS(0.017361111111111-0.0208333333333339)</f>
        <v>3.4722222222229003E-3</v>
      </c>
      <c r="F336" s="1" t="s">
        <v>10</v>
      </c>
      <c r="G336" s="1"/>
    </row>
    <row r="337" spans="1:7" x14ac:dyDescent="0.25">
      <c r="A337" s="11">
        <v>42248</v>
      </c>
      <c r="B337" s="7">
        <v>0.77569444444444446</v>
      </c>
      <c r="C337" s="7">
        <v>0.79652777777777783</v>
      </c>
      <c r="D337" s="7">
        <f>(0.796527777777778-0.775694444444444)</f>
        <v>2.0833333333333925E-2</v>
      </c>
      <c r="E337" s="7">
        <f>ABS(0.0208333333333339-0.021527777777778)</f>
        <v>6.944444444440985E-4</v>
      </c>
      <c r="F337" s="1" t="s">
        <v>10</v>
      </c>
      <c r="G337" s="1"/>
    </row>
    <row r="338" spans="1:7" x14ac:dyDescent="0.25">
      <c r="A338" s="11">
        <v>42248</v>
      </c>
      <c r="B338" s="7">
        <v>0.9145833333333333</v>
      </c>
      <c r="C338" s="7">
        <v>0.93611111111111101</v>
      </c>
      <c r="D338" s="7">
        <f>(0.936111111111111-0.914583333333333)</f>
        <v>2.1527777777778034E-2</v>
      </c>
      <c r="E338" s="7">
        <f>ABS(0.021527777777778-0.015972222222222)</f>
        <v>5.5555555555560007E-3</v>
      </c>
      <c r="F338" s="1" t="s">
        <v>10</v>
      </c>
      <c r="G338" s="1"/>
    </row>
    <row r="339" spans="1:7" x14ac:dyDescent="0.25">
      <c r="A339" s="11">
        <v>42248</v>
      </c>
      <c r="B339" s="7">
        <v>0.39374999999999999</v>
      </c>
      <c r="C339" s="7">
        <v>0.40972222222222227</v>
      </c>
      <c r="D339" s="7">
        <f>(0.409722222222222-0.39375)</f>
        <v>1.5972222222221999E-2</v>
      </c>
      <c r="E339" s="7">
        <f>ABS(0.015972222222222-0.01875)</f>
        <v>2.7777777777780004E-3</v>
      </c>
      <c r="F339" s="1" t="s">
        <v>10</v>
      </c>
      <c r="G339" s="1"/>
    </row>
    <row r="340" spans="1:7" x14ac:dyDescent="0.25">
      <c r="A340" s="11">
        <v>42248</v>
      </c>
      <c r="B340" s="7">
        <v>0.50347222222222221</v>
      </c>
      <c r="C340" s="7">
        <v>0.52222222222222225</v>
      </c>
      <c r="D340" s="7">
        <f>(0.522222222222222-0.503472222222222)</f>
        <v>1.8750000000000044E-2</v>
      </c>
      <c r="E340" s="7">
        <f>ABS(0.01875-0.0256944444444443)</f>
        <v>6.9444444444443018E-3</v>
      </c>
      <c r="F340" s="1" t="s">
        <v>10</v>
      </c>
      <c r="G340" s="1"/>
    </row>
    <row r="341" spans="1:7" x14ac:dyDescent="0.25">
      <c r="A341" s="11">
        <v>42248</v>
      </c>
      <c r="B341" s="7">
        <v>8.5416666666666655E-2</v>
      </c>
      <c r="C341" s="7">
        <v>0.1111111111111111</v>
      </c>
      <c r="D341" s="7">
        <f>(0.111111111111111-0.0854166666666667)</f>
        <v>2.5694444444444298E-2</v>
      </c>
      <c r="E341" s="7">
        <f>ABS(0.0256944444444443-0.019444444444445)</f>
        <v>6.2499999999993013E-3</v>
      </c>
      <c r="F341" s="1" t="s">
        <v>10</v>
      </c>
      <c r="G341" s="1"/>
    </row>
    <row r="342" spans="1:7" x14ac:dyDescent="0.25">
      <c r="A342" s="11">
        <v>42248</v>
      </c>
      <c r="B342" s="7">
        <v>0.3659722222222222</v>
      </c>
      <c r="C342" s="7">
        <v>0.38541666666666669</v>
      </c>
      <c r="D342" s="7">
        <f>(0.385416666666667-0.365972222222222)</f>
        <v>1.9444444444445041E-2</v>
      </c>
      <c r="E342" s="7">
        <f>ABS(0.019444444444445-0.013888888888889)</f>
        <v>5.5555555555560007E-3</v>
      </c>
      <c r="F342" s="1" t="s">
        <v>10</v>
      </c>
      <c r="G342" s="1"/>
    </row>
    <row r="343" spans="1:7" x14ac:dyDescent="0.25">
      <c r="A343" s="11">
        <v>42248</v>
      </c>
      <c r="B343" s="7">
        <v>0.58124999999999993</v>
      </c>
      <c r="C343" s="7">
        <v>0.59513888888888888</v>
      </c>
      <c r="D343" s="7">
        <f>(0.595138888888889-0.58125)</f>
        <v>1.3888888888888951E-2</v>
      </c>
      <c r="E343" s="7">
        <f>ABS(0.013888888888889-0.0208333333333339)</f>
        <v>6.944444444444902E-3</v>
      </c>
      <c r="F343" s="1" t="s">
        <v>10</v>
      </c>
      <c r="G343" s="1"/>
    </row>
    <row r="344" spans="1:7" x14ac:dyDescent="0.25">
      <c r="A344" s="11">
        <v>42248</v>
      </c>
      <c r="B344" s="7">
        <v>0.58333333333333337</v>
      </c>
      <c r="C344" s="7">
        <v>0.60416666666666663</v>
      </c>
      <c r="D344" s="7">
        <f>(0.604166666666667-0.583333333333333)</f>
        <v>2.0833333333333925E-2</v>
      </c>
      <c r="E344" s="7">
        <f>ABS(0.0208333333333339-0.0173611111111119)</f>
        <v>3.4722222222220017E-3</v>
      </c>
      <c r="F344" s="1" t="s">
        <v>10</v>
      </c>
      <c r="G344" s="1"/>
    </row>
    <row r="345" spans="1:7" x14ac:dyDescent="0.25">
      <c r="A345" s="11">
        <v>42248</v>
      </c>
      <c r="B345" s="7">
        <v>0.77083333333333337</v>
      </c>
      <c r="C345" s="7">
        <v>0.78819444444444453</v>
      </c>
      <c r="D345" s="7">
        <f>(0.788194444444445-0.770833333333333)</f>
        <v>1.7361111111111938E-2</v>
      </c>
      <c r="E345" s="7">
        <f>ABS(0.0173611111111119-0.0125)</f>
        <v>4.8611111111118988E-3</v>
      </c>
      <c r="F345" s="1" t="s">
        <v>10</v>
      </c>
      <c r="G345" s="1"/>
    </row>
    <row r="346" spans="1:7" x14ac:dyDescent="0.25">
      <c r="A346" s="11">
        <v>42248</v>
      </c>
      <c r="B346" s="7">
        <v>0.28750000000000003</v>
      </c>
      <c r="C346" s="7">
        <v>0.3</v>
      </c>
      <c r="D346" s="7">
        <f>(0.3-0.2875)</f>
        <v>1.2500000000000011E-2</v>
      </c>
      <c r="E346" s="7">
        <f>ABS(0.0125-0.01875)</f>
        <v>6.2499999999999986E-3</v>
      </c>
      <c r="F346" s="1" t="s">
        <v>10</v>
      </c>
      <c r="G346" s="1"/>
    </row>
    <row r="347" spans="1:7" x14ac:dyDescent="0.25">
      <c r="A347" s="11">
        <v>42248</v>
      </c>
      <c r="B347" s="7">
        <v>0.31597222222222221</v>
      </c>
      <c r="C347" s="7">
        <v>0.3347222222222222</v>
      </c>
      <c r="D347" s="7">
        <f>(0.334722222222222-0.315972222222222)</f>
        <v>1.8749999999999989E-2</v>
      </c>
      <c r="E347" s="7">
        <f>ABS(0.01875-0.020833333333333)</f>
        <v>2.0833333333329998E-3</v>
      </c>
      <c r="F347" s="1" t="s">
        <v>10</v>
      </c>
      <c r="G347" s="1"/>
    </row>
    <row r="348" spans="1:7" x14ac:dyDescent="0.25">
      <c r="A348" s="11">
        <v>42248</v>
      </c>
      <c r="B348" s="7">
        <v>0.33680555555555558</v>
      </c>
      <c r="C348" s="7">
        <v>0.3576388888888889</v>
      </c>
      <c r="D348" s="7">
        <f>(0.357638888888889-0.336805555555556)</f>
        <v>2.0833333333332982E-2</v>
      </c>
      <c r="E348" s="7">
        <f>ABS(0.020833333333333-0.029166666666667)</f>
        <v>8.3333333333340011E-3</v>
      </c>
      <c r="F348" s="1" t="s">
        <v>10</v>
      </c>
      <c r="G348" s="1"/>
    </row>
    <row r="349" spans="1:7" x14ac:dyDescent="0.25">
      <c r="A349" s="11">
        <v>42248</v>
      </c>
      <c r="B349" s="7">
        <v>0.38263888888888892</v>
      </c>
      <c r="C349" s="7">
        <v>0.41180555555555554</v>
      </c>
      <c r="D349" s="7">
        <f>(0.411805555555556-0.382638888888889)</f>
        <v>2.9166666666667007E-2</v>
      </c>
      <c r="E349" s="7">
        <f>ABS(0.029166666666667-0.03125)</f>
        <v>2.0833333333329998E-3</v>
      </c>
      <c r="F349" s="1" t="s">
        <v>10</v>
      </c>
      <c r="G349" s="1"/>
    </row>
    <row r="350" spans="1:7" x14ac:dyDescent="0.25">
      <c r="A350" s="11">
        <v>42248</v>
      </c>
      <c r="B350" s="7">
        <v>0.43194444444444446</v>
      </c>
      <c r="C350" s="7">
        <v>0.46319444444444446</v>
      </c>
      <c r="D350" s="7">
        <f>(0.463194444444444-0.431944444444444)</f>
        <v>3.125E-2</v>
      </c>
      <c r="E350" s="7">
        <f>ABS(0.03125-0.016666666666667)</f>
        <v>1.4583333333333E-2</v>
      </c>
      <c r="F350" s="1" t="s">
        <v>10</v>
      </c>
      <c r="G350" s="1"/>
    </row>
    <row r="351" spans="1:7" x14ac:dyDescent="0.25">
      <c r="A351" s="11">
        <v>42248</v>
      </c>
      <c r="B351" s="7">
        <v>0.46388888888888885</v>
      </c>
      <c r="C351" s="7">
        <v>0.48055555555555557</v>
      </c>
      <c r="D351" s="7">
        <f>(0.480555555555556-0.463888888888889)</f>
        <v>1.6666666666666996E-2</v>
      </c>
      <c r="E351" s="7">
        <f>ABS(0.016666666666667-0.020138888888889)</f>
        <v>3.4722222222220017E-3</v>
      </c>
      <c r="F351" s="1" t="s">
        <v>10</v>
      </c>
      <c r="G351" s="1"/>
    </row>
    <row r="352" spans="1:7" x14ac:dyDescent="0.25">
      <c r="A352" s="11">
        <v>42248</v>
      </c>
      <c r="B352" s="7">
        <v>0.48333333333333334</v>
      </c>
      <c r="C352" s="7">
        <v>0.50347222222222221</v>
      </c>
      <c r="D352" s="7">
        <f>(0.503472222222222-0.483333333333333)</f>
        <v>2.0138888888888984E-2</v>
      </c>
      <c r="E352" s="7">
        <f>ABS(0.020138888888889-0.00902777777777808)</f>
        <v>1.1111111111110921E-2</v>
      </c>
      <c r="F352" s="1" t="s">
        <v>10</v>
      </c>
      <c r="G352" s="1"/>
    </row>
    <row r="353" spans="1:7" x14ac:dyDescent="0.25">
      <c r="A353" s="11">
        <v>42248</v>
      </c>
      <c r="B353" s="7">
        <v>0.79583333333333339</v>
      </c>
      <c r="C353" s="7">
        <v>0.80486111111111114</v>
      </c>
      <c r="D353" s="7">
        <f>(0.804861111111111-0.795833333333333)</f>
        <v>9.0277777777780788E-3</v>
      </c>
      <c r="E353" s="7">
        <f>ABS(0.00902777777777808-0.018055555555556)</f>
        <v>9.0277777777779209E-3</v>
      </c>
      <c r="F353" s="1" t="s">
        <v>10</v>
      </c>
      <c r="G353" s="1"/>
    </row>
    <row r="354" spans="1:7" x14ac:dyDescent="0.25">
      <c r="A354" s="11">
        <v>42248</v>
      </c>
      <c r="B354" s="7">
        <v>0.82708333333333339</v>
      </c>
      <c r="C354" s="7">
        <v>0.84513888888888899</v>
      </c>
      <c r="D354" s="7">
        <f>(0.845138888888889-0.827083333333333)</f>
        <v>1.8055555555556047E-2</v>
      </c>
      <c r="E354" s="7">
        <f>ABS(0.018055555555556-0.0173611111111113)</f>
        <v>6.9444444444470219E-4</v>
      </c>
      <c r="F354" s="1" t="s">
        <v>10</v>
      </c>
      <c r="G354" s="1"/>
    </row>
    <row r="355" spans="1:7" x14ac:dyDescent="0.25">
      <c r="A355" s="11">
        <v>42248</v>
      </c>
      <c r="B355" s="7">
        <v>9.1666666666666674E-2</v>
      </c>
      <c r="C355" s="7">
        <v>0.10902777777777778</v>
      </c>
      <c r="D355" s="7">
        <f>(0.109027777777778-0.0916666666666667)</f>
        <v>1.7361111111111299E-2</v>
      </c>
      <c r="E355" s="7">
        <f>ABS(0.0173611111111113-0.017361111111111)</f>
        <v>2.9837243786801082E-16</v>
      </c>
      <c r="F355" s="1" t="s">
        <v>10</v>
      </c>
      <c r="G355" s="1"/>
    </row>
    <row r="356" spans="1:7" x14ac:dyDescent="0.25">
      <c r="A356" s="11">
        <v>42248</v>
      </c>
      <c r="B356" s="7">
        <v>0.44305555555555554</v>
      </c>
      <c r="C356" s="7">
        <v>0.4604166666666667</v>
      </c>
      <c r="D356" s="7">
        <f>(0.460416666666667-0.443055555555556)</f>
        <v>1.7361111111110994E-2</v>
      </c>
      <c r="E356" s="7">
        <f>ABS(0.017361111111111-0.013194444444445)</f>
        <v>4.1666666666660013E-3</v>
      </c>
      <c r="F356" s="1" t="s">
        <v>10</v>
      </c>
      <c r="G356" s="1"/>
    </row>
    <row r="357" spans="1:7" x14ac:dyDescent="0.25">
      <c r="A357" s="11">
        <v>42248</v>
      </c>
      <c r="B357" s="7">
        <v>0.46111111111111108</v>
      </c>
      <c r="C357" s="7">
        <v>0.47430555555555554</v>
      </c>
      <c r="D357" s="7">
        <f>(0.474305555555556-0.461111111111111)</f>
        <v>1.3194444444444953E-2</v>
      </c>
      <c r="E357" s="7">
        <f>ABS(0.013194444444445-0.013888888888889)</f>
        <v>6.9444444444399962E-4</v>
      </c>
      <c r="F357" s="1" t="s">
        <v>10</v>
      </c>
      <c r="G357" s="1"/>
    </row>
    <row r="358" spans="1:7" x14ac:dyDescent="0.25">
      <c r="A358" s="11">
        <v>42248</v>
      </c>
      <c r="B358" s="7">
        <v>0.74513888888888891</v>
      </c>
      <c r="C358" s="7">
        <v>0.75902777777777775</v>
      </c>
      <c r="D358" s="7">
        <f>(0.759027777777778-0.745138888888889)</f>
        <v>1.3888888888888951E-2</v>
      </c>
      <c r="E358" s="7">
        <f>ABS(0.013888888888889-0.0152777777777779)</f>
        <v>1.3888888888889013E-3</v>
      </c>
      <c r="F358" s="1" t="s">
        <v>10</v>
      </c>
      <c r="G358" s="1"/>
    </row>
    <row r="359" spans="1:7" x14ac:dyDescent="0.25">
      <c r="A359" s="11">
        <v>42248</v>
      </c>
      <c r="B359" s="7">
        <v>0.76736111111111116</v>
      </c>
      <c r="C359" s="7">
        <v>0.78263888888888899</v>
      </c>
      <c r="D359" s="7">
        <f>(0.782638888888889-0.767361111111111)</f>
        <v>1.5277777777777946E-2</v>
      </c>
      <c r="E359" s="7">
        <f>ABS(0.0152777777777779-0.013888888888889)</f>
        <v>1.3888888888889013E-3</v>
      </c>
      <c r="F359" s="1" t="s">
        <v>10</v>
      </c>
      <c r="G359" s="1"/>
    </row>
    <row r="360" spans="1:7" x14ac:dyDescent="0.25">
      <c r="A360" s="11">
        <v>42248</v>
      </c>
      <c r="B360" s="7">
        <v>0.92361111111111116</v>
      </c>
      <c r="C360" s="7">
        <v>0.9375</v>
      </c>
      <c r="D360" s="7">
        <f>(0.9375-0.923611111111111)</f>
        <v>1.3888888888888951E-2</v>
      </c>
      <c r="E360" s="7">
        <f>ABS(0.013888888888889-0.040277777777778)</f>
        <v>2.6388888888889003E-2</v>
      </c>
      <c r="F360" s="1" t="s">
        <v>10</v>
      </c>
      <c r="G360" s="1"/>
    </row>
    <row r="361" spans="1:7" x14ac:dyDescent="0.25">
      <c r="A361" s="11">
        <v>42248</v>
      </c>
      <c r="B361" s="7">
        <v>0.31527777777777777</v>
      </c>
      <c r="C361" s="7">
        <v>0.35555555555555557</v>
      </c>
      <c r="D361" s="7">
        <f>(0.355555555555556-0.315277777777778)</f>
        <v>4.0277777777778023E-2</v>
      </c>
      <c r="E361" s="7">
        <f>ABS(0.040277777777778-0.00902777777777697)</f>
        <v>3.1250000000001034E-2</v>
      </c>
      <c r="F361" s="1" t="s">
        <v>10</v>
      </c>
      <c r="G361" s="1"/>
    </row>
    <row r="362" spans="1:7" x14ac:dyDescent="0.25">
      <c r="A362" s="11">
        <v>42248</v>
      </c>
      <c r="B362" s="7">
        <v>0.43541666666666662</v>
      </c>
      <c r="C362" s="7">
        <v>0.44444444444444442</v>
      </c>
      <c r="D362" s="7">
        <f>(0.444444444444444-0.435416666666667)</f>
        <v>9.0277777777769685E-3</v>
      </c>
      <c r="E362" s="7">
        <f>ABS(0.00902777777777697-0.0166666666666659)</f>
        <v>7.6388888888889294E-3</v>
      </c>
      <c r="F362" s="1" t="s">
        <v>10</v>
      </c>
      <c r="G362" s="1"/>
    </row>
    <row r="363" spans="1:7" x14ac:dyDescent="0.25">
      <c r="A363" s="11">
        <v>42248</v>
      </c>
      <c r="B363" s="7">
        <v>0.6166666666666667</v>
      </c>
      <c r="C363" s="7">
        <v>0.6333333333333333</v>
      </c>
      <c r="D363" s="7">
        <f>(0.633333333333333-0.616666666666667)</f>
        <v>1.6666666666665941E-2</v>
      </c>
      <c r="E363" s="7">
        <f>ABS(0.0166666666666659-0.0125)</f>
        <v>4.166666666665899E-3</v>
      </c>
      <c r="F363" s="1" t="s">
        <v>10</v>
      </c>
      <c r="G363" s="1"/>
    </row>
    <row r="364" spans="1:7" x14ac:dyDescent="0.25">
      <c r="A364" s="11">
        <v>42248</v>
      </c>
      <c r="B364" s="7">
        <v>0.6875</v>
      </c>
      <c r="C364" s="7">
        <v>0.70000000000000007</v>
      </c>
      <c r="D364" s="7">
        <f>(0.7-0.6875)</f>
        <v>1.2499999999999956E-2</v>
      </c>
      <c r="E364" s="7">
        <f>ABS(0.0125-0.0381944444444441)</f>
        <v>2.56944444444441E-2</v>
      </c>
      <c r="F364" s="1" t="s">
        <v>10</v>
      </c>
      <c r="G364" s="1"/>
    </row>
    <row r="365" spans="1:7" x14ac:dyDescent="0.25">
      <c r="A365" s="11">
        <v>42248</v>
      </c>
      <c r="B365" s="7">
        <v>0.82152777777777775</v>
      </c>
      <c r="C365" s="7">
        <v>0.85972222222222217</v>
      </c>
      <c r="D365" s="7">
        <f>(0.859722222222222-0.821527777777778)</f>
        <v>3.8194444444444087E-2</v>
      </c>
      <c r="E365" s="7">
        <f>ABS(0.0381944444444441-0.0166666666666669)</f>
        <v>2.1527777777777202E-2</v>
      </c>
      <c r="F365" s="1" t="s">
        <v>10</v>
      </c>
      <c r="G365" s="1"/>
    </row>
    <row r="366" spans="1:7" x14ac:dyDescent="0.25">
      <c r="A366" s="11">
        <v>42248</v>
      </c>
      <c r="B366" s="7">
        <v>0.79722222222222217</v>
      </c>
      <c r="C366" s="7">
        <v>0.81388888888888899</v>
      </c>
      <c r="D366" s="7">
        <f>(0.813888888888889-0.797222222222222)</f>
        <v>1.6666666666666941E-2</v>
      </c>
      <c r="E366" s="7">
        <f>ABS(0.0166666666666669-0.025)</f>
        <v>8.3333333333331025E-3</v>
      </c>
      <c r="F366" s="1" t="s">
        <v>10</v>
      </c>
      <c r="G366" s="1"/>
    </row>
    <row r="367" spans="1:7" x14ac:dyDescent="0.25">
      <c r="A367" s="11">
        <v>42248</v>
      </c>
      <c r="B367" s="7">
        <v>0.45555555555555555</v>
      </c>
      <c r="C367" s="7">
        <v>0.48055555555555557</v>
      </c>
      <c r="D367" s="7">
        <f>(0.480555555555556-0.455555555555556)</f>
        <v>2.5000000000000022E-2</v>
      </c>
      <c r="E367" s="7">
        <f>ABS(0.025-0.023611111111112)</f>
        <v>1.3888888888880027E-3</v>
      </c>
      <c r="F367" s="1" t="s">
        <v>10</v>
      </c>
      <c r="G367" s="1"/>
    </row>
    <row r="368" spans="1:7" x14ac:dyDescent="0.25">
      <c r="A368" s="11">
        <v>42248</v>
      </c>
      <c r="B368" s="7">
        <v>0.45694444444444443</v>
      </c>
      <c r="C368" s="7">
        <v>0.48055555555555557</v>
      </c>
      <c r="D368" s="7">
        <f>(0.480555555555556-0.456944444444444)</f>
        <v>2.3611111111112026E-2</v>
      </c>
      <c r="E368" s="7">
        <f>ABS(0.023611111111112-0.0194444444444439)</f>
        <v>4.1666666666680986E-3</v>
      </c>
      <c r="F368" s="1" t="s">
        <v>10</v>
      </c>
      <c r="G368" s="1"/>
    </row>
    <row r="369" spans="1:7" x14ac:dyDescent="0.25">
      <c r="A369" s="11">
        <v>42248</v>
      </c>
      <c r="B369" s="7">
        <v>0.51874999999999993</v>
      </c>
      <c r="C369" s="7">
        <v>0.53819444444444442</v>
      </c>
      <c r="D369" s="7">
        <f>(0.538194444444444-0.51875)</f>
        <v>1.9444444444443931E-2</v>
      </c>
      <c r="E369" s="7">
        <f>ABS(0.0194444444444439-0.0166666666666669)</f>
        <v>2.7777777777770012E-3</v>
      </c>
      <c r="F369" s="1" t="s">
        <v>10</v>
      </c>
      <c r="G369" s="1"/>
    </row>
    <row r="370" spans="1:7" x14ac:dyDescent="0.25">
      <c r="A370" s="11">
        <v>42248</v>
      </c>
      <c r="B370" s="7">
        <v>0.55138888888888882</v>
      </c>
      <c r="C370" s="7">
        <v>0.56805555555555554</v>
      </c>
      <c r="D370" s="7">
        <f>(0.568055555555556-0.551388888888889)</f>
        <v>1.6666666666666941E-2</v>
      </c>
      <c r="E370" s="7">
        <f>ABS(0.0166666666666669-0.0166666666666669)</f>
        <v>0</v>
      </c>
      <c r="F370" s="1" t="s">
        <v>10</v>
      </c>
      <c r="G370" s="1"/>
    </row>
    <row r="371" spans="1:7" x14ac:dyDescent="0.25">
      <c r="A371" s="11">
        <v>42248</v>
      </c>
      <c r="B371" s="7">
        <v>0.61944444444444446</v>
      </c>
      <c r="C371" s="7">
        <v>0.63611111111111118</v>
      </c>
      <c r="D371" s="7">
        <f>(0.636111111111111-0.619444444444444)</f>
        <v>1.6666666666666941E-2</v>
      </c>
      <c r="E371" s="7">
        <f>ABS(0.0166666666666669-0.0194444444444439)</f>
        <v>2.7777777777770012E-3</v>
      </c>
      <c r="F371" s="1" t="s">
        <v>10</v>
      </c>
      <c r="G371" s="1"/>
    </row>
    <row r="372" spans="1:7" x14ac:dyDescent="0.25">
      <c r="A372" s="11">
        <v>42248</v>
      </c>
      <c r="B372" s="7">
        <v>0.6791666666666667</v>
      </c>
      <c r="C372" s="7">
        <v>0.69861111111111107</v>
      </c>
      <c r="D372" s="7">
        <f>(0.698611111111111-0.679166666666667)</f>
        <v>1.9444444444443931E-2</v>
      </c>
      <c r="E372" s="7">
        <f>ABS(0.0194444444444439-0.053472222222222)</f>
        <v>3.4027777777778101E-2</v>
      </c>
      <c r="F372" s="1" t="s">
        <v>10</v>
      </c>
      <c r="G372" s="1"/>
    </row>
    <row r="373" spans="1:7" x14ac:dyDescent="0.25">
      <c r="A373" s="11">
        <v>42248</v>
      </c>
      <c r="B373" s="7">
        <v>0.69444444444444453</v>
      </c>
      <c r="C373" s="7">
        <v>0.74791666666666667</v>
      </c>
      <c r="D373" s="7">
        <f>(0.747916666666667-0.694444444444445)</f>
        <v>5.3472222222222032E-2</v>
      </c>
      <c r="E373" s="7">
        <f>ABS(0.053472222222222-0.0173611111111119)</f>
        <v>3.6111111111110095E-2</v>
      </c>
      <c r="F373" s="1" t="s">
        <v>10</v>
      </c>
      <c r="G373" s="1"/>
    </row>
    <row r="374" spans="1:7" x14ac:dyDescent="0.25">
      <c r="A374" s="11">
        <v>42248</v>
      </c>
      <c r="B374" s="7">
        <v>0.74305555555555547</v>
      </c>
      <c r="C374" s="7">
        <v>0.76041666666666663</v>
      </c>
      <c r="D374" s="7">
        <f>(0.760416666666667-0.743055555555555)</f>
        <v>1.7361111111111938E-2</v>
      </c>
      <c r="E374" s="7">
        <f>ABS(0.0173611111111119-0.021527777777778)</f>
        <v>4.1666666666661002E-3</v>
      </c>
      <c r="F374" s="1" t="s">
        <v>10</v>
      </c>
      <c r="G374" s="1"/>
    </row>
    <row r="375" spans="1:7" x14ac:dyDescent="0.25">
      <c r="A375" s="11">
        <v>42248</v>
      </c>
      <c r="B375" s="7">
        <v>0.93888888888888899</v>
      </c>
      <c r="C375" s="7">
        <v>0.9604166666666667</v>
      </c>
      <c r="D375" s="7">
        <f>(0.960416666666667-0.938888888888889)</f>
        <v>2.1527777777778034E-2</v>
      </c>
      <c r="E375" s="7">
        <f>ABS(0.021527777777778-0.017361111111111)</f>
        <v>4.1666666666669988E-3</v>
      </c>
      <c r="F375" s="1" t="s">
        <v>10</v>
      </c>
      <c r="G375" s="1"/>
    </row>
    <row r="376" spans="1:7" x14ac:dyDescent="0.25">
      <c r="A376" s="11">
        <v>42248</v>
      </c>
      <c r="B376" s="7">
        <v>0.47361111111111115</v>
      </c>
      <c r="C376" s="7">
        <v>0.4909722222222222</v>
      </c>
      <c r="D376" s="7">
        <f>(0.490972222222222-0.473611111111111)</f>
        <v>1.7361111111110994E-2</v>
      </c>
      <c r="E376" s="7">
        <f>ABS(0.017361111111111-0.019444444444444)</f>
        <v>2.0833333333329998E-3</v>
      </c>
      <c r="F376" s="1" t="s">
        <v>10</v>
      </c>
      <c r="G376" s="1"/>
    </row>
    <row r="377" spans="1:7" x14ac:dyDescent="0.25">
      <c r="A377" s="11">
        <v>42248</v>
      </c>
      <c r="B377" s="7">
        <v>0.50138888888888888</v>
      </c>
      <c r="C377" s="7">
        <v>0.52083333333333337</v>
      </c>
      <c r="D377" s="7">
        <f>(0.520833333333333-0.501388888888889)</f>
        <v>1.9444444444444042E-2</v>
      </c>
      <c r="E377" s="7">
        <f>ABS(0.019444444444444-0.0194444444444449)</f>
        <v>8.9858676055598607E-16</v>
      </c>
      <c r="F377" s="1" t="s">
        <v>10</v>
      </c>
      <c r="G377" s="1"/>
    </row>
    <row r="378" spans="1:7" x14ac:dyDescent="0.25">
      <c r="A378" s="11">
        <v>42248</v>
      </c>
      <c r="B378" s="7">
        <v>0.55694444444444446</v>
      </c>
      <c r="C378" s="7">
        <v>0.57638888888888895</v>
      </c>
      <c r="D378" s="7">
        <f>(0.576388888888889-0.556944444444444)</f>
        <v>1.944444444444493E-2</v>
      </c>
      <c r="E378" s="7">
        <f>ABS(0.0194444444444449-0.0138888888888881)</f>
        <v>5.5555555555567987E-3</v>
      </c>
      <c r="F378" s="1" t="s">
        <v>10</v>
      </c>
      <c r="G378" s="1"/>
    </row>
    <row r="379" spans="1:7" x14ac:dyDescent="0.25">
      <c r="A379" s="11">
        <v>42248</v>
      </c>
      <c r="B379" s="7">
        <v>0.69930555555555562</v>
      </c>
      <c r="C379" s="7">
        <v>0.71319444444444446</v>
      </c>
      <c r="D379" s="7">
        <f>(0.713194444444444-0.699305555555556)</f>
        <v>1.3888888888888062E-2</v>
      </c>
      <c r="E379" s="7">
        <f>ABS(0.0138888888888881-0.01875)</f>
        <v>4.8611111111118988E-3</v>
      </c>
      <c r="F379" s="1" t="s">
        <v>10</v>
      </c>
      <c r="G379" s="1"/>
    </row>
    <row r="380" spans="1:7" x14ac:dyDescent="0.25">
      <c r="A380" s="11">
        <v>42248</v>
      </c>
      <c r="B380" s="7">
        <v>0.72222222222222221</v>
      </c>
      <c r="C380" s="7">
        <v>0.74097222222222225</v>
      </c>
      <c r="D380" s="7">
        <f>(0.740972222222222-0.722222222222222)</f>
        <v>1.8750000000000044E-2</v>
      </c>
      <c r="E380" s="7">
        <f>ABS(0.01875-0.018055555555556)</f>
        <v>6.9444444444399789E-4</v>
      </c>
      <c r="F380" s="1" t="s">
        <v>10</v>
      </c>
      <c r="G380" s="1"/>
    </row>
    <row r="381" spans="1:7" x14ac:dyDescent="0.25">
      <c r="A381" s="11">
        <v>42248</v>
      </c>
      <c r="B381" s="7">
        <v>0.8569444444444444</v>
      </c>
      <c r="C381" s="7">
        <v>0.875</v>
      </c>
      <c r="D381" s="7">
        <f>(0.875-0.856944444444444)</f>
        <v>1.8055555555556047E-2</v>
      </c>
      <c r="E381" s="7">
        <f>ABS(0.018055555555556-0.0180555555555559)</f>
        <v>1.0061396160665481E-16</v>
      </c>
      <c r="F381" s="1" t="s">
        <v>10</v>
      </c>
      <c r="G381" s="1"/>
    </row>
    <row r="382" spans="1:7" x14ac:dyDescent="0.25">
      <c r="A382" s="11">
        <v>42248</v>
      </c>
      <c r="B382" s="7">
        <v>0.86111111111111116</v>
      </c>
      <c r="C382" s="7">
        <v>0.87916666666666676</v>
      </c>
      <c r="D382" s="7">
        <f>(0.879166666666667-0.861111111111111)</f>
        <v>1.8055555555555935E-2</v>
      </c>
      <c r="E382" s="7">
        <f>ABS(0.0180555555555559-0.018055555555556)</f>
        <v>1.0061396160665481E-16</v>
      </c>
      <c r="F382" s="1" t="s">
        <v>10</v>
      </c>
      <c r="G382" s="1"/>
    </row>
    <row r="383" spans="1:7" x14ac:dyDescent="0.25">
      <c r="A383" s="11">
        <v>42248</v>
      </c>
      <c r="B383" s="7">
        <v>0.45208333333333334</v>
      </c>
      <c r="C383" s="7">
        <v>0.47013888888888888</v>
      </c>
      <c r="D383" s="7">
        <f>(0.470138888888889-0.452083333333333)</f>
        <v>1.8055555555555991E-2</v>
      </c>
      <c r="E383" s="7">
        <f>ABS(0.018055555555556-0.013888888888889)</f>
        <v>4.1666666666670023E-3</v>
      </c>
      <c r="F383" s="1" t="s">
        <v>10</v>
      </c>
      <c r="G383" s="1"/>
    </row>
    <row r="384" spans="1:7" x14ac:dyDescent="0.25">
      <c r="A384" s="11">
        <v>42248</v>
      </c>
      <c r="B384" s="7">
        <v>0.20486111111111113</v>
      </c>
      <c r="C384" s="7">
        <v>0.21875</v>
      </c>
      <c r="D384" s="7">
        <f>(0.21875-0.204861111111111)</f>
        <v>1.3888888888889006E-2</v>
      </c>
      <c r="E384" s="7">
        <f>ABS(0.013888888888889-0.028472222222222)</f>
        <v>1.4583333333333E-2</v>
      </c>
      <c r="F384" s="1" t="s">
        <v>10</v>
      </c>
      <c r="G384" s="1"/>
    </row>
    <row r="385" spans="1:7" x14ac:dyDescent="0.25">
      <c r="A385" s="11">
        <v>42248</v>
      </c>
      <c r="B385" s="7">
        <v>0.39374999999999999</v>
      </c>
      <c r="C385" s="7">
        <v>0.42222222222222222</v>
      </c>
      <c r="D385" s="7">
        <f>(0.422222222222222-0.39375)</f>
        <v>2.847222222222201E-2</v>
      </c>
      <c r="E385" s="7">
        <f>ABS(0.028472222222222-0.017361111111112)</f>
        <v>1.111111111111E-2</v>
      </c>
      <c r="F385" s="1" t="s">
        <v>10</v>
      </c>
      <c r="G385" s="1"/>
    </row>
    <row r="386" spans="1:7" x14ac:dyDescent="0.25">
      <c r="A386" s="11">
        <v>42248</v>
      </c>
      <c r="B386" s="7">
        <v>0.42083333333333334</v>
      </c>
      <c r="C386" s="7">
        <v>0.4381944444444445</v>
      </c>
      <c r="D386" s="7">
        <f>(0.438194444444445-0.420833333333333)</f>
        <v>1.7361111111111993E-2</v>
      </c>
      <c r="E386" s="7">
        <f>ABS(0.017361111111112-0.020833333333333)</f>
        <v>3.472222222220999E-3</v>
      </c>
      <c r="F386" s="1" t="s">
        <v>10</v>
      </c>
      <c r="G386" s="1"/>
    </row>
    <row r="387" spans="1:7" x14ac:dyDescent="0.25">
      <c r="A387" s="11">
        <v>42248</v>
      </c>
      <c r="B387" s="7">
        <v>0.4680555555555555</v>
      </c>
      <c r="C387" s="7">
        <v>0.48888888888888887</v>
      </c>
      <c r="D387" s="7">
        <f>(0.488888888888889-0.468055555555556)</f>
        <v>2.0833333333332982E-2</v>
      </c>
      <c r="E387" s="7">
        <f>ABS(0.020833333333333-0.0166666666666671)</f>
        <v>4.166666666665899E-3</v>
      </c>
      <c r="F387" s="1" t="s">
        <v>10</v>
      </c>
      <c r="G387" s="1"/>
    </row>
    <row r="388" spans="1:7" x14ac:dyDescent="0.25">
      <c r="A388" s="11">
        <v>42248</v>
      </c>
      <c r="B388" s="7">
        <v>0.59583333333333333</v>
      </c>
      <c r="C388" s="7">
        <v>0.61249999999999993</v>
      </c>
      <c r="D388" s="7">
        <f>(0.6125-0.595833333333333)</f>
        <v>1.6666666666667052E-2</v>
      </c>
      <c r="E388" s="7">
        <f>ABS(0.0166666666666671-0.0166666666666671)</f>
        <v>0</v>
      </c>
      <c r="F388" s="1" t="s">
        <v>10</v>
      </c>
      <c r="G388" s="1"/>
    </row>
    <row r="389" spans="1:7" x14ac:dyDescent="0.25">
      <c r="A389" s="11">
        <v>42248</v>
      </c>
      <c r="B389" s="7">
        <v>0.625</v>
      </c>
      <c r="C389" s="7">
        <v>0.64166666666666672</v>
      </c>
      <c r="D389" s="7">
        <f>(0.641666666666667-0.625)</f>
        <v>1.6666666666667052E-2</v>
      </c>
      <c r="E389" s="7">
        <f>ABS(0.0166666666666671-0.027083333333333)</f>
        <v>1.0416666666665901E-2</v>
      </c>
      <c r="F389" s="1" t="s">
        <v>10</v>
      </c>
      <c r="G389" s="1"/>
    </row>
    <row r="390" spans="1:7" x14ac:dyDescent="0.25">
      <c r="A390" s="11">
        <v>42248</v>
      </c>
      <c r="B390" s="7">
        <v>0.43541666666666662</v>
      </c>
      <c r="C390" s="7">
        <v>0.46249999999999997</v>
      </c>
      <c r="D390" s="7">
        <f>(0.4625-0.435416666666667)</f>
        <v>2.7083333333333015E-2</v>
      </c>
      <c r="E390" s="7">
        <f>ABS(0.027083333333333-0.0208333333333329)</f>
        <v>6.2500000000001027E-3</v>
      </c>
      <c r="F390" s="1" t="s">
        <v>10</v>
      </c>
      <c r="G390" s="1"/>
    </row>
    <row r="391" spans="1:7" x14ac:dyDescent="0.25">
      <c r="A391" s="11">
        <v>42248</v>
      </c>
      <c r="B391" s="7">
        <v>0.57986111111111105</v>
      </c>
      <c r="C391" s="7">
        <v>0.60069444444444442</v>
      </c>
      <c r="D391" s="7">
        <f>(0.600694444444444-0.579861111111111)</f>
        <v>2.0833333333332926E-2</v>
      </c>
      <c r="E391" s="7">
        <f>ABS(0.0208333333333329-0.0152777777777781)</f>
        <v>5.5555555555547986E-3</v>
      </c>
      <c r="F391" s="1" t="s">
        <v>10</v>
      </c>
      <c r="G391" s="1"/>
    </row>
    <row r="392" spans="1:7" x14ac:dyDescent="0.25">
      <c r="A392" s="11">
        <v>42248</v>
      </c>
      <c r="B392" s="7">
        <v>0.97986111111111107</v>
      </c>
      <c r="C392" s="7">
        <v>0.99513888888888891</v>
      </c>
      <c r="D392" s="7">
        <f>(0.995138888888889-0.979861111111111)</f>
        <v>1.5277777777778057E-2</v>
      </c>
      <c r="E392" s="7">
        <f>ABS(0.0152777777777781-0.0131944444444451)</f>
        <v>2.0833333333329998E-3</v>
      </c>
      <c r="F392" s="1" t="s">
        <v>10</v>
      </c>
      <c r="G392" s="1"/>
    </row>
    <row r="393" spans="1:7" x14ac:dyDescent="0.25">
      <c r="A393" s="11">
        <v>42248</v>
      </c>
      <c r="B393" s="7">
        <v>0.51111111111111118</v>
      </c>
      <c r="C393" s="7">
        <v>0.52430555555555558</v>
      </c>
      <c r="D393" s="7">
        <f>(0.524305555555556-0.511111111111111)</f>
        <v>1.3194444444445064E-2</v>
      </c>
      <c r="E393" s="7">
        <f>ABS(0.0131944444444451-0.0166666666666661)</f>
        <v>3.4722222222210008E-3</v>
      </c>
      <c r="F393" s="1" t="s">
        <v>10</v>
      </c>
      <c r="G393" s="1"/>
    </row>
    <row r="394" spans="1:7" x14ac:dyDescent="0.25">
      <c r="A394" s="11">
        <v>42248</v>
      </c>
      <c r="B394" s="7">
        <v>0.53402777777777777</v>
      </c>
      <c r="C394" s="7">
        <v>0.55069444444444449</v>
      </c>
      <c r="D394" s="7">
        <f>(0.550694444444444-0.534027777777778)</f>
        <v>1.6666666666666052E-2</v>
      </c>
      <c r="E394" s="7">
        <f>ABS(0.0166666666666661-0.017361111111111)</f>
        <v>6.9444444444489994E-4</v>
      </c>
      <c r="F394" s="1" t="s">
        <v>10</v>
      </c>
      <c r="G394" s="1"/>
    </row>
    <row r="395" spans="1:7" x14ac:dyDescent="0.25">
      <c r="A395" s="11">
        <v>42248</v>
      </c>
      <c r="B395" s="7">
        <v>0.4152777777777778</v>
      </c>
      <c r="C395" s="7">
        <v>0.43263888888888885</v>
      </c>
      <c r="D395" s="7">
        <f>(0.432638888888889-0.415277777777778)</f>
        <v>1.7361111111110994E-2</v>
      </c>
      <c r="E395" s="7">
        <f>ABS(0.017361111111111-0.0166666666666669)</f>
        <v>6.9444444444410197E-4</v>
      </c>
      <c r="F395" s="1" t="s">
        <v>10</v>
      </c>
      <c r="G395" s="1"/>
    </row>
    <row r="396" spans="1:7" x14ac:dyDescent="0.25">
      <c r="A396" s="11">
        <v>42248</v>
      </c>
      <c r="B396" s="7">
        <v>0.76944444444444438</v>
      </c>
      <c r="C396" s="7">
        <v>0.78611111111111109</v>
      </c>
      <c r="D396" s="7">
        <f>(0.786111111111111-0.769444444444444)</f>
        <v>1.6666666666666941E-2</v>
      </c>
      <c r="E396" s="7">
        <f>ABS(0.0166666666666669-0.0152777777777771)</f>
        <v>1.3888888888897982E-3</v>
      </c>
      <c r="F396" s="1" t="s">
        <v>10</v>
      </c>
      <c r="G396" s="1"/>
    </row>
    <row r="397" spans="1:7" x14ac:dyDescent="0.25">
      <c r="A397" s="11">
        <v>42248</v>
      </c>
      <c r="B397" s="7">
        <v>0.85555555555555562</v>
      </c>
      <c r="C397" s="7">
        <v>0.87083333333333324</v>
      </c>
      <c r="D397" s="7">
        <f>(0.870833333333333-0.855555555555556)</f>
        <v>1.5277777777777057E-2</v>
      </c>
      <c r="E397" s="7">
        <f>ABS(0.0152777777777771-0.0243055555555556)</f>
        <v>9.0277777777785003E-3</v>
      </c>
      <c r="F397" s="1" t="s">
        <v>10</v>
      </c>
      <c r="G397" s="1"/>
    </row>
    <row r="398" spans="1:7" x14ac:dyDescent="0.25">
      <c r="A398" s="11">
        <v>42248</v>
      </c>
      <c r="B398" s="7">
        <v>3.3333333333333333E-2</v>
      </c>
      <c r="C398" s="7">
        <v>5.7638888888888885E-2</v>
      </c>
      <c r="D398" s="7">
        <f>(0.0576388888888889-0.0333333333333333)</f>
        <v>2.4305555555555601E-2</v>
      </c>
      <c r="E398" s="7">
        <f>ABS(0.0243055555555556-0.016666666666667)</f>
        <v>7.6388888888886015E-3</v>
      </c>
      <c r="F398" s="1" t="s">
        <v>10</v>
      </c>
      <c r="G398" s="1"/>
    </row>
    <row r="399" spans="1:7" x14ac:dyDescent="0.25">
      <c r="A399" s="11">
        <v>42248</v>
      </c>
      <c r="B399" s="7">
        <v>0.39999999999999997</v>
      </c>
      <c r="C399" s="7">
        <v>0.41666666666666669</v>
      </c>
      <c r="D399" s="7">
        <f>(0.416666666666667-0.4)</f>
        <v>1.6666666666666996E-2</v>
      </c>
      <c r="E399" s="7">
        <f>ABS(0.016666666666667-0.0166666666666659)</f>
        <v>1.0998146837692957E-15</v>
      </c>
      <c r="F399" s="1" t="s">
        <v>10</v>
      </c>
      <c r="G399" s="1"/>
    </row>
    <row r="400" spans="1:7" x14ac:dyDescent="0.25">
      <c r="A400" s="11">
        <v>42248</v>
      </c>
      <c r="B400" s="7">
        <v>0.56041666666666667</v>
      </c>
      <c r="C400" s="7">
        <v>0.57708333333333328</v>
      </c>
      <c r="D400" s="7">
        <f>(0.577083333333333-0.560416666666667)</f>
        <v>1.6666666666665941E-2</v>
      </c>
      <c r="E400" s="7">
        <f>ABS(0.0166666666666659-0.011805555555556)</f>
        <v>4.8611111111099004E-3</v>
      </c>
      <c r="F400" s="1" t="s">
        <v>10</v>
      </c>
      <c r="G400" s="1"/>
    </row>
    <row r="401" spans="1:7" x14ac:dyDescent="0.25">
      <c r="A401" s="11">
        <v>42248</v>
      </c>
      <c r="B401" s="7">
        <v>0.65486111111111112</v>
      </c>
      <c r="C401" s="7">
        <v>0.66666666666666663</v>
      </c>
      <c r="D401" s="7">
        <f>(0.666666666666667-0.654861111111111)</f>
        <v>1.1805555555555958E-2</v>
      </c>
      <c r="E401" s="7">
        <f>ABS(0.011805555555556-0.019444444444444)</f>
        <v>7.6388888888880013E-3</v>
      </c>
      <c r="F401" s="1" t="s">
        <v>10</v>
      </c>
      <c r="G401" s="1"/>
    </row>
    <row r="402" spans="1:7" x14ac:dyDescent="0.25">
      <c r="A402" s="11">
        <v>42248</v>
      </c>
      <c r="B402" s="7">
        <v>0.84375</v>
      </c>
      <c r="C402" s="7">
        <v>0.86319444444444438</v>
      </c>
      <c r="D402" s="7">
        <f>(0.863194444444444-0.84375)</f>
        <v>1.9444444444444042E-2</v>
      </c>
      <c r="E402" s="7">
        <f>ABS(0.019444444444444-0.0145833333333329)</f>
        <v>4.8611111111111008E-3</v>
      </c>
      <c r="F402" s="1" t="s">
        <v>10</v>
      </c>
      <c r="G402" s="1"/>
    </row>
    <row r="403" spans="1:7" x14ac:dyDescent="0.25">
      <c r="A403" s="11">
        <v>42248</v>
      </c>
      <c r="B403" s="7">
        <v>0.86041666666666661</v>
      </c>
      <c r="C403" s="7">
        <v>0.875</v>
      </c>
      <c r="D403" s="7">
        <f>(0.875-0.860416666666667)</f>
        <v>1.4583333333332948E-2</v>
      </c>
      <c r="E403" s="7">
        <f>ABS(0.0145833333333329-0.013194444444445)</f>
        <v>1.3888888888879004E-3</v>
      </c>
      <c r="F403" s="1" t="s">
        <v>10</v>
      </c>
      <c r="G403" s="1"/>
    </row>
    <row r="404" spans="1:7" x14ac:dyDescent="0.25">
      <c r="A404" s="11">
        <v>42248</v>
      </c>
      <c r="B404" s="7">
        <v>0.89236111111111116</v>
      </c>
      <c r="C404" s="7">
        <v>0.90555555555555556</v>
      </c>
      <c r="D404" s="7">
        <f>(0.905555555555556-0.892361111111111)</f>
        <v>1.3194444444444953E-2</v>
      </c>
      <c r="E404" s="7">
        <f>ABS(0.013194444444445-0.0152777777777781)</f>
        <v>2.0833333333331004E-3</v>
      </c>
      <c r="F404" s="1" t="s">
        <v>10</v>
      </c>
      <c r="G404" s="1"/>
    </row>
    <row r="405" spans="1:7" x14ac:dyDescent="0.25">
      <c r="A405" s="11">
        <v>42248</v>
      </c>
      <c r="B405" s="7">
        <v>0.91736111111111107</v>
      </c>
      <c r="C405" s="7">
        <v>0.93263888888888891</v>
      </c>
      <c r="D405" s="7">
        <f>(0.932638888888889-0.917361111111111)</f>
        <v>1.5277777777778057E-2</v>
      </c>
      <c r="E405" s="7">
        <f>ABS(0.0152777777777781-0.027777777777782)</f>
        <v>1.2500000000003899E-2</v>
      </c>
      <c r="F405" s="1" t="s">
        <v>10</v>
      </c>
      <c r="G405" s="1"/>
    </row>
    <row r="406" spans="1:7" x14ac:dyDescent="0.25">
      <c r="A406" s="11">
        <v>42248</v>
      </c>
      <c r="B406" s="7">
        <v>0.97777777777777775</v>
      </c>
      <c r="C406" s="7">
        <v>1.0055555555555555</v>
      </c>
      <c r="D406" s="7">
        <f>(1.00555555555556-0.977777777777778)</f>
        <v>2.7777777777782009E-2</v>
      </c>
      <c r="E406" s="7">
        <f>ABS(0.027777777777782-0.023611111111111)</f>
        <v>4.1666666666709991E-3</v>
      </c>
      <c r="F406" s="1" t="s">
        <v>10</v>
      </c>
      <c r="G406" s="1"/>
    </row>
    <row r="407" spans="1:7" x14ac:dyDescent="0.25">
      <c r="A407" s="11">
        <v>42248</v>
      </c>
      <c r="B407" s="7">
        <v>0.27152777777777776</v>
      </c>
      <c r="C407" s="7">
        <v>0.2951388888888889</v>
      </c>
      <c r="D407" s="7">
        <f>(0.295138888888889-0.271527777777778)</f>
        <v>2.3611111111111027E-2</v>
      </c>
      <c r="E407" s="7">
        <f>ABS(0.023611111111111-0.017361111111111)</f>
        <v>6.2499999999999986E-3</v>
      </c>
      <c r="F407" s="1" t="s">
        <v>10</v>
      </c>
      <c r="G407" s="1"/>
    </row>
    <row r="408" spans="1:7" x14ac:dyDescent="0.25">
      <c r="A408" s="11">
        <v>42248</v>
      </c>
      <c r="B408" s="7">
        <v>0.50902777777777775</v>
      </c>
      <c r="C408" s="7">
        <v>0.52638888888888891</v>
      </c>
      <c r="D408" s="7">
        <f>(0.526388888888889-0.509027777777778)</f>
        <v>1.7361111111111049E-2</v>
      </c>
      <c r="E408" s="7">
        <f>ABS(0.017361111111111-0.022916666666667)</f>
        <v>5.5555555555560007E-3</v>
      </c>
      <c r="F408" s="1" t="s">
        <v>10</v>
      </c>
      <c r="G408" s="1"/>
    </row>
    <row r="409" spans="1:7" x14ac:dyDescent="0.25">
      <c r="A409" s="11">
        <v>42248</v>
      </c>
      <c r="B409" s="7">
        <v>0.49861111111111112</v>
      </c>
      <c r="C409" s="7">
        <v>0.52152777777777781</v>
      </c>
      <c r="D409" s="7">
        <f>(0.521527777777778-0.498611111111111)</f>
        <v>2.2916666666667029E-2</v>
      </c>
      <c r="E409" s="7">
        <f>ABS(0.022916666666667-0.028472222222222)</f>
        <v>5.5555555555549981E-3</v>
      </c>
      <c r="F409" s="1" t="s">
        <v>10</v>
      </c>
      <c r="G409" s="1"/>
    </row>
    <row r="410" spans="1:7" x14ac:dyDescent="0.25">
      <c r="A410" s="11">
        <v>42248</v>
      </c>
      <c r="B410" s="7">
        <v>0.73125000000000007</v>
      </c>
      <c r="C410" s="7">
        <v>0.7597222222222223</v>
      </c>
      <c r="D410" s="7">
        <f>(0.759722222222222-0.73125)</f>
        <v>2.847222222222201E-2</v>
      </c>
      <c r="E410" s="7">
        <f>ABS(0.028472222222222-0.0173611111111109)</f>
        <v>1.1111111111111099E-2</v>
      </c>
      <c r="F410" s="1" t="s">
        <v>10</v>
      </c>
      <c r="G410" s="1"/>
    </row>
    <row r="411" spans="1:7" x14ac:dyDescent="0.25">
      <c r="A411" s="11">
        <v>42248</v>
      </c>
      <c r="B411" s="7">
        <v>0.80902777777777779</v>
      </c>
      <c r="C411" s="7">
        <v>0.82638888888888884</v>
      </c>
      <c r="D411" s="7">
        <f>(0.826388888888889-0.809027777777778)</f>
        <v>1.7361111111110938E-2</v>
      </c>
      <c r="E411" s="7">
        <f>ABS(0.0173611111111109-0.0152777777777779)</f>
        <v>2.0833333333329998E-3</v>
      </c>
      <c r="F411" s="1" t="s">
        <v>10</v>
      </c>
      <c r="G411" s="1"/>
    </row>
    <row r="412" spans="1:7" x14ac:dyDescent="0.25">
      <c r="A412" s="11">
        <v>42248</v>
      </c>
      <c r="B412" s="7">
        <v>0.9590277777777777</v>
      </c>
      <c r="C412" s="7">
        <v>0.97430555555555554</v>
      </c>
      <c r="D412" s="7">
        <f>(0.974305555555556-0.959027777777778)</f>
        <v>1.5277777777777946E-2</v>
      </c>
      <c r="E412" s="7">
        <f>ABS(0.0152777777777779-0.0145833333333311)</f>
        <v>6.944444444468012E-4</v>
      </c>
      <c r="F412" s="1" t="s">
        <v>10</v>
      </c>
      <c r="G412" s="1"/>
    </row>
    <row r="413" spans="1:7" x14ac:dyDescent="0.25">
      <c r="A413" s="11">
        <v>42248</v>
      </c>
      <c r="B413" s="7">
        <v>0.98888888888888893</v>
      </c>
      <c r="C413" s="7">
        <v>1.0034722222222221</v>
      </c>
      <c r="D413" s="7">
        <f>(1.00347222222222-0.988888888888889)</f>
        <v>1.4583333333331061E-2</v>
      </c>
      <c r="E413" s="7">
        <f>ABS(0.0145833333333311-0.01736111111112)</f>
        <v>2.7777777777889014E-3</v>
      </c>
      <c r="F413" s="1" t="s">
        <v>10</v>
      </c>
      <c r="G413" s="1"/>
    </row>
    <row r="414" spans="1:7" x14ac:dyDescent="0.25">
      <c r="A414" s="11">
        <v>42248</v>
      </c>
      <c r="B414" s="7">
        <v>1.0194444444444444</v>
      </c>
      <c r="C414" s="7">
        <v>1.0368055555555555</v>
      </c>
      <c r="D414" s="7">
        <f>(1.03680555555556-1.01944444444444)</f>
        <v>1.7361111111120042E-2</v>
      </c>
      <c r="E414" s="7">
        <f>ABS(0.01736111111112-0.015972222222222)</f>
        <v>1.3888888888980017E-3</v>
      </c>
      <c r="F414" s="1" t="s">
        <v>10</v>
      </c>
      <c r="G414" s="1"/>
    </row>
    <row r="415" spans="1:7" x14ac:dyDescent="0.25">
      <c r="A415" s="11">
        <v>42248</v>
      </c>
      <c r="B415" s="7">
        <v>8.7500000000000008E-2</v>
      </c>
      <c r="C415" s="7">
        <v>0.10347222222222223</v>
      </c>
      <c r="D415" s="7">
        <f>(0.103472222222222-0.0875)</f>
        <v>1.5972222222221999E-2</v>
      </c>
      <c r="E415" s="7">
        <f>ABS(0.015972222222222-0.042361111111111)</f>
        <v>2.6388888888889003E-2</v>
      </c>
      <c r="F415" s="1" t="s">
        <v>10</v>
      </c>
      <c r="G415" s="1"/>
    </row>
    <row r="416" spans="1:7" x14ac:dyDescent="0.25">
      <c r="A416" s="11">
        <v>42248</v>
      </c>
      <c r="B416" s="7">
        <v>0.38958333333333334</v>
      </c>
      <c r="C416" s="7">
        <v>0.43194444444444446</v>
      </c>
      <c r="D416" s="7">
        <f>(0.431944444444444-0.389583333333333)</f>
        <v>4.2361111111111016E-2</v>
      </c>
      <c r="E416" s="7">
        <f>ABS(0.042361111111111-0.019444444444444)</f>
        <v>2.2916666666667002E-2</v>
      </c>
      <c r="F416" s="1" t="s">
        <v>10</v>
      </c>
      <c r="G416" s="1"/>
    </row>
    <row r="417" spans="1:7" x14ac:dyDescent="0.25">
      <c r="A417" s="11">
        <v>42248</v>
      </c>
      <c r="B417" s="7">
        <v>0.45624999999999999</v>
      </c>
      <c r="C417" s="7">
        <v>0.47569444444444442</v>
      </c>
      <c r="D417" s="7">
        <f>(0.475694444444444-0.45625)</f>
        <v>1.9444444444443987E-2</v>
      </c>
      <c r="E417" s="7">
        <f>ABS(0.019444444444444-0.018055555555555)</f>
        <v>1.3888888888890019E-3</v>
      </c>
      <c r="F417" s="1" t="s">
        <v>10</v>
      </c>
      <c r="G417" s="1"/>
    </row>
    <row r="418" spans="1:7" x14ac:dyDescent="0.25">
      <c r="A418" s="11">
        <v>42248</v>
      </c>
      <c r="B418" s="7">
        <v>0.46666666666666662</v>
      </c>
      <c r="C418" s="7">
        <v>0.48472222222222222</v>
      </c>
      <c r="D418" s="7">
        <f>(0.484722222222222-0.466666666666667)</f>
        <v>1.8055555555554992E-2</v>
      </c>
      <c r="E418" s="7">
        <f>ABS(0.018055555555555-0.0194444444444449)</f>
        <v>1.3888888888899005E-3</v>
      </c>
      <c r="F418" s="1" t="s">
        <v>10</v>
      </c>
      <c r="G418" s="1"/>
    </row>
    <row r="419" spans="1:7" x14ac:dyDescent="0.25">
      <c r="A419" s="11">
        <v>42248</v>
      </c>
      <c r="B419" s="7">
        <v>0.61458333333333337</v>
      </c>
      <c r="C419" s="7">
        <v>0.63402777777777775</v>
      </c>
      <c r="D419" s="7">
        <f>(0.634027777777778-0.614583333333333)</f>
        <v>1.944444444444493E-2</v>
      </c>
      <c r="E419" s="7">
        <f>ABS(0.0194444444444449-0.038194444444445)</f>
        <v>1.8750000000000103E-2</v>
      </c>
      <c r="F419" s="1" t="s">
        <v>10</v>
      </c>
      <c r="G419" s="1"/>
    </row>
    <row r="420" spans="1:7" x14ac:dyDescent="0.25">
      <c r="A420" s="11">
        <v>42248</v>
      </c>
      <c r="B420" s="7">
        <v>0.62222222222222223</v>
      </c>
      <c r="C420" s="7">
        <v>0.66041666666666665</v>
      </c>
      <c r="D420" s="7">
        <f>(0.660416666666667-0.622222222222222)</f>
        <v>3.8194444444444975E-2</v>
      </c>
      <c r="E420" s="7">
        <f>ABS(0.038194444444445-0.03125)</f>
        <v>6.9444444444450026E-3</v>
      </c>
      <c r="F420" s="1" t="s">
        <v>10</v>
      </c>
      <c r="G420" s="1"/>
    </row>
    <row r="421" spans="1:7" x14ac:dyDescent="0.25">
      <c r="A421" s="11">
        <v>42248</v>
      </c>
      <c r="B421" s="7">
        <v>0.68541666666666667</v>
      </c>
      <c r="C421" s="7">
        <v>0.71666666666666667</v>
      </c>
      <c r="D421" s="7">
        <f>(0.716666666666667-0.685416666666667)</f>
        <v>3.125E-2</v>
      </c>
      <c r="E421" s="7">
        <f>ABS(0.03125-0.0145833333333329)</f>
        <v>1.66666666666671E-2</v>
      </c>
      <c r="F421" s="1" t="s">
        <v>10</v>
      </c>
      <c r="G421" s="1"/>
    </row>
    <row r="422" spans="1:7" x14ac:dyDescent="0.25">
      <c r="A422" s="11">
        <v>42248</v>
      </c>
      <c r="B422" s="7">
        <v>0.93611111111111101</v>
      </c>
      <c r="C422" s="7">
        <v>0.9506944444444444</v>
      </c>
      <c r="D422" s="7">
        <f>(0.950694444444444-0.936111111111111)</f>
        <v>1.4583333333332948E-2</v>
      </c>
      <c r="E422" s="7">
        <f>ABS(0.0145833333333329-0.021527777777778)</f>
        <v>6.9444444444450998E-3</v>
      </c>
      <c r="F422" s="1" t="s">
        <v>10</v>
      </c>
      <c r="G422" s="1"/>
    </row>
    <row r="423" spans="1:7" x14ac:dyDescent="0.25">
      <c r="A423" s="11">
        <v>42248</v>
      </c>
      <c r="B423" s="7">
        <v>0.85763888888888884</v>
      </c>
      <c r="C423" s="7">
        <v>0.87916666666666676</v>
      </c>
      <c r="D423" s="7">
        <f>(0.879166666666667-0.857638888888889)</f>
        <v>2.1527777777778034E-2</v>
      </c>
      <c r="E423" s="7">
        <f>ABS(0.021527777777778-0.020138888888889)</f>
        <v>1.3888888888889984E-3</v>
      </c>
      <c r="F423" s="1" t="s">
        <v>10</v>
      </c>
      <c r="G423" s="1"/>
    </row>
    <row r="424" spans="1:7" x14ac:dyDescent="0.25">
      <c r="A424" s="11">
        <v>42248</v>
      </c>
      <c r="B424" s="7">
        <v>0.85902777777777783</v>
      </c>
      <c r="C424" s="7">
        <v>0.87916666666666676</v>
      </c>
      <c r="D424" s="7">
        <f>(0.879166666666667-0.859027777777778)</f>
        <v>2.0138888888889039E-2</v>
      </c>
      <c r="E424" s="7">
        <f>ABS(0.020138888888889-0.020138888888889)</f>
        <v>0</v>
      </c>
      <c r="F424" s="1" t="s">
        <v>10</v>
      </c>
      <c r="G424" s="1"/>
    </row>
    <row r="425" spans="1:7" x14ac:dyDescent="0.25">
      <c r="A425" s="11">
        <v>42248</v>
      </c>
      <c r="B425" s="7">
        <v>0.94097222222222221</v>
      </c>
      <c r="C425" s="7">
        <v>0.96111111111111114</v>
      </c>
      <c r="D425" s="7">
        <f>(0.961111111111111-0.940972222222222)</f>
        <v>2.0138888888889039E-2</v>
      </c>
      <c r="E425" s="7">
        <f>ABS(0.020138888888889-0.023611111111111)</f>
        <v>3.4722222222219983E-3</v>
      </c>
      <c r="F425" s="1" t="s">
        <v>10</v>
      </c>
      <c r="G425" s="1"/>
    </row>
    <row r="426" spans="1:7" x14ac:dyDescent="0.25">
      <c r="A426" s="11">
        <v>42248</v>
      </c>
      <c r="B426" s="7">
        <v>0.54097222222222219</v>
      </c>
      <c r="C426" s="7">
        <v>0.56458333333333333</v>
      </c>
      <c r="D426" s="7">
        <f>(0.564583333333333-0.540972222222222)</f>
        <v>2.3611111111111027E-2</v>
      </c>
      <c r="E426" s="7">
        <f>ABS(0.023611111111111-0.0159722222222229)</f>
        <v>7.6388888888880985E-3</v>
      </c>
      <c r="F426" s="1" t="s">
        <v>10</v>
      </c>
      <c r="G426" s="1"/>
    </row>
    <row r="427" spans="1:7" x14ac:dyDescent="0.25">
      <c r="A427" s="11">
        <v>42248</v>
      </c>
      <c r="B427" s="7">
        <v>0.70833333333333337</v>
      </c>
      <c r="C427" s="7">
        <v>0.72430555555555554</v>
      </c>
      <c r="D427" s="7">
        <f>(0.724305555555556-0.708333333333333)</f>
        <v>1.5972222222222943E-2</v>
      </c>
      <c r="E427" s="7">
        <f>ABS(0.0159722222222229-0.019444444444444)</f>
        <v>3.4722222222210997E-3</v>
      </c>
      <c r="F427" s="1" t="s">
        <v>10</v>
      </c>
      <c r="G427" s="1"/>
    </row>
    <row r="428" spans="1:7" x14ac:dyDescent="0.25">
      <c r="A428" s="11">
        <v>42248</v>
      </c>
      <c r="B428" s="7">
        <v>0.87638888888888899</v>
      </c>
      <c r="C428" s="7">
        <v>0.89583333333333337</v>
      </c>
      <c r="D428" s="7">
        <f>(0.895833333333333-0.876388888888889)</f>
        <v>1.9444444444444042E-2</v>
      </c>
      <c r="E428" s="7">
        <f>ABS(0.019444444444444-0.0159722222222221)</f>
        <v>3.4722222222219011E-3</v>
      </c>
      <c r="F428" s="1" t="s">
        <v>10</v>
      </c>
      <c r="G428" s="1"/>
    </row>
    <row r="429" spans="1:7" x14ac:dyDescent="0.25">
      <c r="A429" s="11">
        <v>42248</v>
      </c>
      <c r="B429" s="7">
        <v>0.87986111111111109</v>
      </c>
      <c r="C429" s="7">
        <v>0.89583333333333337</v>
      </c>
      <c r="D429" s="7">
        <f>(0.895833333333333-0.879861111111111)</f>
        <v>1.5972222222222054E-2</v>
      </c>
      <c r="E429" s="7">
        <f>ABS(0.0159722222222221-0.020138888888889)</f>
        <v>4.1666666666669017E-3</v>
      </c>
      <c r="F429" s="1" t="s">
        <v>10</v>
      </c>
      <c r="G429" s="1"/>
    </row>
    <row r="430" spans="1:7" x14ac:dyDescent="0.25">
      <c r="A430" s="11">
        <v>42248</v>
      </c>
      <c r="B430" s="7">
        <v>0.43541666666666662</v>
      </c>
      <c r="C430" s="7">
        <v>0.45555555555555555</v>
      </c>
      <c r="D430" s="7">
        <f>(0.455555555555556-0.435416666666667)</f>
        <v>2.0138888888888984E-2</v>
      </c>
      <c r="E430" s="7">
        <f>ABS(0.020138888888889-0.020138888888889)</f>
        <v>0</v>
      </c>
      <c r="F430" s="1" t="s">
        <v>10</v>
      </c>
      <c r="G430" s="1"/>
    </row>
    <row r="431" spans="1:7" x14ac:dyDescent="0.25">
      <c r="A431" s="11">
        <v>42248</v>
      </c>
      <c r="B431" s="7">
        <v>0.4513888888888889</v>
      </c>
      <c r="C431" s="7">
        <v>0.47152777777777777</v>
      </c>
      <c r="D431" s="7">
        <f>(0.471527777777778-0.451388888888889)</f>
        <v>2.0138888888888984E-2</v>
      </c>
      <c r="E431" s="7">
        <f>ABS(0.020138888888889-0.011805555555556)</f>
        <v>8.3333333333330019E-3</v>
      </c>
      <c r="F431" s="1" t="s">
        <v>10</v>
      </c>
      <c r="G431" s="1"/>
    </row>
    <row r="432" spans="1:7" x14ac:dyDescent="0.25">
      <c r="A432" s="11">
        <v>42248</v>
      </c>
      <c r="B432" s="7">
        <v>0.65486111111111112</v>
      </c>
      <c r="C432" s="7">
        <v>0.66666666666666663</v>
      </c>
      <c r="D432" s="7">
        <f>(0.666666666666667-0.654861111111111)</f>
        <v>1.1805555555555958E-2</v>
      </c>
      <c r="E432" s="7">
        <f>ABS(0.011805555555556-0.0145833333333329)</f>
        <v>2.7777777777769005E-3</v>
      </c>
      <c r="F432" s="1" t="s">
        <v>10</v>
      </c>
      <c r="G432" s="1"/>
    </row>
    <row r="433" spans="1:7" x14ac:dyDescent="0.25">
      <c r="A433" s="11">
        <v>42248</v>
      </c>
      <c r="B433" s="7">
        <v>0.84027777777777779</v>
      </c>
      <c r="C433" s="7">
        <v>0.85486111111111107</v>
      </c>
      <c r="D433" s="7">
        <f>(0.854861111111111-0.840277777777778)</f>
        <v>1.4583333333332948E-2</v>
      </c>
      <c r="E433" s="7">
        <f>ABS(0.0145833333333329-0.0152777777777781)</f>
        <v>6.9444444444520005E-4</v>
      </c>
      <c r="F433" s="1" t="s">
        <v>10</v>
      </c>
      <c r="G433" s="1"/>
    </row>
    <row r="434" spans="1:7" x14ac:dyDescent="0.25">
      <c r="A434" s="11">
        <v>42248</v>
      </c>
      <c r="B434" s="7">
        <v>0.85833333333333339</v>
      </c>
      <c r="C434" s="7">
        <v>0.87361111111111101</v>
      </c>
      <c r="D434" s="7">
        <f>(0.873611111111111-0.858333333333333)</f>
        <v>1.5277777777778057E-2</v>
      </c>
      <c r="E434" s="7">
        <f>ABS(0.0152777777777781-0.0152777777777778)</f>
        <v>3.0010716134398763E-16</v>
      </c>
      <c r="F434" s="1" t="s">
        <v>10</v>
      </c>
      <c r="G434" s="1"/>
    </row>
    <row r="435" spans="1:7" x14ac:dyDescent="0.25">
      <c r="A435" s="11">
        <v>42248</v>
      </c>
      <c r="B435" s="7">
        <v>5.6944444444444443E-2</v>
      </c>
      <c r="C435" s="7">
        <v>7.2222222222222229E-2</v>
      </c>
      <c r="D435" s="7">
        <f>(0.0722222222222222-0.0569444444444444)</f>
        <v>1.52777777777778E-2</v>
      </c>
      <c r="E435" s="7">
        <f>ABS(0.0152777777777778-0.021527777777778)</f>
        <v>6.2500000000001998E-3</v>
      </c>
      <c r="F435" s="1" t="s">
        <v>10</v>
      </c>
      <c r="G435" s="1"/>
    </row>
    <row r="436" spans="1:7" x14ac:dyDescent="0.25">
      <c r="A436" s="11">
        <v>42248</v>
      </c>
      <c r="B436" s="7">
        <v>0.30694444444444441</v>
      </c>
      <c r="C436" s="7">
        <v>0.32847222222222222</v>
      </c>
      <c r="D436" s="7">
        <f>(0.328472222222222-0.306944444444444)</f>
        <v>2.1527777777777979E-2</v>
      </c>
      <c r="E436" s="7">
        <f>ABS(0.021527777777778-0.016666666666667)</f>
        <v>4.8611111111110002E-3</v>
      </c>
      <c r="F436" s="1" t="s">
        <v>10</v>
      </c>
      <c r="G436" s="1"/>
    </row>
    <row r="437" spans="1:7" x14ac:dyDescent="0.25">
      <c r="A437" s="11">
        <v>42248</v>
      </c>
      <c r="B437" s="7">
        <v>0.32500000000000001</v>
      </c>
      <c r="C437" s="7">
        <v>0.34166666666666662</v>
      </c>
      <c r="D437" s="7">
        <f>(0.341666666666667-0.325)</f>
        <v>1.6666666666666996E-2</v>
      </c>
      <c r="E437" s="7">
        <f>ABS(0.016666666666667-0.013194444444445)</f>
        <v>3.472222222222E-3</v>
      </c>
      <c r="F437" s="1" t="s">
        <v>10</v>
      </c>
      <c r="G437" s="1"/>
    </row>
    <row r="438" spans="1:7" x14ac:dyDescent="0.25">
      <c r="A438" s="11">
        <v>42248</v>
      </c>
      <c r="B438" s="7">
        <v>0.39861111111111108</v>
      </c>
      <c r="C438" s="7">
        <v>0.41180555555555554</v>
      </c>
      <c r="D438" s="7">
        <f>(0.411805555555556-0.398611111111111)</f>
        <v>1.3194444444444953E-2</v>
      </c>
      <c r="E438" s="7">
        <f>ABS(0.013194444444445-0.00833333333333303)</f>
        <v>4.8611111111119699E-3</v>
      </c>
      <c r="F438" s="1" t="s">
        <v>10</v>
      </c>
      <c r="G438" s="1"/>
    </row>
    <row r="439" spans="1:7" x14ac:dyDescent="0.25">
      <c r="A439" s="11">
        <v>42248</v>
      </c>
      <c r="B439" s="7">
        <v>0.45763888888888887</v>
      </c>
      <c r="C439" s="7">
        <v>0.46597222222222223</v>
      </c>
      <c r="D439" s="7">
        <f>(0.465972222222222-0.457638888888889)</f>
        <v>8.3333333333330262E-3</v>
      </c>
      <c r="E439" s="7">
        <f>ABS(0.00833333333333303-0.0194444444444449)</f>
        <v>1.111111111111187E-2</v>
      </c>
      <c r="F439" s="1" t="s">
        <v>10</v>
      </c>
      <c r="G439" s="1"/>
    </row>
    <row r="440" spans="1:7" x14ac:dyDescent="0.25">
      <c r="A440" s="11">
        <v>42248</v>
      </c>
      <c r="B440" s="7">
        <v>0.73958333333333337</v>
      </c>
      <c r="C440" s="7">
        <v>0.75902777777777775</v>
      </c>
      <c r="D440" s="7">
        <f>(0.759027777777778-0.739583333333333)</f>
        <v>1.944444444444493E-2</v>
      </c>
      <c r="E440" s="7">
        <f>ABS(0.0194444444444449-0.0145833333333339)</f>
        <v>4.8611111111109984E-3</v>
      </c>
      <c r="F440" s="1" t="s">
        <v>10</v>
      </c>
      <c r="G440" s="1"/>
    </row>
    <row r="441" spans="1:7" x14ac:dyDescent="0.25">
      <c r="A441" s="11">
        <v>42248</v>
      </c>
      <c r="B441" s="7">
        <v>0.83611111111111114</v>
      </c>
      <c r="C441" s="7">
        <v>0.85069444444444453</v>
      </c>
      <c r="D441" s="7">
        <f>(0.850694444444445-0.836111111111111)</f>
        <v>1.4583333333333948E-2</v>
      </c>
      <c r="E441" s="7">
        <f>ABS(0.0145833333333339-0.0166666666666671)</f>
        <v>2.0833333333331993E-3</v>
      </c>
      <c r="F441" s="1" t="s">
        <v>10</v>
      </c>
      <c r="G441" s="1"/>
    </row>
    <row r="442" spans="1:7" x14ac:dyDescent="0.25">
      <c r="A442" s="11">
        <v>42248</v>
      </c>
      <c r="B442" s="7">
        <v>0.82638888888888884</v>
      </c>
      <c r="C442" s="7">
        <v>0.84305555555555556</v>
      </c>
      <c r="D442" s="7">
        <f>(0.843055555555556-0.826388888888889)</f>
        <v>1.6666666666667052E-2</v>
      </c>
      <c r="E442" s="7">
        <f>ABS(0.0166666666666671-0.01875)</f>
        <v>2.0833333333328992E-3</v>
      </c>
      <c r="F442" s="1" t="s">
        <v>10</v>
      </c>
      <c r="G442" s="1"/>
    </row>
    <row r="443" spans="1:7" x14ac:dyDescent="0.25">
      <c r="A443" s="11">
        <v>42248</v>
      </c>
      <c r="B443" s="7">
        <v>4.9305555555555554E-2</v>
      </c>
      <c r="C443" s="7">
        <v>6.805555555555555E-2</v>
      </c>
      <c r="D443" s="7">
        <f>(0.0680555555555556-0.0493055555555556)</f>
        <v>1.8750000000000003E-2</v>
      </c>
      <c r="E443" s="7">
        <f>ABS(0.01875-0.020138888888889)</f>
        <v>1.3888888888890019E-3</v>
      </c>
      <c r="F443" s="1" t="s">
        <v>10</v>
      </c>
      <c r="G443" s="1"/>
    </row>
    <row r="444" spans="1:7" x14ac:dyDescent="0.25">
      <c r="A444" s="11">
        <v>42248</v>
      </c>
      <c r="B444" s="7">
        <v>0.3923611111111111</v>
      </c>
      <c r="C444" s="7">
        <v>0.41250000000000003</v>
      </c>
      <c r="D444" s="7">
        <f>(0.4125-0.392361111111111)</f>
        <v>2.0138888888888984E-2</v>
      </c>
      <c r="E444" s="7">
        <f>ABS(0.020138888888889-0.027777777777778)</f>
        <v>7.6388888888889971E-3</v>
      </c>
      <c r="F444" s="1" t="s">
        <v>10</v>
      </c>
      <c r="G444" s="1"/>
    </row>
    <row r="445" spans="1:7" x14ac:dyDescent="0.25">
      <c r="A445" s="11">
        <v>42248</v>
      </c>
      <c r="B445" s="7">
        <v>0.42499999999999999</v>
      </c>
      <c r="C445" s="7">
        <v>0.45277777777777778</v>
      </c>
      <c r="D445" s="7">
        <f>(0.452777777777778-0.425)</f>
        <v>2.7777777777778012E-2</v>
      </c>
      <c r="E445" s="7">
        <f>ABS(0.027777777777778-0.022916666666667)</f>
        <v>4.8611111111109967E-3</v>
      </c>
      <c r="F445" s="1" t="s">
        <v>10</v>
      </c>
      <c r="G445" s="1"/>
    </row>
    <row r="446" spans="1:7" x14ac:dyDescent="0.25">
      <c r="A446" s="11">
        <v>42248</v>
      </c>
      <c r="B446" s="7">
        <v>0.50138888888888888</v>
      </c>
      <c r="C446" s="7">
        <v>0.52430555555555558</v>
      </c>
      <c r="D446" s="7">
        <f>(0.524305555555556-0.501388888888889)</f>
        <v>2.2916666666667029E-2</v>
      </c>
      <c r="E446" s="7">
        <f>ABS(0.022916666666667-0.0215277777777779)</f>
        <v>1.3888888888891025E-3</v>
      </c>
      <c r="F446" s="1" t="s">
        <v>10</v>
      </c>
      <c r="G446" s="1"/>
    </row>
    <row r="447" spans="1:7" x14ac:dyDescent="0.25">
      <c r="A447" s="11">
        <v>42248</v>
      </c>
      <c r="B447" s="7">
        <v>0.55486111111111114</v>
      </c>
      <c r="C447" s="7">
        <v>0.57638888888888895</v>
      </c>
      <c r="D447" s="7">
        <f>(0.576388888888889-0.554861111111111)</f>
        <v>2.1527777777777923E-2</v>
      </c>
      <c r="E447" s="7">
        <f>ABS(0.0215277777777779-0.0229166666666669)</f>
        <v>1.3888888888890019E-3</v>
      </c>
      <c r="F447" s="1" t="s">
        <v>10</v>
      </c>
      <c r="G447" s="1"/>
    </row>
    <row r="448" spans="1:7" x14ac:dyDescent="0.25">
      <c r="A448" s="11">
        <v>42248</v>
      </c>
      <c r="B448" s="7">
        <v>0.55347222222222225</v>
      </c>
      <c r="C448" s="7">
        <v>0.57638888888888895</v>
      </c>
      <c r="D448" s="7">
        <f>(0.576388888888889-0.553472222222222)</f>
        <v>2.2916666666666918E-2</v>
      </c>
      <c r="E448" s="7">
        <f>ABS(0.0229166666666669-0.029166666666666)</f>
        <v>6.2499999999991E-3</v>
      </c>
      <c r="F448" s="1" t="s">
        <v>10</v>
      </c>
      <c r="G448" s="1"/>
    </row>
    <row r="449" spans="1:7" x14ac:dyDescent="0.25">
      <c r="A449" s="11">
        <v>42248</v>
      </c>
      <c r="B449" s="7">
        <v>0.64930555555555558</v>
      </c>
      <c r="C449" s="7">
        <v>0.67847222222222225</v>
      </c>
      <c r="D449" s="7">
        <f>(0.678472222222222-0.649305555555556)</f>
        <v>2.9166666666666008E-2</v>
      </c>
      <c r="E449" s="7">
        <f>ABS(0.029166666666666-0.0229166666666659)</f>
        <v>6.2500000000001027E-3</v>
      </c>
      <c r="F449" s="1" t="s">
        <v>10</v>
      </c>
      <c r="G449" s="1"/>
    </row>
    <row r="450" spans="1:7" x14ac:dyDescent="0.25">
      <c r="A450" s="11">
        <v>42248</v>
      </c>
      <c r="B450" s="7">
        <v>0.8666666666666667</v>
      </c>
      <c r="C450" s="7">
        <v>0.88958333333333339</v>
      </c>
      <c r="D450" s="7">
        <f>(0.889583333333333-0.866666666666667)</f>
        <v>2.2916666666665919E-2</v>
      </c>
      <c r="E450" s="7">
        <f>ABS(0.0229166666666659-0.0145833333333331)</f>
        <v>8.3333333333327989E-3</v>
      </c>
      <c r="F450" s="1" t="s">
        <v>10</v>
      </c>
      <c r="G450" s="1"/>
    </row>
    <row r="451" spans="1:7" x14ac:dyDescent="0.25">
      <c r="A451" s="11">
        <v>42248</v>
      </c>
      <c r="B451" s="7">
        <v>0.95000000000000007</v>
      </c>
      <c r="C451" s="7">
        <v>0.96458333333333324</v>
      </c>
      <c r="D451" s="7">
        <f>(0.964583333333333-0.95)</f>
        <v>1.4583333333333059E-2</v>
      </c>
      <c r="E451" s="7">
        <f>ABS(0.0145833333333331-0.0138888888888889)</f>
        <v>6.9444444444419912E-4</v>
      </c>
      <c r="F451" s="1" t="s">
        <v>10</v>
      </c>
      <c r="G451" s="1"/>
    </row>
    <row r="452" spans="1:7" x14ac:dyDescent="0.25">
      <c r="A452" s="11">
        <v>42248</v>
      </c>
      <c r="B452" s="7">
        <v>8.1944444444444445E-2</v>
      </c>
      <c r="C452" s="7">
        <v>9.5833333333333326E-2</v>
      </c>
      <c r="D452" s="7">
        <f>(0.0958333333333333-0.0819444444444444)</f>
        <v>1.3888888888888895E-2</v>
      </c>
      <c r="E452" s="7">
        <f>ABS(0.0138888888888889-0.019444444444445)</f>
        <v>5.5555555555560996E-3</v>
      </c>
      <c r="F452" s="1" t="s">
        <v>10</v>
      </c>
      <c r="G452" s="1"/>
    </row>
    <row r="453" spans="1:7" x14ac:dyDescent="0.25">
      <c r="A453" s="11">
        <v>42248</v>
      </c>
      <c r="B453" s="7">
        <v>0.33611111111111108</v>
      </c>
      <c r="C453" s="7">
        <v>0.35555555555555557</v>
      </c>
      <c r="D453" s="7">
        <f>(0.355555555555556-0.336111111111111)</f>
        <v>1.9444444444444986E-2</v>
      </c>
      <c r="E453" s="7">
        <f>ABS(0.019444444444445-0.0173611111111109)</f>
        <v>2.0833333333340996E-3</v>
      </c>
      <c r="F453" s="1" t="s">
        <v>10</v>
      </c>
      <c r="G453" s="1"/>
    </row>
    <row r="454" spans="1:7" x14ac:dyDescent="0.25">
      <c r="A454" s="11">
        <v>42248</v>
      </c>
      <c r="B454" s="7">
        <v>0.64652777777777781</v>
      </c>
      <c r="C454" s="7">
        <v>0.66388888888888886</v>
      </c>
      <c r="D454" s="7">
        <f>(0.663888888888889-0.646527777777778)</f>
        <v>1.7361111111110938E-2</v>
      </c>
      <c r="E454" s="7">
        <f>ABS(0.0173611111111109-0.0152777777777779)</f>
        <v>2.0833333333329998E-3</v>
      </c>
      <c r="F454" s="1" t="s">
        <v>10</v>
      </c>
      <c r="G454" s="1"/>
    </row>
    <row r="455" spans="1:7" x14ac:dyDescent="0.25">
      <c r="A455" s="11">
        <v>42248</v>
      </c>
      <c r="B455" s="7">
        <v>0.71736111111111101</v>
      </c>
      <c r="C455" s="7">
        <v>0.73263888888888884</v>
      </c>
      <c r="D455" s="7">
        <f>(0.732638888888889-0.717361111111111)</f>
        <v>1.5277777777777946E-2</v>
      </c>
      <c r="E455" s="7">
        <f>ABS(0.0152777777777779-0.0194444444444449)</f>
        <v>4.1666666666669988E-3</v>
      </c>
      <c r="F455" s="1" t="s">
        <v>10</v>
      </c>
      <c r="G455" s="1"/>
    </row>
    <row r="456" spans="1:7" x14ac:dyDescent="0.25">
      <c r="A456" s="11">
        <v>42248</v>
      </c>
      <c r="B456" s="7">
        <v>0.89861111111111114</v>
      </c>
      <c r="C456" s="7">
        <v>0.91805555555555562</v>
      </c>
      <c r="D456" s="7">
        <f>(0.918055555555556-0.898611111111111)</f>
        <v>1.944444444444493E-2</v>
      </c>
      <c r="E456" s="7">
        <f>ABS(0.0194444444444449-0.0173611111111109)</f>
        <v>2.083333333333999E-3</v>
      </c>
      <c r="F456" s="1" t="s">
        <v>10</v>
      </c>
      <c r="G456" s="1"/>
    </row>
    <row r="457" spans="1:7" x14ac:dyDescent="0.25">
      <c r="A457" s="11">
        <v>42248</v>
      </c>
      <c r="B457" s="7">
        <v>0.96597222222222223</v>
      </c>
      <c r="C457" s="7">
        <v>0.98333333333333339</v>
      </c>
      <c r="D457" s="7">
        <f>(0.983333333333333-0.965972222222222)</f>
        <v>1.7361111111110938E-2</v>
      </c>
      <c r="E457" s="7">
        <f>ABS(0.0173611111111109-0.015972222222223)</f>
        <v>1.3888888888878986E-3</v>
      </c>
      <c r="F457" s="1" t="s">
        <v>10</v>
      </c>
      <c r="G457" s="1"/>
    </row>
    <row r="458" spans="1:7" x14ac:dyDescent="0.25">
      <c r="A458" s="11">
        <v>42248</v>
      </c>
      <c r="B458" s="7">
        <v>0.15208333333333332</v>
      </c>
      <c r="C458" s="7">
        <v>0.16805555555555554</v>
      </c>
      <c r="D458" s="7">
        <f>(0.168055555555556-0.152083333333333)</f>
        <v>1.5972222222223026E-2</v>
      </c>
      <c r="E458" s="7">
        <f>ABS(0.015972222222223-0.017361111111111)</f>
        <v>1.3888888888879992E-3</v>
      </c>
      <c r="F458" s="1" t="s">
        <v>10</v>
      </c>
      <c r="G458" s="1"/>
    </row>
    <row r="459" spans="1:7" x14ac:dyDescent="0.25">
      <c r="A459" s="11">
        <v>42248</v>
      </c>
      <c r="B459" s="7">
        <v>0.39305555555555555</v>
      </c>
      <c r="C459" s="7">
        <v>0.41041666666666665</v>
      </c>
      <c r="D459" s="7">
        <f>(0.410416666666667-0.393055555555556)</f>
        <v>1.7361111111110994E-2</v>
      </c>
      <c r="E459" s="7">
        <f>ABS(0.017361111111111-0.019444444444445)</f>
        <v>2.083333333333999E-3</v>
      </c>
      <c r="F459" s="1" t="s">
        <v>10</v>
      </c>
      <c r="G459" s="1"/>
    </row>
    <row r="460" spans="1:7" x14ac:dyDescent="0.25">
      <c r="A460" s="11">
        <v>42248</v>
      </c>
      <c r="B460" s="7">
        <v>0.43958333333333338</v>
      </c>
      <c r="C460" s="7">
        <v>0.45902777777777781</v>
      </c>
      <c r="D460" s="7">
        <f>(0.459027777777778-0.439583333333333)</f>
        <v>1.9444444444444986E-2</v>
      </c>
      <c r="E460" s="7">
        <f>ABS(0.019444444444445-0.020833333333333)</f>
        <v>1.3888888888879992E-3</v>
      </c>
      <c r="F460" s="1" t="s">
        <v>10</v>
      </c>
      <c r="G460" s="1"/>
    </row>
    <row r="461" spans="1:7" x14ac:dyDescent="0.25">
      <c r="A461" s="11">
        <v>42248</v>
      </c>
      <c r="B461" s="7">
        <v>0.56041666666666667</v>
      </c>
      <c r="C461" s="7">
        <v>0.58124999999999993</v>
      </c>
      <c r="D461" s="7">
        <f>(0.58125-0.560416666666667)</f>
        <v>2.0833333333333037E-2</v>
      </c>
      <c r="E461" s="7">
        <f>ABS(0.020833333333333-0.026388888888889)</f>
        <v>5.5555555555560007E-3</v>
      </c>
      <c r="F461" s="1" t="s">
        <v>10</v>
      </c>
      <c r="G461" s="1"/>
    </row>
    <row r="462" spans="1:7" x14ac:dyDescent="0.25">
      <c r="A462" s="11">
        <v>42248</v>
      </c>
      <c r="B462" s="7">
        <v>0.59375</v>
      </c>
      <c r="C462" s="7">
        <v>0.62013888888888891</v>
      </c>
      <c r="D462" s="7">
        <f>(0.620138888888889-0.59375)</f>
        <v>2.6388888888889017E-2</v>
      </c>
      <c r="E462" s="7">
        <f>ABS(0.026388888888889-0.019444444444444)</f>
        <v>6.9444444444449992E-3</v>
      </c>
      <c r="F462" s="1" t="s">
        <v>10</v>
      </c>
      <c r="G462" s="1"/>
    </row>
    <row r="463" spans="1:7" x14ac:dyDescent="0.25">
      <c r="A463" s="11">
        <v>42248</v>
      </c>
      <c r="B463" s="7">
        <v>0.85902777777777783</v>
      </c>
      <c r="C463" s="7">
        <v>0.87847222222222221</v>
      </c>
      <c r="D463" s="7">
        <f>(0.878472222222222-0.859027777777778)</f>
        <v>1.9444444444444042E-2</v>
      </c>
      <c r="E463" s="7">
        <f>ABS(0.019444444444444-0.0159722222222219)</f>
        <v>3.4722222222221023E-3</v>
      </c>
      <c r="F463" s="1" t="s">
        <v>10</v>
      </c>
      <c r="G463" s="1"/>
    </row>
    <row r="464" spans="1:7" x14ac:dyDescent="0.25">
      <c r="A464" s="11">
        <v>42248</v>
      </c>
      <c r="B464" s="7">
        <v>0.5805555555555556</v>
      </c>
      <c r="C464" s="7">
        <v>0.59652777777777777</v>
      </c>
      <c r="D464" s="7">
        <f>(0.596527777777778-0.580555555555556)</f>
        <v>1.5972222222221943E-2</v>
      </c>
      <c r="E464" s="7"/>
      <c r="F464" s="1" t="s">
        <v>10</v>
      </c>
      <c r="G464" s="1"/>
    </row>
    <row r="465" spans="1:7" x14ac:dyDescent="0.25">
      <c r="A465" s="11">
        <v>42248</v>
      </c>
      <c r="B465" s="7">
        <v>0.44930555555555557</v>
      </c>
      <c r="C465" s="7">
        <v>0.46249999999999997</v>
      </c>
      <c r="D465" s="7">
        <f>(0.4625-0.449305555555556)</f>
        <v>1.3194444444444009E-2</v>
      </c>
      <c r="E465" s="7">
        <f>ABS(0.013194444444444-0.044444444444444)</f>
        <v>3.125E-2</v>
      </c>
      <c r="F465" s="1" t="s">
        <v>8</v>
      </c>
      <c r="G465" s="1"/>
    </row>
    <row r="466" spans="1:7" x14ac:dyDescent="0.25">
      <c r="A466" s="11">
        <v>42248</v>
      </c>
      <c r="B466" s="7">
        <v>0.4055555555555555</v>
      </c>
      <c r="C466" s="7">
        <v>0.45</v>
      </c>
      <c r="D466" s="7">
        <f>(0.45-0.405555555555556)</f>
        <v>4.4444444444444009E-2</v>
      </c>
      <c r="E466" s="7">
        <f>ABS(0.044444444444444-0.038194444444444)</f>
        <v>6.2499999999999986E-3</v>
      </c>
      <c r="F466" s="1" t="s">
        <v>8</v>
      </c>
      <c r="G466" s="1"/>
    </row>
    <row r="467" spans="1:7" x14ac:dyDescent="0.25">
      <c r="A467" s="11">
        <v>42248</v>
      </c>
      <c r="B467" s="7">
        <v>0.62291666666666667</v>
      </c>
      <c r="C467" s="7">
        <v>0.66111111111111109</v>
      </c>
      <c r="D467" s="7">
        <f>(0.661111111111111-0.622916666666667)</f>
        <v>3.8194444444443976E-2</v>
      </c>
      <c r="E467" s="7">
        <f>ABS(0.038194444444444-0.025)</f>
        <v>1.3194444444444002E-2</v>
      </c>
      <c r="F467" s="1" t="s">
        <v>8</v>
      </c>
      <c r="G467" s="1"/>
    </row>
    <row r="468" spans="1:7" x14ac:dyDescent="0.25">
      <c r="A468" s="11">
        <v>42248</v>
      </c>
      <c r="B468" s="7">
        <v>0.52916666666666667</v>
      </c>
      <c r="C468" s="7">
        <v>0.5541666666666667</v>
      </c>
      <c r="D468" s="7">
        <f>(0.554166666666667-0.529166666666667)</f>
        <v>2.5000000000000022E-2</v>
      </c>
      <c r="E468" s="7">
        <f>ABS(0.025-0.014583333333334)</f>
        <v>1.0416666666666002E-2</v>
      </c>
      <c r="F468" s="1" t="s">
        <v>8</v>
      </c>
      <c r="G468" s="1"/>
    </row>
    <row r="469" spans="1:7" x14ac:dyDescent="0.25">
      <c r="A469" s="11">
        <v>42248</v>
      </c>
      <c r="B469" s="7">
        <v>0.31944444444444448</v>
      </c>
      <c r="C469" s="7">
        <v>0.33402777777777781</v>
      </c>
      <c r="D469" s="7">
        <f>(0.334027777777778-0.319444444444444)</f>
        <v>1.4583333333334003E-2</v>
      </c>
      <c r="E469" s="7">
        <f>ABS(0.014583333333334-0.0180555555555559)</f>
        <v>3.4722222222219011E-3</v>
      </c>
      <c r="F469" s="1" t="s">
        <v>8</v>
      </c>
      <c r="G469" s="1"/>
    </row>
    <row r="470" spans="1:7" x14ac:dyDescent="0.25">
      <c r="A470" s="11">
        <v>42248</v>
      </c>
      <c r="B470" s="7">
        <v>0.80208333333333337</v>
      </c>
      <c r="C470" s="7">
        <v>0.82013888888888886</v>
      </c>
      <c r="D470" s="7">
        <f>(0.820138888888889-0.802083333333333)</f>
        <v>1.8055555555555935E-2</v>
      </c>
      <c r="E470" s="7">
        <f>ABS(0.0180555555555559-0.035416666666666)</f>
        <v>1.7361111111110099E-2</v>
      </c>
      <c r="F470" s="1" t="s">
        <v>8</v>
      </c>
      <c r="G470" s="1"/>
    </row>
    <row r="471" spans="1:7" x14ac:dyDescent="0.25">
      <c r="A471" s="11">
        <v>42248</v>
      </c>
      <c r="B471" s="7">
        <v>0.81180555555555556</v>
      </c>
      <c r="C471" s="7">
        <v>0.84722222222222221</v>
      </c>
      <c r="D471" s="7">
        <f>(0.847222222222222-0.811805555555556)</f>
        <v>3.5416666666665986E-2</v>
      </c>
      <c r="E471" s="7">
        <f>ABS(0.035416666666666-0.013888888888889)</f>
        <v>2.1527777777777E-2</v>
      </c>
      <c r="F471" s="1" t="s">
        <v>8</v>
      </c>
      <c r="G471" s="1"/>
    </row>
    <row r="472" spans="1:7" x14ac:dyDescent="0.25">
      <c r="A472" s="11">
        <v>42248</v>
      </c>
      <c r="B472" s="7">
        <v>0.38958333333333334</v>
      </c>
      <c r="C472" s="7">
        <v>0.40347222222222223</v>
      </c>
      <c r="D472" s="7">
        <f>(0.403472222222222-0.389583333333333)</f>
        <v>1.3888888888889006E-2</v>
      </c>
      <c r="E472" s="7">
        <f>ABS(0.013888888888889-0.0145833333333341)</f>
        <v>6.9444444444510117E-4</v>
      </c>
      <c r="F472" s="1" t="s">
        <v>8</v>
      </c>
      <c r="G472" s="1"/>
    </row>
    <row r="473" spans="1:7" x14ac:dyDescent="0.25">
      <c r="A473" s="11">
        <v>42248</v>
      </c>
      <c r="B473" s="7">
        <v>0.50347222222222221</v>
      </c>
      <c r="C473" s="7">
        <v>0.5180555555555556</v>
      </c>
      <c r="D473" s="7">
        <f>(0.518055555555556-0.503472222222222)</f>
        <v>1.4583333333334059E-2</v>
      </c>
      <c r="E473" s="7">
        <f>ABS(0.0145833333333341-0.00416666666666599)</f>
        <v>1.0416666666668111E-2</v>
      </c>
      <c r="F473" s="1" t="s">
        <v>8</v>
      </c>
      <c r="G473" s="1"/>
    </row>
    <row r="474" spans="1:7" x14ac:dyDescent="0.25">
      <c r="A474" s="11">
        <v>42248</v>
      </c>
      <c r="B474" s="7">
        <v>0.3430555555555555</v>
      </c>
      <c r="C474" s="7">
        <v>0.34722222222222227</v>
      </c>
      <c r="D474" s="7">
        <f>(0.347222222222222-0.343055555555556)</f>
        <v>4.1666666666659857E-3</v>
      </c>
      <c r="E474" s="7">
        <f>ABS(0.00416666666666599-0.0229166666666659)</f>
        <v>1.8749999999999909E-2</v>
      </c>
      <c r="F474" s="1" t="s">
        <v>8</v>
      </c>
      <c r="G474" s="1"/>
    </row>
    <row r="475" spans="1:7" x14ac:dyDescent="0.25">
      <c r="A475" s="11">
        <v>42248</v>
      </c>
      <c r="B475" s="7">
        <v>0.6166666666666667</v>
      </c>
      <c r="C475" s="7">
        <v>0.63958333333333328</v>
      </c>
      <c r="D475" s="7">
        <f>(0.639583333333333-0.616666666666667)</f>
        <v>2.2916666666665919E-2</v>
      </c>
      <c r="E475" s="7">
        <f>ABS(0.0229166666666659-0.0125)</f>
        <v>1.0416666666665898E-2</v>
      </c>
      <c r="F475" s="1" t="s">
        <v>8</v>
      </c>
      <c r="G475" s="1"/>
    </row>
    <row r="476" spans="1:7" x14ac:dyDescent="0.25">
      <c r="A476" s="11">
        <v>42248</v>
      </c>
      <c r="B476" s="7">
        <v>0.86597222222222225</v>
      </c>
      <c r="C476" s="7">
        <v>0.87847222222222221</v>
      </c>
      <c r="D476" s="7">
        <f>(0.878472222222222-0.865972222222222)</f>
        <v>1.2499999999999956E-2</v>
      </c>
      <c r="E476" s="7">
        <f>ABS(0.0125-0.022916666666666)</f>
        <v>1.0416666666665998E-2</v>
      </c>
      <c r="F476" s="1" t="s">
        <v>8</v>
      </c>
      <c r="G476" s="1"/>
    </row>
    <row r="477" spans="1:7" x14ac:dyDescent="0.25">
      <c r="A477" s="11">
        <v>42248</v>
      </c>
      <c r="B477" s="7">
        <v>0.48055555555555557</v>
      </c>
      <c r="C477" s="7">
        <v>0.50347222222222221</v>
      </c>
      <c r="D477" s="7">
        <f>(0.503472222222222-0.480555555555556)</f>
        <v>2.2916666666665975E-2</v>
      </c>
      <c r="E477" s="7">
        <f>ABS(0.022916666666666-0.073611111111111)</f>
        <v>5.0694444444445E-2</v>
      </c>
      <c r="F477" s="1" t="s">
        <v>8</v>
      </c>
      <c r="G477" s="1"/>
    </row>
    <row r="478" spans="1:7" x14ac:dyDescent="0.25">
      <c r="A478" s="11">
        <v>42248</v>
      </c>
      <c r="B478" s="7">
        <v>0.53333333333333333</v>
      </c>
      <c r="C478" s="7">
        <v>0.6069444444444444</v>
      </c>
      <c r="D478" s="7">
        <f>(0.606944444444444-0.533333333333333)</f>
        <v>7.3611111111110961E-2</v>
      </c>
      <c r="E478" s="7">
        <f>ABS(0.073611111111111-0.0118055555555551)</f>
        <v>6.1805555555555905E-2</v>
      </c>
      <c r="F478" s="1" t="s">
        <v>8</v>
      </c>
      <c r="G478" s="1"/>
    </row>
    <row r="479" spans="1:7" x14ac:dyDescent="0.25">
      <c r="A479" s="11">
        <v>42248</v>
      </c>
      <c r="B479" s="7">
        <v>0.82152777777777775</v>
      </c>
      <c r="C479" s="7">
        <v>0.83333333333333337</v>
      </c>
      <c r="D479" s="7">
        <f>(0.833333333333333-0.821527777777778)</f>
        <v>1.180555555555507E-2</v>
      </c>
      <c r="E479" s="7">
        <f>ABS(0.0118055555555551-0.0138888888888891)</f>
        <v>2.083333333333999E-3</v>
      </c>
      <c r="F479" s="1" t="s">
        <v>8</v>
      </c>
      <c r="G479" s="1"/>
    </row>
    <row r="480" spans="1:7" x14ac:dyDescent="0.25">
      <c r="A480" s="11">
        <v>42248</v>
      </c>
      <c r="B480" s="7">
        <v>0.56874999999999998</v>
      </c>
      <c r="C480" s="7">
        <v>0.58263888888888882</v>
      </c>
      <c r="D480" s="7">
        <f>(0.582638888888889-0.56875)</f>
        <v>1.3888888888889062E-2</v>
      </c>
      <c r="E480" s="7">
        <f>ABS(0.0138888888888891-0.013194444444444)</f>
        <v>6.9444444444509944E-4</v>
      </c>
      <c r="F480" s="1" t="s">
        <v>8</v>
      </c>
      <c r="G480" s="1"/>
    </row>
    <row r="481" spans="1:7" x14ac:dyDescent="0.25">
      <c r="A481" s="11">
        <v>42248</v>
      </c>
      <c r="B481" s="7">
        <v>0.62291666666666667</v>
      </c>
      <c r="C481" s="7">
        <v>0.63611111111111118</v>
      </c>
      <c r="D481" s="7">
        <f>(0.636111111111111-0.622916666666667)</f>
        <v>1.3194444444443953E-2</v>
      </c>
      <c r="E481" s="7">
        <f>ABS(0.013194444444444-0.017361111111112)</f>
        <v>4.1666666666679997E-3</v>
      </c>
      <c r="F481" s="1" t="s">
        <v>8</v>
      </c>
      <c r="G481" s="1"/>
    </row>
    <row r="482" spans="1:7" x14ac:dyDescent="0.25">
      <c r="A482" s="11">
        <v>42248</v>
      </c>
      <c r="B482" s="7">
        <v>0.29444444444444445</v>
      </c>
      <c r="C482" s="7">
        <v>0.31180555555555556</v>
      </c>
      <c r="D482" s="7">
        <f>(0.311805555555556-0.294444444444444)</f>
        <v>1.7361111111111993E-2</v>
      </c>
      <c r="E482" s="7">
        <f>ABS(0.017361111111112-0.01875)</f>
        <v>1.3888888888879992E-3</v>
      </c>
      <c r="F482" s="1" t="s">
        <v>8</v>
      </c>
      <c r="G482" s="1"/>
    </row>
    <row r="483" spans="1:7" x14ac:dyDescent="0.25">
      <c r="A483" s="11">
        <v>42248</v>
      </c>
      <c r="B483" s="7">
        <v>0.30902777777777779</v>
      </c>
      <c r="C483" s="7">
        <v>0.32777777777777778</v>
      </c>
      <c r="D483" s="7">
        <f>(0.327777777777778-0.309027777777778)</f>
        <v>1.8749999999999989E-2</v>
      </c>
      <c r="E483" s="7">
        <f>ABS(0.01875-0.0187499999999999)</f>
        <v>1.0061396160665481E-16</v>
      </c>
      <c r="F483" s="1" t="s">
        <v>8</v>
      </c>
      <c r="G483" s="1"/>
    </row>
    <row r="484" spans="1:7" x14ac:dyDescent="0.25">
      <c r="A484" s="11">
        <v>42248</v>
      </c>
      <c r="B484" s="7">
        <v>0.55486111111111114</v>
      </c>
      <c r="C484" s="7">
        <v>0.57361111111111118</v>
      </c>
      <c r="D484" s="7">
        <f>(0.573611111111111-0.554861111111111)</f>
        <v>1.8749999999999933E-2</v>
      </c>
      <c r="E484" s="7">
        <f>ABS(0.0187499999999999-0.0152777777777781)</f>
        <v>3.4722222222217988E-3</v>
      </c>
      <c r="F484" s="1" t="s">
        <v>8</v>
      </c>
      <c r="G484" s="1"/>
    </row>
    <row r="485" spans="1:7" x14ac:dyDescent="0.25">
      <c r="A485" s="11">
        <v>42248</v>
      </c>
      <c r="B485" s="7">
        <v>0.65902777777777777</v>
      </c>
      <c r="C485" s="7">
        <v>0.6743055555555556</v>
      </c>
      <c r="D485" s="7">
        <f>(0.674305555555556-0.659027777777778)</f>
        <v>1.5277777777778057E-2</v>
      </c>
      <c r="E485" s="7">
        <f>ABS(0.0152777777777781-0.0187499999999999)</f>
        <v>3.4722222222217988E-3</v>
      </c>
      <c r="F485" s="1" t="s">
        <v>8</v>
      </c>
      <c r="G485" s="1"/>
    </row>
    <row r="486" spans="1:7" x14ac:dyDescent="0.25">
      <c r="A486" s="11">
        <v>42248</v>
      </c>
      <c r="B486" s="7">
        <v>0.5805555555555556</v>
      </c>
      <c r="C486" s="7">
        <v>0.59930555555555554</v>
      </c>
      <c r="D486" s="7">
        <f>(0.599305555555556-0.580555555555556)</f>
        <v>1.8749999999999933E-2</v>
      </c>
      <c r="E486" s="7">
        <f>ABS(0.0187499999999999-0.011805555555556)</f>
        <v>6.9444444444438994E-3</v>
      </c>
      <c r="F486" s="1" t="s">
        <v>8</v>
      </c>
      <c r="G486" s="1"/>
    </row>
    <row r="487" spans="1:7" x14ac:dyDescent="0.25">
      <c r="A487" s="11">
        <v>42248</v>
      </c>
      <c r="B487" s="7">
        <v>0.89861111111111114</v>
      </c>
      <c r="C487" s="7">
        <v>0.91041666666666676</v>
      </c>
      <c r="D487" s="7">
        <f>(0.910416666666667-0.898611111111111)</f>
        <v>1.1805555555555958E-2</v>
      </c>
      <c r="E487" s="7"/>
      <c r="F487" s="1" t="s">
        <v>8</v>
      </c>
      <c r="G487" s="1"/>
    </row>
    <row r="488" spans="1:7" x14ac:dyDescent="0.25">
      <c r="A488" s="11">
        <v>42248</v>
      </c>
      <c r="B488" s="7">
        <v>0.14375000000000002</v>
      </c>
      <c r="C488" s="7">
        <v>0.17430555555555557</v>
      </c>
      <c r="D488" s="7">
        <f>(0.174305555555556-0.14375)</f>
        <v>3.0555555555556002E-2</v>
      </c>
      <c r="E488" s="7">
        <f>ABS(0.030555555555556-0.018055555555556)</f>
        <v>1.2499999999999997E-2</v>
      </c>
      <c r="F488" s="1" t="s">
        <v>11</v>
      </c>
      <c r="G488" s="1"/>
    </row>
    <row r="489" spans="1:7" x14ac:dyDescent="0.25">
      <c r="A489" s="11">
        <v>42248</v>
      </c>
      <c r="B489" s="7">
        <v>0.41944444444444445</v>
      </c>
      <c r="C489" s="7">
        <v>0.4375</v>
      </c>
      <c r="D489" s="7">
        <f>(0.4375-0.419444444444444)</f>
        <v>1.8055555555555991E-2</v>
      </c>
      <c r="E489" s="7">
        <f>ABS(0.018055555555556-0.024305555555555)</f>
        <v>6.2499999999989994E-3</v>
      </c>
      <c r="F489" s="1" t="s">
        <v>11</v>
      </c>
      <c r="G489" s="1"/>
    </row>
    <row r="490" spans="1:7" x14ac:dyDescent="0.25">
      <c r="A490" s="11">
        <v>42248</v>
      </c>
      <c r="B490" s="7">
        <v>0.56805555555555554</v>
      </c>
      <c r="C490" s="7">
        <v>0.59236111111111112</v>
      </c>
      <c r="D490" s="7">
        <f>(0.592361111111111-0.568055555555556)</f>
        <v>2.4305555555555025E-2</v>
      </c>
      <c r="E490" s="7">
        <f>ABS(0.024305555555555-0.0201388888888898)</f>
        <v>4.1666666666652016E-3</v>
      </c>
      <c r="F490" s="1" t="s">
        <v>11</v>
      </c>
      <c r="G490" s="1"/>
    </row>
    <row r="491" spans="1:7" x14ac:dyDescent="0.25">
      <c r="A491" s="11">
        <v>42248</v>
      </c>
      <c r="B491" s="7">
        <v>1.007638888888889</v>
      </c>
      <c r="C491" s="7">
        <v>1.0277777777777779</v>
      </c>
      <c r="D491" s="7">
        <f>(1.02777777777778-1.00763888888889)</f>
        <v>2.0138888888889817E-2</v>
      </c>
      <c r="E491" s="7">
        <f>ABS(0.0201388888888898-0.026388888888889)</f>
        <v>6.2499999999992006E-3</v>
      </c>
      <c r="F491" s="1" t="s">
        <v>11</v>
      </c>
      <c r="G491" s="1"/>
    </row>
    <row r="492" spans="1:7" x14ac:dyDescent="0.25">
      <c r="A492" s="11">
        <v>42248</v>
      </c>
      <c r="B492" s="7">
        <v>0.25625000000000003</v>
      </c>
      <c r="C492" s="7">
        <v>0.28263888888888888</v>
      </c>
      <c r="D492" s="7">
        <f>(0.282638888888889-0.25625)</f>
        <v>2.6388888888889017E-2</v>
      </c>
      <c r="E492" s="7">
        <f>ABS(0.026388888888889-0.020833333333334)</f>
        <v>5.5555555555550015E-3</v>
      </c>
      <c r="F492" s="1" t="s">
        <v>11</v>
      </c>
      <c r="G492" s="1"/>
    </row>
    <row r="493" spans="1:7" x14ac:dyDescent="0.25">
      <c r="A493" s="11">
        <v>42248</v>
      </c>
      <c r="B493" s="7">
        <v>0.42569444444444443</v>
      </c>
      <c r="C493" s="7">
        <v>0.4465277777777778</v>
      </c>
      <c r="D493" s="7">
        <f>(0.446527777777778-0.425694444444444)</f>
        <v>2.0833333333334036E-2</v>
      </c>
      <c r="E493" s="7">
        <f>ABS(0.020833333333334-0.027777777777778)</f>
        <v>6.944444444444E-3</v>
      </c>
      <c r="F493" s="1" t="s">
        <v>11</v>
      </c>
      <c r="G493" s="1"/>
    </row>
    <row r="494" spans="1:7" x14ac:dyDescent="0.25">
      <c r="A494" s="11">
        <v>42248</v>
      </c>
      <c r="B494" s="7">
        <v>0.44861111111111113</v>
      </c>
      <c r="C494" s="7">
        <v>0.47638888888888892</v>
      </c>
      <c r="D494" s="7">
        <f>(0.476388888888889-0.448611111111111)</f>
        <v>2.7777777777777957E-2</v>
      </c>
      <c r="E494" s="7">
        <f>ABS(0.027777777777778-0.022916666666666)</f>
        <v>4.8611111111119994E-3</v>
      </c>
      <c r="F494" s="1" t="s">
        <v>11</v>
      </c>
      <c r="G494" s="1"/>
    </row>
    <row r="495" spans="1:7" x14ac:dyDescent="0.25">
      <c r="A495" s="11">
        <v>42248</v>
      </c>
      <c r="B495" s="7">
        <v>0.53680555555555554</v>
      </c>
      <c r="C495" s="7">
        <v>0.55972222222222223</v>
      </c>
      <c r="D495" s="7">
        <f>(0.559722222222222-0.536805555555556)</f>
        <v>2.291666666666603E-2</v>
      </c>
      <c r="E495" s="7">
        <f>ABS(0.022916666666666-0.029861111111111)</f>
        <v>6.9444444444450026E-3</v>
      </c>
      <c r="F495" s="1" t="s">
        <v>11</v>
      </c>
      <c r="G495" s="1"/>
    </row>
    <row r="496" spans="1:7" x14ac:dyDescent="0.25">
      <c r="A496" s="11">
        <v>42248</v>
      </c>
      <c r="B496" s="7">
        <v>0.52916666666666667</v>
      </c>
      <c r="C496" s="7">
        <v>0.55902777777777779</v>
      </c>
      <c r="D496" s="7">
        <f>(0.559027777777778-0.529166666666667)</f>
        <v>2.9861111111111005E-2</v>
      </c>
      <c r="E496" s="7">
        <f>ABS(0.029861111111111-0.022916666666667)</f>
        <v>6.944444444444E-3</v>
      </c>
      <c r="F496" s="1" t="s">
        <v>11</v>
      </c>
      <c r="G496" s="1"/>
    </row>
    <row r="497" spans="1:8" x14ac:dyDescent="0.25">
      <c r="A497" s="11">
        <v>42248</v>
      </c>
      <c r="B497" s="7">
        <v>0.94236111111111109</v>
      </c>
      <c r="C497" s="7">
        <v>0.96527777777777779</v>
      </c>
      <c r="D497" s="7">
        <f>(0.965277777777778-0.942361111111111)</f>
        <v>2.2916666666667029E-2</v>
      </c>
      <c r="E497" s="7">
        <f>ABS(0.022916666666667-0.0263888888888889)</f>
        <v>3.4722222222218976E-3</v>
      </c>
      <c r="F497" s="1" t="s">
        <v>11</v>
      </c>
      <c r="G497" s="1"/>
    </row>
    <row r="498" spans="1:8" x14ac:dyDescent="0.25">
      <c r="A498" s="11">
        <v>42248</v>
      </c>
      <c r="B498" s="7">
        <v>0.73888888888888893</v>
      </c>
      <c r="C498" s="7">
        <v>0.76527777777777783</v>
      </c>
      <c r="D498" s="7">
        <f>(0.765277777777778-0.738888888888889)</f>
        <v>2.6388888888888906E-2</v>
      </c>
      <c r="E498" s="7">
        <f>ABS(0.0263888888888889-0.025694444444444)</f>
        <v>6.9444444444489994E-4</v>
      </c>
      <c r="F498" s="1" t="s">
        <v>11</v>
      </c>
      <c r="G498" s="1"/>
    </row>
    <row r="499" spans="1:8" x14ac:dyDescent="0.25">
      <c r="A499" s="11">
        <v>42248</v>
      </c>
      <c r="B499" s="7">
        <v>0.74513888888888891</v>
      </c>
      <c r="C499" s="7">
        <v>0.77083333333333337</v>
      </c>
      <c r="D499" s="7">
        <f>(0.770833333333333-0.745138888888889)</f>
        <v>2.569444444444402E-2</v>
      </c>
      <c r="E499" s="7">
        <f>ABS(0.025694444444444-0.019444444444444)</f>
        <v>6.2499999999999986E-3</v>
      </c>
      <c r="F499" s="1" t="s">
        <v>11</v>
      </c>
      <c r="G499" s="1"/>
    </row>
    <row r="500" spans="1:8" x14ac:dyDescent="0.25">
      <c r="A500" s="11">
        <v>42248</v>
      </c>
      <c r="B500" s="7">
        <v>0.3743055555555555</v>
      </c>
      <c r="C500" s="7">
        <v>0.39374999999999999</v>
      </c>
      <c r="D500" s="7">
        <f>(0.39375-0.374305555555556)</f>
        <v>1.9444444444443987E-2</v>
      </c>
      <c r="E500" s="7">
        <f>ABS(0.019444444444444-0.019444444444444)</f>
        <v>0</v>
      </c>
      <c r="F500" s="1" t="s">
        <v>11</v>
      </c>
      <c r="G500" s="1"/>
    </row>
    <row r="501" spans="1:8" x14ac:dyDescent="0.25">
      <c r="A501" s="11">
        <v>42248</v>
      </c>
      <c r="B501" s="7">
        <v>0.46388888888888885</v>
      </c>
      <c r="C501" s="7">
        <v>0.48333333333333334</v>
      </c>
      <c r="D501" s="7">
        <f>(0.483333333333333-0.463888888888889)</f>
        <v>1.9444444444443987E-2</v>
      </c>
      <c r="E501" s="7">
        <f>ABS(0.019444444444444-0.027083333333334)</f>
        <v>7.6388888888899997E-3</v>
      </c>
      <c r="F501" s="1" t="s">
        <v>11</v>
      </c>
      <c r="G501" s="1"/>
    </row>
    <row r="502" spans="1:8" x14ac:dyDescent="0.25">
      <c r="A502" s="11">
        <v>42248</v>
      </c>
      <c r="B502" s="7">
        <v>0.60347222222222219</v>
      </c>
      <c r="C502" s="7">
        <v>0.63055555555555554</v>
      </c>
      <c r="D502" s="7">
        <f>(0.630555555555556-0.603472222222222)</f>
        <v>2.7083333333334014E-2</v>
      </c>
      <c r="E502" s="7">
        <f>ABS(0.027083333333334-0.021527777777778)</f>
        <v>5.5555555555560007E-3</v>
      </c>
      <c r="F502" s="1" t="s">
        <v>11</v>
      </c>
      <c r="G502" s="1"/>
    </row>
    <row r="503" spans="1:8" x14ac:dyDescent="0.25">
      <c r="A503" s="11">
        <v>42248</v>
      </c>
      <c r="B503" s="7">
        <v>0.23402777777777781</v>
      </c>
      <c r="C503" s="7">
        <v>0.25555555555555559</v>
      </c>
      <c r="D503" s="7">
        <f>(0.255555555555556-0.234027777777778)</f>
        <v>2.1527777777777979E-2</v>
      </c>
      <c r="E503" s="7">
        <f>ABS(0.021527777777778-0.0194444444444449)</f>
        <v>2.0833333333331004E-3</v>
      </c>
      <c r="F503" s="1" t="s">
        <v>11</v>
      </c>
      <c r="G503" s="1"/>
    </row>
    <row r="504" spans="1:8" x14ac:dyDescent="0.25">
      <c r="A504" s="11">
        <v>42248</v>
      </c>
      <c r="B504" s="7">
        <v>0.74444444444444446</v>
      </c>
      <c r="C504" s="7">
        <v>0.76388888888888884</v>
      </c>
      <c r="D504" s="7">
        <f>(0.763888888888889-0.744444444444444)</f>
        <v>1.944444444444493E-2</v>
      </c>
      <c r="E504" s="7">
        <f>ABS(0.0194444444444449-0.020833333333334)</f>
        <v>1.3888888888890991E-3</v>
      </c>
      <c r="F504" s="1" t="s">
        <v>11</v>
      </c>
      <c r="G504" s="1"/>
    </row>
    <row r="505" spans="1:8" x14ac:dyDescent="0.25">
      <c r="A505" s="11">
        <v>42248</v>
      </c>
      <c r="B505" s="7">
        <v>0.31944444444444448</v>
      </c>
      <c r="C505" s="7">
        <v>0.34027777777777773</v>
      </c>
      <c r="D505" s="7">
        <f>(0.340277777777778-0.319444444444444)</f>
        <v>2.0833333333334036E-2</v>
      </c>
      <c r="E505" s="7">
        <f>ABS(0.020833333333334-0.024305555555555)</f>
        <v>3.4722222222210025E-3</v>
      </c>
      <c r="F505" s="1" t="s">
        <v>11</v>
      </c>
      <c r="G505" s="1"/>
    </row>
    <row r="506" spans="1:8" x14ac:dyDescent="0.25">
      <c r="A506" s="11">
        <v>42248</v>
      </c>
      <c r="B506" s="7">
        <v>0.56180555555555556</v>
      </c>
      <c r="C506" s="7">
        <v>0.58611111111111114</v>
      </c>
      <c r="D506" s="7">
        <f>(0.586111111111111-0.561805555555556)</f>
        <v>2.4305555555555025E-2</v>
      </c>
      <c r="E506" s="7">
        <f>ABS(0.024305555555555-0.021527777777778)</f>
        <v>2.7777777777770012E-3</v>
      </c>
      <c r="F506" s="1" t="s">
        <v>11</v>
      </c>
      <c r="G506" s="1"/>
    </row>
    <row r="507" spans="1:8" x14ac:dyDescent="0.25">
      <c r="A507" s="11">
        <v>42248</v>
      </c>
      <c r="B507" s="7">
        <v>0.62847222222222221</v>
      </c>
      <c r="C507" s="7">
        <v>0.65</v>
      </c>
      <c r="D507" s="7">
        <f>(0.65-0.628472222222222)</f>
        <v>2.1527777777778034E-2</v>
      </c>
      <c r="E507" s="7">
        <f>ABS(0.021527777777778-0.0215277777777779)</f>
        <v>1.0061396160665481E-16</v>
      </c>
      <c r="F507" s="1" t="s">
        <v>11</v>
      </c>
      <c r="G507" s="1"/>
    </row>
    <row r="508" spans="1:8" x14ac:dyDescent="0.25">
      <c r="A508" s="11">
        <v>42248</v>
      </c>
      <c r="B508" s="7">
        <v>0.67222222222222217</v>
      </c>
      <c r="C508" s="7">
        <v>0.69374999999999998</v>
      </c>
      <c r="D508" s="7">
        <f>(0.69375-0.672222222222222)</f>
        <v>2.1527777777777923E-2</v>
      </c>
      <c r="E508" s="7">
        <f>ABS(0.0215277777777779-0.020833333333334)</f>
        <v>6.9444444444390074E-4</v>
      </c>
      <c r="F508" s="1" t="s">
        <v>11</v>
      </c>
      <c r="G508" s="1"/>
    </row>
    <row r="509" spans="1:8" x14ac:dyDescent="0.25">
      <c r="A509" s="11">
        <v>42248</v>
      </c>
      <c r="B509" s="7">
        <v>0.38958333333333334</v>
      </c>
      <c r="C509" s="7">
        <v>0.41041666666666665</v>
      </c>
      <c r="D509" s="7">
        <f>(0.410416666666667-0.389583333333333)</f>
        <v>2.0833333333333981E-2</v>
      </c>
      <c r="E509" s="7">
        <f>ABS(0.020833333333334-0.022222222222222)</f>
        <v>1.3888888888880027E-3</v>
      </c>
      <c r="F509" s="5" t="s">
        <v>11</v>
      </c>
      <c r="G509" s="5"/>
      <c r="H509" s="4"/>
    </row>
    <row r="510" spans="1:8" x14ac:dyDescent="0.25">
      <c r="A510" s="11">
        <v>42248</v>
      </c>
      <c r="B510" s="7">
        <v>0.50486111111111109</v>
      </c>
      <c r="C510" s="7">
        <v>0.52708333333333335</v>
      </c>
      <c r="D510" s="7">
        <f>(0.527083333333333-0.504861111111111)</f>
        <v>2.2222222222222032E-2</v>
      </c>
      <c r="E510" s="7">
        <f>ABS(0.022222222222222-0.019444444444444)</f>
        <v>2.7777777777780004E-3</v>
      </c>
      <c r="F510" s="1" t="s">
        <v>11</v>
      </c>
      <c r="G510" s="1"/>
    </row>
    <row r="511" spans="1:8" x14ac:dyDescent="0.25">
      <c r="A511" s="11">
        <v>42248</v>
      </c>
      <c r="B511" s="7">
        <v>0.56180555555555556</v>
      </c>
      <c r="C511" s="7">
        <v>0.58124999999999993</v>
      </c>
      <c r="D511" s="7">
        <f>(0.58125-0.561805555555556)</f>
        <v>1.9444444444444042E-2</v>
      </c>
      <c r="E511" s="7">
        <f>ABS(0.019444444444444-0.028472222222222)</f>
        <v>9.027777777777999E-3</v>
      </c>
      <c r="F511" s="1" t="s">
        <v>11</v>
      </c>
      <c r="G511" s="1"/>
    </row>
    <row r="512" spans="1:8" x14ac:dyDescent="0.25">
      <c r="A512" s="11">
        <v>42248</v>
      </c>
      <c r="B512" s="7">
        <v>0.79236111111111107</v>
      </c>
      <c r="C512" s="7">
        <v>0.8208333333333333</v>
      </c>
      <c r="D512" s="7">
        <f>(0.820833333333333-0.792361111111111)</f>
        <v>2.847222222222201E-2</v>
      </c>
      <c r="E512" s="7">
        <f>ABS(0.028472222222222-0.0256944444444445)</f>
        <v>2.7777777777775008E-3</v>
      </c>
      <c r="F512" s="1" t="s">
        <v>11</v>
      </c>
      <c r="G512" s="1"/>
    </row>
    <row r="513" spans="1:7" x14ac:dyDescent="0.25">
      <c r="A513" s="11">
        <v>42248</v>
      </c>
      <c r="B513" s="7">
        <v>4.5833333333333337E-2</v>
      </c>
      <c r="C513" s="7">
        <v>7.1527777777777787E-2</v>
      </c>
      <c r="D513" s="7">
        <f>(0.0715277777777778-0.0458333333333333)</f>
        <v>2.5694444444444499E-2</v>
      </c>
      <c r="E513" s="7">
        <f>ABS(0.0256944444444445-0.0201388888888889)</f>
        <v>5.5555555555555983E-3</v>
      </c>
      <c r="F513" s="1" t="s">
        <v>11</v>
      </c>
      <c r="G513" s="1"/>
    </row>
    <row r="514" spans="1:7" x14ac:dyDescent="0.25">
      <c r="A514" s="11">
        <v>42248</v>
      </c>
      <c r="B514" s="7">
        <v>0.7055555555555556</v>
      </c>
      <c r="C514" s="7">
        <v>0.72569444444444453</v>
      </c>
      <c r="D514" s="7">
        <f>(0.725694444444445-0.705555555555556)</f>
        <v>2.0138888888888928E-2</v>
      </c>
      <c r="E514" s="7">
        <f>ABS(0.0201388888888889-0.015972222222222)</f>
        <v>4.1666666666669017E-3</v>
      </c>
      <c r="F514" s="1" t="s">
        <v>11</v>
      </c>
      <c r="G514" s="1"/>
    </row>
    <row r="515" spans="1:7" x14ac:dyDescent="0.25">
      <c r="A515" s="11">
        <v>42248</v>
      </c>
      <c r="B515" s="7">
        <v>0.18055555555555555</v>
      </c>
      <c r="C515" s="7">
        <v>0.19652777777777777</v>
      </c>
      <c r="D515" s="7">
        <f>(0.196527777777778-0.180555555555556)</f>
        <v>1.5972222222221999E-2</v>
      </c>
      <c r="E515" s="7">
        <f>ABS(0.015972222222222-0.020138888888889)</f>
        <v>4.1666666666670023E-3</v>
      </c>
      <c r="F515" s="1" t="s">
        <v>11</v>
      </c>
      <c r="G515" s="1"/>
    </row>
    <row r="516" spans="1:7" x14ac:dyDescent="0.25">
      <c r="A516" s="11">
        <v>42248</v>
      </c>
      <c r="B516" s="7">
        <v>0.39374999999999999</v>
      </c>
      <c r="C516" s="7">
        <v>0.41388888888888892</v>
      </c>
      <c r="D516" s="7">
        <f>(0.413888888888889-0.39375)</f>
        <v>2.0138888888888984E-2</v>
      </c>
      <c r="E516" s="7">
        <f>ABS(0.020138888888889-0.020833333333334)</f>
        <v>6.9444444444499709E-4</v>
      </c>
      <c r="F516" s="1" t="s">
        <v>11</v>
      </c>
      <c r="G516" s="1"/>
    </row>
    <row r="517" spans="1:7" x14ac:dyDescent="0.25">
      <c r="A517" s="11">
        <v>42248</v>
      </c>
      <c r="B517" s="7">
        <v>0.50347222222222221</v>
      </c>
      <c r="C517" s="7">
        <v>0.52430555555555558</v>
      </c>
      <c r="D517" s="7">
        <f>(0.524305555555556-0.503472222222222)</f>
        <v>2.0833333333334036E-2</v>
      </c>
      <c r="E517" s="7">
        <f>ABS(0.020833333333334-0.0326388888888893)</f>
        <v>1.1805555555555302E-2</v>
      </c>
      <c r="F517" s="1" t="s">
        <v>11</v>
      </c>
      <c r="G517" s="1"/>
    </row>
    <row r="518" spans="1:7" x14ac:dyDescent="0.25">
      <c r="A518" s="11">
        <v>42248</v>
      </c>
      <c r="B518" s="7">
        <v>8.5416666666666655E-2</v>
      </c>
      <c r="C518" s="7">
        <v>0.11805555555555557</v>
      </c>
      <c r="D518" s="7">
        <f>(0.118055555555556-0.0854166666666667)</f>
        <v>3.26388888888893E-2</v>
      </c>
      <c r="E518" s="7">
        <f>ABS(0.0326388888888893-0.0236111111111109)</f>
        <v>9.0277777777784014E-3</v>
      </c>
      <c r="F518" s="1" t="s">
        <v>11</v>
      </c>
      <c r="G518" s="1"/>
    </row>
    <row r="519" spans="1:7" x14ac:dyDescent="0.25">
      <c r="A519" s="11">
        <v>42248</v>
      </c>
      <c r="B519" s="7">
        <v>0.77083333333333337</v>
      </c>
      <c r="C519" s="7">
        <v>0.7944444444444444</v>
      </c>
      <c r="D519" s="7">
        <f>(0.794444444444444-0.770833333333333)</f>
        <v>2.3611111111110916E-2</v>
      </c>
      <c r="E519" s="7">
        <f>ABS(0.0236111111111109-0.028472222222222)</f>
        <v>4.8611111111111008E-3</v>
      </c>
      <c r="F519" s="1" t="s">
        <v>11</v>
      </c>
      <c r="G519" s="1"/>
    </row>
    <row r="520" spans="1:7" x14ac:dyDescent="0.25">
      <c r="A520" s="11">
        <v>42248</v>
      </c>
      <c r="B520" s="7">
        <v>0.28750000000000003</v>
      </c>
      <c r="C520" s="7">
        <v>0.31597222222222221</v>
      </c>
      <c r="D520" s="7">
        <f>(0.315972222222222-0.2875)</f>
        <v>2.847222222222201E-2</v>
      </c>
      <c r="E520" s="7">
        <f>ABS(0.028472222222222-0.03125)</f>
        <v>2.7777777777780004E-3</v>
      </c>
      <c r="F520" s="1" t="s">
        <v>11</v>
      </c>
      <c r="G520" s="1"/>
    </row>
    <row r="521" spans="1:7" x14ac:dyDescent="0.25">
      <c r="A521" s="11">
        <v>42248</v>
      </c>
      <c r="B521" s="7">
        <v>0.33680555555555558</v>
      </c>
      <c r="C521" s="7">
        <v>0.36805555555555558</v>
      </c>
      <c r="D521" s="7">
        <f>(0.368055555555556-0.336805555555556)</f>
        <v>3.125E-2</v>
      </c>
      <c r="E521" s="7">
        <f>ABS(0.03125-0.034027777777778)</f>
        <v>2.7777777777779969E-3</v>
      </c>
      <c r="F521" s="1" t="s">
        <v>11</v>
      </c>
      <c r="G521" s="1"/>
    </row>
    <row r="522" spans="1:7" x14ac:dyDescent="0.25">
      <c r="A522" s="11">
        <v>42248</v>
      </c>
      <c r="B522" s="7">
        <v>0.38263888888888892</v>
      </c>
      <c r="C522" s="7">
        <v>0.41666666666666669</v>
      </c>
      <c r="D522" s="7">
        <f>(0.416666666666667-0.382638888888889)</f>
        <v>3.4027777777778045E-2</v>
      </c>
      <c r="E522" s="7">
        <f>ABS(0.034027777777778-0.026388888888889)</f>
        <v>7.6388888888889971E-3</v>
      </c>
      <c r="F522" s="1" t="s">
        <v>11</v>
      </c>
      <c r="G522" s="1"/>
    </row>
    <row r="523" spans="1:7" x14ac:dyDescent="0.25">
      <c r="A523" s="11">
        <v>42248</v>
      </c>
      <c r="B523" s="7">
        <v>0.46388888888888885</v>
      </c>
      <c r="C523" s="7">
        <v>0.49027777777777781</v>
      </c>
      <c r="D523" s="7">
        <f>(0.490277777777778-0.463888888888889)</f>
        <v>2.6388888888888962E-2</v>
      </c>
      <c r="E523" s="7">
        <f>ABS(0.026388888888889-0.021527777777778)</f>
        <v>4.8611111111110002E-3</v>
      </c>
      <c r="F523" s="1" t="s">
        <v>11</v>
      </c>
      <c r="G523" s="1"/>
    </row>
    <row r="524" spans="1:7" x14ac:dyDescent="0.25">
      <c r="A524" s="11">
        <v>42248</v>
      </c>
      <c r="B524" s="7">
        <v>0.48333333333333334</v>
      </c>
      <c r="C524" s="7">
        <v>0.50486111111111109</v>
      </c>
      <c r="D524" s="7">
        <f>(0.504861111111111-0.483333333333333)</f>
        <v>2.1527777777777979E-2</v>
      </c>
      <c r="E524" s="7">
        <f>ABS(0.021527777777778-0.021527777777778)</f>
        <v>0</v>
      </c>
      <c r="F524" s="1" t="s">
        <v>11</v>
      </c>
      <c r="G524" s="1"/>
    </row>
    <row r="525" spans="1:7" x14ac:dyDescent="0.25">
      <c r="A525" s="11">
        <v>42248</v>
      </c>
      <c r="B525" s="7">
        <v>0.82708333333333339</v>
      </c>
      <c r="C525" s="7">
        <v>0.84861111111111109</v>
      </c>
      <c r="D525" s="7">
        <f>(0.848611111111111-0.827083333333333)</f>
        <v>2.1527777777778034E-2</v>
      </c>
      <c r="E525" s="7">
        <f>ABS(0.021527777777778-0.017361111111111)</f>
        <v>4.1666666666669988E-3</v>
      </c>
      <c r="F525" s="1" t="s">
        <v>11</v>
      </c>
      <c r="G525" s="1"/>
    </row>
    <row r="526" spans="1:7" x14ac:dyDescent="0.25">
      <c r="A526" s="11">
        <v>42248</v>
      </c>
      <c r="B526" s="7">
        <v>0.44305555555555554</v>
      </c>
      <c r="C526" s="7">
        <v>0.4604166666666667</v>
      </c>
      <c r="D526" s="7">
        <f>(0.460416666666667-0.443055555555556)</f>
        <v>1.7361111111110994E-2</v>
      </c>
      <c r="E526" s="7">
        <f>ABS(0.017361111111111-0.0152777777777781)</f>
        <v>2.0833333333329009E-3</v>
      </c>
      <c r="F526" s="1" t="s">
        <v>11</v>
      </c>
      <c r="G526" s="1"/>
    </row>
    <row r="527" spans="1:7" x14ac:dyDescent="0.25">
      <c r="A527" s="11">
        <v>42248</v>
      </c>
      <c r="B527" s="7">
        <v>0.50138888888888888</v>
      </c>
      <c r="C527" s="7">
        <v>0.51666666666666672</v>
      </c>
      <c r="D527" s="7">
        <f>(0.516666666666667-0.501388888888889)</f>
        <v>1.5277777777778057E-2</v>
      </c>
      <c r="E527" s="7">
        <f>ABS(0.0152777777777781-0.0159722222222219)</f>
        <v>6.9444444444379839E-4</v>
      </c>
      <c r="F527" s="1" t="s">
        <v>11</v>
      </c>
      <c r="G527" s="1"/>
    </row>
    <row r="528" spans="1:7" x14ac:dyDescent="0.25">
      <c r="A528" s="11">
        <v>42248</v>
      </c>
      <c r="B528" s="7">
        <v>0.83124999999999993</v>
      </c>
      <c r="C528" s="7">
        <v>0.84722222222222221</v>
      </c>
      <c r="D528" s="7">
        <f>(0.847222222222222-0.83125)</f>
        <v>1.5972222222221943E-2</v>
      </c>
      <c r="E528" s="7">
        <f>ABS(0.0159722222222219-0.013194444444444)</f>
        <v>2.777777777777898E-3</v>
      </c>
      <c r="F528" s="1" t="s">
        <v>11</v>
      </c>
      <c r="G528" s="1"/>
    </row>
    <row r="529" spans="1:7" x14ac:dyDescent="0.25">
      <c r="A529" s="11">
        <v>42248</v>
      </c>
      <c r="B529" s="7">
        <v>0.43541666666666662</v>
      </c>
      <c r="C529" s="7">
        <v>0.44861111111111113</v>
      </c>
      <c r="D529" s="7">
        <f>(0.448611111111111-0.435416666666667)</f>
        <v>1.3194444444444009E-2</v>
      </c>
      <c r="E529" s="7">
        <f>ABS(0.013194444444444-0.0229166666666669)</f>
        <v>9.7222222222229007E-3</v>
      </c>
      <c r="F529" s="1" t="s">
        <v>11</v>
      </c>
      <c r="G529" s="1"/>
    </row>
    <row r="530" spans="1:7" x14ac:dyDescent="0.25">
      <c r="A530" s="11">
        <v>42248</v>
      </c>
      <c r="B530" s="7">
        <v>0.61249999999999993</v>
      </c>
      <c r="C530" s="7">
        <v>0.63541666666666663</v>
      </c>
      <c r="D530" s="7">
        <f>(0.635416666666667-0.6125)</f>
        <v>2.2916666666666918E-2</v>
      </c>
      <c r="E530" s="7">
        <f>ABS(0.0229166666666669-0.017361111111111)</f>
        <v>5.5555555555559001E-3</v>
      </c>
      <c r="F530" s="1" t="s">
        <v>11</v>
      </c>
      <c r="G530" s="1"/>
    </row>
    <row r="531" spans="1:7" x14ac:dyDescent="0.25">
      <c r="A531" s="11">
        <v>42248</v>
      </c>
      <c r="B531" s="7">
        <v>0.6875</v>
      </c>
      <c r="C531" s="7">
        <v>0.70486111111111116</v>
      </c>
      <c r="D531" s="7">
        <f>(0.704861111111111-0.6875)</f>
        <v>1.7361111111111049E-2</v>
      </c>
      <c r="E531" s="7">
        <f>ABS(0.017361111111111-0.01875)</f>
        <v>1.3888888888889984E-3</v>
      </c>
      <c r="F531" s="1" t="s">
        <v>11</v>
      </c>
      <c r="G531" s="1"/>
    </row>
    <row r="532" spans="1:7" x14ac:dyDescent="0.25">
      <c r="A532" s="11">
        <v>42248</v>
      </c>
      <c r="B532" s="7">
        <v>0.74791666666666667</v>
      </c>
      <c r="C532" s="7">
        <v>0.76666666666666661</v>
      </c>
      <c r="D532" s="7">
        <f>(0.766666666666667-0.747916666666667)</f>
        <v>1.8750000000000044E-2</v>
      </c>
      <c r="E532" s="7">
        <f>ABS(0.01875-0.0208333333333339)</f>
        <v>2.0833333333339019E-3</v>
      </c>
      <c r="F532" s="1" t="s">
        <v>11</v>
      </c>
      <c r="G532" s="1"/>
    </row>
    <row r="533" spans="1:7" x14ac:dyDescent="0.25">
      <c r="A533" s="11">
        <v>42248</v>
      </c>
      <c r="B533" s="7">
        <v>0.79722222222222217</v>
      </c>
      <c r="C533" s="7">
        <v>0.81805555555555554</v>
      </c>
      <c r="D533" s="7">
        <f>(0.818055555555556-0.797222222222222)</f>
        <v>2.0833333333333925E-2</v>
      </c>
      <c r="E533" s="7">
        <f>ABS(0.0208333333333339-0.028472222222222)</f>
        <v>7.6388888888880985E-3</v>
      </c>
      <c r="F533" s="1" t="s">
        <v>11</v>
      </c>
      <c r="G533" s="1"/>
    </row>
    <row r="534" spans="1:7" x14ac:dyDescent="0.25">
      <c r="A534" s="11">
        <v>42248</v>
      </c>
      <c r="B534" s="7">
        <v>0.45555555555555555</v>
      </c>
      <c r="C534" s="7">
        <v>0.48402777777777778</v>
      </c>
      <c r="D534" s="7">
        <f>(0.484027777777778-0.455555555555556)</f>
        <v>2.847222222222201E-2</v>
      </c>
      <c r="E534" s="7">
        <f>ABS(0.028472222222222-0.031944444444445)</f>
        <v>3.4722222222229975E-3</v>
      </c>
      <c r="F534" s="1" t="s">
        <v>11</v>
      </c>
      <c r="G534" s="1"/>
    </row>
    <row r="535" spans="1:7" x14ac:dyDescent="0.25">
      <c r="A535" s="11">
        <v>42248</v>
      </c>
      <c r="B535" s="7">
        <v>0.45694444444444443</v>
      </c>
      <c r="C535" s="7">
        <v>0.48888888888888887</v>
      </c>
      <c r="D535" s="7">
        <f>(0.488888888888889-0.456944444444444)</f>
        <v>3.1944444444444997E-2</v>
      </c>
      <c r="E535" s="7">
        <f>ABS(0.031944444444445-0.0201388888888889)</f>
        <v>1.1805555555556096E-2</v>
      </c>
      <c r="F535" s="1" t="s">
        <v>11</v>
      </c>
      <c r="G535" s="1"/>
    </row>
    <row r="536" spans="1:7" x14ac:dyDescent="0.25">
      <c r="A536" s="11">
        <v>42248</v>
      </c>
      <c r="B536" s="7">
        <v>0.52500000000000002</v>
      </c>
      <c r="C536" s="7">
        <v>0.54513888888888895</v>
      </c>
      <c r="D536" s="7">
        <f>(0.545138888888889-0.525)</f>
        <v>2.0138888888888928E-2</v>
      </c>
      <c r="E536" s="7">
        <f>ABS(0.0201388888888889-0.022222222222223)</f>
        <v>2.0833333333340996E-3</v>
      </c>
      <c r="F536" s="1" t="s">
        <v>11</v>
      </c>
      <c r="G536" s="1"/>
    </row>
    <row r="537" spans="1:7" x14ac:dyDescent="0.25">
      <c r="A537" s="11">
        <v>42248</v>
      </c>
      <c r="B537" s="7">
        <v>0.77708333333333324</v>
      </c>
      <c r="C537" s="7">
        <v>0.7993055555555556</v>
      </c>
      <c r="D537" s="7">
        <f>(0.799305555555556-0.777083333333333)</f>
        <v>2.2222222222223031E-2</v>
      </c>
      <c r="E537" s="7">
        <f>ABS(0.022222222222223-0.0215277777777778)</f>
        <v>6.9444444444520179E-4</v>
      </c>
      <c r="F537" s="1" t="s">
        <v>11</v>
      </c>
      <c r="G537" s="1"/>
    </row>
    <row r="538" spans="1:7" x14ac:dyDescent="0.25">
      <c r="A538" s="11">
        <v>42248</v>
      </c>
      <c r="B538" s="7">
        <v>3.4027777777777775E-2</v>
      </c>
      <c r="C538" s="7">
        <v>5.5555555555555552E-2</v>
      </c>
      <c r="D538" s="7">
        <f>(0.0555555555555556-0.0340277777777778)</f>
        <v>2.1527777777777798E-2</v>
      </c>
      <c r="E538" s="7">
        <f>ABS(0.0215277777777778-0.0236111111111109)</f>
        <v>2.0833333333331004E-3</v>
      </c>
      <c r="F538" s="1" t="s">
        <v>11</v>
      </c>
      <c r="G538" s="1"/>
    </row>
    <row r="539" spans="1:7" x14ac:dyDescent="0.25">
      <c r="A539" s="11">
        <v>42248</v>
      </c>
      <c r="B539" s="7">
        <v>0.6791666666666667</v>
      </c>
      <c r="C539" s="7">
        <v>0.70277777777777783</v>
      </c>
      <c r="D539" s="7">
        <f>(0.702777777777778-0.679166666666667)</f>
        <v>2.3611111111110916E-2</v>
      </c>
      <c r="E539" s="7">
        <f>ABS(0.0236111111111109-0.027083333333333)</f>
        <v>3.4722222222221023E-3</v>
      </c>
      <c r="F539" s="1" t="s">
        <v>11</v>
      </c>
      <c r="G539" s="1"/>
    </row>
    <row r="540" spans="1:7" x14ac:dyDescent="0.25">
      <c r="A540" s="11">
        <v>42248</v>
      </c>
      <c r="B540" s="7">
        <v>0.73055555555555562</v>
      </c>
      <c r="C540" s="7">
        <v>0.75763888888888886</v>
      </c>
      <c r="D540" s="7">
        <f>(0.757638888888889-0.730555555555556)</f>
        <v>2.7083333333333015E-2</v>
      </c>
      <c r="E540" s="7">
        <f>ABS(0.027083333333333-0.027083333333333)</f>
        <v>0</v>
      </c>
      <c r="F540" s="1" t="s">
        <v>11</v>
      </c>
      <c r="G540" s="1"/>
    </row>
    <row r="541" spans="1:7" x14ac:dyDescent="0.25">
      <c r="A541" s="11">
        <v>42248</v>
      </c>
      <c r="B541" s="7">
        <v>0.93888888888888899</v>
      </c>
      <c r="C541" s="7">
        <v>0.96597222222222223</v>
      </c>
      <c r="D541" s="7">
        <f>(0.965972222222222-0.938888888888889)</f>
        <v>2.7083333333333015E-2</v>
      </c>
      <c r="E541" s="7">
        <f>ABS(0.027083333333333-0.021527777777778)</f>
        <v>5.5555555555550015E-3</v>
      </c>
      <c r="F541" s="1" t="s">
        <v>11</v>
      </c>
      <c r="G541" s="1"/>
    </row>
    <row r="542" spans="1:7" x14ac:dyDescent="0.25">
      <c r="A542" s="11">
        <v>42248</v>
      </c>
      <c r="B542" s="7">
        <v>0.50069444444444444</v>
      </c>
      <c r="C542" s="7">
        <v>0.52222222222222225</v>
      </c>
      <c r="D542" s="7">
        <f>(0.522222222222222-0.500694444444444)</f>
        <v>2.1527777777778034E-2</v>
      </c>
      <c r="E542" s="7">
        <f>ABS(0.021527777777778-0.020833333333333)</f>
        <v>6.9444444444500056E-4</v>
      </c>
      <c r="F542" s="1" t="s">
        <v>11</v>
      </c>
      <c r="G542" s="1"/>
    </row>
    <row r="543" spans="1:7" x14ac:dyDescent="0.25">
      <c r="A543" s="11">
        <v>42248</v>
      </c>
      <c r="B543" s="7">
        <v>0.47361111111111115</v>
      </c>
      <c r="C543" s="7">
        <v>0.49444444444444446</v>
      </c>
      <c r="D543" s="7">
        <f>(0.494444444444444-0.473611111111111)</f>
        <v>2.0833333333333037E-2</v>
      </c>
      <c r="E543" s="7">
        <f>ABS(0.020833333333333-0.022916666666667)</f>
        <v>2.0833333333340025E-3</v>
      </c>
      <c r="F543" s="1" t="s">
        <v>11</v>
      </c>
      <c r="G543" s="1"/>
    </row>
    <row r="544" spans="1:7" x14ac:dyDescent="0.25">
      <c r="A544" s="11">
        <v>42248</v>
      </c>
      <c r="B544" s="7">
        <v>0.52847222222222223</v>
      </c>
      <c r="C544" s="7">
        <v>0.55138888888888882</v>
      </c>
      <c r="D544" s="7">
        <f>(0.551388888888889-0.528472222222222)</f>
        <v>2.2916666666667029E-2</v>
      </c>
      <c r="E544" s="7">
        <f>ABS(0.022916666666667-0.023611111111111)</f>
        <v>6.9444444444399789E-4</v>
      </c>
      <c r="F544" s="1" t="s">
        <v>11</v>
      </c>
      <c r="G544" s="1"/>
    </row>
    <row r="545" spans="1:7" x14ac:dyDescent="0.25">
      <c r="A545" s="11">
        <v>42248</v>
      </c>
      <c r="B545" s="7">
        <v>0.48055555555555557</v>
      </c>
      <c r="C545" s="7">
        <v>0.50416666666666665</v>
      </c>
      <c r="D545" s="7">
        <f>(0.504166666666667-0.480555555555556)</f>
        <v>2.3611111111110972E-2</v>
      </c>
      <c r="E545" s="7">
        <f>ABS(0.023611111111111-0.019444444444444)</f>
        <v>4.1666666666669988E-3</v>
      </c>
      <c r="F545" s="1" t="s">
        <v>11</v>
      </c>
      <c r="G545" s="1"/>
    </row>
    <row r="546" spans="1:7" x14ac:dyDescent="0.25">
      <c r="A546" s="11">
        <v>42248</v>
      </c>
      <c r="B546" s="7">
        <v>0.81388888888888899</v>
      </c>
      <c r="C546" s="7">
        <v>0.83333333333333337</v>
      </c>
      <c r="D546" s="7">
        <f>(0.833333333333333-0.813888888888889)</f>
        <v>1.9444444444444042E-2</v>
      </c>
      <c r="E546" s="7">
        <f>ABS(0.019444444444444-0.022222222222223)</f>
        <v>2.7777777777789996E-3</v>
      </c>
      <c r="F546" s="1" t="s">
        <v>11</v>
      </c>
      <c r="G546" s="1"/>
    </row>
    <row r="547" spans="1:7" x14ac:dyDescent="0.25">
      <c r="A547" s="11">
        <v>42248</v>
      </c>
      <c r="B547" s="7">
        <v>0.55694444444444446</v>
      </c>
      <c r="C547" s="7">
        <v>0.57916666666666672</v>
      </c>
      <c r="D547" s="7">
        <f>(0.579166666666667-0.556944444444444)</f>
        <v>2.2222222222223031E-2</v>
      </c>
      <c r="E547" s="7">
        <f>ABS(0.022222222222223-0.017361111111111)</f>
        <v>4.8611111111119994E-3</v>
      </c>
      <c r="F547" s="1" t="s">
        <v>11</v>
      </c>
      <c r="G547" s="1"/>
    </row>
    <row r="548" spans="1:7" x14ac:dyDescent="0.25">
      <c r="A548" s="11">
        <v>42248</v>
      </c>
      <c r="B548" s="7">
        <v>0.69930555555555562</v>
      </c>
      <c r="C548" s="7">
        <v>0.71666666666666667</v>
      </c>
      <c r="D548" s="7">
        <f>(0.716666666666667-0.699305555555556)</f>
        <v>1.7361111111111049E-2</v>
      </c>
      <c r="E548" s="7">
        <f>ABS(0.017361111111111-0.01875)</f>
        <v>1.3888888888889984E-3</v>
      </c>
      <c r="F548" s="1" t="s">
        <v>11</v>
      </c>
      <c r="G548" s="1"/>
    </row>
    <row r="549" spans="1:7" x14ac:dyDescent="0.25">
      <c r="A549" s="11">
        <v>42248</v>
      </c>
      <c r="B549" s="7">
        <v>0.72222222222222221</v>
      </c>
      <c r="C549" s="7">
        <v>0.74097222222222225</v>
      </c>
      <c r="D549" s="7">
        <f>(0.740972222222222-0.722222222222222)</f>
        <v>1.8750000000000044E-2</v>
      </c>
      <c r="E549" s="7">
        <f>ABS(0.01875-0.0166666666666669)</f>
        <v>2.0833333333331004E-3</v>
      </c>
      <c r="F549" s="1" t="s">
        <v>11</v>
      </c>
      <c r="G549" s="1"/>
    </row>
    <row r="550" spans="1:7" x14ac:dyDescent="0.25">
      <c r="A550" s="11">
        <v>42248</v>
      </c>
      <c r="B550" s="7">
        <v>0.79861111111111116</v>
      </c>
      <c r="C550" s="7">
        <v>0.81527777777777777</v>
      </c>
      <c r="D550" s="7">
        <f>(0.815277777777778-0.798611111111111)</f>
        <v>1.6666666666666941E-2</v>
      </c>
      <c r="E550" s="7">
        <f>ABS(0.0166666666666669-0.020138888888889)</f>
        <v>3.4722222222221023E-3</v>
      </c>
      <c r="F550" s="1" t="s">
        <v>11</v>
      </c>
      <c r="G550" s="1"/>
    </row>
    <row r="551" spans="1:7" x14ac:dyDescent="0.25">
      <c r="A551" s="11">
        <v>42248</v>
      </c>
      <c r="B551" s="7">
        <v>0.8569444444444444</v>
      </c>
      <c r="C551" s="7">
        <v>0.87708333333333333</v>
      </c>
      <c r="D551" s="7">
        <f>(0.877083333333333-0.856944444444444)</f>
        <v>2.0138888888889039E-2</v>
      </c>
      <c r="E551" s="7">
        <f>ABS(0.020138888888889-0.020833333333334)</f>
        <v>6.9444444444499709E-4</v>
      </c>
      <c r="F551" s="1" t="s">
        <v>11</v>
      </c>
      <c r="G551" s="1"/>
    </row>
    <row r="552" spans="1:7" x14ac:dyDescent="0.25">
      <c r="A552" s="11">
        <v>42248</v>
      </c>
      <c r="B552" s="7">
        <v>0.45208333333333334</v>
      </c>
      <c r="C552" s="7">
        <v>0.47291666666666665</v>
      </c>
      <c r="D552" s="7">
        <f>(0.472916666666667-0.452083333333333)</f>
        <v>2.0833333333333981E-2</v>
      </c>
      <c r="E552" s="7">
        <f>ABS(0.020833333333334-0.015277777777778)</f>
        <v>5.555555555555999E-3</v>
      </c>
      <c r="F552" s="1" t="s">
        <v>11</v>
      </c>
      <c r="G552" s="1"/>
    </row>
    <row r="553" spans="1:7" x14ac:dyDescent="0.25">
      <c r="A553" s="11">
        <v>42248</v>
      </c>
      <c r="B553" s="7">
        <v>0.10902777777777778</v>
      </c>
      <c r="C553" s="7">
        <v>0.12430555555555556</v>
      </c>
      <c r="D553" s="7">
        <f>(0.124305555555556-0.109027777777778)</f>
        <v>1.5277777777778001E-2</v>
      </c>
      <c r="E553" s="7">
        <f>ABS(0.015277777777778-0.016666666666667)</f>
        <v>1.3888888888890002E-3</v>
      </c>
      <c r="F553" s="1" t="s">
        <v>11</v>
      </c>
      <c r="G553" s="1"/>
    </row>
    <row r="554" spans="1:7" x14ac:dyDescent="0.25">
      <c r="A554" s="11">
        <v>42248</v>
      </c>
      <c r="B554" s="7">
        <v>0.20486111111111113</v>
      </c>
      <c r="C554" s="7">
        <v>0.22152777777777777</v>
      </c>
      <c r="D554" s="7">
        <f>(0.221527777777778-0.204861111111111)</f>
        <v>1.6666666666666996E-2</v>
      </c>
      <c r="E554" s="7">
        <f>ABS(0.016666666666667-0.0194444444444449)</f>
        <v>2.7777777777778997E-3</v>
      </c>
      <c r="F554" s="1" t="s">
        <v>11</v>
      </c>
      <c r="G554" s="1"/>
    </row>
    <row r="555" spans="1:7" x14ac:dyDescent="0.25">
      <c r="A555" s="11">
        <v>42248</v>
      </c>
      <c r="B555" s="7">
        <v>0.52222222222222225</v>
      </c>
      <c r="C555" s="7">
        <v>0.54166666666666663</v>
      </c>
      <c r="D555" s="7">
        <f>(0.541666666666667-0.522222222222222)</f>
        <v>1.944444444444493E-2</v>
      </c>
      <c r="E555" s="7">
        <f>ABS(0.0194444444444449-0.0201388888888889)</f>
        <v>6.9444444444400136E-4</v>
      </c>
      <c r="F555" s="1" t="s">
        <v>11</v>
      </c>
      <c r="G555" s="1"/>
    </row>
    <row r="556" spans="1:7" x14ac:dyDescent="0.25">
      <c r="A556" s="11">
        <v>42248</v>
      </c>
      <c r="B556" s="7">
        <v>0.58611111111111114</v>
      </c>
      <c r="C556" s="7">
        <v>0.60625000000000007</v>
      </c>
      <c r="D556" s="7">
        <f>(0.60625-0.586111111111111)</f>
        <v>2.0138888888888928E-2</v>
      </c>
      <c r="E556" s="7">
        <f>ABS(0.0201388888888889-0.01875)</f>
        <v>1.3888888888889013E-3</v>
      </c>
      <c r="F556" s="1" t="s">
        <v>11</v>
      </c>
      <c r="G556" s="1"/>
    </row>
    <row r="557" spans="1:7" x14ac:dyDescent="0.25">
      <c r="A557" s="11">
        <v>42248</v>
      </c>
      <c r="B557" s="7">
        <v>0.59583333333333333</v>
      </c>
      <c r="C557" s="7">
        <v>0.61458333333333337</v>
      </c>
      <c r="D557" s="7">
        <f>(0.614583333333333-0.595833333333333)</f>
        <v>1.8750000000000044E-2</v>
      </c>
      <c r="E557" s="7">
        <f>ABS(0.01875-0.019444444444444)</f>
        <v>6.9444444444400136E-4</v>
      </c>
      <c r="F557" s="1" t="s">
        <v>11</v>
      </c>
      <c r="G557" s="1"/>
    </row>
    <row r="558" spans="1:7" x14ac:dyDescent="0.25">
      <c r="A558" s="11">
        <v>42248</v>
      </c>
      <c r="B558" s="7">
        <v>0.625</v>
      </c>
      <c r="C558" s="7">
        <v>0.64444444444444449</v>
      </c>
      <c r="D558" s="7">
        <f>(0.644444444444444-0.625)</f>
        <v>1.9444444444444042E-2</v>
      </c>
      <c r="E558" s="7">
        <f>ABS(0.019444444444444-0.0222222222222219)</f>
        <v>2.7777777777778997E-3</v>
      </c>
      <c r="F558" s="1" t="s">
        <v>11</v>
      </c>
      <c r="G558" s="1"/>
    </row>
    <row r="559" spans="1:7" x14ac:dyDescent="0.25">
      <c r="A559" s="11">
        <v>42248</v>
      </c>
      <c r="B559" s="7">
        <v>0.7715277777777777</v>
      </c>
      <c r="C559" s="7">
        <v>0.79375000000000007</v>
      </c>
      <c r="D559" s="7">
        <f>(0.79375-0.771527777777778)</f>
        <v>2.2222222222221921E-2</v>
      </c>
      <c r="E559" s="7">
        <f>ABS(0.0222222222222219-0.031249999999999)</f>
        <v>9.0277777777771004E-3</v>
      </c>
      <c r="F559" s="1" t="s">
        <v>11</v>
      </c>
      <c r="G559" s="1"/>
    </row>
    <row r="560" spans="1:7" x14ac:dyDescent="0.25">
      <c r="A560" s="11">
        <v>42248</v>
      </c>
      <c r="B560" s="7">
        <v>0.97986111111111107</v>
      </c>
      <c r="C560" s="7">
        <v>1.0111111111111111</v>
      </c>
      <c r="D560" s="7">
        <f>(1.01111111111111-0.979861111111111)</f>
        <v>3.1249999999999001E-2</v>
      </c>
      <c r="E560" s="7">
        <f>ABS(0.031249999999999-0.017361111111111)</f>
        <v>1.3888888888888E-2</v>
      </c>
      <c r="F560" s="1" t="s">
        <v>11</v>
      </c>
      <c r="G560" s="1"/>
    </row>
    <row r="561" spans="1:7" x14ac:dyDescent="0.25">
      <c r="A561" s="11">
        <v>42248</v>
      </c>
      <c r="B561" s="7">
        <v>0.53402777777777777</v>
      </c>
      <c r="C561" s="7">
        <v>0.55138888888888882</v>
      </c>
      <c r="D561" s="7">
        <f>(0.551388888888889-0.534027777777778)</f>
        <v>1.7361111111111049E-2</v>
      </c>
      <c r="E561" s="7">
        <f>ABS(0.017361111111111-0.025694444444444)</f>
        <v>8.3333333333329984E-3</v>
      </c>
      <c r="F561" s="1" t="s">
        <v>11</v>
      </c>
      <c r="G561" s="1"/>
    </row>
    <row r="562" spans="1:7" x14ac:dyDescent="0.25">
      <c r="A562" s="11">
        <v>42248</v>
      </c>
      <c r="B562" s="7">
        <v>0.65486111111111112</v>
      </c>
      <c r="C562" s="7">
        <v>0.68055555555555547</v>
      </c>
      <c r="D562" s="7">
        <f>(0.680555555555555-0.654861111111111)</f>
        <v>2.569444444444402E-2</v>
      </c>
      <c r="E562" s="7">
        <f>ABS(0.025694444444444-0.010416666666667)</f>
        <v>1.5277777777777E-2</v>
      </c>
      <c r="F562" s="1" t="s">
        <v>11</v>
      </c>
      <c r="G562" s="1"/>
    </row>
    <row r="563" spans="1:7" x14ac:dyDescent="0.25">
      <c r="A563" s="11">
        <v>42248</v>
      </c>
      <c r="B563" s="7">
        <v>0.89236111111111116</v>
      </c>
      <c r="C563" s="7">
        <v>0.90277777777777779</v>
      </c>
      <c r="D563" s="7">
        <f>(0.902777777777778-0.892361111111111)</f>
        <v>1.0416666666666963E-2</v>
      </c>
      <c r="E563" s="7">
        <f>ABS(0.010416666666667-0.023611111111111)</f>
        <v>1.3194444444444E-2</v>
      </c>
      <c r="F563" s="1" t="s">
        <v>11</v>
      </c>
      <c r="G563" s="1"/>
    </row>
    <row r="564" spans="1:7" x14ac:dyDescent="0.25">
      <c r="A564" s="11">
        <v>42248</v>
      </c>
      <c r="B564" s="7">
        <v>0.65555555555555556</v>
      </c>
      <c r="C564" s="7">
        <v>0.6791666666666667</v>
      </c>
      <c r="D564" s="7">
        <f>(0.679166666666667-0.655555555555556)</f>
        <v>2.3611111111111027E-2</v>
      </c>
      <c r="E564" s="7">
        <f>ABS(0.023611111111111-0.0166666666666669)</f>
        <v>6.9444444444441006E-3</v>
      </c>
      <c r="F564" s="1" t="s">
        <v>11</v>
      </c>
      <c r="G564" s="1"/>
    </row>
    <row r="565" spans="1:7" x14ac:dyDescent="0.25">
      <c r="A565" s="11">
        <v>42248</v>
      </c>
      <c r="B565" s="7">
        <v>0.73888888888888893</v>
      </c>
      <c r="C565" s="7">
        <v>0.75555555555555554</v>
      </c>
      <c r="D565" s="7">
        <f>(0.755555555555556-0.738888888888889)</f>
        <v>1.6666666666666941E-2</v>
      </c>
      <c r="E565" s="7">
        <f>ABS(0.0166666666666669-0.0222222222222223)</f>
        <v>5.5555555555554005E-3</v>
      </c>
      <c r="F565" s="1" t="s">
        <v>11</v>
      </c>
      <c r="G565" s="1"/>
    </row>
    <row r="566" spans="1:7" x14ac:dyDescent="0.25">
      <c r="A566" s="11">
        <v>42248</v>
      </c>
      <c r="B566" s="7">
        <v>1.9444444444444445E-2</v>
      </c>
      <c r="C566" s="7">
        <v>4.1666666666666664E-2</v>
      </c>
      <c r="D566" s="7">
        <f>(0.0416666666666667-0.0194444444444444)</f>
        <v>2.2222222222222299E-2</v>
      </c>
      <c r="E566" s="7">
        <f>ABS(0.0222222222222223-0.018055555555556)</f>
        <v>4.166666666666298E-3</v>
      </c>
      <c r="F566" s="1" t="s">
        <v>11</v>
      </c>
      <c r="G566" s="1"/>
    </row>
    <row r="567" spans="1:7" x14ac:dyDescent="0.25">
      <c r="A567" s="11">
        <v>42248</v>
      </c>
      <c r="B567" s="7">
        <v>8.7500000000000008E-2</v>
      </c>
      <c r="C567" s="7">
        <v>0.10555555555555556</v>
      </c>
      <c r="D567" s="7">
        <f>(0.105555555555556-0.0875)</f>
        <v>1.8055555555556005E-2</v>
      </c>
      <c r="E567" s="7">
        <f>ABS(0.018055555555556-0.029166666666667)</f>
        <v>1.1111111111110999E-2</v>
      </c>
      <c r="F567" s="1" t="s">
        <v>11</v>
      </c>
      <c r="G567" s="1"/>
    </row>
    <row r="568" spans="1:7" x14ac:dyDescent="0.25">
      <c r="A568" s="11">
        <v>42248</v>
      </c>
      <c r="B568" s="7">
        <v>0.35625000000000001</v>
      </c>
      <c r="C568" s="7">
        <v>0.38541666666666669</v>
      </c>
      <c r="D568" s="7">
        <f>(0.385416666666667-0.35625)</f>
        <v>2.9166666666667007E-2</v>
      </c>
      <c r="E568" s="7">
        <f>ABS(0.029166666666667-0.020138888888889)</f>
        <v>9.027777777777999E-3</v>
      </c>
      <c r="F568" s="1" t="s">
        <v>11</v>
      </c>
      <c r="G568" s="1"/>
    </row>
    <row r="569" spans="1:7" x14ac:dyDescent="0.25">
      <c r="A569" s="11">
        <v>42248</v>
      </c>
      <c r="B569" s="7">
        <v>0.45624999999999999</v>
      </c>
      <c r="C569" s="7">
        <v>0.47638888888888892</v>
      </c>
      <c r="D569" s="7">
        <f>(0.476388888888889-0.45625)</f>
        <v>2.0138888888888984E-2</v>
      </c>
      <c r="E569" s="7">
        <f>ABS(0.020138888888889-0.0215277777777779)</f>
        <v>1.3888888888888978E-3</v>
      </c>
      <c r="F569" s="1" t="s">
        <v>11</v>
      </c>
      <c r="G569" s="1"/>
    </row>
    <row r="570" spans="1:7" x14ac:dyDescent="0.25">
      <c r="A570" s="11">
        <v>42248</v>
      </c>
      <c r="B570" s="7">
        <v>0.6777777777777777</v>
      </c>
      <c r="C570" s="7">
        <v>0.69930555555555562</v>
      </c>
      <c r="D570" s="7">
        <f>(0.699305555555556-0.677777777777778)</f>
        <v>2.1527777777777923E-2</v>
      </c>
      <c r="E570" s="7">
        <f>ABS(0.0215277777777779-0.029861111111111)</f>
        <v>8.3333333333331025E-3</v>
      </c>
      <c r="F570" s="1" t="s">
        <v>11</v>
      </c>
      <c r="G570" s="1"/>
    </row>
    <row r="571" spans="1:7" x14ac:dyDescent="0.25">
      <c r="A571" s="11">
        <v>42248</v>
      </c>
      <c r="B571" s="7">
        <v>0.68541666666666667</v>
      </c>
      <c r="C571" s="7">
        <v>0.71527777777777779</v>
      </c>
      <c r="D571" s="7">
        <f>(0.715277777777778-0.685416666666667)</f>
        <v>2.9861111111111005E-2</v>
      </c>
      <c r="E571" s="7">
        <f>ABS(0.029861111111111-0.0229166666666667)</f>
        <v>6.9444444444443018E-3</v>
      </c>
      <c r="F571" s="1" t="s">
        <v>11</v>
      </c>
      <c r="G571" s="1"/>
    </row>
    <row r="572" spans="1:7" x14ac:dyDescent="0.25">
      <c r="A572" s="11">
        <v>42248</v>
      </c>
      <c r="B572" s="7">
        <v>5.8333333333333327E-2</v>
      </c>
      <c r="C572" s="7">
        <v>8.1250000000000003E-2</v>
      </c>
      <c r="D572" s="7">
        <f>(0.08125-0.0583333333333333)</f>
        <v>2.2916666666666703E-2</v>
      </c>
      <c r="E572" s="7">
        <f>ABS(0.0229166666666667-0.022222222222223)</f>
        <v>6.9444444444369952E-4</v>
      </c>
      <c r="F572" s="1" t="s">
        <v>11</v>
      </c>
      <c r="G572" s="1"/>
    </row>
    <row r="573" spans="1:7" x14ac:dyDescent="0.25">
      <c r="A573" s="11">
        <v>42248</v>
      </c>
      <c r="B573" s="7">
        <v>0.29583333333333334</v>
      </c>
      <c r="C573" s="7">
        <v>0.31805555555555554</v>
      </c>
      <c r="D573" s="7">
        <f>(0.318055555555556-0.295833333333333)</f>
        <v>2.2222222222222976E-2</v>
      </c>
      <c r="E573" s="7">
        <f>ABS(0.022222222222223-0.022222222222222)</f>
        <v>9.9920072216264089E-16</v>
      </c>
      <c r="F573" s="1" t="s">
        <v>11</v>
      </c>
      <c r="G573" s="1"/>
    </row>
    <row r="574" spans="1:7" x14ac:dyDescent="0.25">
      <c r="A574" s="11">
        <v>42248</v>
      </c>
      <c r="B574" s="7">
        <v>0.79375000000000007</v>
      </c>
      <c r="C574" s="7">
        <v>0.81597222222222221</v>
      </c>
      <c r="D574" s="7">
        <f>(0.815972222222222-0.79375)</f>
        <v>2.2222222222222032E-2</v>
      </c>
      <c r="E574" s="7">
        <f>ABS(0.022222222222222-0.01875)</f>
        <v>3.4722222222220017E-3</v>
      </c>
      <c r="F574" s="1" t="s">
        <v>11</v>
      </c>
      <c r="G574" s="1"/>
    </row>
    <row r="575" spans="1:7" x14ac:dyDescent="0.25">
      <c r="A575" s="11">
        <v>42248</v>
      </c>
      <c r="B575" s="7">
        <v>0.84513888888888899</v>
      </c>
      <c r="C575" s="7">
        <v>0.86388888888888893</v>
      </c>
      <c r="D575" s="7">
        <f>(0.863888888888889-0.845138888888889)</f>
        <v>1.8750000000000044E-2</v>
      </c>
      <c r="E575" s="7">
        <f>ABS(0.01875-0.021527777777778)</f>
        <v>2.7777777777780004E-3</v>
      </c>
      <c r="F575" s="1" t="s">
        <v>11</v>
      </c>
      <c r="G575" s="1"/>
    </row>
    <row r="576" spans="1:7" x14ac:dyDescent="0.25">
      <c r="A576" s="11">
        <v>42248</v>
      </c>
      <c r="B576" s="7">
        <v>0.85902777777777783</v>
      </c>
      <c r="C576" s="7">
        <v>0.88055555555555554</v>
      </c>
      <c r="D576" s="7">
        <f>(0.880555555555556-0.859027777777778)</f>
        <v>2.1527777777778034E-2</v>
      </c>
      <c r="E576" s="7">
        <f>ABS(0.021527777777778-0.0159722222222221)</f>
        <v>5.5555555555559001E-3</v>
      </c>
      <c r="F576" s="1" t="s">
        <v>11</v>
      </c>
      <c r="G576" s="1"/>
    </row>
    <row r="577" spans="1:7" x14ac:dyDescent="0.25">
      <c r="A577" s="11">
        <v>42248</v>
      </c>
      <c r="B577" s="7">
        <v>0.87986111111111109</v>
      </c>
      <c r="C577" s="7">
        <v>0.89583333333333337</v>
      </c>
      <c r="D577" s="7">
        <f>(0.895833333333333-0.879861111111111)</f>
        <v>1.5972222222222054E-2</v>
      </c>
      <c r="E577" s="7">
        <f>ABS(0.0159722222222221-0.0194444444444445)</f>
        <v>3.4722222222224007E-3</v>
      </c>
      <c r="F577" s="1" t="s">
        <v>11</v>
      </c>
      <c r="G577" s="1"/>
    </row>
    <row r="578" spans="1:7" x14ac:dyDescent="0.25">
      <c r="A578" s="11">
        <v>42248</v>
      </c>
      <c r="B578" s="7">
        <v>5.6944444444444443E-2</v>
      </c>
      <c r="C578" s="7">
        <v>7.6388888888888895E-2</v>
      </c>
      <c r="D578" s="7">
        <f>(0.0763888888888889-0.0569444444444444)</f>
        <v>1.9444444444444493E-2</v>
      </c>
      <c r="E578" s="7">
        <f>ABS(0.0194444444444445-0.0138888888888899)</f>
        <v>5.5555555555546008E-3</v>
      </c>
      <c r="F578" s="1" t="s">
        <v>11</v>
      </c>
      <c r="G578" s="1"/>
    </row>
    <row r="579" spans="1:7" x14ac:dyDescent="0.25">
      <c r="A579" s="11">
        <v>42248</v>
      </c>
      <c r="B579" s="7">
        <v>1.0027777777777778</v>
      </c>
      <c r="C579" s="7">
        <v>1.0166666666666666</v>
      </c>
      <c r="D579" s="7">
        <f>(1.01666666666667-1.00277777777778)</f>
        <v>1.388888888888995E-2</v>
      </c>
      <c r="E579" s="7">
        <f>ABS(0.0138888888888899-0.0187499999999999)</f>
        <v>4.8611111111099992E-3</v>
      </c>
      <c r="F579" s="1" t="s">
        <v>11</v>
      </c>
      <c r="G579" s="1"/>
    </row>
    <row r="580" spans="1:7" x14ac:dyDescent="0.25">
      <c r="A580" s="11">
        <v>42248</v>
      </c>
      <c r="B580" s="7">
        <v>0.83611111111111114</v>
      </c>
      <c r="C580" s="7">
        <v>0.85486111111111107</v>
      </c>
      <c r="D580" s="7">
        <f>(0.854861111111111-0.836111111111111)</f>
        <v>1.8749999999999933E-2</v>
      </c>
      <c r="E580" s="7">
        <f>ABS(0.0187499999999999-0.020138888888889)</f>
        <v>1.3888888888891025E-3</v>
      </c>
      <c r="F580" s="1" t="s">
        <v>11</v>
      </c>
      <c r="G580" s="1"/>
    </row>
    <row r="581" spans="1:7" x14ac:dyDescent="0.25">
      <c r="A581" s="11">
        <v>42248</v>
      </c>
      <c r="B581" s="7">
        <v>0.82638888888888884</v>
      </c>
      <c r="C581" s="7">
        <v>0.84652777777777777</v>
      </c>
      <c r="D581" s="7">
        <f>(0.846527777777778-0.826388888888889)</f>
        <v>2.0138888888889039E-2</v>
      </c>
      <c r="E581" s="7">
        <f>ABS(0.020138888888889-0.029861111111111)</f>
        <v>9.7222222222220003E-3</v>
      </c>
      <c r="F581" s="1" t="s">
        <v>11</v>
      </c>
      <c r="G581" s="1"/>
    </row>
    <row r="582" spans="1:7" x14ac:dyDescent="0.25">
      <c r="A582" s="11">
        <v>42248</v>
      </c>
      <c r="B582" s="7">
        <v>0.32222222222222224</v>
      </c>
      <c r="C582" s="7">
        <v>0.3520833333333333</v>
      </c>
      <c r="D582" s="7">
        <f>(0.352083333333333-0.322222222222222)</f>
        <v>2.9861111111111005E-2</v>
      </c>
      <c r="E582" s="7">
        <f>ABS(0.029861111111111-0.022222222222222)</f>
        <v>7.6388888888890005E-3</v>
      </c>
      <c r="F582" s="1" t="s">
        <v>11</v>
      </c>
      <c r="G582" s="1"/>
    </row>
    <row r="583" spans="1:7" x14ac:dyDescent="0.25">
      <c r="A583" s="11">
        <v>42248</v>
      </c>
      <c r="B583" s="7">
        <v>0.3923611111111111</v>
      </c>
      <c r="C583" s="7">
        <v>0.4145833333333333</v>
      </c>
      <c r="D583" s="7">
        <f>(0.414583333333333-0.392361111111111)</f>
        <v>2.2222222222222032E-2</v>
      </c>
      <c r="E583" s="7">
        <f>ABS(0.022222222222222-0.025694444444444)</f>
        <v>3.4722222222219983E-3</v>
      </c>
      <c r="F583" s="1" t="s">
        <v>11</v>
      </c>
      <c r="G583" s="1"/>
    </row>
    <row r="584" spans="1:7" x14ac:dyDescent="0.25">
      <c r="A584" s="11">
        <v>42248</v>
      </c>
      <c r="B584" s="7">
        <v>0.50138888888888888</v>
      </c>
      <c r="C584" s="7">
        <v>0.52708333333333335</v>
      </c>
      <c r="D584" s="7">
        <f>(0.527083333333333-0.501388888888889)</f>
        <v>2.569444444444402E-2</v>
      </c>
      <c r="E584" s="7">
        <f>ABS(0.025694444444444-0.0131944444444451)</f>
        <v>1.2499999999998899E-2</v>
      </c>
      <c r="F584" s="1" t="s">
        <v>11</v>
      </c>
      <c r="G584" s="1"/>
    </row>
    <row r="585" spans="1:7" x14ac:dyDescent="0.25">
      <c r="A585" s="11">
        <v>42248</v>
      </c>
      <c r="B585" s="7">
        <v>0.56597222222222221</v>
      </c>
      <c r="C585" s="7">
        <v>0.57916666666666672</v>
      </c>
      <c r="D585" s="7">
        <f>(0.579166666666667-0.565972222222222)</f>
        <v>1.3194444444445064E-2</v>
      </c>
      <c r="E585" s="7">
        <f>ABS(0.0131944444444451-0.0145833333333341)</f>
        <v>1.3888888888890002E-3</v>
      </c>
      <c r="F585" s="1" t="s">
        <v>11</v>
      </c>
      <c r="G585" s="1"/>
    </row>
    <row r="586" spans="1:7" x14ac:dyDescent="0.25">
      <c r="A586" s="11">
        <v>42248</v>
      </c>
      <c r="B586" s="7">
        <v>0.56458333333333333</v>
      </c>
      <c r="C586" s="7">
        <v>0.57916666666666672</v>
      </c>
      <c r="D586" s="7">
        <f>(0.579166666666667-0.564583333333333)</f>
        <v>1.4583333333334059E-2</v>
      </c>
      <c r="E586" s="7">
        <f>ABS(0.0145833333333341-0.023611111111111)</f>
        <v>9.0277777777768992E-3</v>
      </c>
      <c r="F586" s="1" t="s">
        <v>11</v>
      </c>
      <c r="G586" s="1"/>
    </row>
    <row r="587" spans="1:7" x14ac:dyDescent="0.25">
      <c r="A587" s="11">
        <v>42248</v>
      </c>
      <c r="B587" s="7">
        <v>0.33611111111111108</v>
      </c>
      <c r="C587" s="7">
        <v>0.35972222222222222</v>
      </c>
      <c r="D587" s="7">
        <f>(0.359722222222222-0.336111111111111)</f>
        <v>2.3611111111110972E-2</v>
      </c>
      <c r="E587" s="7">
        <f>ABS(0.023611111111111-0.0243055555555549)</f>
        <v>6.9444444444390074E-4</v>
      </c>
      <c r="F587" s="1" t="s">
        <v>11</v>
      </c>
      <c r="G587" s="1"/>
    </row>
    <row r="588" spans="1:7" x14ac:dyDescent="0.25">
      <c r="A588" s="11">
        <v>42248</v>
      </c>
      <c r="B588" s="7">
        <v>0.64652777777777781</v>
      </c>
      <c r="C588" s="7">
        <v>0.67083333333333339</v>
      </c>
      <c r="D588" s="7">
        <f>(0.670833333333333-0.646527777777778)</f>
        <v>2.4305555555554914E-2</v>
      </c>
      <c r="E588" s="7">
        <f>ABS(0.0243055555555549-0.025694444444445)</f>
        <v>1.3888888888900983E-3</v>
      </c>
      <c r="F588" s="1" t="s">
        <v>11</v>
      </c>
      <c r="G588" s="1"/>
    </row>
    <row r="589" spans="1:7" x14ac:dyDescent="0.25">
      <c r="A589" s="11">
        <v>42248</v>
      </c>
      <c r="B589" s="7">
        <v>0.96597222222222223</v>
      </c>
      <c r="C589" s="7">
        <v>0.9916666666666667</v>
      </c>
      <c r="D589" s="7">
        <f>(0.991666666666667-0.965972222222222)</f>
        <v>2.5694444444445019E-2</v>
      </c>
      <c r="E589" s="7">
        <f>ABS(0.025694444444445-0.0201388888888889)</f>
        <v>5.5555555555560979E-3</v>
      </c>
      <c r="F589" s="1" t="s">
        <v>11</v>
      </c>
      <c r="G589" s="1"/>
    </row>
    <row r="590" spans="1:7" x14ac:dyDescent="0.25">
      <c r="A590" s="11">
        <v>42248</v>
      </c>
      <c r="B590" s="7">
        <v>4.1666666666666664E-2</v>
      </c>
      <c r="C590" s="7">
        <v>6.1805555555555558E-2</v>
      </c>
      <c r="D590" s="7">
        <f>(0.0618055555555556-0.0416666666666667)</f>
        <v>2.0138888888888901E-2</v>
      </c>
      <c r="E590" s="7">
        <f>ABS(0.0201388888888889-0.018055555555556)</f>
        <v>2.0833333333328992E-3</v>
      </c>
      <c r="F590" s="1" t="s">
        <v>11</v>
      </c>
      <c r="G590" s="1"/>
    </row>
    <row r="591" spans="1:7" x14ac:dyDescent="0.25">
      <c r="A591" s="11">
        <v>42248</v>
      </c>
      <c r="B591" s="7">
        <v>0.15208333333333332</v>
      </c>
      <c r="C591" s="7">
        <v>0.17013888888888887</v>
      </c>
      <c r="D591" s="7">
        <f>(0.170138888888889-0.152083333333333)</f>
        <v>1.8055555555556019E-2</v>
      </c>
      <c r="E591" s="7"/>
      <c r="F591" s="1" t="s">
        <v>11</v>
      </c>
      <c r="G591" s="1"/>
    </row>
  </sheetData>
  <sortState ref="B3:R592">
    <sortCondition ref="F3:F592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784"/>
  <sheetViews>
    <sheetView workbookViewId="0">
      <selection activeCell="A3" sqref="A3:F784"/>
    </sheetView>
  </sheetViews>
  <sheetFormatPr defaultColWidth="11.28515625" defaultRowHeight="15" x14ac:dyDescent="0.25"/>
  <cols>
    <col min="1" max="1" width="11.5703125" customWidth="1"/>
    <col min="2" max="5" width="11.28515625" style="6"/>
    <col min="6" max="6" width="11.28515625" style="1"/>
    <col min="12" max="12" width="12" bestFit="1" customWidth="1"/>
    <col min="13" max="13" width="17" bestFit="1" customWidth="1"/>
  </cols>
  <sheetData>
    <row r="1" spans="1:13" x14ac:dyDescent="0.25">
      <c r="A1" s="20">
        <v>42278</v>
      </c>
      <c r="B1" s="3">
        <v>0.65486111111111112</v>
      </c>
      <c r="C1" s="3">
        <v>0.66597222222222219</v>
      </c>
      <c r="D1" s="3">
        <f>(C1-B1)</f>
        <v>1.1111111111111072E-2</v>
      </c>
      <c r="E1" s="3" t="e">
        <f>ABS(D1-D2)</f>
        <v>#VALUE!</v>
      </c>
      <c r="F1" s="1" t="s">
        <v>9</v>
      </c>
      <c r="H1" s="1"/>
      <c r="I1" s="1"/>
      <c r="J1" s="1"/>
    </row>
    <row r="2" spans="1:13" x14ac:dyDescent="0.25">
      <c r="A2" s="8" t="s">
        <v>12</v>
      </c>
      <c r="B2" s="8" t="s">
        <v>4</v>
      </c>
      <c r="C2" s="8" t="s">
        <v>5</v>
      </c>
      <c r="D2" s="8" t="s">
        <v>13</v>
      </c>
      <c r="E2" s="8" t="s">
        <v>18</v>
      </c>
      <c r="F2" s="9" t="s">
        <v>2</v>
      </c>
    </row>
    <row r="3" spans="1:13" x14ac:dyDescent="0.25">
      <c r="A3" s="20">
        <v>42278</v>
      </c>
      <c r="B3" s="3">
        <v>0.72361111111111109</v>
      </c>
      <c r="C3" s="3">
        <v>0.73749999999999993</v>
      </c>
      <c r="D3" s="3">
        <f t="shared" ref="D3:D66" si="0">(C3-B3)</f>
        <v>1.388888888888884E-2</v>
      </c>
      <c r="E3" s="3">
        <f t="shared" ref="E3:E34" si="1">ABS(D3-D4)</f>
        <v>6.9444444444433095E-4</v>
      </c>
      <c r="F3" s="1" t="s">
        <v>9</v>
      </c>
      <c r="J3" s="1" t="s">
        <v>7</v>
      </c>
      <c r="K3" s="1" t="s">
        <v>15</v>
      </c>
      <c r="L3" s="1" t="s">
        <v>17</v>
      </c>
      <c r="M3" s="1" t="s">
        <v>16</v>
      </c>
    </row>
    <row r="4" spans="1:13" x14ac:dyDescent="0.25">
      <c r="A4" s="20">
        <v>42278</v>
      </c>
      <c r="B4" s="3">
        <v>0.78888888888888886</v>
      </c>
      <c r="C4" s="3">
        <v>0.80208333333333337</v>
      </c>
      <c r="D4" s="3">
        <f t="shared" si="0"/>
        <v>1.3194444444444509E-2</v>
      </c>
      <c r="E4" s="3">
        <f t="shared" si="1"/>
        <v>1.3888888888888284E-3</v>
      </c>
      <c r="F4" s="1" t="s">
        <v>9</v>
      </c>
      <c r="H4" s="14">
        <v>42278</v>
      </c>
      <c r="I4" t="s">
        <v>19</v>
      </c>
      <c r="J4" t="s">
        <v>9</v>
      </c>
      <c r="K4">
        <v>76</v>
      </c>
      <c r="L4" s="3">
        <f>AVERAGE(D3:D78)</f>
        <v>1.555190058479531E-2</v>
      </c>
      <c r="M4" s="3">
        <f>AVERAGE(E3:E77)</f>
        <v>5.1989489489489378E-3</v>
      </c>
    </row>
    <row r="5" spans="1:13" x14ac:dyDescent="0.25">
      <c r="A5" s="20">
        <v>42278</v>
      </c>
      <c r="B5" s="3">
        <v>0.4597222222222222</v>
      </c>
      <c r="C5" s="3">
        <v>0.47430555555555554</v>
      </c>
      <c r="D5" s="3">
        <f t="shared" si="0"/>
        <v>1.4583333333333337E-2</v>
      </c>
      <c r="E5" s="3">
        <f t="shared" si="1"/>
        <v>6.9444444444449749E-4</v>
      </c>
      <c r="F5" s="1" t="s">
        <v>9</v>
      </c>
      <c r="H5" s="14">
        <v>42278</v>
      </c>
      <c r="I5" t="s">
        <v>19</v>
      </c>
      <c r="J5" t="s">
        <v>3</v>
      </c>
      <c r="K5">
        <v>305</v>
      </c>
      <c r="L5" s="3">
        <f>AVERAGE(D79:D377)</f>
        <v>9.6850613154961067E-3</v>
      </c>
      <c r="M5" s="3">
        <f>AVERAGE(E79:E376)</f>
        <v>7.0683688739244278E-3</v>
      </c>
    </row>
    <row r="6" spans="1:13" x14ac:dyDescent="0.25">
      <c r="A6" s="20">
        <v>42278</v>
      </c>
      <c r="B6" s="3">
        <v>0.48402777777777778</v>
      </c>
      <c r="C6" s="3">
        <v>0.49791666666666662</v>
      </c>
      <c r="D6" s="3">
        <f t="shared" si="0"/>
        <v>1.388888888888884E-2</v>
      </c>
      <c r="E6" s="3">
        <f t="shared" si="1"/>
        <v>4.8611111111110938E-3</v>
      </c>
      <c r="F6" s="1" t="s">
        <v>9</v>
      </c>
      <c r="H6" s="14">
        <v>42278</v>
      </c>
      <c r="I6" t="s">
        <v>19</v>
      </c>
      <c r="J6" t="s">
        <v>10</v>
      </c>
      <c r="K6">
        <v>223</v>
      </c>
      <c r="L6" s="3">
        <f>AVERAGE(D378:D600)</f>
        <v>1.9659317389137999E-2</v>
      </c>
      <c r="M6" s="3">
        <f>AVERAGE(E378:E599)</f>
        <v>6.564228255404733E-3</v>
      </c>
    </row>
    <row r="7" spans="1:13" x14ac:dyDescent="0.25">
      <c r="A7" s="20">
        <v>42278</v>
      </c>
      <c r="B7" s="3">
        <v>0.94236111111111109</v>
      </c>
      <c r="C7" s="3">
        <v>0.95138888888888884</v>
      </c>
      <c r="D7" s="3">
        <f t="shared" si="0"/>
        <v>9.0277777777777457E-3</v>
      </c>
      <c r="E7" s="3">
        <f t="shared" si="1"/>
        <v>8.3333333333333592E-3</v>
      </c>
      <c r="F7" s="1" t="s">
        <v>9</v>
      </c>
      <c r="H7" s="14">
        <v>42278</v>
      </c>
      <c r="I7" t="s">
        <v>19</v>
      </c>
      <c r="J7" t="s">
        <v>8</v>
      </c>
      <c r="K7">
        <v>48</v>
      </c>
      <c r="L7" s="3">
        <f>AVERAGE(D601:D647)</f>
        <v>1.6489361702127652E-2</v>
      </c>
      <c r="M7" s="3">
        <f>AVERAGE(E601:E646)</f>
        <v>8.9197530864197506E-3</v>
      </c>
    </row>
    <row r="8" spans="1:13" x14ac:dyDescent="0.25">
      <c r="A8" s="20">
        <v>42278</v>
      </c>
      <c r="B8" s="3">
        <v>0.2638888888888889</v>
      </c>
      <c r="C8" s="3">
        <v>0.28125</v>
      </c>
      <c r="D8" s="3">
        <f t="shared" si="0"/>
        <v>1.7361111111111105E-2</v>
      </c>
      <c r="E8" s="3">
        <f t="shared" si="1"/>
        <v>6.9444444444449749E-4</v>
      </c>
      <c r="F8" s="1" t="s">
        <v>9</v>
      </c>
      <c r="H8" s="14">
        <v>42278</v>
      </c>
      <c r="I8" t="s">
        <v>19</v>
      </c>
      <c r="J8" t="s">
        <v>11</v>
      </c>
      <c r="K8">
        <v>133</v>
      </c>
      <c r="L8" s="3">
        <f>AVERAGE(D648:D782)</f>
        <v>2.2476160862354891E-2</v>
      </c>
      <c r="M8" s="3">
        <f>AVERAGE(E648:E781)</f>
        <v>4.8088972431077973E-3</v>
      </c>
    </row>
    <row r="9" spans="1:13" x14ac:dyDescent="0.25">
      <c r="A9" s="20">
        <v>42278</v>
      </c>
      <c r="B9" s="3">
        <v>0.34583333333333338</v>
      </c>
      <c r="C9" s="3">
        <v>0.36249999999999999</v>
      </c>
      <c r="D9" s="3">
        <f t="shared" si="0"/>
        <v>1.6666666666666607E-2</v>
      </c>
      <c r="E9" s="3">
        <f t="shared" si="1"/>
        <v>2.0833333333332704E-3</v>
      </c>
      <c r="F9" s="1" t="s">
        <v>9</v>
      </c>
    </row>
    <row r="10" spans="1:13" x14ac:dyDescent="0.25">
      <c r="A10" s="20">
        <v>42278</v>
      </c>
      <c r="B10" s="3">
        <v>0.33055555555555555</v>
      </c>
      <c r="C10" s="3">
        <v>0.34513888888888888</v>
      </c>
      <c r="D10" s="3">
        <f t="shared" si="0"/>
        <v>1.4583333333333337E-2</v>
      </c>
      <c r="E10" s="3">
        <f t="shared" si="1"/>
        <v>3.4722222222222238E-3</v>
      </c>
      <c r="F10" s="1" t="s">
        <v>9</v>
      </c>
    </row>
    <row r="11" spans="1:13" x14ac:dyDescent="0.25">
      <c r="A11" s="20">
        <v>42278</v>
      </c>
      <c r="B11" s="3">
        <v>0.10486111111111111</v>
      </c>
      <c r="C11" s="3">
        <v>0.12291666666666667</v>
      </c>
      <c r="D11" s="3">
        <f t="shared" si="0"/>
        <v>1.8055555555555561E-2</v>
      </c>
      <c r="E11" s="3">
        <f t="shared" si="1"/>
        <v>4.8611111111111077E-3</v>
      </c>
      <c r="F11" s="1" t="s">
        <v>9</v>
      </c>
      <c r="H11" s="20">
        <v>42278</v>
      </c>
      <c r="I11" s="3">
        <v>1.0111111111111111</v>
      </c>
      <c r="J11" s="3">
        <v>4.8611111111111112E-2</v>
      </c>
      <c r="K11" s="3">
        <f t="shared" ref="K11:K16" si="2">(J11-I11)</f>
        <v>-0.96249999999999991</v>
      </c>
      <c r="L11" s="3">
        <f>ABS(K11-D7)</f>
        <v>0.97152777777777766</v>
      </c>
      <c r="M11" s="1" t="s">
        <v>11</v>
      </c>
    </row>
    <row r="12" spans="1:13" x14ac:dyDescent="0.25">
      <c r="A12" s="20">
        <v>42278</v>
      </c>
      <c r="B12" s="3">
        <v>0.34236111111111112</v>
      </c>
      <c r="C12" s="3">
        <v>0.35555555555555557</v>
      </c>
      <c r="D12" s="3">
        <f t="shared" si="0"/>
        <v>1.3194444444444453E-2</v>
      </c>
      <c r="E12" s="3">
        <f t="shared" si="1"/>
        <v>1.3888888888890505E-3</v>
      </c>
      <c r="F12" s="1" t="s">
        <v>9</v>
      </c>
      <c r="H12" s="20">
        <v>42278</v>
      </c>
      <c r="I12" s="3">
        <v>0.84375</v>
      </c>
      <c r="J12" s="3">
        <v>0.44027777777777777</v>
      </c>
      <c r="K12" s="3">
        <f t="shared" si="2"/>
        <v>-0.40347222222222223</v>
      </c>
      <c r="L12" s="3">
        <f>ABS(K12-D45)</f>
        <v>0.43333333333333335</v>
      </c>
      <c r="M12" s="1" t="s">
        <v>8</v>
      </c>
    </row>
    <row r="13" spans="1:13" x14ac:dyDescent="0.25">
      <c r="A13" s="20">
        <v>42278</v>
      </c>
      <c r="B13" s="3">
        <v>0.7284722222222223</v>
      </c>
      <c r="C13" s="3">
        <v>0.7402777777777777</v>
      </c>
      <c r="D13" s="3">
        <f t="shared" si="0"/>
        <v>1.1805555555555403E-2</v>
      </c>
      <c r="E13" s="3">
        <f t="shared" si="1"/>
        <v>6.9444444444460851E-4</v>
      </c>
      <c r="F13" s="1" t="s">
        <v>9</v>
      </c>
      <c r="H13" s="20">
        <v>42278</v>
      </c>
      <c r="I13" s="3">
        <v>1.03125</v>
      </c>
      <c r="J13" s="3">
        <v>1.0208333333333333</v>
      </c>
      <c r="K13" s="3">
        <f t="shared" si="2"/>
        <v>-1.0416666666666741E-2</v>
      </c>
      <c r="L13" s="3">
        <f>ABS(K13-D135)</f>
        <v>1.4583333333333393E-2</v>
      </c>
      <c r="M13" s="1" t="s">
        <v>3</v>
      </c>
    </row>
    <row r="14" spans="1:13" x14ac:dyDescent="0.25">
      <c r="A14" s="20">
        <v>42278</v>
      </c>
      <c r="B14" s="3">
        <v>0.10069444444444443</v>
      </c>
      <c r="C14" s="3">
        <v>0.11319444444444444</v>
      </c>
      <c r="D14" s="3">
        <f t="shared" si="0"/>
        <v>1.2500000000000011E-2</v>
      </c>
      <c r="E14" s="3">
        <f t="shared" si="1"/>
        <v>2.0833333333332704E-3</v>
      </c>
      <c r="F14" s="1" t="s">
        <v>9</v>
      </c>
      <c r="H14" s="20">
        <v>42278</v>
      </c>
      <c r="I14" s="3">
        <v>0.69513888888888886</v>
      </c>
      <c r="J14" s="3">
        <v>0.69444444444444453</v>
      </c>
      <c r="K14" s="3">
        <f t="shared" si="2"/>
        <v>-6.9444444444433095E-4</v>
      </c>
      <c r="L14" s="3">
        <f>ABS(K14-D397)</f>
        <v>2.1527777777777701E-2</v>
      </c>
      <c r="M14" s="1" t="s">
        <v>3</v>
      </c>
    </row>
    <row r="15" spans="1:13" x14ac:dyDescent="0.25">
      <c r="A15" s="20">
        <v>42278</v>
      </c>
      <c r="B15" s="3">
        <v>0.55347222222222225</v>
      </c>
      <c r="C15" s="3">
        <v>0.56805555555555554</v>
      </c>
      <c r="D15" s="3">
        <f t="shared" si="0"/>
        <v>1.4583333333333282E-2</v>
      </c>
      <c r="E15" s="3">
        <f t="shared" si="1"/>
        <v>3.4722222222222793E-3</v>
      </c>
      <c r="F15" s="1" t="s">
        <v>9</v>
      </c>
      <c r="H15" s="20">
        <v>42278</v>
      </c>
      <c r="I15" s="3">
        <v>0.81319444444444444</v>
      </c>
      <c r="J15" s="3">
        <v>0.80347222222222225</v>
      </c>
      <c r="K15" s="3">
        <f t="shared" si="2"/>
        <v>-9.7222222222221877E-3</v>
      </c>
      <c r="L15" s="3">
        <f>ABS(K15-D713)</f>
        <v>3.472222222222221E-2</v>
      </c>
      <c r="M15" s="1" t="s">
        <v>3</v>
      </c>
    </row>
    <row r="16" spans="1:13" x14ac:dyDescent="0.25">
      <c r="A16" s="20">
        <v>42278</v>
      </c>
      <c r="B16" s="3">
        <v>0.10486111111111111</v>
      </c>
      <c r="C16" s="3">
        <v>0.12291666666666667</v>
      </c>
      <c r="D16" s="3">
        <f t="shared" si="0"/>
        <v>1.8055555555555561E-2</v>
      </c>
      <c r="E16" s="3">
        <f t="shared" si="1"/>
        <v>4.8611111111111077E-3</v>
      </c>
      <c r="F16" s="1" t="s">
        <v>9</v>
      </c>
      <c r="H16" s="20">
        <v>42278</v>
      </c>
      <c r="I16" s="3">
        <v>2.2222222222222223E-2</v>
      </c>
      <c r="J16" s="3">
        <v>1.0270833333333333</v>
      </c>
      <c r="K16" s="3">
        <f t="shared" si="2"/>
        <v>1.0048611111111112</v>
      </c>
      <c r="L16" s="3">
        <f>ABS(K16-D717)</f>
        <v>0.98402777777777795</v>
      </c>
      <c r="M16" s="1" t="s">
        <v>3</v>
      </c>
    </row>
    <row r="17" spans="1:6" x14ac:dyDescent="0.25">
      <c r="A17" s="20">
        <v>42278</v>
      </c>
      <c r="B17" s="3">
        <v>0.34236111111111112</v>
      </c>
      <c r="C17" s="3">
        <v>0.35555555555555557</v>
      </c>
      <c r="D17" s="3">
        <f t="shared" si="0"/>
        <v>1.3194444444444453E-2</v>
      </c>
      <c r="E17" s="3">
        <f t="shared" si="1"/>
        <v>1.3888888888890505E-3</v>
      </c>
      <c r="F17" s="1" t="s">
        <v>9</v>
      </c>
    </row>
    <row r="18" spans="1:6" x14ac:dyDescent="0.25">
      <c r="A18" s="20">
        <v>42278</v>
      </c>
      <c r="B18" s="3">
        <v>0.7284722222222223</v>
      </c>
      <c r="C18" s="3">
        <v>0.7402777777777777</v>
      </c>
      <c r="D18" s="3">
        <f t="shared" si="0"/>
        <v>1.1805555555555403E-2</v>
      </c>
      <c r="E18" s="3">
        <f t="shared" si="1"/>
        <v>6.9444444444460851E-4</v>
      </c>
      <c r="F18" s="1" t="s">
        <v>9</v>
      </c>
    </row>
    <row r="19" spans="1:6" x14ac:dyDescent="0.25">
      <c r="A19" s="20">
        <v>42278</v>
      </c>
      <c r="B19" s="3">
        <v>0.10069444444444443</v>
      </c>
      <c r="C19" s="3">
        <v>0.11319444444444444</v>
      </c>
      <c r="D19" s="3">
        <f t="shared" si="0"/>
        <v>1.2500000000000011E-2</v>
      </c>
      <c r="E19" s="3">
        <f t="shared" si="1"/>
        <v>2.0833333333332704E-3</v>
      </c>
      <c r="F19" s="1" t="s">
        <v>9</v>
      </c>
    </row>
    <row r="20" spans="1:6" x14ac:dyDescent="0.25">
      <c r="A20" s="20">
        <v>42278</v>
      </c>
      <c r="B20" s="3">
        <v>0.55347222222222225</v>
      </c>
      <c r="C20" s="3">
        <v>0.56805555555555554</v>
      </c>
      <c r="D20" s="3">
        <f t="shared" si="0"/>
        <v>1.4583333333333282E-2</v>
      </c>
      <c r="E20" s="3">
        <f t="shared" si="1"/>
        <v>5.5511151231257827E-17</v>
      </c>
      <c r="F20" s="1" t="s">
        <v>9</v>
      </c>
    </row>
    <row r="21" spans="1:6" x14ac:dyDescent="0.25">
      <c r="A21" s="20">
        <v>42278</v>
      </c>
      <c r="B21" s="3">
        <v>0.4597222222222222</v>
      </c>
      <c r="C21" s="3">
        <v>0.47430555555555554</v>
      </c>
      <c r="D21" s="3">
        <f t="shared" si="0"/>
        <v>1.4583333333333337E-2</v>
      </c>
      <c r="E21" s="3">
        <f t="shared" si="1"/>
        <v>6.9444444444449749E-4</v>
      </c>
      <c r="F21" s="1" t="s">
        <v>9</v>
      </c>
    </row>
    <row r="22" spans="1:6" x14ac:dyDescent="0.25">
      <c r="A22" s="20">
        <v>42278</v>
      </c>
      <c r="B22" s="3">
        <v>0.48402777777777778</v>
      </c>
      <c r="C22" s="3">
        <v>0.49791666666666662</v>
      </c>
      <c r="D22" s="3">
        <f t="shared" si="0"/>
        <v>1.388888888888884E-2</v>
      </c>
      <c r="E22" s="3">
        <f t="shared" si="1"/>
        <v>4.8611111111110938E-3</v>
      </c>
      <c r="F22" s="1" t="s">
        <v>9</v>
      </c>
    </row>
    <row r="23" spans="1:6" x14ac:dyDescent="0.25">
      <c r="A23" s="20">
        <v>42278</v>
      </c>
      <c r="B23" s="3">
        <v>0.94236111111111109</v>
      </c>
      <c r="C23" s="3">
        <v>0.95138888888888884</v>
      </c>
      <c r="D23" s="3">
        <f t="shared" si="0"/>
        <v>9.0277777777777457E-3</v>
      </c>
      <c r="E23" s="3">
        <f t="shared" si="1"/>
        <v>5.5555555555555913E-3</v>
      </c>
      <c r="F23" s="1" t="s">
        <v>9</v>
      </c>
    </row>
    <row r="24" spans="1:6" x14ac:dyDescent="0.25">
      <c r="A24" s="20">
        <v>42278</v>
      </c>
      <c r="B24" s="3">
        <v>0.33055555555555555</v>
      </c>
      <c r="C24" s="3">
        <v>0.34513888888888888</v>
      </c>
      <c r="D24" s="3">
        <f t="shared" si="0"/>
        <v>1.4583333333333337E-2</v>
      </c>
      <c r="E24" s="3">
        <f t="shared" si="1"/>
        <v>6.9444444444444198E-4</v>
      </c>
      <c r="F24" s="1" t="s">
        <v>9</v>
      </c>
    </row>
    <row r="25" spans="1:6" x14ac:dyDescent="0.25">
      <c r="A25" s="20">
        <v>42278</v>
      </c>
      <c r="B25" s="3">
        <v>0.34236111111111112</v>
      </c>
      <c r="C25" s="3">
        <v>0.3576388888888889</v>
      </c>
      <c r="D25" s="3">
        <f t="shared" si="0"/>
        <v>1.5277777777777779E-2</v>
      </c>
      <c r="E25" s="3">
        <f t="shared" si="1"/>
        <v>5.5555555555555358E-3</v>
      </c>
      <c r="F25" s="1" t="s">
        <v>9</v>
      </c>
    </row>
    <row r="26" spans="1:6" x14ac:dyDescent="0.25">
      <c r="A26" s="20">
        <v>42278</v>
      </c>
      <c r="B26" s="3">
        <v>0.48194444444444445</v>
      </c>
      <c r="C26" s="3">
        <v>0.50277777777777777</v>
      </c>
      <c r="D26" s="3">
        <f t="shared" si="0"/>
        <v>2.0833333333333315E-2</v>
      </c>
      <c r="E26" s="3">
        <f t="shared" si="1"/>
        <v>4.8611111111111494E-3</v>
      </c>
      <c r="F26" s="1" t="s">
        <v>9</v>
      </c>
    </row>
    <row r="27" spans="1:6" x14ac:dyDescent="0.25">
      <c r="A27" s="20">
        <v>42278</v>
      </c>
      <c r="B27" s="3">
        <v>0.35833333333333334</v>
      </c>
      <c r="C27" s="3">
        <v>0.3840277777777778</v>
      </c>
      <c r="D27" s="3">
        <f t="shared" si="0"/>
        <v>2.5694444444444464E-2</v>
      </c>
      <c r="E27" s="3">
        <f t="shared" si="1"/>
        <v>1.1111111111111072E-2</v>
      </c>
      <c r="F27" s="1" t="s">
        <v>9</v>
      </c>
    </row>
    <row r="28" spans="1:6" x14ac:dyDescent="0.25">
      <c r="A28" s="20">
        <v>42278</v>
      </c>
      <c r="B28" s="3">
        <v>0.80555555555555547</v>
      </c>
      <c r="C28" s="3">
        <v>0.82013888888888886</v>
      </c>
      <c r="D28" s="3">
        <f t="shared" si="0"/>
        <v>1.4583333333333393E-2</v>
      </c>
      <c r="E28" s="3">
        <f t="shared" si="1"/>
        <v>1.3888888888887729E-3</v>
      </c>
      <c r="F28" s="1" t="s">
        <v>9</v>
      </c>
    </row>
    <row r="29" spans="1:6" x14ac:dyDescent="0.25">
      <c r="A29" s="20">
        <v>42278</v>
      </c>
      <c r="B29" s="3">
        <v>0.8041666666666667</v>
      </c>
      <c r="C29" s="3">
        <v>0.82013888888888886</v>
      </c>
      <c r="D29" s="3">
        <f t="shared" si="0"/>
        <v>1.5972222222222165E-2</v>
      </c>
      <c r="E29" s="3">
        <f t="shared" si="1"/>
        <v>4.1666666666666519E-3</v>
      </c>
      <c r="F29" s="1" t="s">
        <v>9</v>
      </c>
    </row>
    <row r="30" spans="1:6" x14ac:dyDescent="0.25">
      <c r="A30" s="20">
        <v>42278</v>
      </c>
      <c r="B30" s="3">
        <v>0.98958333333333337</v>
      </c>
      <c r="C30" s="3">
        <v>1.0013888888888889</v>
      </c>
      <c r="D30" s="3">
        <f t="shared" si="0"/>
        <v>1.1805555555555514E-2</v>
      </c>
      <c r="E30" s="3">
        <f t="shared" si="1"/>
        <v>6.2499999999999778E-3</v>
      </c>
      <c r="F30" s="1" t="s">
        <v>9</v>
      </c>
    </row>
    <row r="31" spans="1:6" x14ac:dyDescent="0.25">
      <c r="A31" s="20">
        <v>42278</v>
      </c>
      <c r="B31" s="3">
        <v>0.58888888888888891</v>
      </c>
      <c r="C31" s="3">
        <v>0.6069444444444444</v>
      </c>
      <c r="D31" s="3">
        <f t="shared" si="0"/>
        <v>1.8055555555555491E-2</v>
      </c>
      <c r="E31" s="3">
        <f t="shared" si="1"/>
        <v>3.4722222222220989E-3</v>
      </c>
      <c r="F31" s="1" t="s">
        <v>9</v>
      </c>
    </row>
    <row r="32" spans="1:6" x14ac:dyDescent="0.25">
      <c r="A32" s="20">
        <v>42278</v>
      </c>
      <c r="B32" s="3">
        <v>0.74791666666666667</v>
      </c>
      <c r="C32" s="3">
        <v>0.76250000000000007</v>
      </c>
      <c r="D32" s="3">
        <f t="shared" si="0"/>
        <v>1.4583333333333393E-2</v>
      </c>
      <c r="E32" s="3">
        <f t="shared" si="1"/>
        <v>3.4722222222221683E-3</v>
      </c>
      <c r="F32" s="1" t="s">
        <v>9</v>
      </c>
    </row>
    <row r="33" spans="1:6" x14ac:dyDescent="0.25">
      <c r="A33" s="20">
        <v>42278</v>
      </c>
      <c r="B33" s="3">
        <v>0.10486111111111111</v>
      </c>
      <c r="C33" s="3">
        <v>0.12291666666666667</v>
      </c>
      <c r="D33" s="3">
        <f t="shared" si="0"/>
        <v>1.8055555555555561E-2</v>
      </c>
      <c r="E33" s="3">
        <f t="shared" si="1"/>
        <v>4.8611111111111077E-3</v>
      </c>
      <c r="F33" s="1" t="s">
        <v>9</v>
      </c>
    </row>
    <row r="34" spans="1:6" x14ac:dyDescent="0.25">
      <c r="A34" s="20">
        <v>42278</v>
      </c>
      <c r="B34" s="3">
        <v>0.34236111111111112</v>
      </c>
      <c r="C34" s="3">
        <v>0.35555555555555557</v>
      </c>
      <c r="D34" s="3">
        <f t="shared" si="0"/>
        <v>1.3194444444444453E-2</v>
      </c>
      <c r="E34" s="3">
        <f t="shared" si="1"/>
        <v>4.027777777777769E-2</v>
      </c>
      <c r="F34" s="1" t="s">
        <v>9</v>
      </c>
    </row>
    <row r="35" spans="1:6" x14ac:dyDescent="0.25">
      <c r="A35" s="20">
        <v>42278</v>
      </c>
      <c r="B35" s="3">
        <v>0.7284722222222223</v>
      </c>
      <c r="C35" s="3">
        <v>0.78194444444444444</v>
      </c>
      <c r="D35" s="3">
        <f t="shared" si="0"/>
        <v>5.3472222222222143E-2</v>
      </c>
      <c r="E35" s="3">
        <f t="shared" ref="E35:E66" si="3">ABS(D35-D36)</f>
        <v>4.0972222222222132E-2</v>
      </c>
      <c r="F35" s="1" t="s">
        <v>9</v>
      </c>
    </row>
    <row r="36" spans="1:6" x14ac:dyDescent="0.25">
      <c r="A36" s="20">
        <v>42278</v>
      </c>
      <c r="B36" s="3">
        <v>0.10069444444444443</v>
      </c>
      <c r="C36" s="3">
        <v>0.11319444444444444</v>
      </c>
      <c r="D36" s="3">
        <f t="shared" si="0"/>
        <v>1.2500000000000011E-2</v>
      </c>
      <c r="E36" s="3">
        <f t="shared" si="3"/>
        <v>2.0833333333332704E-3</v>
      </c>
      <c r="F36" s="1" t="s">
        <v>9</v>
      </c>
    </row>
    <row r="37" spans="1:6" x14ac:dyDescent="0.25">
      <c r="A37" s="20">
        <v>42278</v>
      </c>
      <c r="B37" s="3">
        <v>0.55347222222222225</v>
      </c>
      <c r="C37" s="3">
        <v>0.56805555555555554</v>
      </c>
      <c r="D37" s="3">
        <f t="shared" si="0"/>
        <v>1.4583333333333282E-2</v>
      </c>
      <c r="E37" s="3">
        <f t="shared" si="3"/>
        <v>5.5511151231257827E-17</v>
      </c>
      <c r="F37" s="1" t="s">
        <v>9</v>
      </c>
    </row>
    <row r="38" spans="1:6" x14ac:dyDescent="0.25">
      <c r="A38" s="20">
        <v>42278</v>
      </c>
      <c r="B38" s="3">
        <v>0.4597222222222222</v>
      </c>
      <c r="C38" s="3">
        <v>0.47430555555555554</v>
      </c>
      <c r="D38" s="3">
        <f t="shared" si="0"/>
        <v>1.4583333333333337E-2</v>
      </c>
      <c r="E38" s="3">
        <f t="shared" si="3"/>
        <v>6.9444444444449749E-4</v>
      </c>
      <c r="F38" s="1" t="s">
        <v>9</v>
      </c>
    </row>
    <row r="39" spans="1:6" x14ac:dyDescent="0.25">
      <c r="A39" s="20">
        <v>42278</v>
      </c>
      <c r="B39" s="3">
        <v>0.48402777777777778</v>
      </c>
      <c r="C39" s="3">
        <v>0.49791666666666662</v>
      </c>
      <c r="D39" s="3">
        <f t="shared" si="0"/>
        <v>1.388888888888884E-2</v>
      </c>
      <c r="E39" s="3">
        <f t="shared" si="3"/>
        <v>4.8611111111110938E-3</v>
      </c>
      <c r="F39" s="1" t="s">
        <v>9</v>
      </c>
    </row>
    <row r="40" spans="1:6" x14ac:dyDescent="0.25">
      <c r="A40" s="20">
        <v>42278</v>
      </c>
      <c r="B40" s="3">
        <v>0.94236111111111109</v>
      </c>
      <c r="C40" s="3">
        <v>0.95138888888888884</v>
      </c>
      <c r="D40" s="3">
        <f t="shared" si="0"/>
        <v>9.0277777777777457E-3</v>
      </c>
      <c r="E40" s="3">
        <f t="shared" si="3"/>
        <v>9.0277777777778012E-3</v>
      </c>
      <c r="F40" s="1" t="s">
        <v>9</v>
      </c>
    </row>
    <row r="41" spans="1:6" x14ac:dyDescent="0.25">
      <c r="A41" s="20">
        <v>42278</v>
      </c>
      <c r="B41" s="3">
        <v>0.2638888888888889</v>
      </c>
      <c r="C41" s="3">
        <v>0.28194444444444444</v>
      </c>
      <c r="D41" s="3">
        <f t="shared" si="0"/>
        <v>1.8055555555555547E-2</v>
      </c>
      <c r="E41" s="3">
        <f t="shared" si="3"/>
        <v>1.3888888888889395E-3</v>
      </c>
      <c r="F41" s="1" t="s">
        <v>9</v>
      </c>
    </row>
    <row r="42" spans="1:6" x14ac:dyDescent="0.25">
      <c r="A42" s="20">
        <v>42278</v>
      </c>
      <c r="B42" s="3">
        <v>0.34583333333333338</v>
      </c>
      <c r="C42" s="3">
        <v>0.36249999999999999</v>
      </c>
      <c r="D42" s="3">
        <f t="shared" si="0"/>
        <v>1.6666666666666607E-2</v>
      </c>
      <c r="E42" s="3">
        <f t="shared" si="3"/>
        <v>2.0833333333332704E-3</v>
      </c>
      <c r="F42" s="1" t="s">
        <v>9</v>
      </c>
    </row>
    <row r="43" spans="1:6" x14ac:dyDescent="0.25">
      <c r="A43" s="20">
        <v>42278</v>
      </c>
      <c r="B43" s="3">
        <v>0.33055555555555555</v>
      </c>
      <c r="C43" s="3">
        <v>0.34513888888888888</v>
      </c>
      <c r="D43" s="3">
        <f t="shared" si="0"/>
        <v>1.4583333333333337E-2</v>
      </c>
      <c r="E43" s="3">
        <f t="shared" si="3"/>
        <v>5.5511151231257827E-17</v>
      </c>
      <c r="F43" s="1" t="s">
        <v>9</v>
      </c>
    </row>
    <row r="44" spans="1:6" x14ac:dyDescent="0.25">
      <c r="A44" s="20">
        <v>42278</v>
      </c>
      <c r="B44" s="3">
        <v>0.41319444444444442</v>
      </c>
      <c r="C44" s="3">
        <v>0.42777777777777781</v>
      </c>
      <c r="D44" s="3">
        <f t="shared" si="0"/>
        <v>1.4583333333333393E-2</v>
      </c>
      <c r="E44" s="3">
        <f t="shared" si="3"/>
        <v>1.5277777777777724E-2</v>
      </c>
      <c r="F44" s="1" t="s">
        <v>9</v>
      </c>
    </row>
    <row r="45" spans="1:6" x14ac:dyDescent="0.25">
      <c r="A45" s="20">
        <v>42278</v>
      </c>
      <c r="B45" s="3">
        <v>0.47430555555555554</v>
      </c>
      <c r="C45" s="3">
        <v>0.50416666666666665</v>
      </c>
      <c r="D45" s="3">
        <f t="shared" si="0"/>
        <v>2.9861111111111116E-2</v>
      </c>
      <c r="E45" s="3">
        <f t="shared" si="3"/>
        <v>9.7222222222221877E-3</v>
      </c>
      <c r="F45" s="1" t="s">
        <v>9</v>
      </c>
    </row>
    <row r="46" spans="1:6" x14ac:dyDescent="0.25">
      <c r="A46" s="20">
        <v>42278</v>
      </c>
      <c r="B46" s="3">
        <v>0.51041666666666663</v>
      </c>
      <c r="C46" s="3">
        <v>0.53055555555555556</v>
      </c>
      <c r="D46" s="3">
        <f t="shared" si="0"/>
        <v>2.0138888888888928E-2</v>
      </c>
      <c r="E46" s="3">
        <f t="shared" si="3"/>
        <v>0</v>
      </c>
      <c r="F46" s="1" t="s">
        <v>9</v>
      </c>
    </row>
    <row r="47" spans="1:6" x14ac:dyDescent="0.25">
      <c r="A47" s="20">
        <v>42278</v>
      </c>
      <c r="B47" s="3">
        <v>0.59027777777777779</v>
      </c>
      <c r="C47" s="3">
        <v>0.61041666666666672</v>
      </c>
      <c r="D47" s="3">
        <f t="shared" si="0"/>
        <v>2.0138888888888928E-2</v>
      </c>
      <c r="E47" s="3">
        <f t="shared" si="3"/>
        <v>6.9444444444449749E-4</v>
      </c>
      <c r="F47" s="1" t="s">
        <v>9</v>
      </c>
    </row>
    <row r="48" spans="1:6" x14ac:dyDescent="0.25">
      <c r="A48" s="20">
        <v>42278</v>
      </c>
      <c r="B48" s="3">
        <v>0.37638888888888888</v>
      </c>
      <c r="C48" s="3">
        <v>0.39583333333333331</v>
      </c>
      <c r="D48" s="3">
        <f t="shared" si="0"/>
        <v>1.9444444444444431E-2</v>
      </c>
      <c r="E48" s="3">
        <f t="shared" si="3"/>
        <v>4.8611111111110383E-3</v>
      </c>
      <c r="F48" s="1" t="s">
        <v>9</v>
      </c>
    </row>
    <row r="49" spans="1:6" x14ac:dyDescent="0.25">
      <c r="A49" s="20">
        <v>42278</v>
      </c>
      <c r="B49" s="3">
        <v>0.74236111111111114</v>
      </c>
      <c r="C49" s="3">
        <v>0.75694444444444453</v>
      </c>
      <c r="D49" s="3">
        <f t="shared" si="0"/>
        <v>1.4583333333333393E-2</v>
      </c>
      <c r="E49" s="3">
        <f t="shared" si="3"/>
        <v>4.1666666666665964E-3</v>
      </c>
      <c r="F49" s="1" t="s">
        <v>9</v>
      </c>
    </row>
    <row r="50" spans="1:6" x14ac:dyDescent="0.25">
      <c r="A50" s="20">
        <v>42278</v>
      </c>
      <c r="B50" s="3">
        <v>0.27777777777777779</v>
      </c>
      <c r="C50" s="3">
        <v>0.29652777777777778</v>
      </c>
      <c r="D50" s="3">
        <f t="shared" si="0"/>
        <v>1.8749999999999989E-2</v>
      </c>
      <c r="E50" s="3">
        <f t="shared" si="3"/>
        <v>4.1666666666667074E-3</v>
      </c>
      <c r="F50" s="1" t="s">
        <v>9</v>
      </c>
    </row>
    <row r="51" spans="1:6" x14ac:dyDescent="0.25">
      <c r="A51" s="20">
        <v>42278</v>
      </c>
      <c r="B51" s="3">
        <v>0.4465277777777778</v>
      </c>
      <c r="C51" s="3">
        <v>0.46111111111111108</v>
      </c>
      <c r="D51" s="3">
        <f t="shared" si="0"/>
        <v>1.4583333333333282E-2</v>
      </c>
      <c r="E51" s="3">
        <f t="shared" si="3"/>
        <v>0</v>
      </c>
      <c r="F51" s="1" t="s">
        <v>9</v>
      </c>
    </row>
    <row r="52" spans="1:6" x14ac:dyDescent="0.25">
      <c r="A52" s="20">
        <v>42278</v>
      </c>
      <c r="B52" s="3">
        <v>0.8354166666666667</v>
      </c>
      <c r="C52" s="3">
        <v>0.85</v>
      </c>
      <c r="D52" s="3">
        <f t="shared" si="0"/>
        <v>1.4583333333333282E-2</v>
      </c>
      <c r="E52" s="3">
        <f t="shared" si="3"/>
        <v>1.041666666666663E-2</v>
      </c>
      <c r="F52" s="1" t="s">
        <v>9</v>
      </c>
    </row>
    <row r="53" spans="1:6" x14ac:dyDescent="0.25">
      <c r="A53" s="20">
        <v>42278</v>
      </c>
      <c r="B53" s="3">
        <v>0.44305555555555554</v>
      </c>
      <c r="C53" s="3">
        <v>0.44722222222222219</v>
      </c>
      <c r="D53" s="3">
        <f t="shared" si="0"/>
        <v>4.1666666666666519E-3</v>
      </c>
      <c r="E53" s="3">
        <f t="shared" si="3"/>
        <v>1.388888888888884E-2</v>
      </c>
      <c r="F53" s="1" t="s">
        <v>9</v>
      </c>
    </row>
    <row r="54" spans="1:6" x14ac:dyDescent="0.25">
      <c r="A54" s="20">
        <v>42278</v>
      </c>
      <c r="B54" s="3">
        <v>0.78472222222222221</v>
      </c>
      <c r="C54" s="3">
        <v>0.8027777777777777</v>
      </c>
      <c r="D54" s="3">
        <f t="shared" si="0"/>
        <v>1.8055555555555491E-2</v>
      </c>
      <c r="E54" s="3">
        <f t="shared" si="3"/>
        <v>6.2499999999999778E-3</v>
      </c>
      <c r="F54" s="1" t="s">
        <v>9</v>
      </c>
    </row>
    <row r="55" spans="1:6" x14ac:dyDescent="0.25">
      <c r="A55" s="20">
        <v>42278</v>
      </c>
      <c r="B55" s="3">
        <v>0.6479166666666667</v>
      </c>
      <c r="C55" s="3">
        <v>0.67222222222222217</v>
      </c>
      <c r="D55" s="3">
        <f t="shared" si="0"/>
        <v>2.4305555555555469E-2</v>
      </c>
      <c r="E55" s="3">
        <f t="shared" si="3"/>
        <v>4.8611111111109828E-3</v>
      </c>
      <c r="F55" s="1" t="s">
        <v>9</v>
      </c>
    </row>
    <row r="56" spans="1:6" x14ac:dyDescent="0.25">
      <c r="A56" s="20">
        <v>42278</v>
      </c>
      <c r="B56" s="3">
        <v>0.4368055555555555</v>
      </c>
      <c r="C56" s="3">
        <v>0.45624999999999999</v>
      </c>
      <c r="D56" s="3">
        <f t="shared" si="0"/>
        <v>1.9444444444444486E-2</v>
      </c>
      <c r="E56" s="3">
        <f t="shared" si="3"/>
        <v>4.1666666666667629E-3</v>
      </c>
      <c r="F56" s="1" t="s">
        <v>9</v>
      </c>
    </row>
    <row r="57" spans="1:6" x14ac:dyDescent="0.25">
      <c r="A57" s="20">
        <v>42278</v>
      </c>
      <c r="B57" s="3">
        <v>0.5229166666666667</v>
      </c>
      <c r="C57" s="3">
        <v>0.53819444444444442</v>
      </c>
      <c r="D57" s="3">
        <f t="shared" si="0"/>
        <v>1.5277777777777724E-2</v>
      </c>
      <c r="E57" s="3">
        <f t="shared" si="3"/>
        <v>1.1102230246251565E-16</v>
      </c>
      <c r="F57" s="1" t="s">
        <v>9</v>
      </c>
    </row>
    <row r="58" spans="1:6" x14ac:dyDescent="0.25">
      <c r="A58" s="20">
        <v>42278</v>
      </c>
      <c r="B58" s="3">
        <v>0.51041666666666663</v>
      </c>
      <c r="C58" s="3">
        <v>0.52569444444444446</v>
      </c>
      <c r="D58" s="3">
        <f t="shared" si="0"/>
        <v>1.5277777777777835E-2</v>
      </c>
      <c r="E58" s="3">
        <f t="shared" si="3"/>
        <v>2.083333333333437E-3</v>
      </c>
      <c r="F58" s="1" t="s">
        <v>9</v>
      </c>
    </row>
    <row r="59" spans="1:6" x14ac:dyDescent="0.25">
      <c r="A59" s="20">
        <v>42278</v>
      </c>
      <c r="B59" s="3">
        <v>0.57500000000000007</v>
      </c>
      <c r="C59" s="3">
        <v>0.58819444444444446</v>
      </c>
      <c r="D59" s="3">
        <f t="shared" si="0"/>
        <v>1.3194444444444398E-2</v>
      </c>
      <c r="E59" s="3">
        <f t="shared" si="3"/>
        <v>1.388888888888995E-3</v>
      </c>
      <c r="F59" s="1" t="s">
        <v>9</v>
      </c>
    </row>
    <row r="60" spans="1:6" x14ac:dyDescent="0.25">
      <c r="A60" s="20">
        <v>42278</v>
      </c>
      <c r="B60" s="3">
        <v>0.75347222222222221</v>
      </c>
      <c r="C60" s="3">
        <v>0.7680555555555556</v>
      </c>
      <c r="D60" s="3">
        <f t="shared" si="0"/>
        <v>1.4583333333333393E-2</v>
      </c>
      <c r="E60" s="3">
        <f t="shared" si="3"/>
        <v>5.5511151231257827E-17</v>
      </c>
      <c r="F60" s="1" t="s">
        <v>9</v>
      </c>
    </row>
    <row r="61" spans="1:6" x14ac:dyDescent="0.25">
      <c r="A61" s="20">
        <v>42278</v>
      </c>
      <c r="B61" s="3">
        <v>0.29583333333333334</v>
      </c>
      <c r="C61" s="3">
        <v>0.31041666666666667</v>
      </c>
      <c r="D61" s="3">
        <f t="shared" si="0"/>
        <v>1.4583333333333337E-2</v>
      </c>
      <c r="E61" s="3">
        <f t="shared" si="3"/>
        <v>4.1666666666666519E-3</v>
      </c>
      <c r="F61" s="1" t="s">
        <v>9</v>
      </c>
    </row>
    <row r="62" spans="1:6" x14ac:dyDescent="0.25">
      <c r="A62" s="20">
        <v>42278</v>
      </c>
      <c r="B62" s="3">
        <v>0.37777777777777777</v>
      </c>
      <c r="C62" s="3">
        <v>0.38819444444444445</v>
      </c>
      <c r="D62" s="3">
        <f t="shared" si="0"/>
        <v>1.0416666666666685E-2</v>
      </c>
      <c r="E62" s="3">
        <f t="shared" si="3"/>
        <v>4.1666666666665964E-3</v>
      </c>
      <c r="F62" s="1" t="s">
        <v>9</v>
      </c>
    </row>
    <row r="63" spans="1:6" x14ac:dyDescent="0.25">
      <c r="A63" s="20">
        <v>42278</v>
      </c>
      <c r="B63" s="3">
        <v>0.54722222222222217</v>
      </c>
      <c r="C63" s="3">
        <v>0.55347222222222225</v>
      </c>
      <c r="D63" s="3">
        <f t="shared" si="0"/>
        <v>6.2500000000000888E-3</v>
      </c>
      <c r="E63" s="3">
        <f t="shared" si="3"/>
        <v>1.4583333333333171E-2</v>
      </c>
      <c r="F63" s="1" t="s">
        <v>9</v>
      </c>
    </row>
    <row r="64" spans="1:6" x14ac:dyDescent="0.25">
      <c r="A64" s="20">
        <v>42278</v>
      </c>
      <c r="B64" s="3">
        <v>0.59027777777777779</v>
      </c>
      <c r="C64" s="3">
        <v>0.61111111111111105</v>
      </c>
      <c r="D64" s="3">
        <f t="shared" si="0"/>
        <v>2.0833333333333259E-2</v>
      </c>
      <c r="E64" s="3">
        <f t="shared" si="3"/>
        <v>5.5555555555554248E-3</v>
      </c>
      <c r="F64" s="1" t="s">
        <v>9</v>
      </c>
    </row>
    <row r="65" spans="1:6" x14ac:dyDescent="0.25">
      <c r="A65" s="20">
        <v>42278</v>
      </c>
      <c r="B65" s="3">
        <v>0.61111111111111105</v>
      </c>
      <c r="C65" s="3">
        <v>0.62638888888888888</v>
      </c>
      <c r="D65" s="3">
        <f t="shared" si="0"/>
        <v>1.5277777777777835E-2</v>
      </c>
      <c r="E65" s="3">
        <f t="shared" si="3"/>
        <v>9.0277777777777457E-3</v>
      </c>
      <c r="F65" s="1" t="s">
        <v>9</v>
      </c>
    </row>
    <row r="66" spans="1:6" x14ac:dyDescent="0.25">
      <c r="A66" s="20">
        <v>42278</v>
      </c>
      <c r="B66" s="3">
        <v>0.82847222222222217</v>
      </c>
      <c r="C66" s="3">
        <v>0.83472222222222225</v>
      </c>
      <c r="D66" s="3">
        <f t="shared" si="0"/>
        <v>6.2500000000000888E-3</v>
      </c>
      <c r="E66" s="3">
        <f t="shared" si="3"/>
        <v>1.1111111111111072E-2</v>
      </c>
      <c r="F66" s="1" t="s">
        <v>9</v>
      </c>
    </row>
    <row r="67" spans="1:6" x14ac:dyDescent="0.25">
      <c r="A67" s="20">
        <v>42278</v>
      </c>
      <c r="B67" s="3">
        <v>0.85486111111111107</v>
      </c>
      <c r="C67" s="3">
        <v>0.87222222222222223</v>
      </c>
      <c r="D67" s="3">
        <f t="shared" ref="D67:D130" si="4">(C67-B67)</f>
        <v>1.736111111111116E-2</v>
      </c>
      <c r="E67" s="3">
        <f t="shared" ref="E67:E76" si="5">ABS(D67-D68)</f>
        <v>2.0833333333333814E-3</v>
      </c>
      <c r="F67" s="1" t="s">
        <v>9</v>
      </c>
    </row>
    <row r="68" spans="1:6" x14ac:dyDescent="0.25">
      <c r="A68" s="20">
        <v>42278</v>
      </c>
      <c r="B68" s="3">
        <v>0.44444444444444442</v>
      </c>
      <c r="C68" s="3">
        <v>0.4597222222222222</v>
      </c>
      <c r="D68" s="3">
        <f t="shared" si="4"/>
        <v>1.5277777777777779E-2</v>
      </c>
      <c r="E68" s="3">
        <f t="shared" si="5"/>
        <v>3.4722222222221544E-3</v>
      </c>
      <c r="F68" s="1" t="s">
        <v>9</v>
      </c>
    </row>
    <row r="69" spans="1:6" x14ac:dyDescent="0.25">
      <c r="A69" s="20">
        <v>42278</v>
      </c>
      <c r="B69" s="3">
        <v>0.6479166666666667</v>
      </c>
      <c r="C69" s="3">
        <v>0.66666666666666663</v>
      </c>
      <c r="D69" s="3">
        <f t="shared" si="4"/>
        <v>1.8749999999999933E-2</v>
      </c>
      <c r="E69" s="3">
        <f t="shared" si="5"/>
        <v>4.1666666666667629E-3</v>
      </c>
      <c r="F69" s="1" t="s">
        <v>9</v>
      </c>
    </row>
    <row r="70" spans="1:6" x14ac:dyDescent="0.25">
      <c r="A70" s="20">
        <v>42278</v>
      </c>
      <c r="B70" s="3">
        <v>0.40416666666666662</v>
      </c>
      <c r="C70" s="3">
        <v>0.42708333333333331</v>
      </c>
      <c r="D70" s="3">
        <f t="shared" si="4"/>
        <v>2.2916666666666696E-2</v>
      </c>
      <c r="E70" s="3">
        <f t="shared" si="5"/>
        <v>1.3194444444444398E-2</v>
      </c>
      <c r="F70" s="1" t="s">
        <v>9</v>
      </c>
    </row>
    <row r="71" spans="1:6" x14ac:dyDescent="0.25">
      <c r="A71" s="20">
        <v>42278</v>
      </c>
      <c r="B71" s="3">
        <v>0.39861111111111108</v>
      </c>
      <c r="C71" s="3">
        <v>0.40833333333333338</v>
      </c>
      <c r="D71" s="3">
        <f t="shared" si="4"/>
        <v>9.7222222222222987E-3</v>
      </c>
      <c r="E71" s="3">
        <f t="shared" si="5"/>
        <v>4.1666666666665408E-3</v>
      </c>
      <c r="F71" s="1" t="s">
        <v>9</v>
      </c>
    </row>
    <row r="72" spans="1:6" x14ac:dyDescent="0.25">
      <c r="A72" s="20">
        <v>42278</v>
      </c>
      <c r="B72" s="3">
        <v>0.73611111111111116</v>
      </c>
      <c r="C72" s="3">
        <v>0.75</v>
      </c>
      <c r="D72" s="3">
        <f t="shared" si="4"/>
        <v>1.388888888888884E-2</v>
      </c>
      <c r="E72" s="3">
        <f t="shared" si="5"/>
        <v>4.1666666666664298E-3</v>
      </c>
      <c r="F72" s="1" t="s">
        <v>9</v>
      </c>
    </row>
    <row r="73" spans="1:6" x14ac:dyDescent="0.25">
      <c r="A73" s="20">
        <v>42278</v>
      </c>
      <c r="B73" s="3">
        <v>1.0222222222222224</v>
      </c>
      <c r="C73" s="3">
        <v>1.0402777777777776</v>
      </c>
      <c r="D73" s="3">
        <f t="shared" si="4"/>
        <v>1.8055555555555269E-2</v>
      </c>
      <c r="E73" s="3">
        <f t="shared" si="5"/>
        <v>7.6388888888886397E-3</v>
      </c>
      <c r="F73" s="1" t="s">
        <v>9</v>
      </c>
    </row>
    <row r="74" spans="1:6" x14ac:dyDescent="0.25">
      <c r="A74" s="20">
        <v>42278</v>
      </c>
      <c r="B74" s="3">
        <v>0.84097222222222223</v>
      </c>
      <c r="C74" s="3">
        <v>0.85138888888888886</v>
      </c>
      <c r="D74" s="3">
        <f t="shared" si="4"/>
        <v>1.041666666666663E-2</v>
      </c>
      <c r="E74" s="3">
        <f t="shared" si="5"/>
        <v>6.9444444444444198E-3</v>
      </c>
      <c r="F74" s="1" t="s">
        <v>9</v>
      </c>
    </row>
    <row r="75" spans="1:6" x14ac:dyDescent="0.25">
      <c r="A75" s="20">
        <v>42278</v>
      </c>
      <c r="B75" s="3">
        <v>0.58611111111111114</v>
      </c>
      <c r="C75" s="3">
        <v>0.60347222222222219</v>
      </c>
      <c r="D75" s="3">
        <f t="shared" si="4"/>
        <v>1.7361111111111049E-2</v>
      </c>
      <c r="E75" s="3">
        <f t="shared" si="5"/>
        <v>3.4722222222221544E-3</v>
      </c>
      <c r="F75" s="1" t="s">
        <v>9</v>
      </c>
    </row>
    <row r="76" spans="1:6" x14ac:dyDescent="0.25">
      <c r="A76" s="20">
        <v>42278</v>
      </c>
      <c r="B76" s="3">
        <v>0.31111111111111112</v>
      </c>
      <c r="C76" s="3">
        <v>0.32500000000000001</v>
      </c>
      <c r="D76" s="3">
        <f t="shared" si="4"/>
        <v>1.3888888888888895E-2</v>
      </c>
      <c r="E76" s="3">
        <f t="shared" si="5"/>
        <v>2.7777777777778234E-3</v>
      </c>
      <c r="F76" s="1" t="s">
        <v>9</v>
      </c>
    </row>
    <row r="77" spans="1:6" x14ac:dyDescent="0.25">
      <c r="A77" s="20">
        <v>42278</v>
      </c>
      <c r="B77" s="3">
        <v>0.54097222222222219</v>
      </c>
      <c r="C77" s="3">
        <v>0.55763888888888891</v>
      </c>
      <c r="D77" s="3">
        <f t="shared" si="4"/>
        <v>1.6666666666666718E-2</v>
      </c>
      <c r="E77" s="3"/>
      <c r="F77" s="1" t="s">
        <v>9</v>
      </c>
    </row>
    <row r="78" spans="1:6" x14ac:dyDescent="0.25">
      <c r="A78" s="20">
        <v>42278</v>
      </c>
      <c r="B78" s="3">
        <v>0.42083333333333334</v>
      </c>
      <c r="C78" s="3">
        <v>0.42291666666666666</v>
      </c>
      <c r="D78" s="3">
        <f t="shared" si="4"/>
        <v>2.0833333333333259E-3</v>
      </c>
      <c r="E78" s="3">
        <f t="shared" ref="E78:E141" si="6">ABS(D78-D79)</f>
        <v>3.4722222222222099E-3</v>
      </c>
      <c r="F78" s="1" t="s">
        <v>3</v>
      </c>
    </row>
    <row r="79" spans="1:6" x14ac:dyDescent="0.25">
      <c r="A79" s="20">
        <v>42278</v>
      </c>
      <c r="B79" s="3">
        <v>1.0111111111111111</v>
      </c>
      <c r="C79" s="3">
        <v>1.0166666666666666</v>
      </c>
      <c r="D79" s="3">
        <f t="shared" si="4"/>
        <v>5.5555555555555358E-3</v>
      </c>
      <c r="E79" s="3">
        <f t="shared" si="6"/>
        <v>3.4722222222222099E-3</v>
      </c>
      <c r="F79" s="1" t="s">
        <v>3</v>
      </c>
    </row>
    <row r="80" spans="1:6" x14ac:dyDescent="0.25">
      <c r="A80" s="20">
        <v>42278</v>
      </c>
      <c r="B80" s="3">
        <v>0.55069444444444449</v>
      </c>
      <c r="C80" s="3">
        <v>0.55972222222222223</v>
      </c>
      <c r="D80" s="3">
        <f t="shared" si="4"/>
        <v>9.0277777777777457E-3</v>
      </c>
      <c r="E80" s="3">
        <f t="shared" si="6"/>
        <v>3.4722222222223209E-3</v>
      </c>
      <c r="F80" s="1" t="s">
        <v>3</v>
      </c>
    </row>
    <row r="81" spans="1:6" x14ac:dyDescent="0.25">
      <c r="A81" s="20">
        <v>42278</v>
      </c>
      <c r="B81" s="3">
        <v>0.56527777777777777</v>
      </c>
      <c r="C81" s="3">
        <v>0.57777777777777783</v>
      </c>
      <c r="D81" s="3">
        <f t="shared" si="4"/>
        <v>1.2500000000000067E-2</v>
      </c>
      <c r="E81" s="3">
        <f t="shared" si="6"/>
        <v>7.6388888888889728E-3</v>
      </c>
      <c r="F81" s="1" t="s">
        <v>3</v>
      </c>
    </row>
    <row r="82" spans="1:6" x14ac:dyDescent="0.25">
      <c r="A82" s="20">
        <v>42278</v>
      </c>
      <c r="B82" s="3">
        <v>0.65486111111111112</v>
      </c>
      <c r="C82" s="3">
        <v>0.65972222222222221</v>
      </c>
      <c r="D82" s="3">
        <f t="shared" si="4"/>
        <v>4.8611111111110938E-3</v>
      </c>
      <c r="E82" s="3">
        <f t="shared" si="6"/>
        <v>5.5555555555555358E-3</v>
      </c>
      <c r="F82" s="1" t="s">
        <v>3</v>
      </c>
    </row>
    <row r="83" spans="1:6" x14ac:dyDescent="0.25">
      <c r="A83" s="20">
        <v>42278</v>
      </c>
      <c r="B83" s="3">
        <v>0.72222222222222221</v>
      </c>
      <c r="C83" s="3">
        <v>0.73263888888888884</v>
      </c>
      <c r="D83" s="3">
        <f t="shared" si="4"/>
        <v>1.041666666666663E-2</v>
      </c>
      <c r="E83" s="3">
        <f t="shared" si="6"/>
        <v>7.6388888888888618E-3</v>
      </c>
      <c r="F83" s="1" t="s">
        <v>3</v>
      </c>
    </row>
    <row r="84" spans="1:6" x14ac:dyDescent="0.25">
      <c r="A84" s="20">
        <v>42278</v>
      </c>
      <c r="B84" s="3">
        <v>0.72361111111111109</v>
      </c>
      <c r="C84" s="3">
        <v>0.72638888888888886</v>
      </c>
      <c r="D84" s="3">
        <f t="shared" si="4"/>
        <v>2.7777777777777679E-3</v>
      </c>
      <c r="E84" s="3">
        <f t="shared" si="6"/>
        <v>3.4722222222222099E-3</v>
      </c>
      <c r="F84" s="1" t="s">
        <v>3</v>
      </c>
    </row>
    <row r="85" spans="1:6" x14ac:dyDescent="0.25">
      <c r="A85" s="20">
        <v>42278</v>
      </c>
      <c r="B85" s="3">
        <v>0.78888888888888886</v>
      </c>
      <c r="C85" s="3">
        <v>0.79513888888888884</v>
      </c>
      <c r="D85" s="3">
        <f t="shared" si="4"/>
        <v>6.2499999999999778E-3</v>
      </c>
      <c r="E85" s="3">
        <f t="shared" si="6"/>
        <v>3.4722222222220989E-3</v>
      </c>
      <c r="F85" s="1" t="s">
        <v>3</v>
      </c>
    </row>
    <row r="86" spans="1:6" x14ac:dyDescent="0.25">
      <c r="A86" s="20">
        <v>42278</v>
      </c>
      <c r="B86" s="3">
        <v>0.89236111111111116</v>
      </c>
      <c r="C86" s="3">
        <v>0.90208333333333324</v>
      </c>
      <c r="D86" s="3">
        <f t="shared" si="4"/>
        <v>9.7222222222220767E-3</v>
      </c>
      <c r="E86" s="3">
        <f t="shared" si="6"/>
        <v>4.1666666666665408E-3</v>
      </c>
      <c r="F86" s="1" t="s">
        <v>3</v>
      </c>
    </row>
    <row r="87" spans="1:6" x14ac:dyDescent="0.25">
      <c r="A87" s="20">
        <v>42278</v>
      </c>
      <c r="B87" s="3">
        <v>0.91180555555555554</v>
      </c>
      <c r="C87" s="3">
        <v>0.91736111111111107</v>
      </c>
      <c r="D87" s="3">
        <f t="shared" si="4"/>
        <v>5.5555555555555358E-3</v>
      </c>
      <c r="E87" s="3">
        <f t="shared" si="6"/>
        <v>6.94444444444553E-4</v>
      </c>
      <c r="F87" s="1" t="s">
        <v>3</v>
      </c>
    </row>
    <row r="88" spans="1:6" x14ac:dyDescent="0.25">
      <c r="A88" s="20">
        <v>42278</v>
      </c>
      <c r="B88" s="3">
        <v>0.94166666666666676</v>
      </c>
      <c r="C88" s="3">
        <v>0.94652777777777775</v>
      </c>
      <c r="D88" s="3">
        <f t="shared" si="4"/>
        <v>4.8611111111109828E-3</v>
      </c>
      <c r="E88" s="3">
        <f t="shared" si="6"/>
        <v>8.3333333333334564E-3</v>
      </c>
      <c r="F88" s="1" t="s">
        <v>3</v>
      </c>
    </row>
    <row r="89" spans="1:6" x14ac:dyDescent="0.25">
      <c r="A89" s="20">
        <v>42278</v>
      </c>
      <c r="B89" s="3">
        <v>9.2361111111111116E-2</v>
      </c>
      <c r="C89" s="3">
        <v>0.10555555555555556</v>
      </c>
      <c r="D89" s="3">
        <f t="shared" si="4"/>
        <v>1.3194444444444439E-2</v>
      </c>
      <c r="E89" s="3">
        <f t="shared" si="6"/>
        <v>9.0277777777777873E-3</v>
      </c>
      <c r="F89" s="1" t="s">
        <v>3</v>
      </c>
    </row>
    <row r="90" spans="1:6" x14ac:dyDescent="0.25">
      <c r="A90" s="20">
        <v>42278</v>
      </c>
      <c r="B90" s="3">
        <v>0.4597222222222222</v>
      </c>
      <c r="C90" s="3">
        <v>0.46388888888888885</v>
      </c>
      <c r="D90" s="3">
        <f t="shared" si="4"/>
        <v>4.1666666666666519E-3</v>
      </c>
      <c r="E90" s="3">
        <f t="shared" si="6"/>
        <v>2.0833333333333814E-3</v>
      </c>
      <c r="F90" s="1" t="s">
        <v>3</v>
      </c>
    </row>
    <row r="91" spans="1:6" x14ac:dyDescent="0.25">
      <c r="A91" s="20">
        <v>42278</v>
      </c>
      <c r="B91" s="3">
        <v>0.48402777777777778</v>
      </c>
      <c r="C91" s="3">
        <v>0.49027777777777781</v>
      </c>
      <c r="D91" s="3">
        <f t="shared" si="4"/>
        <v>6.2500000000000333E-3</v>
      </c>
      <c r="E91" s="3">
        <f t="shared" si="6"/>
        <v>2.7777777777777124E-3</v>
      </c>
      <c r="F91" s="1" t="s">
        <v>3</v>
      </c>
    </row>
    <row r="92" spans="1:6" x14ac:dyDescent="0.25">
      <c r="A92" s="20">
        <v>42278</v>
      </c>
      <c r="B92" s="3">
        <v>0.56041666666666667</v>
      </c>
      <c r="C92" s="3">
        <v>0.56944444444444442</v>
      </c>
      <c r="D92" s="3">
        <f t="shared" si="4"/>
        <v>9.0277777777777457E-3</v>
      </c>
      <c r="E92" s="3">
        <f t="shared" si="6"/>
        <v>4.8611111111109828E-3</v>
      </c>
      <c r="F92" s="1" t="s">
        <v>3</v>
      </c>
    </row>
    <row r="93" spans="1:6" x14ac:dyDescent="0.25">
      <c r="A93" s="20">
        <v>42278</v>
      </c>
      <c r="B93" s="3">
        <v>0.74305555555555547</v>
      </c>
      <c r="C93" s="3">
        <v>0.74722222222222223</v>
      </c>
      <c r="D93" s="3">
        <f t="shared" si="4"/>
        <v>4.1666666666667629E-3</v>
      </c>
      <c r="E93" s="3">
        <f t="shared" si="6"/>
        <v>5.5555555555555358E-3</v>
      </c>
      <c r="F93" s="1" t="s">
        <v>3</v>
      </c>
    </row>
    <row r="94" spans="1:6" x14ac:dyDescent="0.25">
      <c r="A94" s="20">
        <v>42278</v>
      </c>
      <c r="B94" s="3">
        <v>0.84375</v>
      </c>
      <c r="C94" s="3">
        <v>0.8534722222222223</v>
      </c>
      <c r="D94" s="3">
        <f t="shared" si="4"/>
        <v>9.7222222222222987E-3</v>
      </c>
      <c r="E94" s="3">
        <f t="shared" si="6"/>
        <v>1.388888888888995E-3</v>
      </c>
      <c r="F94" s="1" t="s">
        <v>3</v>
      </c>
    </row>
    <row r="95" spans="1:6" x14ac:dyDescent="0.25">
      <c r="A95" s="20">
        <v>42278</v>
      </c>
      <c r="B95" s="3">
        <v>0.89236111111111116</v>
      </c>
      <c r="C95" s="3">
        <v>0.90069444444444446</v>
      </c>
      <c r="D95" s="3">
        <f t="shared" si="4"/>
        <v>8.3333333333333037E-3</v>
      </c>
      <c r="E95" s="3">
        <f t="shared" si="6"/>
        <v>4.8611111111110938E-3</v>
      </c>
      <c r="F95" s="1" t="s">
        <v>3</v>
      </c>
    </row>
    <row r="96" spans="1:6" x14ac:dyDescent="0.25">
      <c r="A96" s="20">
        <v>42278</v>
      </c>
      <c r="B96" s="3">
        <v>0.94236111111111109</v>
      </c>
      <c r="C96" s="3">
        <v>0.9458333333333333</v>
      </c>
      <c r="D96" s="3">
        <f t="shared" si="4"/>
        <v>3.4722222222222099E-3</v>
      </c>
      <c r="E96" s="3">
        <f t="shared" si="6"/>
        <v>2.7777777777778789E-3</v>
      </c>
      <c r="F96" s="1" t="s">
        <v>3</v>
      </c>
    </row>
    <row r="97" spans="1:6" x14ac:dyDescent="0.25">
      <c r="A97" s="20">
        <v>42278</v>
      </c>
      <c r="B97" s="3">
        <v>1.0069444444444444</v>
      </c>
      <c r="C97" s="3">
        <v>1.0131944444444445</v>
      </c>
      <c r="D97" s="3">
        <f t="shared" si="4"/>
        <v>6.2500000000000888E-3</v>
      </c>
      <c r="E97" s="3">
        <f t="shared" si="6"/>
        <v>1.0416666666666574E-2</v>
      </c>
      <c r="F97" s="1" t="s">
        <v>3</v>
      </c>
    </row>
    <row r="98" spans="1:6" x14ac:dyDescent="0.25">
      <c r="A98" s="20">
        <v>42278</v>
      </c>
      <c r="B98" s="3">
        <v>0.2638888888888889</v>
      </c>
      <c r="C98" s="3">
        <v>0.28055555555555556</v>
      </c>
      <c r="D98" s="3">
        <f t="shared" si="4"/>
        <v>1.6666666666666663E-2</v>
      </c>
      <c r="E98" s="3">
        <f t="shared" si="6"/>
        <v>9.7222222222222432E-3</v>
      </c>
      <c r="F98" s="1" t="s">
        <v>3</v>
      </c>
    </row>
    <row r="99" spans="1:6" x14ac:dyDescent="0.25">
      <c r="A99" s="20">
        <v>42278</v>
      </c>
      <c r="B99" s="3">
        <v>0.34583333333333338</v>
      </c>
      <c r="C99" s="3">
        <v>0.3527777777777778</v>
      </c>
      <c r="D99" s="3">
        <f t="shared" si="4"/>
        <v>6.9444444444444198E-3</v>
      </c>
      <c r="E99" s="3">
        <f t="shared" si="6"/>
        <v>6.9444444444449749E-4</v>
      </c>
      <c r="F99" s="1" t="s">
        <v>3</v>
      </c>
    </row>
    <row r="100" spans="1:6" x14ac:dyDescent="0.25">
      <c r="A100" s="20">
        <v>42278</v>
      </c>
      <c r="B100" s="3">
        <v>0.33055555555555555</v>
      </c>
      <c r="C100" s="3">
        <v>0.33819444444444446</v>
      </c>
      <c r="D100" s="3">
        <f t="shared" si="4"/>
        <v>7.6388888888889173E-3</v>
      </c>
      <c r="E100" s="3">
        <f t="shared" si="6"/>
        <v>7.6388888888888618E-3</v>
      </c>
      <c r="F100" s="1" t="s">
        <v>3</v>
      </c>
    </row>
    <row r="101" spans="1:6" x14ac:dyDescent="0.25">
      <c r="A101" s="20">
        <v>42278</v>
      </c>
      <c r="B101" s="3">
        <v>0.47291666666666665</v>
      </c>
      <c r="C101" s="3">
        <v>0.48819444444444443</v>
      </c>
      <c r="D101" s="3">
        <f t="shared" si="4"/>
        <v>1.5277777777777779E-2</v>
      </c>
      <c r="E101" s="3">
        <f t="shared" si="6"/>
        <v>3.0555555555555544E-2</v>
      </c>
      <c r="F101" s="1" t="s">
        <v>3</v>
      </c>
    </row>
    <row r="102" spans="1:6" x14ac:dyDescent="0.25">
      <c r="A102" s="20">
        <v>42278</v>
      </c>
      <c r="B102" s="3">
        <v>0.10486111111111111</v>
      </c>
      <c r="C102" s="3">
        <v>0.15069444444444444</v>
      </c>
      <c r="D102" s="3">
        <f t="shared" si="4"/>
        <v>4.5833333333333323E-2</v>
      </c>
      <c r="E102" s="3">
        <f t="shared" si="6"/>
        <v>2.9861111111111047E-2</v>
      </c>
      <c r="F102" s="1" t="s">
        <v>3</v>
      </c>
    </row>
    <row r="103" spans="1:6" x14ac:dyDescent="0.25">
      <c r="A103" s="20">
        <v>42278</v>
      </c>
      <c r="B103" s="3">
        <v>0.6381944444444444</v>
      </c>
      <c r="C103" s="3">
        <v>0.65416666666666667</v>
      </c>
      <c r="D103" s="3">
        <f t="shared" si="4"/>
        <v>1.5972222222222276E-2</v>
      </c>
      <c r="E103" s="3">
        <f t="shared" si="6"/>
        <v>1.1805555555555736E-2</v>
      </c>
      <c r="F103" s="1" t="s">
        <v>3</v>
      </c>
    </row>
    <row r="104" spans="1:6" x14ac:dyDescent="0.25">
      <c r="A104" s="20">
        <v>42278</v>
      </c>
      <c r="B104" s="3">
        <v>0.7284722222222223</v>
      </c>
      <c r="C104" s="3">
        <v>0.73263888888888884</v>
      </c>
      <c r="D104" s="3">
        <f t="shared" si="4"/>
        <v>4.1666666666665408E-3</v>
      </c>
      <c r="E104" s="3">
        <f t="shared" si="6"/>
        <v>4.1666666666668739E-3</v>
      </c>
      <c r="F104" s="1" t="s">
        <v>3</v>
      </c>
    </row>
    <row r="105" spans="1:6" x14ac:dyDescent="0.25">
      <c r="A105" s="20">
        <v>42278</v>
      </c>
      <c r="B105" s="3">
        <v>0.82638888888888884</v>
      </c>
      <c r="C105" s="3">
        <v>0.83472222222222225</v>
      </c>
      <c r="D105" s="3">
        <f t="shared" si="4"/>
        <v>8.3333333333334147E-3</v>
      </c>
      <c r="E105" s="3">
        <f t="shared" si="6"/>
        <v>1.1102230246251565E-16</v>
      </c>
      <c r="F105" s="1" t="s">
        <v>3</v>
      </c>
    </row>
    <row r="106" spans="1:6" x14ac:dyDescent="0.25">
      <c r="A106" s="20">
        <v>42278</v>
      </c>
      <c r="B106" s="3">
        <v>0.75208333333333333</v>
      </c>
      <c r="C106" s="3">
        <v>0.76041666666666663</v>
      </c>
      <c r="D106" s="3">
        <f t="shared" si="4"/>
        <v>8.3333333333333037E-3</v>
      </c>
      <c r="E106" s="3">
        <f t="shared" si="6"/>
        <v>6.9444444444445308E-3</v>
      </c>
      <c r="F106" s="1" t="s">
        <v>3</v>
      </c>
    </row>
    <row r="107" spans="1:6" x14ac:dyDescent="0.25">
      <c r="A107" s="20">
        <v>42278</v>
      </c>
      <c r="B107" s="3">
        <v>0.9145833333333333</v>
      </c>
      <c r="C107" s="3">
        <v>0.92986111111111114</v>
      </c>
      <c r="D107" s="3">
        <f t="shared" si="4"/>
        <v>1.5277777777777835E-2</v>
      </c>
      <c r="E107" s="3">
        <f t="shared" si="6"/>
        <v>1.1805555555555514E-2</v>
      </c>
      <c r="F107" s="1" t="s">
        <v>3</v>
      </c>
    </row>
    <row r="108" spans="1:6" x14ac:dyDescent="0.25">
      <c r="A108" s="20">
        <v>42278</v>
      </c>
      <c r="B108" s="3">
        <v>0.95138888888888884</v>
      </c>
      <c r="C108" s="3">
        <v>0.95486111111111116</v>
      </c>
      <c r="D108" s="3">
        <f t="shared" si="4"/>
        <v>3.4722222222223209E-3</v>
      </c>
      <c r="E108" s="3">
        <f t="shared" si="6"/>
        <v>4.8611111111110245E-3</v>
      </c>
      <c r="F108" s="1" t="s">
        <v>3</v>
      </c>
    </row>
    <row r="109" spans="1:6" x14ac:dyDescent="0.25">
      <c r="A109" s="20">
        <v>42278</v>
      </c>
      <c r="B109" s="3">
        <v>0.10069444444444443</v>
      </c>
      <c r="C109" s="3">
        <v>0.10902777777777778</v>
      </c>
      <c r="D109" s="3">
        <f t="shared" si="4"/>
        <v>8.3333333333333454E-3</v>
      </c>
      <c r="E109" s="3">
        <f t="shared" si="6"/>
        <v>5.5555555555555775E-3</v>
      </c>
      <c r="F109" s="1" t="s">
        <v>3</v>
      </c>
    </row>
    <row r="110" spans="1:6" x14ac:dyDescent="0.25">
      <c r="A110" s="20">
        <v>42278</v>
      </c>
      <c r="B110" s="3">
        <v>0.63611111111111118</v>
      </c>
      <c r="C110" s="3">
        <v>0.63888888888888895</v>
      </c>
      <c r="D110" s="3">
        <f t="shared" si="4"/>
        <v>2.7777777777777679E-3</v>
      </c>
      <c r="E110" s="3">
        <f t="shared" si="6"/>
        <v>6.9444444444444198E-4</v>
      </c>
      <c r="F110" s="1" t="s">
        <v>3</v>
      </c>
    </row>
    <row r="111" spans="1:6" x14ac:dyDescent="0.25">
      <c r="A111" s="20">
        <v>42278</v>
      </c>
      <c r="B111" s="3">
        <v>0.55347222222222225</v>
      </c>
      <c r="C111" s="3">
        <v>0.55694444444444446</v>
      </c>
      <c r="D111" s="3">
        <f t="shared" si="4"/>
        <v>3.4722222222222099E-3</v>
      </c>
      <c r="E111" s="3">
        <f t="shared" si="6"/>
        <v>1.1102230246251565E-16</v>
      </c>
      <c r="F111" s="1" t="s">
        <v>3</v>
      </c>
    </row>
    <row r="112" spans="1:6" x14ac:dyDescent="0.25">
      <c r="A112" s="20">
        <v>42278</v>
      </c>
      <c r="B112" s="3">
        <v>0.54791666666666672</v>
      </c>
      <c r="C112" s="3">
        <v>0.55138888888888882</v>
      </c>
      <c r="D112" s="3">
        <f t="shared" si="4"/>
        <v>3.4722222222220989E-3</v>
      </c>
      <c r="E112" s="3">
        <f t="shared" si="6"/>
        <v>1.3888888888887729E-3</v>
      </c>
      <c r="F112" s="1" t="s">
        <v>3</v>
      </c>
    </row>
    <row r="113" spans="1:6" x14ac:dyDescent="0.25">
      <c r="A113" s="20">
        <v>42278</v>
      </c>
      <c r="B113" s="3">
        <v>0.55833333333333335</v>
      </c>
      <c r="C113" s="3">
        <v>0.56041666666666667</v>
      </c>
      <c r="D113" s="3">
        <f t="shared" si="4"/>
        <v>2.0833333333333259E-3</v>
      </c>
      <c r="E113" s="3">
        <f t="shared" si="6"/>
        <v>3.4722222222222099E-3</v>
      </c>
      <c r="F113" s="1" t="s">
        <v>3</v>
      </c>
    </row>
    <row r="114" spans="1:6" x14ac:dyDescent="0.25">
      <c r="A114" s="20">
        <v>42278</v>
      </c>
      <c r="B114" s="3">
        <v>0.63888888888888895</v>
      </c>
      <c r="C114" s="3">
        <v>0.64444444444444449</v>
      </c>
      <c r="D114" s="3">
        <f t="shared" si="4"/>
        <v>5.5555555555555358E-3</v>
      </c>
      <c r="E114" s="3">
        <f t="shared" si="6"/>
        <v>1.5972222222222276E-2</v>
      </c>
      <c r="F114" s="1" t="s">
        <v>3</v>
      </c>
    </row>
    <row r="115" spans="1:6" x14ac:dyDescent="0.25">
      <c r="A115" s="20">
        <v>42278</v>
      </c>
      <c r="B115" s="3">
        <v>0.96527777777777779</v>
      </c>
      <c r="C115" s="3">
        <v>0.9868055555555556</v>
      </c>
      <c r="D115" s="3">
        <f t="shared" si="4"/>
        <v>2.1527777777777812E-2</v>
      </c>
      <c r="E115" s="3">
        <f t="shared" si="6"/>
        <v>1.5277777777777835E-2</v>
      </c>
      <c r="F115" s="1" t="s">
        <v>3</v>
      </c>
    </row>
    <row r="116" spans="1:6" x14ac:dyDescent="0.25">
      <c r="A116" s="20">
        <v>42278</v>
      </c>
      <c r="B116" s="3">
        <v>0.54652777777777783</v>
      </c>
      <c r="C116" s="3">
        <v>0.55277777777777781</v>
      </c>
      <c r="D116" s="3">
        <f t="shared" si="4"/>
        <v>6.2499999999999778E-3</v>
      </c>
      <c r="E116" s="3">
        <f t="shared" si="6"/>
        <v>1.388888888888884E-3</v>
      </c>
      <c r="F116" s="1" t="s">
        <v>3</v>
      </c>
    </row>
    <row r="117" spans="1:6" x14ac:dyDescent="0.25">
      <c r="A117" s="20">
        <v>42278</v>
      </c>
      <c r="B117" s="3">
        <v>0.69444444444444453</v>
      </c>
      <c r="C117" s="3">
        <v>0.69930555555555562</v>
      </c>
      <c r="D117" s="3">
        <f t="shared" si="4"/>
        <v>4.8611111111110938E-3</v>
      </c>
      <c r="E117" s="3">
        <f t="shared" si="6"/>
        <v>1.1102230246251565E-16</v>
      </c>
      <c r="F117" s="1" t="s">
        <v>3</v>
      </c>
    </row>
    <row r="118" spans="1:6" x14ac:dyDescent="0.25">
      <c r="A118" s="20">
        <v>42278</v>
      </c>
      <c r="B118" s="3">
        <v>0.95347222222222217</v>
      </c>
      <c r="C118" s="3">
        <v>0.95833333333333337</v>
      </c>
      <c r="D118" s="3">
        <f t="shared" si="4"/>
        <v>4.8611111111112049E-3</v>
      </c>
      <c r="E118" s="3">
        <f t="shared" si="6"/>
        <v>6.9444444444453912E-4</v>
      </c>
      <c r="F118" s="1" t="s">
        <v>3</v>
      </c>
    </row>
    <row r="119" spans="1:6" x14ac:dyDescent="0.25">
      <c r="A119" s="20">
        <v>42278</v>
      </c>
      <c r="B119" s="3">
        <v>0.10486111111111111</v>
      </c>
      <c r="C119" s="3">
        <v>0.10902777777777778</v>
      </c>
      <c r="D119" s="3">
        <f t="shared" si="4"/>
        <v>4.1666666666666657E-3</v>
      </c>
      <c r="E119" s="3">
        <f t="shared" si="6"/>
        <v>1.1805555555555611E-2</v>
      </c>
      <c r="F119" s="1" t="s">
        <v>3</v>
      </c>
    </row>
    <row r="120" spans="1:6" x14ac:dyDescent="0.25">
      <c r="A120" s="20">
        <v>42278</v>
      </c>
      <c r="B120" s="3">
        <v>0.6381944444444444</v>
      </c>
      <c r="C120" s="3">
        <v>0.65416666666666667</v>
      </c>
      <c r="D120" s="3">
        <f t="shared" si="4"/>
        <v>1.5972222222222276E-2</v>
      </c>
      <c r="E120" s="3">
        <f t="shared" si="6"/>
        <v>1.1805555555555736E-2</v>
      </c>
      <c r="F120" s="1" t="s">
        <v>3</v>
      </c>
    </row>
    <row r="121" spans="1:6" x14ac:dyDescent="0.25">
      <c r="A121" s="20">
        <v>42278</v>
      </c>
      <c r="B121" s="3">
        <v>0.7284722222222223</v>
      </c>
      <c r="C121" s="3">
        <v>0.73263888888888884</v>
      </c>
      <c r="D121" s="3">
        <f t="shared" si="4"/>
        <v>4.1666666666665408E-3</v>
      </c>
      <c r="E121" s="3">
        <f t="shared" si="6"/>
        <v>4.1666666666668739E-3</v>
      </c>
      <c r="F121" s="1" t="s">
        <v>3</v>
      </c>
    </row>
    <row r="122" spans="1:6" x14ac:dyDescent="0.25">
      <c r="A122" s="20">
        <v>42278</v>
      </c>
      <c r="B122" s="3">
        <v>0.82638888888888884</v>
      </c>
      <c r="C122" s="3">
        <v>0.83472222222222225</v>
      </c>
      <c r="D122" s="3">
        <f t="shared" si="4"/>
        <v>8.3333333333334147E-3</v>
      </c>
      <c r="E122" s="3">
        <f t="shared" si="6"/>
        <v>1.1102230246251565E-16</v>
      </c>
      <c r="F122" s="1" t="s">
        <v>3</v>
      </c>
    </row>
    <row r="123" spans="1:6" x14ac:dyDescent="0.25">
      <c r="A123" s="20">
        <v>42278</v>
      </c>
      <c r="B123" s="3">
        <v>0.75208333333333333</v>
      </c>
      <c r="C123" s="3">
        <v>0.76041666666666663</v>
      </c>
      <c r="D123" s="3">
        <f t="shared" si="4"/>
        <v>8.3333333333333037E-3</v>
      </c>
      <c r="E123" s="3">
        <f t="shared" si="6"/>
        <v>6.9444444444445308E-3</v>
      </c>
      <c r="F123" s="1" t="s">
        <v>3</v>
      </c>
    </row>
    <row r="124" spans="1:6" x14ac:dyDescent="0.25">
      <c r="A124" s="20">
        <v>42278</v>
      </c>
      <c r="B124" s="3">
        <v>0.9145833333333333</v>
      </c>
      <c r="C124" s="3">
        <v>0.92986111111111114</v>
      </c>
      <c r="D124" s="3">
        <f t="shared" si="4"/>
        <v>1.5277777777777835E-2</v>
      </c>
      <c r="E124" s="3">
        <f t="shared" si="6"/>
        <v>1.1805555555555514E-2</v>
      </c>
      <c r="F124" s="1" t="s">
        <v>3</v>
      </c>
    </row>
    <row r="125" spans="1:6" x14ac:dyDescent="0.25">
      <c r="A125" s="20">
        <v>42278</v>
      </c>
      <c r="B125" s="3">
        <v>0.95138888888888884</v>
      </c>
      <c r="C125" s="3">
        <v>0.95486111111111116</v>
      </c>
      <c r="D125" s="3">
        <f t="shared" si="4"/>
        <v>3.4722222222223209E-3</v>
      </c>
      <c r="E125" s="3">
        <f t="shared" si="6"/>
        <v>4.8611111111110245E-3</v>
      </c>
      <c r="F125" s="1" t="s">
        <v>3</v>
      </c>
    </row>
    <row r="126" spans="1:6" x14ac:dyDescent="0.25">
      <c r="A126" s="20">
        <v>42278</v>
      </c>
      <c r="B126" s="3">
        <v>0.10069444444444443</v>
      </c>
      <c r="C126" s="3">
        <v>0.10902777777777778</v>
      </c>
      <c r="D126" s="3">
        <f t="shared" si="4"/>
        <v>8.3333333333333454E-3</v>
      </c>
      <c r="E126" s="3">
        <f t="shared" si="6"/>
        <v>4.8611111111110522E-3</v>
      </c>
      <c r="F126" s="1" t="s">
        <v>3</v>
      </c>
    </row>
    <row r="127" spans="1:6" x14ac:dyDescent="0.25">
      <c r="A127" s="20">
        <v>42278</v>
      </c>
      <c r="B127" s="3">
        <v>0.44097222222222227</v>
      </c>
      <c r="C127" s="3">
        <v>0.45416666666666666</v>
      </c>
      <c r="D127" s="3">
        <f t="shared" si="4"/>
        <v>1.3194444444444398E-2</v>
      </c>
      <c r="E127" s="3">
        <f t="shared" si="6"/>
        <v>1.041666666666663E-2</v>
      </c>
      <c r="F127" s="1" t="s">
        <v>3</v>
      </c>
    </row>
    <row r="128" spans="1:6" x14ac:dyDescent="0.25">
      <c r="A128" s="20">
        <v>42278</v>
      </c>
      <c r="B128" s="3">
        <v>0.63611111111111118</v>
      </c>
      <c r="C128" s="3">
        <v>0.63888888888888895</v>
      </c>
      <c r="D128" s="3">
        <f t="shared" si="4"/>
        <v>2.7777777777777679E-3</v>
      </c>
      <c r="E128" s="3">
        <f t="shared" si="6"/>
        <v>6.9444444444444198E-4</v>
      </c>
      <c r="F128" s="1" t="s">
        <v>3</v>
      </c>
    </row>
    <row r="129" spans="1:6" x14ac:dyDescent="0.25">
      <c r="A129" s="20">
        <v>42278</v>
      </c>
      <c r="B129" s="3">
        <v>0.55347222222222225</v>
      </c>
      <c r="C129" s="3">
        <v>0.55694444444444446</v>
      </c>
      <c r="D129" s="3">
        <f t="shared" si="4"/>
        <v>3.4722222222222099E-3</v>
      </c>
      <c r="E129" s="3">
        <f t="shared" si="6"/>
        <v>1.1102230246251565E-16</v>
      </c>
      <c r="F129" s="1" t="s">
        <v>3</v>
      </c>
    </row>
    <row r="130" spans="1:6" x14ac:dyDescent="0.25">
      <c r="A130" s="20">
        <v>42278</v>
      </c>
      <c r="B130" s="3">
        <v>0.54791666666666672</v>
      </c>
      <c r="C130" s="3">
        <v>0.55138888888888882</v>
      </c>
      <c r="D130" s="3">
        <f t="shared" si="4"/>
        <v>3.4722222222220989E-3</v>
      </c>
      <c r="E130" s="3">
        <f t="shared" si="6"/>
        <v>1.3888888888887729E-3</v>
      </c>
      <c r="F130" s="1" t="s">
        <v>3</v>
      </c>
    </row>
    <row r="131" spans="1:6" x14ac:dyDescent="0.25">
      <c r="A131" s="20">
        <v>42278</v>
      </c>
      <c r="B131" s="3">
        <v>0.55833333333333335</v>
      </c>
      <c r="C131" s="3">
        <v>0.56041666666666667</v>
      </c>
      <c r="D131" s="3">
        <f t="shared" ref="D131:D194" si="7">(C131-B131)</f>
        <v>2.0833333333333259E-3</v>
      </c>
      <c r="E131" s="3">
        <f t="shared" si="6"/>
        <v>3.4722222222222099E-3</v>
      </c>
      <c r="F131" s="1" t="s">
        <v>3</v>
      </c>
    </row>
    <row r="132" spans="1:6" x14ac:dyDescent="0.25">
      <c r="A132" s="20">
        <v>42278</v>
      </c>
      <c r="B132" s="3">
        <v>0.63888888888888895</v>
      </c>
      <c r="C132" s="3">
        <v>0.64444444444444449</v>
      </c>
      <c r="D132" s="3">
        <f t="shared" si="7"/>
        <v>5.5555555555555358E-3</v>
      </c>
      <c r="E132" s="3">
        <f t="shared" si="6"/>
        <v>1.5972222222222276E-2</v>
      </c>
      <c r="F132" s="1" t="s">
        <v>3</v>
      </c>
    </row>
    <row r="133" spans="1:6" x14ac:dyDescent="0.25">
      <c r="A133" s="20">
        <v>42278</v>
      </c>
      <c r="B133" s="3">
        <v>0.96527777777777779</v>
      </c>
      <c r="C133" s="3">
        <v>0.9868055555555556</v>
      </c>
      <c r="D133" s="3">
        <f t="shared" si="7"/>
        <v>2.1527777777777812E-2</v>
      </c>
      <c r="E133" s="3">
        <f t="shared" si="6"/>
        <v>8.3333333333333731E-3</v>
      </c>
      <c r="F133" s="1" t="s">
        <v>3</v>
      </c>
    </row>
    <row r="134" spans="1:6" x14ac:dyDescent="0.25">
      <c r="A134" s="20">
        <v>42278</v>
      </c>
      <c r="B134" s="3">
        <v>9.2361111111111116E-2</v>
      </c>
      <c r="C134" s="3">
        <v>0.10555555555555556</v>
      </c>
      <c r="D134" s="3">
        <f t="shared" si="7"/>
        <v>1.3194444444444439E-2</v>
      </c>
      <c r="E134" s="3">
        <f t="shared" si="6"/>
        <v>9.0277777777777873E-3</v>
      </c>
      <c r="F134" s="1" t="s">
        <v>3</v>
      </c>
    </row>
    <row r="135" spans="1:6" x14ac:dyDescent="0.25">
      <c r="A135" s="20">
        <v>42278</v>
      </c>
      <c r="B135" s="3">
        <v>0.4597222222222222</v>
      </c>
      <c r="C135" s="3">
        <v>0.46388888888888885</v>
      </c>
      <c r="D135" s="3">
        <f t="shared" si="7"/>
        <v>4.1666666666666519E-3</v>
      </c>
      <c r="E135" s="3">
        <f t="shared" si="6"/>
        <v>2.0833333333333814E-3</v>
      </c>
      <c r="F135" s="1" t="s">
        <v>3</v>
      </c>
    </row>
    <row r="136" spans="1:6" x14ac:dyDescent="0.25">
      <c r="A136" s="20">
        <v>42278</v>
      </c>
      <c r="B136" s="3">
        <v>0.48402777777777778</v>
      </c>
      <c r="C136" s="3">
        <v>0.49027777777777781</v>
      </c>
      <c r="D136" s="3">
        <f t="shared" si="7"/>
        <v>6.2500000000000333E-3</v>
      </c>
      <c r="E136" s="3">
        <f t="shared" si="6"/>
        <v>2.7777777777777124E-3</v>
      </c>
      <c r="F136" s="1" t="s">
        <v>3</v>
      </c>
    </row>
    <row r="137" spans="1:6" x14ac:dyDescent="0.25">
      <c r="A137" s="20">
        <v>42278</v>
      </c>
      <c r="B137" s="3">
        <v>0.56041666666666667</v>
      </c>
      <c r="C137" s="3">
        <v>0.56944444444444442</v>
      </c>
      <c r="D137" s="3">
        <f t="shared" si="7"/>
        <v>9.0277777777777457E-3</v>
      </c>
      <c r="E137" s="3">
        <f t="shared" si="6"/>
        <v>4.8611111111109828E-3</v>
      </c>
      <c r="F137" s="1" t="s">
        <v>3</v>
      </c>
    </row>
    <row r="138" spans="1:6" x14ac:dyDescent="0.25">
      <c r="A138" s="20">
        <v>42278</v>
      </c>
      <c r="B138" s="3">
        <v>0.74305555555555547</v>
      </c>
      <c r="C138" s="3">
        <v>0.74722222222222223</v>
      </c>
      <c r="D138" s="3">
        <f t="shared" si="7"/>
        <v>4.1666666666667629E-3</v>
      </c>
      <c r="E138" s="3">
        <f t="shared" si="6"/>
        <v>5.5555555555555358E-3</v>
      </c>
      <c r="F138" s="1" t="s">
        <v>3</v>
      </c>
    </row>
    <row r="139" spans="1:6" x14ac:dyDescent="0.25">
      <c r="A139" s="20">
        <v>42278</v>
      </c>
      <c r="B139" s="3">
        <v>0.84375</v>
      </c>
      <c r="C139" s="3">
        <v>0.8534722222222223</v>
      </c>
      <c r="D139" s="3">
        <f t="shared" si="7"/>
        <v>9.7222222222222987E-3</v>
      </c>
      <c r="E139" s="3">
        <f t="shared" si="6"/>
        <v>1.388888888888995E-3</v>
      </c>
      <c r="F139" s="1" t="s">
        <v>3</v>
      </c>
    </row>
    <row r="140" spans="1:6" x14ac:dyDescent="0.25">
      <c r="A140" s="20">
        <v>42278</v>
      </c>
      <c r="B140" s="3">
        <v>0.89236111111111116</v>
      </c>
      <c r="C140" s="3">
        <v>0.90069444444444446</v>
      </c>
      <c r="D140" s="3">
        <f t="shared" si="7"/>
        <v>8.3333333333333037E-3</v>
      </c>
      <c r="E140" s="3">
        <f t="shared" si="6"/>
        <v>4.8611111111110938E-3</v>
      </c>
      <c r="F140" s="1" t="s">
        <v>3</v>
      </c>
    </row>
    <row r="141" spans="1:6" x14ac:dyDescent="0.25">
      <c r="A141" s="20">
        <v>42278</v>
      </c>
      <c r="B141" s="3">
        <v>0.94236111111111109</v>
      </c>
      <c r="C141" s="3">
        <v>0.9458333333333333</v>
      </c>
      <c r="D141" s="3">
        <f t="shared" si="7"/>
        <v>3.4722222222222099E-3</v>
      </c>
      <c r="E141" s="3">
        <f t="shared" si="6"/>
        <v>2.7777777777778789E-3</v>
      </c>
      <c r="F141" s="1" t="s">
        <v>3</v>
      </c>
    </row>
    <row r="142" spans="1:6" x14ac:dyDescent="0.25">
      <c r="A142" s="20">
        <v>42278</v>
      </c>
      <c r="B142" s="3">
        <v>1.0069444444444444</v>
      </c>
      <c r="C142" s="3">
        <v>1.0131944444444445</v>
      </c>
      <c r="D142" s="3">
        <f t="shared" si="7"/>
        <v>6.2500000000000888E-3</v>
      </c>
      <c r="E142" s="3">
        <f t="shared" ref="E142:E205" si="8">ABS(D142-D143)</f>
        <v>1.3888888888888284E-3</v>
      </c>
      <c r="F142" s="1" t="s">
        <v>3</v>
      </c>
    </row>
    <row r="143" spans="1:6" x14ac:dyDescent="0.25">
      <c r="A143" s="20">
        <v>42278</v>
      </c>
      <c r="B143" s="3">
        <v>0.33055555555555555</v>
      </c>
      <c r="C143" s="3">
        <v>0.33819444444444446</v>
      </c>
      <c r="D143" s="3">
        <f t="shared" si="7"/>
        <v>7.6388888888889173E-3</v>
      </c>
      <c r="E143" s="3">
        <f t="shared" si="8"/>
        <v>7.6388888888888618E-3</v>
      </c>
      <c r="F143" s="1" t="s">
        <v>3</v>
      </c>
    </row>
    <row r="144" spans="1:6" x14ac:dyDescent="0.25">
      <c r="A144" s="20">
        <v>42278</v>
      </c>
      <c r="B144" s="3">
        <v>0.47291666666666665</v>
      </c>
      <c r="C144" s="3">
        <v>0.48819444444444443</v>
      </c>
      <c r="D144" s="3">
        <f t="shared" si="7"/>
        <v>1.5277777777777779E-2</v>
      </c>
      <c r="E144" s="3">
        <f t="shared" si="8"/>
        <v>1.1111111111111099E-2</v>
      </c>
      <c r="F144" s="1" t="s">
        <v>3</v>
      </c>
    </row>
    <row r="145" spans="1:6" x14ac:dyDescent="0.25">
      <c r="A145" s="20">
        <v>42278</v>
      </c>
      <c r="B145" s="3">
        <v>0.19097222222222221</v>
      </c>
      <c r="C145" s="3">
        <v>0.19513888888888889</v>
      </c>
      <c r="D145" s="3">
        <f t="shared" si="7"/>
        <v>4.1666666666666796E-3</v>
      </c>
      <c r="E145" s="3">
        <f t="shared" si="8"/>
        <v>8.3333333333333315E-3</v>
      </c>
      <c r="F145" s="1" t="s">
        <v>3</v>
      </c>
    </row>
    <row r="146" spans="1:6" x14ac:dyDescent="0.25">
      <c r="A146" s="20">
        <v>42278</v>
      </c>
      <c r="B146" s="3">
        <v>0.34236111111111112</v>
      </c>
      <c r="C146" s="3">
        <v>0.35486111111111113</v>
      </c>
      <c r="D146" s="3">
        <f t="shared" si="7"/>
        <v>1.2500000000000011E-2</v>
      </c>
      <c r="E146" s="3">
        <f t="shared" si="8"/>
        <v>6.9444444444444753E-3</v>
      </c>
      <c r="F146" s="1" t="s">
        <v>3</v>
      </c>
    </row>
    <row r="147" spans="1:6" x14ac:dyDescent="0.25">
      <c r="A147" s="20">
        <v>42278</v>
      </c>
      <c r="B147" s="3">
        <v>0.45208333333333334</v>
      </c>
      <c r="C147" s="3">
        <v>0.45763888888888887</v>
      </c>
      <c r="D147" s="3">
        <f t="shared" si="7"/>
        <v>5.5555555555555358E-3</v>
      </c>
      <c r="E147" s="3">
        <f t="shared" si="8"/>
        <v>1.388888888888884E-3</v>
      </c>
      <c r="F147" s="1" t="s">
        <v>3</v>
      </c>
    </row>
    <row r="148" spans="1:6" x14ac:dyDescent="0.25">
      <c r="A148" s="20">
        <v>42278</v>
      </c>
      <c r="B148" s="3">
        <v>0.49374999999999997</v>
      </c>
      <c r="C148" s="3">
        <v>0.49791666666666662</v>
      </c>
      <c r="D148" s="3">
        <f t="shared" si="7"/>
        <v>4.1666666666666519E-3</v>
      </c>
      <c r="E148" s="3">
        <f t="shared" si="8"/>
        <v>7.6388888888888618E-3</v>
      </c>
      <c r="F148" s="1" t="s">
        <v>3</v>
      </c>
    </row>
    <row r="149" spans="1:6" x14ac:dyDescent="0.25">
      <c r="A149" s="20">
        <v>42278</v>
      </c>
      <c r="B149" s="3">
        <v>0.51666666666666672</v>
      </c>
      <c r="C149" s="3">
        <v>0.52847222222222223</v>
      </c>
      <c r="D149" s="3">
        <f t="shared" si="7"/>
        <v>1.1805555555555514E-2</v>
      </c>
      <c r="E149" s="3">
        <f t="shared" si="8"/>
        <v>6.9444444444438647E-4</v>
      </c>
      <c r="F149" s="1" t="s">
        <v>3</v>
      </c>
    </row>
    <row r="150" spans="1:6" x14ac:dyDescent="0.25">
      <c r="A150" s="20">
        <v>42278</v>
      </c>
      <c r="B150" s="3">
        <v>0.48194444444444445</v>
      </c>
      <c r="C150" s="3">
        <v>0.49305555555555558</v>
      </c>
      <c r="D150" s="3">
        <f t="shared" si="7"/>
        <v>1.1111111111111127E-2</v>
      </c>
      <c r="E150" s="3">
        <f t="shared" si="8"/>
        <v>6.9444444444449749E-4</v>
      </c>
      <c r="F150" s="1" t="s">
        <v>3</v>
      </c>
    </row>
    <row r="151" spans="1:6" x14ac:dyDescent="0.25">
      <c r="A151" s="20">
        <v>42278</v>
      </c>
      <c r="B151" s="3">
        <v>0.35833333333333334</v>
      </c>
      <c r="C151" s="3">
        <v>0.36874999999999997</v>
      </c>
      <c r="D151" s="3">
        <f t="shared" si="7"/>
        <v>1.041666666666663E-2</v>
      </c>
      <c r="E151" s="3">
        <f t="shared" si="8"/>
        <v>1.3888888888888284E-3</v>
      </c>
      <c r="F151" s="1" t="s">
        <v>3</v>
      </c>
    </row>
    <row r="152" spans="1:6" x14ac:dyDescent="0.25">
      <c r="A152" s="20">
        <v>42278</v>
      </c>
      <c r="B152" s="3">
        <v>0.48958333333333331</v>
      </c>
      <c r="C152" s="3">
        <v>0.49861111111111112</v>
      </c>
      <c r="D152" s="3">
        <f t="shared" si="7"/>
        <v>9.0277777777778012E-3</v>
      </c>
      <c r="E152" s="3">
        <f t="shared" si="8"/>
        <v>5.5555555555554803E-3</v>
      </c>
      <c r="F152" s="1" t="s">
        <v>3</v>
      </c>
    </row>
    <row r="153" spans="1:6" x14ac:dyDescent="0.25">
      <c r="A153" s="20">
        <v>42278</v>
      </c>
      <c r="B153" s="3">
        <v>0.68541666666666667</v>
      </c>
      <c r="C153" s="3">
        <v>0.68888888888888899</v>
      </c>
      <c r="D153" s="3">
        <f t="shared" si="7"/>
        <v>3.4722222222223209E-3</v>
      </c>
      <c r="E153" s="3">
        <f t="shared" si="8"/>
        <v>2.0833333333333259E-3</v>
      </c>
      <c r="F153" s="1" t="s">
        <v>3</v>
      </c>
    </row>
    <row r="154" spans="1:6" x14ac:dyDescent="0.25">
      <c r="A154" s="20">
        <v>42278</v>
      </c>
      <c r="B154" s="3">
        <v>0.76944444444444438</v>
      </c>
      <c r="C154" s="3">
        <v>0.77500000000000002</v>
      </c>
      <c r="D154" s="3">
        <f t="shared" si="7"/>
        <v>5.5555555555556468E-3</v>
      </c>
      <c r="E154" s="3">
        <f t="shared" si="8"/>
        <v>4.8611111111109828E-3</v>
      </c>
      <c r="F154" s="1" t="s">
        <v>3</v>
      </c>
    </row>
    <row r="155" spans="1:6" x14ac:dyDescent="0.25">
      <c r="A155" s="20">
        <v>42278</v>
      </c>
      <c r="B155" s="3">
        <v>0.77083333333333337</v>
      </c>
      <c r="C155" s="3">
        <v>0.78125</v>
      </c>
      <c r="D155" s="3">
        <f t="shared" si="7"/>
        <v>1.041666666666663E-2</v>
      </c>
      <c r="E155" s="3">
        <f t="shared" si="8"/>
        <v>5.5555555555554248E-3</v>
      </c>
      <c r="F155" s="1" t="s">
        <v>3</v>
      </c>
    </row>
    <row r="156" spans="1:6" x14ac:dyDescent="0.25">
      <c r="A156" s="20">
        <v>42278</v>
      </c>
      <c r="B156" s="3">
        <v>0.80555555555555547</v>
      </c>
      <c r="C156" s="3">
        <v>0.81041666666666667</v>
      </c>
      <c r="D156" s="3">
        <f t="shared" si="7"/>
        <v>4.8611111111112049E-3</v>
      </c>
      <c r="E156" s="3">
        <f t="shared" si="8"/>
        <v>1.1111111111110961E-2</v>
      </c>
      <c r="F156" s="1" t="s">
        <v>3</v>
      </c>
    </row>
    <row r="157" spans="1:6" x14ac:dyDescent="0.25">
      <c r="A157" s="20">
        <v>42278</v>
      </c>
      <c r="B157" s="3">
        <v>0.8041666666666667</v>
      </c>
      <c r="C157" s="3">
        <v>0.82013888888888886</v>
      </c>
      <c r="D157" s="3">
        <f t="shared" si="7"/>
        <v>1.5972222222222165E-2</v>
      </c>
      <c r="E157" s="3">
        <f t="shared" si="8"/>
        <v>1.1111111111111072E-2</v>
      </c>
      <c r="F157" s="1" t="s">
        <v>3</v>
      </c>
    </row>
    <row r="158" spans="1:6" x14ac:dyDescent="0.25">
      <c r="A158" s="20">
        <v>42278</v>
      </c>
      <c r="B158" s="3">
        <v>0.98611111111111116</v>
      </c>
      <c r="C158" s="3">
        <v>0.99097222222222225</v>
      </c>
      <c r="D158" s="3">
        <f t="shared" si="7"/>
        <v>4.8611111111110938E-3</v>
      </c>
      <c r="E158" s="3">
        <f t="shared" si="8"/>
        <v>6.9444444444445586E-4</v>
      </c>
      <c r="F158" s="1" t="s">
        <v>3</v>
      </c>
    </row>
    <row r="159" spans="1:6" x14ac:dyDescent="0.25">
      <c r="A159" s="20">
        <v>42278</v>
      </c>
      <c r="B159" s="3">
        <v>0.10486111111111111</v>
      </c>
      <c r="C159" s="3">
        <v>0.11041666666666666</v>
      </c>
      <c r="D159" s="3">
        <f t="shared" si="7"/>
        <v>5.5555555555555497E-3</v>
      </c>
      <c r="E159" s="3">
        <f t="shared" si="8"/>
        <v>4.1666666666666657E-3</v>
      </c>
      <c r="F159" s="1" t="s">
        <v>3</v>
      </c>
    </row>
    <row r="160" spans="1:6" x14ac:dyDescent="0.25">
      <c r="A160" s="20">
        <v>42278</v>
      </c>
      <c r="B160" s="3">
        <v>0.17916666666666667</v>
      </c>
      <c r="C160" s="3">
        <v>0.18888888888888888</v>
      </c>
      <c r="D160" s="3">
        <f t="shared" si="7"/>
        <v>9.7222222222222154E-3</v>
      </c>
      <c r="E160" s="3">
        <f t="shared" si="8"/>
        <v>0</v>
      </c>
      <c r="F160" s="1" t="s">
        <v>3</v>
      </c>
    </row>
    <row r="161" spans="1:6" x14ac:dyDescent="0.25">
      <c r="A161" s="20">
        <v>42278</v>
      </c>
      <c r="B161" s="3">
        <v>0.22152777777777777</v>
      </c>
      <c r="C161" s="3">
        <v>0.23124999999999998</v>
      </c>
      <c r="D161" s="3">
        <f t="shared" si="7"/>
        <v>9.7222222222222154E-3</v>
      </c>
      <c r="E161" s="3">
        <f t="shared" si="8"/>
        <v>5.5555555555555636E-3</v>
      </c>
      <c r="F161" s="1" t="s">
        <v>3</v>
      </c>
    </row>
    <row r="162" spans="1:6" x14ac:dyDescent="0.25">
      <c r="A162" s="20">
        <v>42278</v>
      </c>
      <c r="B162" s="3">
        <v>0.38958333333333334</v>
      </c>
      <c r="C162" s="3">
        <v>0.39374999999999999</v>
      </c>
      <c r="D162" s="3">
        <f t="shared" si="7"/>
        <v>4.1666666666666519E-3</v>
      </c>
      <c r="E162" s="3">
        <f t="shared" si="8"/>
        <v>2.0833333333333259E-3</v>
      </c>
      <c r="F162" s="1" t="s">
        <v>3</v>
      </c>
    </row>
    <row r="163" spans="1:6" x14ac:dyDescent="0.25">
      <c r="A163" s="20">
        <v>42278</v>
      </c>
      <c r="B163" s="3">
        <v>0.42499999999999999</v>
      </c>
      <c r="C163" s="3">
        <v>0.43124999999999997</v>
      </c>
      <c r="D163" s="3">
        <f t="shared" si="7"/>
        <v>6.2499999999999778E-3</v>
      </c>
      <c r="E163" s="3">
        <f t="shared" si="8"/>
        <v>4.8611111111112049E-3</v>
      </c>
      <c r="F163" s="1" t="s">
        <v>3</v>
      </c>
    </row>
    <row r="164" spans="1:6" x14ac:dyDescent="0.25">
      <c r="A164" s="20">
        <v>42278</v>
      </c>
      <c r="B164" s="3">
        <v>0.53125</v>
      </c>
      <c r="C164" s="3">
        <v>0.54236111111111118</v>
      </c>
      <c r="D164" s="3">
        <f t="shared" si="7"/>
        <v>1.1111111111111183E-2</v>
      </c>
      <c r="E164" s="3">
        <f t="shared" si="8"/>
        <v>8.3333333333333037E-3</v>
      </c>
      <c r="F164" s="1" t="s">
        <v>3</v>
      </c>
    </row>
    <row r="165" spans="1:6" x14ac:dyDescent="0.25">
      <c r="A165" s="20">
        <v>42278</v>
      </c>
      <c r="B165" s="3">
        <v>0.5395833333333333</v>
      </c>
      <c r="C165" s="3">
        <v>0.54236111111111118</v>
      </c>
      <c r="D165" s="3">
        <f t="shared" si="7"/>
        <v>2.7777777777778789E-3</v>
      </c>
      <c r="E165" s="3">
        <f t="shared" si="8"/>
        <v>1.3888888888887729E-3</v>
      </c>
      <c r="F165" s="1" t="s">
        <v>3</v>
      </c>
    </row>
    <row r="166" spans="1:6" x14ac:dyDescent="0.25">
      <c r="A166" s="20">
        <v>42278</v>
      </c>
      <c r="B166" s="3">
        <v>0.5444444444444444</v>
      </c>
      <c r="C166" s="3">
        <v>0.54861111111111105</v>
      </c>
      <c r="D166" s="3">
        <f t="shared" si="7"/>
        <v>4.1666666666666519E-3</v>
      </c>
      <c r="E166" s="3">
        <f t="shared" si="8"/>
        <v>1.388888888888884E-3</v>
      </c>
      <c r="F166" s="1" t="s">
        <v>3</v>
      </c>
    </row>
    <row r="167" spans="1:6" x14ac:dyDescent="0.25">
      <c r="A167" s="20">
        <v>42278</v>
      </c>
      <c r="B167" s="3">
        <v>0.61875000000000002</v>
      </c>
      <c r="C167" s="3">
        <v>0.62430555555555556</v>
      </c>
      <c r="D167" s="3">
        <f t="shared" si="7"/>
        <v>5.5555555555555358E-3</v>
      </c>
      <c r="E167" s="3">
        <f t="shared" si="8"/>
        <v>4.8611111111110938E-3</v>
      </c>
      <c r="F167" s="1" t="s">
        <v>3</v>
      </c>
    </row>
    <row r="168" spans="1:6" x14ac:dyDescent="0.25">
      <c r="A168" s="20">
        <v>42278</v>
      </c>
      <c r="B168" s="3">
        <v>0.63472222222222219</v>
      </c>
      <c r="C168" s="3">
        <v>0.64513888888888882</v>
      </c>
      <c r="D168" s="3">
        <f t="shared" si="7"/>
        <v>1.041666666666663E-2</v>
      </c>
      <c r="E168" s="3">
        <f t="shared" si="8"/>
        <v>1.3888888888887729E-3</v>
      </c>
      <c r="F168" s="1" t="s">
        <v>3</v>
      </c>
    </row>
    <row r="169" spans="1:6" x14ac:dyDescent="0.25">
      <c r="A169" s="20">
        <v>42278</v>
      </c>
      <c r="B169" s="3">
        <v>0.67986111111111114</v>
      </c>
      <c r="C169" s="3">
        <v>0.68888888888888899</v>
      </c>
      <c r="D169" s="3">
        <f t="shared" si="7"/>
        <v>9.0277777777778567E-3</v>
      </c>
      <c r="E169" s="3">
        <f t="shared" si="8"/>
        <v>5.5555555555556468E-3</v>
      </c>
      <c r="F169" s="1" t="s">
        <v>3</v>
      </c>
    </row>
    <row r="170" spans="1:6" x14ac:dyDescent="0.25">
      <c r="A170" s="20">
        <v>42278</v>
      </c>
      <c r="B170" s="3">
        <v>0.75</v>
      </c>
      <c r="C170" s="3">
        <v>0.75347222222222221</v>
      </c>
      <c r="D170" s="3">
        <f t="shared" si="7"/>
        <v>3.4722222222222099E-3</v>
      </c>
      <c r="E170" s="3">
        <f t="shared" si="8"/>
        <v>1.1111111111111183E-2</v>
      </c>
      <c r="F170" s="1" t="s">
        <v>3</v>
      </c>
    </row>
    <row r="171" spans="1:6" x14ac:dyDescent="0.25">
      <c r="A171" s="20">
        <v>42278</v>
      </c>
      <c r="B171" s="3">
        <v>0.82638888888888884</v>
      </c>
      <c r="C171" s="3">
        <v>0.84097222222222223</v>
      </c>
      <c r="D171" s="3">
        <f t="shared" si="7"/>
        <v>1.4583333333333393E-2</v>
      </c>
      <c r="E171" s="3">
        <f t="shared" si="8"/>
        <v>6.9444444444421993E-4</v>
      </c>
      <c r="F171" s="1" t="s">
        <v>3</v>
      </c>
    </row>
    <row r="172" spans="1:6" x14ac:dyDescent="0.25">
      <c r="A172" s="20">
        <v>42278</v>
      </c>
      <c r="B172" s="3">
        <v>0.97013888888888899</v>
      </c>
      <c r="C172" s="3">
        <v>0.98541666666666661</v>
      </c>
      <c r="D172" s="3">
        <f t="shared" si="7"/>
        <v>1.5277777777777612E-2</v>
      </c>
      <c r="E172" s="3">
        <f t="shared" si="8"/>
        <v>8.3333333333331927E-3</v>
      </c>
      <c r="F172" s="1" t="s">
        <v>3</v>
      </c>
    </row>
    <row r="173" spans="1:6" x14ac:dyDescent="0.25">
      <c r="A173" s="20">
        <v>42278</v>
      </c>
      <c r="B173" s="3">
        <v>0.98958333333333337</v>
      </c>
      <c r="C173" s="3">
        <v>0.99652777777777779</v>
      </c>
      <c r="D173" s="3">
        <f t="shared" si="7"/>
        <v>6.9444444444444198E-3</v>
      </c>
      <c r="E173" s="3">
        <f t="shared" si="8"/>
        <v>2.7777777777778026E-3</v>
      </c>
      <c r="F173" s="1" t="s">
        <v>3</v>
      </c>
    </row>
    <row r="174" spans="1:6" x14ac:dyDescent="0.25">
      <c r="A174" s="20">
        <v>42278</v>
      </c>
      <c r="B174" s="3">
        <v>5.8333333333333327E-2</v>
      </c>
      <c r="C174" s="3">
        <v>6.805555555555555E-2</v>
      </c>
      <c r="D174" s="3">
        <f t="shared" si="7"/>
        <v>9.7222222222222224E-3</v>
      </c>
      <c r="E174" s="3">
        <f t="shared" si="8"/>
        <v>5.5555555555555705E-3</v>
      </c>
      <c r="F174" s="1" t="s">
        <v>3</v>
      </c>
    </row>
    <row r="175" spans="1:6" x14ac:dyDescent="0.25">
      <c r="A175" s="20">
        <v>42278</v>
      </c>
      <c r="B175" s="3">
        <v>0.34375</v>
      </c>
      <c r="C175" s="3">
        <v>0.34791666666666665</v>
      </c>
      <c r="D175" s="3">
        <f t="shared" si="7"/>
        <v>4.1666666666666519E-3</v>
      </c>
      <c r="E175" s="3">
        <f t="shared" si="8"/>
        <v>6.9444444444449749E-4</v>
      </c>
      <c r="F175" s="1" t="s">
        <v>3</v>
      </c>
    </row>
    <row r="176" spans="1:6" x14ac:dyDescent="0.25">
      <c r="A176" s="20">
        <v>42278</v>
      </c>
      <c r="B176" s="3">
        <v>0.46875</v>
      </c>
      <c r="C176" s="3">
        <v>0.47361111111111115</v>
      </c>
      <c r="D176" s="3">
        <f t="shared" si="7"/>
        <v>4.8611111111111494E-3</v>
      </c>
      <c r="E176" s="3">
        <f t="shared" si="8"/>
        <v>1.7361111111111105E-2</v>
      </c>
      <c r="F176" s="1" t="s">
        <v>3</v>
      </c>
    </row>
    <row r="177" spans="1:6" x14ac:dyDescent="0.25">
      <c r="A177" s="20">
        <v>42278</v>
      </c>
      <c r="B177" s="3">
        <v>0.53194444444444444</v>
      </c>
      <c r="C177" s="3">
        <v>0.5541666666666667</v>
      </c>
      <c r="D177" s="3">
        <f t="shared" si="7"/>
        <v>2.2222222222222254E-2</v>
      </c>
      <c r="E177" s="3">
        <f t="shared" si="8"/>
        <v>1.6666666666666718E-2</v>
      </c>
      <c r="F177" s="1" t="s">
        <v>3</v>
      </c>
    </row>
    <row r="178" spans="1:6" x14ac:dyDescent="0.25">
      <c r="A178" s="20">
        <v>42278</v>
      </c>
      <c r="B178" s="3">
        <v>0.53125</v>
      </c>
      <c r="C178" s="3">
        <v>0.53680555555555554</v>
      </c>
      <c r="D178" s="3">
        <f t="shared" si="7"/>
        <v>5.5555555555555358E-3</v>
      </c>
      <c r="E178" s="3">
        <f t="shared" si="8"/>
        <v>3.4722222222222099E-3</v>
      </c>
      <c r="F178" s="1" t="s">
        <v>3</v>
      </c>
    </row>
    <row r="179" spans="1:6" x14ac:dyDescent="0.25">
      <c r="A179" s="20">
        <v>42278</v>
      </c>
      <c r="B179" s="3">
        <v>0.625</v>
      </c>
      <c r="C179" s="3">
        <v>0.62708333333333333</v>
      </c>
      <c r="D179" s="3">
        <f t="shared" si="7"/>
        <v>2.0833333333333259E-3</v>
      </c>
      <c r="E179" s="3">
        <f t="shared" si="8"/>
        <v>1.388888888888884E-3</v>
      </c>
      <c r="F179" s="1" t="s">
        <v>3</v>
      </c>
    </row>
    <row r="180" spans="1:6" x14ac:dyDescent="0.25">
      <c r="A180" s="20">
        <v>42278</v>
      </c>
      <c r="B180" s="3">
        <v>0.67361111111111116</v>
      </c>
      <c r="C180" s="3">
        <v>0.67708333333333337</v>
      </c>
      <c r="D180" s="3">
        <f t="shared" si="7"/>
        <v>3.4722222222222099E-3</v>
      </c>
      <c r="E180" s="3">
        <f t="shared" si="8"/>
        <v>2.7777777777778789E-3</v>
      </c>
      <c r="F180" s="1" t="s">
        <v>3</v>
      </c>
    </row>
    <row r="181" spans="1:6" x14ac:dyDescent="0.25">
      <c r="A181" s="20">
        <v>42278</v>
      </c>
      <c r="B181" s="3">
        <v>0.84236111111111101</v>
      </c>
      <c r="C181" s="3">
        <v>0.84861111111111109</v>
      </c>
      <c r="D181" s="3">
        <f t="shared" si="7"/>
        <v>6.2500000000000888E-3</v>
      </c>
      <c r="E181" s="3">
        <f t="shared" si="8"/>
        <v>6.94444444444553E-4</v>
      </c>
      <c r="F181" s="1" t="s">
        <v>3</v>
      </c>
    </row>
    <row r="182" spans="1:6" x14ac:dyDescent="0.25">
      <c r="A182" s="20">
        <v>42278</v>
      </c>
      <c r="B182" s="3">
        <v>0.8979166666666667</v>
      </c>
      <c r="C182" s="3">
        <v>0.90347222222222223</v>
      </c>
      <c r="D182" s="3">
        <f t="shared" si="7"/>
        <v>5.5555555555555358E-3</v>
      </c>
      <c r="E182" s="3">
        <f t="shared" si="8"/>
        <v>1.3877787807814457E-17</v>
      </c>
      <c r="F182" s="1" t="s">
        <v>3</v>
      </c>
    </row>
    <row r="183" spans="1:6" x14ac:dyDescent="0.25">
      <c r="A183" s="20">
        <v>42278</v>
      </c>
      <c r="B183" s="3">
        <v>0.10416666666666667</v>
      </c>
      <c r="C183" s="3">
        <v>0.10972222222222222</v>
      </c>
      <c r="D183" s="3">
        <f t="shared" si="7"/>
        <v>5.5555555555555497E-3</v>
      </c>
      <c r="E183" s="3">
        <f t="shared" si="8"/>
        <v>2.0833333333332843E-3</v>
      </c>
      <c r="F183" s="1" t="s">
        <v>3</v>
      </c>
    </row>
    <row r="184" spans="1:6" x14ac:dyDescent="0.25">
      <c r="A184" s="20">
        <v>42278</v>
      </c>
      <c r="B184" s="3">
        <v>0.39583333333333331</v>
      </c>
      <c r="C184" s="3">
        <v>0.39930555555555558</v>
      </c>
      <c r="D184" s="3">
        <f t="shared" si="7"/>
        <v>3.4722222222222654E-3</v>
      </c>
      <c r="E184" s="3">
        <f t="shared" si="8"/>
        <v>5.5511151231257827E-17</v>
      </c>
      <c r="F184" s="1" t="s">
        <v>3</v>
      </c>
    </row>
    <row r="185" spans="1:6" x14ac:dyDescent="0.25">
      <c r="A185" s="20">
        <v>42278</v>
      </c>
      <c r="B185" s="3">
        <v>0.41666666666666669</v>
      </c>
      <c r="C185" s="3">
        <v>0.4201388888888889</v>
      </c>
      <c r="D185" s="3">
        <f t="shared" si="7"/>
        <v>3.4722222222222099E-3</v>
      </c>
      <c r="E185" s="3">
        <f t="shared" si="8"/>
        <v>4.1666666666667074E-3</v>
      </c>
      <c r="F185" s="1" t="s">
        <v>3</v>
      </c>
    </row>
    <row r="186" spans="1:6" x14ac:dyDescent="0.25">
      <c r="A186" s="20">
        <v>42278</v>
      </c>
      <c r="B186" s="3">
        <v>0.46180555555555558</v>
      </c>
      <c r="C186" s="3">
        <v>0.4694444444444445</v>
      </c>
      <c r="D186" s="3">
        <f t="shared" si="7"/>
        <v>7.6388888888889173E-3</v>
      </c>
      <c r="E186" s="3">
        <f t="shared" si="8"/>
        <v>4.8611111111111494E-3</v>
      </c>
      <c r="F186" s="1" t="s">
        <v>3</v>
      </c>
    </row>
    <row r="187" spans="1:6" x14ac:dyDescent="0.25">
      <c r="A187" s="20">
        <v>42278</v>
      </c>
      <c r="B187" s="3">
        <v>0.47916666666666669</v>
      </c>
      <c r="C187" s="3">
        <v>0.48194444444444445</v>
      </c>
      <c r="D187" s="3">
        <f t="shared" si="7"/>
        <v>2.7777777777777679E-3</v>
      </c>
      <c r="E187" s="3">
        <f t="shared" si="8"/>
        <v>8.3333333333333037E-3</v>
      </c>
      <c r="F187" s="1" t="s">
        <v>3</v>
      </c>
    </row>
    <row r="188" spans="1:6" x14ac:dyDescent="0.25">
      <c r="A188" s="20">
        <v>42278</v>
      </c>
      <c r="B188" s="3">
        <v>0.52500000000000002</v>
      </c>
      <c r="C188" s="3">
        <v>0.53611111111111109</v>
      </c>
      <c r="D188" s="3">
        <f t="shared" si="7"/>
        <v>1.1111111111111072E-2</v>
      </c>
      <c r="E188" s="3">
        <f t="shared" si="8"/>
        <v>6.2499999999999778E-3</v>
      </c>
      <c r="F188" s="1" t="s">
        <v>3</v>
      </c>
    </row>
    <row r="189" spans="1:6" x14ac:dyDescent="0.25">
      <c r="A189" s="20">
        <v>42278</v>
      </c>
      <c r="B189" s="3">
        <v>0.60347222222222219</v>
      </c>
      <c r="C189" s="3">
        <v>0.60833333333333328</v>
      </c>
      <c r="D189" s="3">
        <f t="shared" si="7"/>
        <v>4.8611111111110938E-3</v>
      </c>
      <c r="E189" s="3">
        <f t="shared" si="8"/>
        <v>6.94444444444553E-4</v>
      </c>
      <c r="F189" s="1" t="s">
        <v>3</v>
      </c>
    </row>
    <row r="190" spans="1:6" x14ac:dyDescent="0.25">
      <c r="A190" s="20">
        <v>42278</v>
      </c>
      <c r="B190" s="3">
        <v>0.70763888888888893</v>
      </c>
      <c r="C190" s="3">
        <v>0.71180555555555547</v>
      </c>
      <c r="D190" s="3">
        <f t="shared" si="7"/>
        <v>4.1666666666665408E-3</v>
      </c>
      <c r="E190" s="3">
        <f t="shared" si="8"/>
        <v>2.0833333333332149E-3</v>
      </c>
      <c r="F190" s="1" t="s">
        <v>3</v>
      </c>
    </row>
    <row r="191" spans="1:6" x14ac:dyDescent="0.25">
      <c r="A191" s="20">
        <v>42278</v>
      </c>
      <c r="B191" s="3">
        <v>0.74791666666666667</v>
      </c>
      <c r="C191" s="3">
        <v>0.75</v>
      </c>
      <c r="D191" s="3">
        <f t="shared" si="7"/>
        <v>2.0833333333333259E-3</v>
      </c>
      <c r="E191" s="3">
        <f t="shared" si="8"/>
        <v>2.7777777777778789E-3</v>
      </c>
      <c r="F191" s="1" t="s">
        <v>3</v>
      </c>
    </row>
    <row r="192" spans="1:6" x14ac:dyDescent="0.25">
      <c r="A192" s="20">
        <v>42278</v>
      </c>
      <c r="B192" s="3">
        <v>0.84861111111111109</v>
      </c>
      <c r="C192" s="3">
        <v>0.8534722222222223</v>
      </c>
      <c r="D192" s="3">
        <f t="shared" si="7"/>
        <v>4.8611111111112049E-3</v>
      </c>
      <c r="E192" s="3">
        <f t="shared" si="8"/>
        <v>2.0833333333333259E-3</v>
      </c>
      <c r="F192" s="1" t="s">
        <v>3</v>
      </c>
    </row>
    <row r="193" spans="1:6" x14ac:dyDescent="0.25">
      <c r="A193" s="20">
        <v>42278</v>
      </c>
      <c r="B193" s="3">
        <v>0.9277777777777777</v>
      </c>
      <c r="C193" s="3">
        <v>0.93472222222222223</v>
      </c>
      <c r="D193" s="3">
        <f t="shared" si="7"/>
        <v>6.9444444444445308E-3</v>
      </c>
      <c r="E193" s="3">
        <f t="shared" si="8"/>
        <v>6.94444444444553E-4</v>
      </c>
      <c r="F193" s="1" t="s">
        <v>3</v>
      </c>
    </row>
    <row r="194" spans="1:6" x14ac:dyDescent="0.25">
      <c r="A194" s="20">
        <v>42278</v>
      </c>
      <c r="B194" s="3">
        <v>0.94930555555555562</v>
      </c>
      <c r="C194" s="3">
        <v>0.9555555555555556</v>
      </c>
      <c r="D194" s="3">
        <f t="shared" si="7"/>
        <v>6.2499999999999778E-3</v>
      </c>
      <c r="E194" s="3">
        <f t="shared" si="8"/>
        <v>2.0833333333333121E-3</v>
      </c>
      <c r="F194" s="1" t="s">
        <v>3</v>
      </c>
    </row>
    <row r="195" spans="1:6" x14ac:dyDescent="0.25">
      <c r="A195" s="20">
        <v>42278</v>
      </c>
      <c r="B195" s="3">
        <v>0.10486111111111111</v>
      </c>
      <c r="C195" s="3">
        <v>0.10902777777777778</v>
      </c>
      <c r="D195" s="3">
        <f t="shared" ref="D195:D258" si="9">(C195-B195)</f>
        <v>4.1666666666666657E-3</v>
      </c>
      <c r="E195" s="3">
        <f t="shared" si="8"/>
        <v>1.1805555555555611E-2</v>
      </c>
      <c r="F195" s="1" t="s">
        <v>3</v>
      </c>
    </row>
    <row r="196" spans="1:6" x14ac:dyDescent="0.25">
      <c r="A196" s="20">
        <v>42278</v>
      </c>
      <c r="B196" s="3">
        <v>0.6381944444444444</v>
      </c>
      <c r="C196" s="3">
        <v>0.65416666666666667</v>
      </c>
      <c r="D196" s="3">
        <f t="shared" si="9"/>
        <v>1.5972222222222276E-2</v>
      </c>
      <c r="E196" s="3">
        <f t="shared" si="8"/>
        <v>3.0555555555555447E-2</v>
      </c>
      <c r="F196" s="1" t="s">
        <v>3</v>
      </c>
    </row>
    <row r="197" spans="1:6" x14ac:dyDescent="0.25">
      <c r="A197" s="20">
        <v>42278</v>
      </c>
      <c r="B197" s="3">
        <v>0.7284722222222223</v>
      </c>
      <c r="C197" s="3">
        <v>0.77500000000000002</v>
      </c>
      <c r="D197" s="3">
        <f t="shared" si="9"/>
        <v>4.6527777777777724E-2</v>
      </c>
      <c r="E197" s="3">
        <f t="shared" si="8"/>
        <v>3.8194444444444309E-2</v>
      </c>
      <c r="F197" s="1" t="s">
        <v>3</v>
      </c>
    </row>
    <row r="198" spans="1:6" x14ac:dyDescent="0.25">
      <c r="A198" s="20">
        <v>42278</v>
      </c>
      <c r="B198" s="3">
        <v>0.82638888888888884</v>
      </c>
      <c r="C198" s="3">
        <v>0.83472222222222225</v>
      </c>
      <c r="D198" s="3">
        <f t="shared" si="9"/>
        <v>8.3333333333334147E-3</v>
      </c>
      <c r="E198" s="3">
        <f t="shared" si="8"/>
        <v>9.0277777777776347E-3</v>
      </c>
      <c r="F198" s="1" t="s">
        <v>3</v>
      </c>
    </row>
    <row r="199" spans="1:6" x14ac:dyDescent="0.25">
      <c r="A199" s="20">
        <v>42278</v>
      </c>
      <c r="B199" s="3">
        <v>0.75208333333333333</v>
      </c>
      <c r="C199" s="3">
        <v>0.76944444444444438</v>
      </c>
      <c r="D199" s="3">
        <f t="shared" si="9"/>
        <v>1.7361111111111049E-2</v>
      </c>
      <c r="E199" s="3">
        <f t="shared" si="8"/>
        <v>8.3333333333333037E-3</v>
      </c>
      <c r="F199" s="1" t="s">
        <v>3</v>
      </c>
    </row>
    <row r="200" spans="1:6" x14ac:dyDescent="0.25">
      <c r="A200" s="20">
        <v>42278</v>
      </c>
      <c r="B200" s="3">
        <v>0.75208333333333333</v>
      </c>
      <c r="C200" s="3">
        <v>0.76111111111111107</v>
      </c>
      <c r="D200" s="3">
        <f t="shared" si="9"/>
        <v>9.0277777777777457E-3</v>
      </c>
      <c r="E200" s="3">
        <f t="shared" si="8"/>
        <v>6.2500000000000888E-3</v>
      </c>
      <c r="F200" s="1" t="s">
        <v>3</v>
      </c>
    </row>
    <row r="201" spans="1:6" x14ac:dyDescent="0.25">
      <c r="A201" s="20">
        <v>42278</v>
      </c>
      <c r="B201" s="3">
        <v>0.9145833333333333</v>
      </c>
      <c r="C201" s="3">
        <v>0.92986111111111114</v>
      </c>
      <c r="D201" s="3">
        <f t="shared" si="9"/>
        <v>1.5277777777777835E-2</v>
      </c>
      <c r="E201" s="3">
        <f t="shared" si="8"/>
        <v>1.1111111111111072E-2</v>
      </c>
      <c r="F201" s="1" t="s">
        <v>3</v>
      </c>
    </row>
    <row r="202" spans="1:6" x14ac:dyDescent="0.25">
      <c r="A202" s="20">
        <v>42278</v>
      </c>
      <c r="B202" s="3">
        <v>0.95138888888888884</v>
      </c>
      <c r="C202" s="3">
        <v>0.9555555555555556</v>
      </c>
      <c r="D202" s="3">
        <f t="shared" si="9"/>
        <v>4.1666666666667629E-3</v>
      </c>
      <c r="E202" s="3">
        <f t="shared" si="8"/>
        <v>4.1666666666665825E-3</v>
      </c>
      <c r="F202" s="1" t="s">
        <v>3</v>
      </c>
    </row>
    <row r="203" spans="1:6" x14ac:dyDescent="0.25">
      <c r="A203" s="20">
        <v>42278</v>
      </c>
      <c r="B203" s="3">
        <v>0.10069444444444443</v>
      </c>
      <c r="C203" s="3">
        <v>0.10902777777777778</v>
      </c>
      <c r="D203" s="3">
        <f t="shared" si="9"/>
        <v>8.3333333333333454E-3</v>
      </c>
      <c r="E203" s="3">
        <f t="shared" si="8"/>
        <v>4.8611111111110522E-3</v>
      </c>
      <c r="F203" s="1" t="s">
        <v>3</v>
      </c>
    </row>
    <row r="204" spans="1:6" x14ac:dyDescent="0.25">
      <c r="A204" s="20">
        <v>42278</v>
      </c>
      <c r="B204" s="3">
        <v>0.44097222222222227</v>
      </c>
      <c r="C204" s="3">
        <v>0.45416666666666666</v>
      </c>
      <c r="D204" s="3">
        <f t="shared" si="9"/>
        <v>1.3194444444444398E-2</v>
      </c>
      <c r="E204" s="3">
        <f t="shared" si="8"/>
        <v>1.041666666666663E-2</v>
      </c>
      <c r="F204" s="1" t="s">
        <v>3</v>
      </c>
    </row>
    <row r="205" spans="1:6" x14ac:dyDescent="0.25">
      <c r="A205" s="20">
        <v>42278</v>
      </c>
      <c r="B205" s="3">
        <v>0.63611111111111118</v>
      </c>
      <c r="C205" s="3">
        <v>0.63888888888888895</v>
      </c>
      <c r="D205" s="3">
        <f t="shared" si="9"/>
        <v>2.7777777777777679E-3</v>
      </c>
      <c r="E205" s="3">
        <f t="shared" si="8"/>
        <v>6.9444444444444198E-4</v>
      </c>
      <c r="F205" s="1" t="s">
        <v>3</v>
      </c>
    </row>
    <row r="206" spans="1:6" x14ac:dyDescent="0.25">
      <c r="A206" s="20">
        <v>42278</v>
      </c>
      <c r="B206" s="3">
        <v>0.55347222222222225</v>
      </c>
      <c r="C206" s="3">
        <v>0.55694444444444446</v>
      </c>
      <c r="D206" s="3">
        <f t="shared" si="9"/>
        <v>3.4722222222222099E-3</v>
      </c>
      <c r="E206" s="3">
        <f t="shared" ref="E206:E269" si="10">ABS(D206-D207)</f>
        <v>1.1102230246251565E-16</v>
      </c>
      <c r="F206" s="1" t="s">
        <v>3</v>
      </c>
    </row>
    <row r="207" spans="1:6" x14ac:dyDescent="0.25">
      <c r="A207" s="20">
        <v>42278</v>
      </c>
      <c r="B207" s="3">
        <v>0.54791666666666672</v>
      </c>
      <c r="C207" s="3">
        <v>0.55138888888888882</v>
      </c>
      <c r="D207" s="3">
        <f t="shared" si="9"/>
        <v>3.4722222222220989E-3</v>
      </c>
      <c r="E207" s="3">
        <f t="shared" si="10"/>
        <v>6.9444444444433095E-4</v>
      </c>
      <c r="F207" s="1" t="s">
        <v>3</v>
      </c>
    </row>
    <row r="208" spans="1:6" x14ac:dyDescent="0.25">
      <c r="A208" s="20">
        <v>42278</v>
      </c>
      <c r="B208" s="3">
        <v>0.55833333333333335</v>
      </c>
      <c r="C208" s="3">
        <v>0.56111111111111112</v>
      </c>
      <c r="D208" s="3">
        <f t="shared" si="9"/>
        <v>2.7777777777777679E-3</v>
      </c>
      <c r="E208" s="3">
        <f t="shared" si="10"/>
        <v>1.388888888888884E-3</v>
      </c>
      <c r="F208" s="1" t="s">
        <v>3</v>
      </c>
    </row>
    <row r="209" spans="1:6" x14ac:dyDescent="0.25">
      <c r="A209" s="20">
        <v>42278</v>
      </c>
      <c r="B209" s="3">
        <v>0.63888888888888895</v>
      </c>
      <c r="C209" s="3">
        <v>0.6430555555555556</v>
      </c>
      <c r="D209" s="3">
        <f t="shared" si="9"/>
        <v>4.1666666666666519E-3</v>
      </c>
      <c r="E209" s="3">
        <f t="shared" si="10"/>
        <v>1.736111111111116E-2</v>
      </c>
      <c r="F209" s="1" t="s">
        <v>3</v>
      </c>
    </row>
    <row r="210" spans="1:6" x14ac:dyDescent="0.25">
      <c r="A210" s="20">
        <v>42278</v>
      </c>
      <c r="B210" s="3">
        <v>0.96527777777777779</v>
      </c>
      <c r="C210" s="3">
        <v>0.9868055555555556</v>
      </c>
      <c r="D210" s="3">
        <f t="shared" si="9"/>
        <v>2.1527777777777812E-2</v>
      </c>
      <c r="E210" s="3">
        <f t="shared" si="10"/>
        <v>1.4583333333333393E-2</v>
      </c>
      <c r="F210" s="1" t="s">
        <v>3</v>
      </c>
    </row>
    <row r="211" spans="1:6" x14ac:dyDescent="0.25">
      <c r="A211" s="20">
        <v>42278</v>
      </c>
      <c r="B211" s="3">
        <v>1.0138888888888888</v>
      </c>
      <c r="C211" s="3">
        <v>1.0208333333333333</v>
      </c>
      <c r="D211" s="3">
        <f t="shared" si="9"/>
        <v>6.9444444444444198E-3</v>
      </c>
      <c r="E211" s="3">
        <f t="shared" si="10"/>
        <v>6.2500000000000194E-3</v>
      </c>
      <c r="F211" s="1" t="s">
        <v>3</v>
      </c>
    </row>
    <row r="212" spans="1:6" x14ac:dyDescent="0.25">
      <c r="A212" s="20">
        <v>42278</v>
      </c>
      <c r="B212" s="3">
        <v>9.2361111111111116E-2</v>
      </c>
      <c r="C212" s="3">
        <v>0.10555555555555556</v>
      </c>
      <c r="D212" s="3">
        <f t="shared" si="9"/>
        <v>1.3194444444444439E-2</v>
      </c>
      <c r="E212" s="3">
        <f t="shared" si="10"/>
        <v>9.0277777777777873E-3</v>
      </c>
      <c r="F212" s="1" t="s">
        <v>3</v>
      </c>
    </row>
    <row r="213" spans="1:6" x14ac:dyDescent="0.25">
      <c r="A213" s="20">
        <v>42278</v>
      </c>
      <c r="B213" s="3">
        <v>0.4597222222222222</v>
      </c>
      <c r="C213" s="3">
        <v>0.46388888888888885</v>
      </c>
      <c r="D213" s="3">
        <f t="shared" si="9"/>
        <v>4.1666666666666519E-3</v>
      </c>
      <c r="E213" s="3">
        <f t="shared" si="10"/>
        <v>2.0833333333333814E-3</v>
      </c>
      <c r="F213" s="1" t="s">
        <v>3</v>
      </c>
    </row>
    <row r="214" spans="1:6" x14ac:dyDescent="0.25">
      <c r="A214" s="20">
        <v>42278</v>
      </c>
      <c r="B214" s="3">
        <v>0.48402777777777778</v>
      </c>
      <c r="C214" s="3">
        <v>0.49027777777777781</v>
      </c>
      <c r="D214" s="3">
        <f t="shared" si="9"/>
        <v>6.2500000000000333E-3</v>
      </c>
      <c r="E214" s="3">
        <f t="shared" si="10"/>
        <v>2.7777777777777124E-3</v>
      </c>
      <c r="F214" s="1" t="s">
        <v>3</v>
      </c>
    </row>
    <row r="215" spans="1:6" x14ac:dyDescent="0.25">
      <c r="A215" s="20">
        <v>42278</v>
      </c>
      <c r="B215" s="3">
        <v>0.56041666666666667</v>
      </c>
      <c r="C215" s="3">
        <v>0.56944444444444442</v>
      </c>
      <c r="D215" s="3">
        <f t="shared" si="9"/>
        <v>9.0277777777777457E-3</v>
      </c>
      <c r="E215" s="3">
        <f t="shared" si="10"/>
        <v>2.2916666666666807E-2</v>
      </c>
      <c r="F215" s="1" t="s">
        <v>3</v>
      </c>
    </row>
    <row r="216" spans="1:6" x14ac:dyDescent="0.25">
      <c r="A216" s="20">
        <v>42278</v>
      </c>
      <c r="B216" s="3">
        <v>0.74305555555555547</v>
      </c>
      <c r="C216" s="3">
        <v>0.77500000000000002</v>
      </c>
      <c r="D216" s="3">
        <f t="shared" si="9"/>
        <v>3.1944444444444553E-2</v>
      </c>
      <c r="E216" s="3">
        <f t="shared" si="10"/>
        <v>2.2222222222222254E-2</v>
      </c>
      <c r="F216" s="1" t="s">
        <v>3</v>
      </c>
    </row>
    <row r="217" spans="1:6" x14ac:dyDescent="0.25">
      <c r="A217" s="20">
        <v>42278</v>
      </c>
      <c r="B217" s="3">
        <v>0.84375</v>
      </c>
      <c r="C217" s="3">
        <v>0.8534722222222223</v>
      </c>
      <c r="D217" s="3">
        <f t="shared" si="9"/>
        <v>9.7222222222222987E-3</v>
      </c>
      <c r="E217" s="3">
        <f t="shared" si="10"/>
        <v>1.388888888888995E-3</v>
      </c>
      <c r="F217" s="1" t="s">
        <v>3</v>
      </c>
    </row>
    <row r="218" spans="1:6" x14ac:dyDescent="0.25">
      <c r="A218" s="20">
        <v>42278</v>
      </c>
      <c r="B218" s="3">
        <v>0.89236111111111116</v>
      </c>
      <c r="C218" s="3">
        <v>0.90069444444444446</v>
      </c>
      <c r="D218" s="3">
        <f t="shared" si="9"/>
        <v>8.3333333333333037E-3</v>
      </c>
      <c r="E218" s="3">
        <f t="shared" si="10"/>
        <v>4.8611111111110938E-3</v>
      </c>
      <c r="F218" s="1" t="s">
        <v>3</v>
      </c>
    </row>
    <row r="219" spans="1:6" x14ac:dyDescent="0.25">
      <c r="A219" s="20">
        <v>42278</v>
      </c>
      <c r="B219" s="3">
        <v>0.94236111111111109</v>
      </c>
      <c r="C219" s="3">
        <v>0.9458333333333333</v>
      </c>
      <c r="D219" s="3">
        <f t="shared" si="9"/>
        <v>3.4722222222222099E-3</v>
      </c>
      <c r="E219" s="3">
        <f t="shared" si="10"/>
        <v>2.7777777777778789E-3</v>
      </c>
      <c r="F219" s="1" t="s">
        <v>3</v>
      </c>
    </row>
    <row r="220" spans="1:6" x14ac:dyDescent="0.25">
      <c r="A220" s="20">
        <v>42278</v>
      </c>
      <c r="B220" s="3">
        <v>1.0069444444444444</v>
      </c>
      <c r="C220" s="3">
        <v>1.0131944444444445</v>
      </c>
      <c r="D220" s="3">
        <f t="shared" si="9"/>
        <v>6.2500000000000888E-3</v>
      </c>
      <c r="E220" s="3">
        <f t="shared" si="10"/>
        <v>1.0416666666666574E-2</v>
      </c>
      <c r="F220" s="1" t="s">
        <v>3</v>
      </c>
    </row>
    <row r="221" spans="1:6" x14ac:dyDescent="0.25">
      <c r="A221" s="20">
        <v>42278</v>
      </c>
      <c r="B221" s="3">
        <v>0.2638888888888889</v>
      </c>
      <c r="C221" s="3">
        <v>0.28055555555555556</v>
      </c>
      <c r="D221" s="3">
        <f t="shared" si="9"/>
        <v>1.6666666666666663E-2</v>
      </c>
      <c r="E221" s="3">
        <f t="shared" si="10"/>
        <v>1.1111111111111127E-2</v>
      </c>
      <c r="F221" s="1" t="s">
        <v>3</v>
      </c>
    </row>
    <row r="222" spans="1:6" x14ac:dyDescent="0.25">
      <c r="A222" s="20">
        <v>42278</v>
      </c>
      <c r="B222" s="3">
        <v>0.34583333333333338</v>
      </c>
      <c r="C222" s="3">
        <v>0.35138888888888892</v>
      </c>
      <c r="D222" s="3">
        <f t="shared" si="9"/>
        <v>5.5555555555555358E-3</v>
      </c>
      <c r="E222" s="3">
        <f t="shared" si="10"/>
        <v>2.0833333333333814E-3</v>
      </c>
      <c r="F222" s="1" t="s">
        <v>3</v>
      </c>
    </row>
    <row r="223" spans="1:6" x14ac:dyDescent="0.25">
      <c r="A223" s="20">
        <v>42278</v>
      </c>
      <c r="B223" s="3">
        <v>0.33055555555555555</v>
      </c>
      <c r="C223" s="3">
        <v>0.33819444444444446</v>
      </c>
      <c r="D223" s="3">
        <f t="shared" si="9"/>
        <v>7.6388888888889173E-3</v>
      </c>
      <c r="E223" s="3">
        <f t="shared" si="10"/>
        <v>7.6388888888888618E-3</v>
      </c>
      <c r="F223" s="1" t="s">
        <v>3</v>
      </c>
    </row>
    <row r="224" spans="1:6" x14ac:dyDescent="0.25">
      <c r="A224" s="20">
        <v>42278</v>
      </c>
      <c r="B224" s="3">
        <v>0.47291666666666665</v>
      </c>
      <c r="C224" s="3">
        <v>0.48819444444444443</v>
      </c>
      <c r="D224" s="3">
        <f t="shared" si="9"/>
        <v>1.5277777777777779E-2</v>
      </c>
      <c r="E224" s="3">
        <f t="shared" si="10"/>
        <v>9.0277777777778012E-3</v>
      </c>
      <c r="F224" s="1" t="s">
        <v>3</v>
      </c>
    </row>
    <row r="225" spans="1:6" x14ac:dyDescent="0.25">
      <c r="A225" s="20">
        <v>42278</v>
      </c>
      <c r="B225" s="3">
        <v>0.54652777777777783</v>
      </c>
      <c r="C225" s="3">
        <v>0.55277777777777781</v>
      </c>
      <c r="D225" s="3">
        <f t="shared" si="9"/>
        <v>6.2499999999999778E-3</v>
      </c>
      <c r="E225" s="3">
        <f t="shared" si="10"/>
        <v>1.388888888888884E-3</v>
      </c>
      <c r="F225" s="1" t="s">
        <v>3</v>
      </c>
    </row>
    <row r="226" spans="1:6" x14ac:dyDescent="0.25">
      <c r="A226" s="20">
        <v>42278</v>
      </c>
      <c r="B226" s="3">
        <v>0.69444444444444453</v>
      </c>
      <c r="C226" s="3">
        <v>0.69930555555555562</v>
      </c>
      <c r="D226" s="3">
        <f t="shared" si="9"/>
        <v>4.8611111111110938E-3</v>
      </c>
      <c r="E226" s="3">
        <f t="shared" si="10"/>
        <v>1.1102230246251565E-16</v>
      </c>
      <c r="F226" s="1" t="s">
        <v>3</v>
      </c>
    </row>
    <row r="227" spans="1:6" x14ac:dyDescent="0.25">
      <c r="A227" s="20">
        <v>42278</v>
      </c>
      <c r="B227" s="3">
        <v>0.95347222222222217</v>
      </c>
      <c r="C227" s="3">
        <v>0.95833333333333337</v>
      </c>
      <c r="D227" s="3">
        <f t="shared" si="9"/>
        <v>4.8611111111112049E-3</v>
      </c>
      <c r="E227" s="3">
        <f t="shared" si="10"/>
        <v>6.2499999999999223E-3</v>
      </c>
      <c r="F227" s="1" t="s">
        <v>3</v>
      </c>
    </row>
    <row r="228" spans="1:6" x14ac:dyDescent="0.25">
      <c r="A228" s="20">
        <v>42278</v>
      </c>
      <c r="B228" s="3">
        <v>0.41319444444444442</v>
      </c>
      <c r="C228" s="3">
        <v>0.42430555555555555</v>
      </c>
      <c r="D228" s="3">
        <f t="shared" si="9"/>
        <v>1.1111111111111127E-2</v>
      </c>
      <c r="E228" s="3">
        <f t="shared" si="10"/>
        <v>2.7777777777777679E-3</v>
      </c>
      <c r="F228" s="1" t="s">
        <v>3</v>
      </c>
    </row>
    <row r="229" spans="1:6" x14ac:dyDescent="0.25">
      <c r="A229" s="20">
        <v>42278</v>
      </c>
      <c r="B229" s="3">
        <v>0.47430555555555554</v>
      </c>
      <c r="C229" s="3">
        <v>0.48819444444444443</v>
      </c>
      <c r="D229" s="3">
        <f t="shared" si="9"/>
        <v>1.3888888888888895E-2</v>
      </c>
      <c r="E229" s="3">
        <f t="shared" si="10"/>
        <v>1.0416666666666574E-2</v>
      </c>
      <c r="F229" s="1" t="s">
        <v>3</v>
      </c>
    </row>
    <row r="230" spans="1:6" x14ac:dyDescent="0.25">
      <c r="A230" s="20">
        <v>42278</v>
      </c>
      <c r="B230" s="3">
        <v>0.51041666666666663</v>
      </c>
      <c r="C230" s="3">
        <v>0.51388888888888895</v>
      </c>
      <c r="D230" s="3">
        <f t="shared" si="9"/>
        <v>3.4722222222223209E-3</v>
      </c>
      <c r="E230" s="3">
        <f t="shared" si="10"/>
        <v>1.3194444444444287E-2</v>
      </c>
      <c r="F230" s="1" t="s">
        <v>3</v>
      </c>
    </row>
    <row r="231" spans="1:6" x14ac:dyDescent="0.25">
      <c r="A231" s="20">
        <v>42278</v>
      </c>
      <c r="B231" s="3">
        <v>0.51944444444444449</v>
      </c>
      <c r="C231" s="3">
        <v>0.53611111111111109</v>
      </c>
      <c r="D231" s="3">
        <f t="shared" si="9"/>
        <v>1.6666666666666607E-2</v>
      </c>
      <c r="E231" s="3">
        <f t="shared" si="10"/>
        <v>1.1805555555555514E-2</v>
      </c>
      <c r="F231" s="1" t="s">
        <v>3</v>
      </c>
    </row>
    <row r="232" spans="1:6" x14ac:dyDescent="0.25">
      <c r="A232" s="20">
        <v>42278</v>
      </c>
      <c r="B232" s="3">
        <v>0.59027777777777779</v>
      </c>
      <c r="C232" s="3">
        <v>0.59513888888888888</v>
      </c>
      <c r="D232" s="3">
        <f t="shared" si="9"/>
        <v>4.8611111111110938E-3</v>
      </c>
      <c r="E232" s="3">
        <f t="shared" si="10"/>
        <v>2.0833333333333259E-3</v>
      </c>
      <c r="F232" s="1" t="s">
        <v>3</v>
      </c>
    </row>
    <row r="233" spans="1:6" x14ac:dyDescent="0.25">
      <c r="A233" s="20">
        <v>42278</v>
      </c>
      <c r="B233" s="3">
        <v>0.62708333333333333</v>
      </c>
      <c r="C233" s="3">
        <v>0.63402777777777775</v>
      </c>
      <c r="D233" s="3">
        <f t="shared" si="9"/>
        <v>6.9444444444444198E-3</v>
      </c>
      <c r="E233" s="3">
        <f t="shared" si="10"/>
        <v>6.94444444444553E-4</v>
      </c>
      <c r="F233" s="1" t="s">
        <v>3</v>
      </c>
    </row>
    <row r="234" spans="1:6" x14ac:dyDescent="0.25">
      <c r="A234" s="20">
        <v>42278</v>
      </c>
      <c r="B234" s="3">
        <v>0.87638888888888899</v>
      </c>
      <c r="C234" s="3">
        <v>0.88263888888888886</v>
      </c>
      <c r="D234" s="3">
        <f t="shared" si="9"/>
        <v>6.2499999999998668E-3</v>
      </c>
      <c r="E234" s="3">
        <f t="shared" si="10"/>
        <v>6.9444444444445863E-3</v>
      </c>
      <c r="F234" s="1" t="s">
        <v>3</v>
      </c>
    </row>
    <row r="235" spans="1:6" x14ac:dyDescent="0.25">
      <c r="A235" s="20">
        <v>42278</v>
      </c>
      <c r="B235" s="3">
        <v>0.4909722222222222</v>
      </c>
      <c r="C235" s="3">
        <v>0.50416666666666665</v>
      </c>
      <c r="D235" s="3">
        <f t="shared" si="9"/>
        <v>1.3194444444444453E-2</v>
      </c>
      <c r="E235" s="3">
        <f t="shared" si="10"/>
        <v>4.1666666666666519E-3</v>
      </c>
      <c r="F235" s="1" t="s">
        <v>3</v>
      </c>
    </row>
    <row r="236" spans="1:6" x14ac:dyDescent="0.25">
      <c r="A236" s="20">
        <v>42278</v>
      </c>
      <c r="B236" s="3">
        <v>0.4909722222222222</v>
      </c>
      <c r="C236" s="3">
        <v>0.5083333333333333</v>
      </c>
      <c r="D236" s="3">
        <f t="shared" si="9"/>
        <v>1.7361111111111105E-2</v>
      </c>
      <c r="E236" s="3">
        <f t="shared" si="10"/>
        <v>1.2500000000000011E-2</v>
      </c>
      <c r="F236" s="1" t="s">
        <v>3</v>
      </c>
    </row>
    <row r="237" spans="1:6" x14ac:dyDescent="0.25">
      <c r="A237" s="20">
        <v>42278</v>
      </c>
      <c r="B237" s="3">
        <v>0.65902777777777777</v>
      </c>
      <c r="C237" s="3">
        <v>0.66388888888888886</v>
      </c>
      <c r="D237" s="3">
        <f t="shared" si="9"/>
        <v>4.8611111111110938E-3</v>
      </c>
      <c r="E237" s="3">
        <f t="shared" si="10"/>
        <v>1.8055555555555602E-2</v>
      </c>
      <c r="F237" s="1" t="s">
        <v>3</v>
      </c>
    </row>
    <row r="238" spans="1:6" x14ac:dyDescent="0.25">
      <c r="A238" s="20">
        <v>42278</v>
      </c>
      <c r="B238" s="3">
        <v>0.64097222222222217</v>
      </c>
      <c r="C238" s="3">
        <v>0.66388888888888886</v>
      </c>
      <c r="D238" s="3">
        <f t="shared" si="9"/>
        <v>2.2916666666666696E-2</v>
      </c>
      <c r="E238" s="3">
        <f t="shared" si="10"/>
        <v>2.0833333333333259E-2</v>
      </c>
      <c r="F238" s="1" t="s">
        <v>3</v>
      </c>
    </row>
    <row r="239" spans="1:6" x14ac:dyDescent="0.25">
      <c r="A239" s="20">
        <v>42278</v>
      </c>
      <c r="B239" s="3">
        <v>0.78888888888888886</v>
      </c>
      <c r="C239" s="3">
        <v>0.7909722222222223</v>
      </c>
      <c r="D239" s="3">
        <f t="shared" si="9"/>
        <v>2.083333333333437E-3</v>
      </c>
      <c r="E239" s="3">
        <f t="shared" si="10"/>
        <v>1.3888888888886619E-3</v>
      </c>
      <c r="F239" s="1" t="s">
        <v>3</v>
      </c>
    </row>
    <row r="240" spans="1:6" x14ac:dyDescent="0.25">
      <c r="A240" s="20">
        <v>42278</v>
      </c>
      <c r="B240" s="3">
        <v>0.91041666666666676</v>
      </c>
      <c r="C240" s="3">
        <v>0.91388888888888886</v>
      </c>
      <c r="D240" s="3">
        <f t="shared" si="9"/>
        <v>3.4722222222220989E-3</v>
      </c>
      <c r="E240" s="3">
        <f t="shared" si="10"/>
        <v>3.4722222222223209E-3</v>
      </c>
      <c r="F240" s="1" t="s">
        <v>3</v>
      </c>
    </row>
    <row r="241" spans="1:6" x14ac:dyDescent="0.25">
      <c r="A241" s="20">
        <v>42278</v>
      </c>
      <c r="B241" s="3">
        <v>0.43888888888888888</v>
      </c>
      <c r="C241" s="3">
        <v>0.4458333333333333</v>
      </c>
      <c r="D241" s="3">
        <f t="shared" si="9"/>
        <v>6.9444444444444198E-3</v>
      </c>
      <c r="E241" s="3">
        <f t="shared" si="10"/>
        <v>6.9444444444444198E-3</v>
      </c>
      <c r="F241" s="1" t="s">
        <v>3</v>
      </c>
    </row>
    <row r="242" spans="1:6" x14ac:dyDescent="0.25">
      <c r="A242" s="20">
        <v>42278</v>
      </c>
      <c r="B242" s="3">
        <v>0.46597222222222223</v>
      </c>
      <c r="C242" s="3">
        <v>0.46597222222222223</v>
      </c>
      <c r="D242" s="3">
        <f t="shared" si="9"/>
        <v>0</v>
      </c>
      <c r="E242" s="3">
        <f t="shared" si="10"/>
        <v>2.0138888888888928E-2</v>
      </c>
      <c r="F242" s="1" t="s">
        <v>3</v>
      </c>
    </row>
    <row r="243" spans="1:6" x14ac:dyDescent="0.25">
      <c r="A243" s="20">
        <v>42278</v>
      </c>
      <c r="B243" s="3">
        <v>0.57847222222222217</v>
      </c>
      <c r="C243" s="3">
        <v>0.59861111111111109</v>
      </c>
      <c r="D243" s="3">
        <f t="shared" si="9"/>
        <v>2.0138888888888928E-2</v>
      </c>
      <c r="E243" s="3">
        <f t="shared" si="10"/>
        <v>1.041666666666663E-2</v>
      </c>
      <c r="F243" s="1" t="s">
        <v>3</v>
      </c>
    </row>
    <row r="244" spans="1:6" x14ac:dyDescent="0.25">
      <c r="A244" s="20">
        <v>42278</v>
      </c>
      <c r="B244" s="3">
        <v>0.7583333333333333</v>
      </c>
      <c r="C244" s="3">
        <v>0.7680555555555556</v>
      </c>
      <c r="D244" s="3">
        <f t="shared" si="9"/>
        <v>9.7222222222222987E-3</v>
      </c>
      <c r="E244" s="3">
        <f t="shared" si="10"/>
        <v>5.5555555555555358E-3</v>
      </c>
      <c r="F244" s="1" t="s">
        <v>3</v>
      </c>
    </row>
    <row r="245" spans="1:6" x14ac:dyDescent="0.25">
      <c r="A245" s="20">
        <v>42278</v>
      </c>
      <c r="B245" s="3">
        <v>0.83680555555555547</v>
      </c>
      <c r="C245" s="3">
        <v>0.84097222222222223</v>
      </c>
      <c r="D245" s="3">
        <f t="shared" si="9"/>
        <v>4.1666666666667629E-3</v>
      </c>
      <c r="E245" s="3">
        <f t="shared" si="10"/>
        <v>1.1102230246251565E-16</v>
      </c>
      <c r="F245" s="1" t="s">
        <v>3</v>
      </c>
    </row>
    <row r="246" spans="1:6" x14ac:dyDescent="0.25">
      <c r="A246" s="20">
        <v>42278</v>
      </c>
      <c r="B246" s="3">
        <v>0.49305555555555558</v>
      </c>
      <c r="C246" s="3">
        <v>0.49722222222222223</v>
      </c>
      <c r="D246" s="3">
        <f t="shared" si="9"/>
        <v>4.1666666666666519E-3</v>
      </c>
      <c r="E246" s="3">
        <f t="shared" si="10"/>
        <v>1.388888888888884E-3</v>
      </c>
      <c r="F246" s="1" t="s">
        <v>3</v>
      </c>
    </row>
    <row r="247" spans="1:6" x14ac:dyDescent="0.25">
      <c r="A247" s="20">
        <v>42278</v>
      </c>
      <c r="B247" s="3">
        <v>0.3979166666666667</v>
      </c>
      <c r="C247" s="3">
        <v>0.40347222222222223</v>
      </c>
      <c r="D247" s="3">
        <f t="shared" si="9"/>
        <v>5.5555555555555358E-3</v>
      </c>
      <c r="E247" s="3">
        <f t="shared" si="10"/>
        <v>6.9444444444438647E-4</v>
      </c>
      <c r="F247" s="1" t="s">
        <v>3</v>
      </c>
    </row>
    <row r="248" spans="1:6" x14ac:dyDescent="0.25">
      <c r="A248" s="20">
        <v>42278</v>
      </c>
      <c r="B248" s="3">
        <v>0.39861111111111108</v>
      </c>
      <c r="C248" s="3">
        <v>0.40347222222222223</v>
      </c>
      <c r="D248" s="3">
        <f t="shared" si="9"/>
        <v>4.8611111111111494E-3</v>
      </c>
      <c r="E248" s="3">
        <f t="shared" si="10"/>
        <v>4.1666666666666519E-3</v>
      </c>
      <c r="F248" s="1" t="s">
        <v>3</v>
      </c>
    </row>
    <row r="249" spans="1:6" x14ac:dyDescent="0.25">
      <c r="A249" s="20">
        <v>42278</v>
      </c>
      <c r="B249" s="3">
        <v>0.44305555555555554</v>
      </c>
      <c r="C249" s="3">
        <v>0.45208333333333334</v>
      </c>
      <c r="D249" s="3">
        <f t="shared" si="9"/>
        <v>9.0277777777778012E-3</v>
      </c>
      <c r="E249" s="3">
        <f t="shared" si="10"/>
        <v>4.8611111111111494E-3</v>
      </c>
      <c r="F249" s="1" t="s">
        <v>3</v>
      </c>
    </row>
    <row r="250" spans="1:6" x14ac:dyDescent="0.25">
      <c r="A250" s="20">
        <v>42278</v>
      </c>
      <c r="B250" s="3">
        <v>0.47430555555555554</v>
      </c>
      <c r="C250" s="3">
        <v>0.47847222222222219</v>
      </c>
      <c r="D250" s="3">
        <f t="shared" si="9"/>
        <v>4.1666666666666519E-3</v>
      </c>
      <c r="E250" s="3">
        <f t="shared" si="10"/>
        <v>1.1102230246251565E-16</v>
      </c>
      <c r="F250" s="1" t="s">
        <v>3</v>
      </c>
    </row>
    <row r="251" spans="1:6" x14ac:dyDescent="0.25">
      <c r="A251" s="20">
        <v>42278</v>
      </c>
      <c r="B251" s="3">
        <v>0.70000000000000007</v>
      </c>
      <c r="C251" s="3">
        <v>0.70416666666666661</v>
      </c>
      <c r="D251" s="3">
        <f t="shared" si="9"/>
        <v>4.1666666666665408E-3</v>
      </c>
      <c r="E251" s="3">
        <f t="shared" si="10"/>
        <v>3.4722222222222432E-2</v>
      </c>
      <c r="F251" s="1" t="s">
        <v>3</v>
      </c>
    </row>
    <row r="252" spans="1:6" x14ac:dyDescent="0.25">
      <c r="A252" s="20">
        <v>42278</v>
      </c>
      <c r="B252" s="3">
        <v>0.74583333333333324</v>
      </c>
      <c r="C252" s="3">
        <v>0.78472222222222221</v>
      </c>
      <c r="D252" s="3">
        <f t="shared" si="9"/>
        <v>3.8888888888888973E-2</v>
      </c>
      <c r="E252" s="3">
        <f t="shared" si="10"/>
        <v>1.6666666666666607E-2</v>
      </c>
      <c r="F252" s="1" t="s">
        <v>3</v>
      </c>
    </row>
    <row r="253" spans="1:6" x14ac:dyDescent="0.25">
      <c r="A253" s="20">
        <v>42278</v>
      </c>
      <c r="B253" s="3">
        <v>0.72222222222222221</v>
      </c>
      <c r="C253" s="3">
        <v>0.77777777777777779</v>
      </c>
      <c r="D253" s="3">
        <f t="shared" si="9"/>
        <v>5.555555555555558E-2</v>
      </c>
      <c r="E253" s="3">
        <f t="shared" si="10"/>
        <v>4.5833333333333282E-2</v>
      </c>
      <c r="F253" s="1" t="s">
        <v>3</v>
      </c>
    </row>
    <row r="254" spans="1:6" x14ac:dyDescent="0.25">
      <c r="A254" s="20">
        <v>42278</v>
      </c>
      <c r="B254" s="3">
        <v>0.76597222222222217</v>
      </c>
      <c r="C254" s="3">
        <v>0.77569444444444446</v>
      </c>
      <c r="D254" s="3">
        <f t="shared" si="9"/>
        <v>9.7222222222222987E-3</v>
      </c>
      <c r="E254" s="3">
        <f t="shared" si="10"/>
        <v>6.9444444444444198E-4</v>
      </c>
      <c r="F254" s="1" t="s">
        <v>3</v>
      </c>
    </row>
    <row r="255" spans="1:6" x14ac:dyDescent="0.25">
      <c r="A255" s="20">
        <v>42278</v>
      </c>
      <c r="B255" s="3">
        <v>0.78055555555555556</v>
      </c>
      <c r="C255" s="3">
        <v>0.7909722222222223</v>
      </c>
      <c r="D255" s="3">
        <f t="shared" si="9"/>
        <v>1.0416666666666741E-2</v>
      </c>
      <c r="E255" s="3">
        <f t="shared" si="10"/>
        <v>1.388888888888884E-3</v>
      </c>
      <c r="F255" s="1" t="s">
        <v>3</v>
      </c>
    </row>
    <row r="256" spans="1:6" x14ac:dyDescent="0.25">
      <c r="A256" s="20">
        <v>42278</v>
      </c>
      <c r="B256" s="3">
        <v>0.85277777777777775</v>
      </c>
      <c r="C256" s="3">
        <v>0.8618055555555556</v>
      </c>
      <c r="D256" s="3">
        <f t="shared" si="9"/>
        <v>9.0277777777778567E-3</v>
      </c>
      <c r="E256" s="3">
        <f t="shared" si="10"/>
        <v>5.5555555555556468E-3</v>
      </c>
      <c r="F256" s="1" t="s">
        <v>3</v>
      </c>
    </row>
    <row r="257" spans="1:6" x14ac:dyDescent="0.25">
      <c r="A257" s="20">
        <v>42278</v>
      </c>
      <c r="B257" s="3">
        <v>0.38680555555555557</v>
      </c>
      <c r="C257" s="3">
        <v>0.39027777777777778</v>
      </c>
      <c r="D257" s="3">
        <f t="shared" si="9"/>
        <v>3.4722222222222099E-3</v>
      </c>
      <c r="E257" s="3">
        <f t="shared" si="10"/>
        <v>4.1666666666667074E-3</v>
      </c>
      <c r="F257" s="1" t="s">
        <v>3</v>
      </c>
    </row>
    <row r="258" spans="1:6" x14ac:dyDescent="0.25">
      <c r="A258" s="20">
        <v>42278</v>
      </c>
      <c r="B258" s="3">
        <v>0.4375</v>
      </c>
      <c r="C258" s="3">
        <v>0.44513888888888892</v>
      </c>
      <c r="D258" s="3">
        <f t="shared" si="9"/>
        <v>7.6388888888889173E-3</v>
      </c>
      <c r="E258" s="3">
        <f t="shared" si="10"/>
        <v>2.7777777777777679E-3</v>
      </c>
      <c r="F258" s="1" t="s">
        <v>3</v>
      </c>
    </row>
    <row r="259" spans="1:6" x14ac:dyDescent="0.25">
      <c r="A259" s="20">
        <v>42278</v>
      </c>
      <c r="B259" s="3">
        <v>0.48958333333333331</v>
      </c>
      <c r="C259" s="3">
        <v>0.5</v>
      </c>
      <c r="D259" s="3">
        <f t="shared" ref="D259:D322" si="11">(C259-B259)</f>
        <v>1.0416666666666685E-2</v>
      </c>
      <c r="E259" s="3">
        <f t="shared" si="10"/>
        <v>6.9444444444445863E-3</v>
      </c>
      <c r="F259" s="1" t="s">
        <v>3</v>
      </c>
    </row>
    <row r="260" spans="1:6" x14ac:dyDescent="0.25">
      <c r="A260" s="20">
        <v>42278</v>
      </c>
      <c r="B260" s="3">
        <v>0.61041666666666672</v>
      </c>
      <c r="C260" s="3">
        <v>0.61388888888888882</v>
      </c>
      <c r="D260" s="3">
        <f t="shared" si="11"/>
        <v>3.4722222222220989E-3</v>
      </c>
      <c r="E260" s="3">
        <f t="shared" si="10"/>
        <v>1.1111111111111294E-2</v>
      </c>
      <c r="F260" s="1" t="s">
        <v>3</v>
      </c>
    </row>
    <row r="261" spans="1:6" x14ac:dyDescent="0.25">
      <c r="A261" s="20">
        <v>42278</v>
      </c>
      <c r="B261" s="3">
        <v>0.92013888888888884</v>
      </c>
      <c r="C261" s="3">
        <v>0.93472222222222223</v>
      </c>
      <c r="D261" s="3">
        <f t="shared" si="11"/>
        <v>1.4583333333333393E-2</v>
      </c>
      <c r="E261" s="3">
        <f t="shared" si="10"/>
        <v>6.2500000000000888E-3</v>
      </c>
      <c r="F261" s="1" t="s">
        <v>3</v>
      </c>
    </row>
    <row r="262" spans="1:6" x14ac:dyDescent="0.25">
      <c r="A262" s="20">
        <v>42278</v>
      </c>
      <c r="B262" s="3">
        <v>0.37638888888888888</v>
      </c>
      <c r="C262" s="3">
        <v>0.38472222222222219</v>
      </c>
      <c r="D262" s="3">
        <f t="shared" si="11"/>
        <v>8.3333333333333037E-3</v>
      </c>
      <c r="E262" s="3">
        <f t="shared" si="10"/>
        <v>2.0833333333333259E-3</v>
      </c>
      <c r="F262" s="1" t="s">
        <v>3</v>
      </c>
    </row>
    <row r="263" spans="1:6" x14ac:dyDescent="0.25">
      <c r="A263" s="20">
        <v>42278</v>
      </c>
      <c r="B263" s="3">
        <v>0.70763888888888893</v>
      </c>
      <c r="C263" s="3">
        <v>0.71805555555555556</v>
      </c>
      <c r="D263" s="3">
        <f t="shared" si="11"/>
        <v>1.041666666666663E-2</v>
      </c>
      <c r="E263" s="3">
        <f t="shared" si="10"/>
        <v>3.4722222222222099E-3</v>
      </c>
      <c r="F263" s="1" t="s">
        <v>3</v>
      </c>
    </row>
    <row r="264" spans="1:6" x14ac:dyDescent="0.25">
      <c r="A264" s="20">
        <v>42278</v>
      </c>
      <c r="B264" s="3">
        <v>0.74236111111111114</v>
      </c>
      <c r="C264" s="3">
        <v>0.75624999999999998</v>
      </c>
      <c r="D264" s="3">
        <f t="shared" si="11"/>
        <v>1.388888888888884E-2</v>
      </c>
      <c r="E264" s="3">
        <f t="shared" si="10"/>
        <v>1.1111111111111183E-2</v>
      </c>
      <c r="F264" s="1" t="s">
        <v>3</v>
      </c>
    </row>
    <row r="265" spans="1:6" x14ac:dyDescent="0.25">
      <c r="A265" s="20">
        <v>42278</v>
      </c>
      <c r="B265" s="3">
        <v>0.74722222222222223</v>
      </c>
      <c r="C265" s="3">
        <v>0.77222222222222225</v>
      </c>
      <c r="D265" s="3">
        <f t="shared" si="11"/>
        <v>2.5000000000000022E-2</v>
      </c>
      <c r="E265" s="3">
        <f t="shared" si="10"/>
        <v>1.8749999999999933E-2</v>
      </c>
      <c r="F265" s="1" t="s">
        <v>3</v>
      </c>
    </row>
    <row r="266" spans="1:6" x14ac:dyDescent="0.25">
      <c r="A266" s="20">
        <v>42278</v>
      </c>
      <c r="B266" s="3">
        <v>0.86805555555555547</v>
      </c>
      <c r="C266" s="3">
        <v>0.87430555555555556</v>
      </c>
      <c r="D266" s="3">
        <f t="shared" si="11"/>
        <v>6.2500000000000888E-3</v>
      </c>
      <c r="E266" s="3">
        <f t="shared" si="10"/>
        <v>2.0833333333333259E-3</v>
      </c>
      <c r="F266" s="1" t="s">
        <v>3</v>
      </c>
    </row>
    <row r="267" spans="1:6" x14ac:dyDescent="0.25">
      <c r="A267" s="20">
        <v>42278</v>
      </c>
      <c r="B267" s="3">
        <v>0.87777777777777777</v>
      </c>
      <c r="C267" s="3">
        <v>0.88194444444444453</v>
      </c>
      <c r="D267" s="3">
        <f t="shared" si="11"/>
        <v>4.1666666666667629E-3</v>
      </c>
      <c r="E267" s="3">
        <f t="shared" si="10"/>
        <v>1.388888888888995E-3</v>
      </c>
      <c r="F267" s="1" t="s">
        <v>3</v>
      </c>
    </row>
    <row r="268" spans="1:6" x14ac:dyDescent="0.25">
      <c r="A268" s="20">
        <v>42278</v>
      </c>
      <c r="B268" s="3">
        <v>0.95972222222222225</v>
      </c>
      <c r="C268" s="3">
        <v>0.96250000000000002</v>
      </c>
      <c r="D268" s="3">
        <f t="shared" si="11"/>
        <v>2.7777777777777679E-3</v>
      </c>
      <c r="E268" s="3">
        <f t="shared" si="10"/>
        <v>1.2500000000000008E-2</v>
      </c>
      <c r="F268" s="1" t="s">
        <v>3</v>
      </c>
    </row>
    <row r="269" spans="1:6" x14ac:dyDescent="0.25">
      <c r="A269" s="20">
        <v>42278</v>
      </c>
      <c r="B269" s="3">
        <v>1.8055555555555557E-2</v>
      </c>
      <c r="C269" s="3">
        <v>3.3333333333333333E-2</v>
      </c>
      <c r="D269" s="3">
        <f t="shared" si="11"/>
        <v>1.5277777777777776E-2</v>
      </c>
      <c r="E269" s="3">
        <f t="shared" si="10"/>
        <v>2.7777777777777644E-3</v>
      </c>
      <c r="F269" s="1" t="s">
        <v>3</v>
      </c>
    </row>
    <row r="270" spans="1:6" x14ac:dyDescent="0.25">
      <c r="A270" s="20">
        <v>42278</v>
      </c>
      <c r="B270" s="3">
        <v>0.26944444444444443</v>
      </c>
      <c r="C270" s="3">
        <v>0.28194444444444444</v>
      </c>
      <c r="D270" s="3">
        <f t="shared" si="11"/>
        <v>1.2500000000000011E-2</v>
      </c>
      <c r="E270" s="3">
        <f t="shared" ref="E270:E333" si="12">ABS(D270-D271)</f>
        <v>2.7777777777777679E-3</v>
      </c>
      <c r="F270" s="1" t="s">
        <v>3</v>
      </c>
    </row>
    <row r="271" spans="1:6" x14ac:dyDescent="0.25">
      <c r="A271" s="20">
        <v>42278</v>
      </c>
      <c r="B271" s="3">
        <v>0.41666666666666669</v>
      </c>
      <c r="C271" s="3">
        <v>0.43194444444444446</v>
      </c>
      <c r="D271" s="3">
        <f t="shared" si="11"/>
        <v>1.5277777777777779E-2</v>
      </c>
      <c r="E271" s="3">
        <f t="shared" si="12"/>
        <v>8.3333333333333592E-3</v>
      </c>
      <c r="F271" s="1" t="s">
        <v>3</v>
      </c>
    </row>
    <row r="272" spans="1:6" x14ac:dyDescent="0.25">
      <c r="A272" s="20">
        <v>42278</v>
      </c>
      <c r="B272" s="3">
        <v>0.4465277777777778</v>
      </c>
      <c r="C272" s="3">
        <v>0.45347222222222222</v>
      </c>
      <c r="D272" s="3">
        <f t="shared" si="11"/>
        <v>6.9444444444444198E-3</v>
      </c>
      <c r="E272" s="3">
        <f t="shared" si="12"/>
        <v>6.9444444444444198E-4</v>
      </c>
      <c r="F272" s="1" t="s">
        <v>3</v>
      </c>
    </row>
    <row r="273" spans="1:6" x14ac:dyDescent="0.25">
      <c r="A273" s="20">
        <v>42278</v>
      </c>
      <c r="B273" s="3">
        <v>0.67638888888888893</v>
      </c>
      <c r="C273" s="3">
        <v>0.68263888888888891</v>
      </c>
      <c r="D273" s="3">
        <f t="shared" si="11"/>
        <v>6.2499999999999778E-3</v>
      </c>
      <c r="E273" s="3">
        <f t="shared" si="12"/>
        <v>1.388888888888884E-3</v>
      </c>
      <c r="F273" s="1" t="s">
        <v>3</v>
      </c>
    </row>
    <row r="274" spans="1:6" x14ac:dyDescent="0.25">
      <c r="A274" s="20">
        <v>42278</v>
      </c>
      <c r="B274" s="3">
        <v>0.7729166666666667</v>
      </c>
      <c r="C274" s="3">
        <v>0.77777777777777779</v>
      </c>
      <c r="D274" s="3">
        <f t="shared" si="11"/>
        <v>4.8611111111110938E-3</v>
      </c>
      <c r="E274" s="3">
        <f t="shared" si="12"/>
        <v>2.0833333333332149E-3</v>
      </c>
      <c r="F274" s="1" t="s">
        <v>3</v>
      </c>
    </row>
    <row r="275" spans="1:6" x14ac:dyDescent="0.25">
      <c r="A275" s="20">
        <v>42278</v>
      </c>
      <c r="B275" s="3">
        <v>0.8354166666666667</v>
      </c>
      <c r="C275" s="3">
        <v>0.84236111111111101</v>
      </c>
      <c r="D275" s="3">
        <f t="shared" si="11"/>
        <v>6.9444444444443088E-3</v>
      </c>
      <c r="E275" s="3">
        <f t="shared" si="12"/>
        <v>6.9444444444421993E-4</v>
      </c>
      <c r="F275" s="1" t="s">
        <v>3</v>
      </c>
    </row>
    <row r="276" spans="1:6" x14ac:dyDescent="0.25">
      <c r="A276" s="20">
        <v>42278</v>
      </c>
      <c r="B276" s="3">
        <v>0.78472222222222221</v>
      </c>
      <c r="C276" s="3">
        <v>0.7909722222222223</v>
      </c>
      <c r="D276" s="3">
        <f t="shared" si="11"/>
        <v>6.2500000000000888E-3</v>
      </c>
      <c r="E276" s="3">
        <f t="shared" si="12"/>
        <v>3.4722222222222099E-3</v>
      </c>
      <c r="F276" s="1" t="s">
        <v>3</v>
      </c>
    </row>
    <row r="277" spans="1:6" x14ac:dyDescent="0.25">
      <c r="A277" s="20">
        <v>42278</v>
      </c>
      <c r="B277" s="3">
        <v>0.79722222222222217</v>
      </c>
      <c r="C277" s="3">
        <v>0.80694444444444446</v>
      </c>
      <c r="D277" s="3">
        <f t="shared" si="11"/>
        <v>9.7222222222222987E-3</v>
      </c>
      <c r="E277" s="3">
        <f t="shared" si="12"/>
        <v>5.5555555555556468E-3</v>
      </c>
      <c r="F277" s="1" t="s">
        <v>3</v>
      </c>
    </row>
    <row r="278" spans="1:6" x14ac:dyDescent="0.25">
      <c r="A278" s="20">
        <v>42278</v>
      </c>
      <c r="B278" s="3">
        <v>0.87152777777777779</v>
      </c>
      <c r="C278" s="3">
        <v>0.87569444444444444</v>
      </c>
      <c r="D278" s="3">
        <f t="shared" si="11"/>
        <v>4.1666666666666519E-3</v>
      </c>
      <c r="E278" s="3">
        <f t="shared" si="12"/>
        <v>2.7777777777778789E-3</v>
      </c>
      <c r="F278" s="1" t="s">
        <v>3</v>
      </c>
    </row>
    <row r="279" spans="1:6" x14ac:dyDescent="0.25">
      <c r="A279" s="20">
        <v>42278</v>
      </c>
      <c r="B279" s="3">
        <v>0.875</v>
      </c>
      <c r="C279" s="3">
        <v>0.88194444444444453</v>
      </c>
      <c r="D279" s="3">
        <f t="shared" si="11"/>
        <v>6.9444444444445308E-3</v>
      </c>
      <c r="E279" s="3">
        <f t="shared" si="12"/>
        <v>2.083333333333548E-3</v>
      </c>
      <c r="F279" s="1" t="s">
        <v>3</v>
      </c>
    </row>
    <row r="280" spans="1:6" x14ac:dyDescent="0.25">
      <c r="A280" s="20">
        <v>42278</v>
      </c>
      <c r="B280" s="3">
        <v>0.92083333333333339</v>
      </c>
      <c r="C280" s="3">
        <v>0.92569444444444438</v>
      </c>
      <c r="D280" s="3">
        <f t="shared" si="11"/>
        <v>4.8611111111109828E-3</v>
      </c>
      <c r="E280" s="3">
        <f t="shared" si="12"/>
        <v>1.1102230246251565E-16</v>
      </c>
      <c r="F280" s="1" t="s">
        <v>3</v>
      </c>
    </row>
    <row r="281" spans="1:6" x14ac:dyDescent="0.25">
      <c r="A281" s="20">
        <v>42278</v>
      </c>
      <c r="B281" s="3">
        <v>0.96597222222222223</v>
      </c>
      <c r="C281" s="3">
        <v>0.97083333333333333</v>
      </c>
      <c r="D281" s="3">
        <f t="shared" si="11"/>
        <v>4.8611111111110938E-3</v>
      </c>
      <c r="E281" s="3">
        <f t="shared" si="12"/>
        <v>8.3333333333333488E-3</v>
      </c>
      <c r="F281" s="1" t="s">
        <v>3</v>
      </c>
    </row>
    <row r="282" spans="1:6" x14ac:dyDescent="0.25">
      <c r="A282" s="20">
        <v>42278</v>
      </c>
      <c r="B282" s="3">
        <v>5.5555555555555558E-3</v>
      </c>
      <c r="C282" s="3">
        <v>1.8749999999999999E-2</v>
      </c>
      <c r="D282" s="3">
        <f t="shared" si="11"/>
        <v>1.3194444444444443E-2</v>
      </c>
      <c r="E282" s="3">
        <f t="shared" si="12"/>
        <v>9.0277777777777908E-3</v>
      </c>
      <c r="F282" s="1" t="s">
        <v>3</v>
      </c>
    </row>
    <row r="283" spans="1:6" x14ac:dyDescent="0.25">
      <c r="A283" s="20">
        <v>42278</v>
      </c>
      <c r="B283" s="3">
        <v>0.57500000000000007</v>
      </c>
      <c r="C283" s="3">
        <v>0.57916666666666672</v>
      </c>
      <c r="D283" s="3">
        <f t="shared" si="11"/>
        <v>4.1666666666666519E-3</v>
      </c>
      <c r="E283" s="3">
        <f t="shared" si="12"/>
        <v>1.2499999999999956E-2</v>
      </c>
      <c r="F283" s="1" t="s">
        <v>3</v>
      </c>
    </row>
    <row r="284" spans="1:6" x14ac:dyDescent="0.25">
      <c r="A284" s="20">
        <v>42278</v>
      </c>
      <c r="B284" s="3">
        <v>0.6479166666666667</v>
      </c>
      <c r="C284" s="3">
        <v>0.6645833333333333</v>
      </c>
      <c r="D284" s="3">
        <f t="shared" si="11"/>
        <v>1.6666666666666607E-2</v>
      </c>
      <c r="E284" s="3">
        <f t="shared" si="12"/>
        <v>9.7222222222221877E-3</v>
      </c>
      <c r="F284" s="1" t="s">
        <v>3</v>
      </c>
    </row>
    <row r="285" spans="1:6" x14ac:dyDescent="0.25">
      <c r="A285" s="20">
        <v>42278</v>
      </c>
      <c r="B285" s="3">
        <v>0.68402777777777779</v>
      </c>
      <c r="C285" s="3">
        <v>0.69097222222222221</v>
      </c>
      <c r="D285" s="3">
        <f t="shared" si="11"/>
        <v>6.9444444444444198E-3</v>
      </c>
      <c r="E285" s="3">
        <f t="shared" si="12"/>
        <v>2.0833333333333259E-3</v>
      </c>
      <c r="F285" s="1" t="s">
        <v>3</v>
      </c>
    </row>
    <row r="286" spans="1:6" x14ac:dyDescent="0.25">
      <c r="A286" s="20">
        <v>42278</v>
      </c>
      <c r="B286" s="3">
        <v>0.82777777777777783</v>
      </c>
      <c r="C286" s="3">
        <v>0.83263888888888893</v>
      </c>
      <c r="D286" s="3">
        <f t="shared" si="11"/>
        <v>4.8611111111110938E-3</v>
      </c>
      <c r="E286" s="3">
        <f t="shared" si="12"/>
        <v>3.4722222222223209E-3</v>
      </c>
      <c r="F286" s="1" t="s">
        <v>3</v>
      </c>
    </row>
    <row r="287" spans="1:6" x14ac:dyDescent="0.25">
      <c r="A287" s="20">
        <v>42278</v>
      </c>
      <c r="B287" s="3">
        <v>0.37291666666666662</v>
      </c>
      <c r="C287" s="3">
        <v>0.38125000000000003</v>
      </c>
      <c r="D287" s="3">
        <f t="shared" si="11"/>
        <v>8.3333333333334147E-3</v>
      </c>
      <c r="E287" s="3">
        <f t="shared" si="12"/>
        <v>1.3888888888887729E-3</v>
      </c>
      <c r="F287" s="1" t="s">
        <v>3</v>
      </c>
    </row>
    <row r="288" spans="1:6" x14ac:dyDescent="0.25">
      <c r="A288" s="20">
        <v>42278</v>
      </c>
      <c r="B288" s="3">
        <v>0.4291666666666667</v>
      </c>
      <c r="C288" s="3">
        <v>0.43888888888888888</v>
      </c>
      <c r="D288" s="3">
        <f t="shared" si="11"/>
        <v>9.7222222222221877E-3</v>
      </c>
      <c r="E288" s="3">
        <f t="shared" si="12"/>
        <v>5.5511151231257827E-17</v>
      </c>
      <c r="F288" s="1" t="s">
        <v>3</v>
      </c>
    </row>
    <row r="289" spans="1:6" x14ac:dyDescent="0.25">
      <c r="A289" s="20">
        <v>42278</v>
      </c>
      <c r="B289" s="3">
        <v>0.47847222222222219</v>
      </c>
      <c r="C289" s="3">
        <v>0.48819444444444443</v>
      </c>
      <c r="D289" s="3">
        <f t="shared" si="11"/>
        <v>9.7222222222222432E-3</v>
      </c>
      <c r="E289" s="3">
        <f t="shared" si="12"/>
        <v>4.8611111111110383E-3</v>
      </c>
      <c r="F289" s="1" t="s">
        <v>3</v>
      </c>
    </row>
    <row r="290" spans="1:6" x14ac:dyDescent="0.25">
      <c r="A290" s="20">
        <v>42278</v>
      </c>
      <c r="B290" s="3">
        <v>0.5229166666666667</v>
      </c>
      <c r="C290" s="3">
        <v>0.53749999999999998</v>
      </c>
      <c r="D290" s="3">
        <f t="shared" si="11"/>
        <v>1.4583333333333282E-2</v>
      </c>
      <c r="E290" s="3">
        <f t="shared" si="12"/>
        <v>2.0833333333332149E-3</v>
      </c>
      <c r="F290" s="1" t="s">
        <v>3</v>
      </c>
    </row>
    <row r="291" spans="1:6" x14ac:dyDescent="0.25">
      <c r="A291" s="20">
        <v>42278</v>
      </c>
      <c r="B291" s="3">
        <v>0.51041666666666663</v>
      </c>
      <c r="C291" s="3">
        <v>0.5229166666666667</v>
      </c>
      <c r="D291" s="3">
        <f t="shared" si="11"/>
        <v>1.2500000000000067E-2</v>
      </c>
      <c r="E291" s="3">
        <f t="shared" si="12"/>
        <v>1.041666666666663E-2</v>
      </c>
      <c r="F291" s="1" t="s">
        <v>3</v>
      </c>
    </row>
    <row r="292" spans="1:6" x14ac:dyDescent="0.25">
      <c r="A292" s="20">
        <v>42278</v>
      </c>
      <c r="B292" s="3">
        <v>0.66666666666666663</v>
      </c>
      <c r="C292" s="3">
        <v>0.68958333333333333</v>
      </c>
      <c r="D292" s="3">
        <f t="shared" si="11"/>
        <v>2.2916666666666696E-2</v>
      </c>
      <c r="E292" s="3">
        <f t="shared" si="12"/>
        <v>1.8055555555555713E-2</v>
      </c>
      <c r="F292" s="1" t="s">
        <v>3</v>
      </c>
    </row>
    <row r="293" spans="1:6" x14ac:dyDescent="0.25">
      <c r="A293" s="20">
        <v>42278</v>
      </c>
      <c r="B293" s="3">
        <v>0.68888888888888899</v>
      </c>
      <c r="C293" s="3">
        <v>0.69374999999999998</v>
      </c>
      <c r="D293" s="3">
        <f t="shared" si="11"/>
        <v>4.8611111111109828E-3</v>
      </c>
      <c r="E293" s="3">
        <f t="shared" si="12"/>
        <v>6.9444444444421993E-4</v>
      </c>
      <c r="F293" s="1" t="s">
        <v>3</v>
      </c>
    </row>
    <row r="294" spans="1:6" x14ac:dyDescent="0.25">
      <c r="A294" s="20">
        <v>42278</v>
      </c>
      <c r="B294" s="3">
        <v>0.72986111111111107</v>
      </c>
      <c r="C294" s="3">
        <v>0.73402777777777783</v>
      </c>
      <c r="D294" s="3">
        <f t="shared" si="11"/>
        <v>4.1666666666667629E-3</v>
      </c>
      <c r="E294" s="3">
        <f t="shared" si="12"/>
        <v>4.8611111111110938E-3</v>
      </c>
      <c r="F294" s="1" t="s">
        <v>3</v>
      </c>
    </row>
    <row r="295" spans="1:6" x14ac:dyDescent="0.25">
      <c r="A295" s="20">
        <v>42278</v>
      </c>
      <c r="B295" s="3">
        <v>0.74305555555555547</v>
      </c>
      <c r="C295" s="3">
        <v>0.75208333333333333</v>
      </c>
      <c r="D295" s="3">
        <f t="shared" si="11"/>
        <v>9.0277777777778567E-3</v>
      </c>
      <c r="E295" s="3">
        <f t="shared" si="12"/>
        <v>6.9444444444444198E-4</v>
      </c>
      <c r="F295" s="1" t="s">
        <v>3</v>
      </c>
    </row>
    <row r="296" spans="1:6" x14ac:dyDescent="0.25">
      <c r="A296" s="20">
        <v>42278</v>
      </c>
      <c r="B296" s="3">
        <v>0.82361111111111107</v>
      </c>
      <c r="C296" s="3">
        <v>0.83333333333333337</v>
      </c>
      <c r="D296" s="3">
        <f t="shared" si="11"/>
        <v>9.7222222222222987E-3</v>
      </c>
      <c r="E296" s="3">
        <f t="shared" si="12"/>
        <v>6.2499999999999223E-3</v>
      </c>
      <c r="F296" s="1" t="s">
        <v>3</v>
      </c>
    </row>
    <row r="297" spans="1:6" x14ac:dyDescent="0.25">
      <c r="A297" s="20">
        <v>42278</v>
      </c>
      <c r="B297" s="3">
        <v>4.8611111111111112E-3</v>
      </c>
      <c r="C297" s="3">
        <v>2.0833333333333332E-2</v>
      </c>
      <c r="D297" s="3">
        <f t="shared" si="11"/>
        <v>1.5972222222222221E-2</v>
      </c>
      <c r="E297" s="3">
        <f t="shared" si="12"/>
        <v>1.388888888888884E-3</v>
      </c>
      <c r="F297" s="1" t="s">
        <v>3</v>
      </c>
    </row>
    <row r="298" spans="1:6" x14ac:dyDescent="0.25">
      <c r="A298" s="20">
        <v>42278</v>
      </c>
      <c r="B298" s="3">
        <v>0.29583333333333334</v>
      </c>
      <c r="C298" s="3">
        <v>0.31041666666666667</v>
      </c>
      <c r="D298" s="3">
        <f t="shared" si="11"/>
        <v>1.4583333333333337E-2</v>
      </c>
      <c r="E298" s="3">
        <f t="shared" si="12"/>
        <v>7.6388888888888895E-3</v>
      </c>
      <c r="F298" s="1" t="s">
        <v>3</v>
      </c>
    </row>
    <row r="299" spans="1:6" x14ac:dyDescent="0.25">
      <c r="A299" s="20">
        <v>42278</v>
      </c>
      <c r="B299" s="3">
        <v>0.1423611111111111</v>
      </c>
      <c r="C299" s="3">
        <v>0.14930555555555555</v>
      </c>
      <c r="D299" s="3">
        <f t="shared" si="11"/>
        <v>6.9444444444444475E-3</v>
      </c>
      <c r="E299" s="3">
        <f t="shared" si="12"/>
        <v>2.7755575615628914E-17</v>
      </c>
      <c r="F299" s="1" t="s">
        <v>3</v>
      </c>
    </row>
    <row r="300" spans="1:6" x14ac:dyDescent="0.25">
      <c r="A300" s="20">
        <v>42278</v>
      </c>
      <c r="B300" s="3">
        <v>0.42638888888888887</v>
      </c>
      <c r="C300" s="3">
        <v>0.43333333333333335</v>
      </c>
      <c r="D300" s="3">
        <f t="shared" si="11"/>
        <v>6.9444444444444753E-3</v>
      </c>
      <c r="E300" s="3">
        <f t="shared" si="12"/>
        <v>2.0833333333332704E-3</v>
      </c>
      <c r="F300" s="1" t="s">
        <v>3</v>
      </c>
    </row>
    <row r="301" spans="1:6" x14ac:dyDescent="0.25">
      <c r="A301" s="20">
        <v>42278</v>
      </c>
      <c r="B301" s="3">
        <v>0.45208333333333334</v>
      </c>
      <c r="C301" s="3">
        <v>0.46111111111111108</v>
      </c>
      <c r="D301" s="3">
        <f t="shared" si="11"/>
        <v>9.0277777777777457E-3</v>
      </c>
      <c r="E301" s="3">
        <f t="shared" si="12"/>
        <v>4.8611111111110938E-3</v>
      </c>
      <c r="F301" s="1" t="s">
        <v>3</v>
      </c>
    </row>
    <row r="302" spans="1:6" x14ac:dyDescent="0.25">
      <c r="A302" s="20">
        <v>42278</v>
      </c>
      <c r="B302" s="3">
        <v>0.47083333333333338</v>
      </c>
      <c r="C302" s="3">
        <v>0.47500000000000003</v>
      </c>
      <c r="D302" s="3">
        <f t="shared" si="11"/>
        <v>4.1666666666666519E-3</v>
      </c>
      <c r="E302" s="3">
        <f t="shared" si="12"/>
        <v>1.388888888888884E-3</v>
      </c>
      <c r="F302" s="1" t="s">
        <v>3</v>
      </c>
    </row>
    <row r="303" spans="1:6" x14ac:dyDescent="0.25">
      <c r="A303" s="20">
        <v>42278</v>
      </c>
      <c r="B303" s="3">
        <v>0.78819444444444453</v>
      </c>
      <c r="C303" s="3">
        <v>0.7909722222222223</v>
      </c>
      <c r="D303" s="3">
        <f t="shared" si="11"/>
        <v>2.7777777777777679E-3</v>
      </c>
      <c r="E303" s="3">
        <f t="shared" si="12"/>
        <v>6.2500000000000888E-3</v>
      </c>
      <c r="F303" s="1" t="s">
        <v>3</v>
      </c>
    </row>
    <row r="304" spans="1:6" x14ac:dyDescent="0.25">
      <c r="A304" s="20">
        <v>42278</v>
      </c>
      <c r="B304" s="3">
        <v>0.85277777777777775</v>
      </c>
      <c r="C304" s="3">
        <v>0.8618055555555556</v>
      </c>
      <c r="D304" s="3">
        <f t="shared" si="11"/>
        <v>9.0277777777778567E-3</v>
      </c>
      <c r="E304" s="3">
        <f t="shared" si="12"/>
        <v>4.1666666666666519E-3</v>
      </c>
      <c r="F304" s="1" t="s">
        <v>3</v>
      </c>
    </row>
    <row r="305" spans="1:6" x14ac:dyDescent="0.25">
      <c r="A305" s="20">
        <v>42278</v>
      </c>
      <c r="B305" s="3">
        <v>0.91666666666666663</v>
      </c>
      <c r="C305" s="3">
        <v>0.92986111111111114</v>
      </c>
      <c r="D305" s="3">
        <f t="shared" si="11"/>
        <v>1.3194444444444509E-2</v>
      </c>
      <c r="E305" s="3">
        <f t="shared" si="12"/>
        <v>9.0277777777778567E-3</v>
      </c>
      <c r="F305" s="1" t="s">
        <v>3</v>
      </c>
    </row>
    <row r="306" spans="1:6" x14ac:dyDescent="0.25">
      <c r="A306" s="20">
        <v>42278</v>
      </c>
      <c r="B306" s="3">
        <v>0.93541666666666667</v>
      </c>
      <c r="C306" s="3">
        <v>0.93958333333333333</v>
      </c>
      <c r="D306" s="3">
        <f t="shared" si="11"/>
        <v>4.1666666666666519E-3</v>
      </c>
      <c r="E306" s="3">
        <f t="shared" si="12"/>
        <v>9.0277777777777457E-3</v>
      </c>
      <c r="F306" s="1" t="s">
        <v>3</v>
      </c>
    </row>
    <row r="307" spans="1:6" x14ac:dyDescent="0.25">
      <c r="A307" s="20">
        <v>42278</v>
      </c>
      <c r="B307" s="3">
        <v>0.59027777777777779</v>
      </c>
      <c r="C307" s="3">
        <v>0.60347222222222219</v>
      </c>
      <c r="D307" s="3">
        <f t="shared" si="11"/>
        <v>1.3194444444444398E-2</v>
      </c>
      <c r="E307" s="3">
        <f t="shared" si="12"/>
        <v>4.1666666666665408E-3</v>
      </c>
      <c r="F307" s="1" t="s">
        <v>3</v>
      </c>
    </row>
    <row r="308" spans="1:6" x14ac:dyDescent="0.25">
      <c r="A308" s="20">
        <v>42278</v>
      </c>
      <c r="B308" s="3">
        <v>0.61111111111111105</v>
      </c>
      <c r="C308" s="3">
        <v>0.62013888888888891</v>
      </c>
      <c r="D308" s="3">
        <f t="shared" si="11"/>
        <v>9.0277777777778567E-3</v>
      </c>
      <c r="E308" s="3">
        <f t="shared" si="12"/>
        <v>2.7777777777777679E-3</v>
      </c>
      <c r="F308" s="1" t="s">
        <v>3</v>
      </c>
    </row>
    <row r="309" spans="1:6" x14ac:dyDescent="0.25">
      <c r="A309" s="20">
        <v>42278</v>
      </c>
      <c r="B309" s="3">
        <v>0.82847222222222217</v>
      </c>
      <c r="C309" s="3">
        <v>0.83472222222222225</v>
      </c>
      <c r="D309" s="3">
        <f t="shared" si="11"/>
        <v>6.2500000000000888E-3</v>
      </c>
      <c r="E309" s="3">
        <f t="shared" si="12"/>
        <v>5.5555555555555358E-3</v>
      </c>
      <c r="F309" s="1" t="s">
        <v>3</v>
      </c>
    </row>
    <row r="310" spans="1:6" x14ac:dyDescent="0.25">
      <c r="A310" s="20">
        <v>42278</v>
      </c>
      <c r="B310" s="3">
        <v>0.85486111111111107</v>
      </c>
      <c r="C310" s="3">
        <v>0.8666666666666667</v>
      </c>
      <c r="D310" s="3">
        <f t="shared" si="11"/>
        <v>1.1805555555555625E-2</v>
      </c>
      <c r="E310" s="3">
        <f t="shared" si="12"/>
        <v>4.8611111111110938E-3</v>
      </c>
      <c r="F310" s="1" t="s">
        <v>3</v>
      </c>
    </row>
    <row r="311" spans="1:6" x14ac:dyDescent="0.25">
      <c r="A311" s="20">
        <v>42278</v>
      </c>
      <c r="B311" s="3">
        <v>0.96458333333333324</v>
      </c>
      <c r="C311" s="3">
        <v>0.97152777777777777</v>
      </c>
      <c r="D311" s="3">
        <f t="shared" si="11"/>
        <v>6.9444444444445308E-3</v>
      </c>
      <c r="E311" s="3">
        <f t="shared" si="12"/>
        <v>3.4722222222223209E-3</v>
      </c>
      <c r="F311" s="1" t="s">
        <v>3</v>
      </c>
    </row>
    <row r="312" spans="1:6" x14ac:dyDescent="0.25">
      <c r="A312" s="20">
        <v>42278</v>
      </c>
      <c r="B312" s="3">
        <v>8.0555555555555561E-2</v>
      </c>
      <c r="C312" s="3">
        <v>8.4027777777777771E-2</v>
      </c>
      <c r="D312" s="3">
        <f t="shared" si="11"/>
        <v>3.4722222222222099E-3</v>
      </c>
      <c r="E312" s="3">
        <f t="shared" si="12"/>
        <v>6.9444444444444198E-3</v>
      </c>
      <c r="F312" s="1" t="s">
        <v>3</v>
      </c>
    </row>
    <row r="313" spans="1:6" x14ac:dyDescent="0.25">
      <c r="A313" s="20">
        <v>42278</v>
      </c>
      <c r="B313" s="3">
        <v>0.29652777777777778</v>
      </c>
      <c r="C313" s="3">
        <v>0.30694444444444441</v>
      </c>
      <c r="D313" s="3">
        <f t="shared" si="11"/>
        <v>1.041666666666663E-2</v>
      </c>
      <c r="E313" s="3">
        <f t="shared" si="12"/>
        <v>2.0833333333333259E-3</v>
      </c>
      <c r="F313" s="1" t="s">
        <v>3</v>
      </c>
    </row>
    <row r="314" spans="1:6" x14ac:dyDescent="0.25">
      <c r="A314" s="20">
        <v>42278</v>
      </c>
      <c r="B314" s="3">
        <v>0.27569444444444446</v>
      </c>
      <c r="C314" s="3">
        <v>0.28402777777777777</v>
      </c>
      <c r="D314" s="3">
        <f t="shared" si="11"/>
        <v>8.3333333333333037E-3</v>
      </c>
      <c r="E314" s="3">
        <f t="shared" si="12"/>
        <v>6.9444444444438647E-4</v>
      </c>
      <c r="F314" s="1" t="s">
        <v>3</v>
      </c>
    </row>
    <row r="315" spans="1:6" x14ac:dyDescent="0.25">
      <c r="A315" s="20">
        <v>42278</v>
      </c>
      <c r="B315" s="3">
        <v>0.40625</v>
      </c>
      <c r="C315" s="3">
        <v>0.41388888888888892</v>
      </c>
      <c r="D315" s="3">
        <f t="shared" si="11"/>
        <v>7.6388888888889173E-3</v>
      </c>
      <c r="E315" s="3">
        <f t="shared" si="12"/>
        <v>3.4722222222222654E-3</v>
      </c>
      <c r="F315" s="1" t="s">
        <v>3</v>
      </c>
    </row>
    <row r="316" spans="1:6" x14ac:dyDescent="0.25">
      <c r="A316" s="20">
        <v>42278</v>
      </c>
      <c r="B316" s="3">
        <v>0.4284722222222222</v>
      </c>
      <c r="C316" s="3">
        <v>0.43263888888888885</v>
      </c>
      <c r="D316" s="3">
        <f t="shared" si="11"/>
        <v>4.1666666666666519E-3</v>
      </c>
      <c r="E316" s="3">
        <f t="shared" si="12"/>
        <v>1.0416666666666741E-2</v>
      </c>
      <c r="F316" s="1" t="s">
        <v>3</v>
      </c>
    </row>
    <row r="317" spans="1:6" x14ac:dyDescent="0.25">
      <c r="A317" s="20">
        <v>42278</v>
      </c>
      <c r="B317" s="3">
        <v>0.50208333333333333</v>
      </c>
      <c r="C317" s="3">
        <v>0.51666666666666672</v>
      </c>
      <c r="D317" s="3">
        <f t="shared" si="11"/>
        <v>1.4583333333333393E-2</v>
      </c>
      <c r="E317" s="3">
        <f t="shared" si="12"/>
        <v>2.1527777777777701E-2</v>
      </c>
      <c r="F317" s="1" t="s">
        <v>3</v>
      </c>
    </row>
    <row r="318" spans="1:6" x14ac:dyDescent="0.25">
      <c r="A318" s="20">
        <v>42278</v>
      </c>
      <c r="B318" s="3">
        <v>0.53402777777777777</v>
      </c>
      <c r="C318" s="3">
        <v>0.57013888888888886</v>
      </c>
      <c r="D318" s="3">
        <f t="shared" si="11"/>
        <v>3.6111111111111094E-2</v>
      </c>
      <c r="E318" s="3">
        <f t="shared" si="12"/>
        <v>2.2222222222222143E-2</v>
      </c>
      <c r="F318" s="1" t="s">
        <v>3</v>
      </c>
    </row>
    <row r="319" spans="1:6" x14ac:dyDescent="0.25">
      <c r="A319" s="20">
        <v>42278</v>
      </c>
      <c r="B319" s="3">
        <v>0.53263888888888888</v>
      </c>
      <c r="C319" s="3">
        <v>0.54652777777777783</v>
      </c>
      <c r="D319" s="3">
        <f t="shared" si="11"/>
        <v>1.3888888888888951E-2</v>
      </c>
      <c r="E319" s="3">
        <f t="shared" si="12"/>
        <v>9.7222222222221877E-3</v>
      </c>
      <c r="F319" s="1" t="s">
        <v>3</v>
      </c>
    </row>
    <row r="320" spans="1:6" x14ac:dyDescent="0.25">
      <c r="A320" s="20">
        <v>42278</v>
      </c>
      <c r="B320" s="3">
        <v>0.67222222222222217</v>
      </c>
      <c r="C320" s="3">
        <v>0.67638888888888893</v>
      </c>
      <c r="D320" s="3">
        <f t="shared" si="11"/>
        <v>4.1666666666667629E-3</v>
      </c>
      <c r="E320" s="3">
        <f t="shared" si="12"/>
        <v>1.3888888888887729E-3</v>
      </c>
      <c r="F320" s="1" t="s">
        <v>3</v>
      </c>
    </row>
    <row r="321" spans="1:6" x14ac:dyDescent="0.25">
      <c r="A321" s="20">
        <v>42278</v>
      </c>
      <c r="B321" s="3">
        <v>0.72986111111111107</v>
      </c>
      <c r="C321" s="3">
        <v>0.73541666666666661</v>
      </c>
      <c r="D321" s="3">
        <f t="shared" si="11"/>
        <v>5.5555555555555358E-3</v>
      </c>
      <c r="E321" s="3">
        <f t="shared" si="12"/>
        <v>6.9444444444444198E-4</v>
      </c>
      <c r="F321" s="1" t="s">
        <v>3</v>
      </c>
    </row>
    <row r="322" spans="1:6" x14ac:dyDescent="0.25">
      <c r="A322" s="20">
        <v>42278</v>
      </c>
      <c r="B322" s="3">
        <v>0.83472222222222225</v>
      </c>
      <c r="C322" s="3">
        <v>0.84097222222222223</v>
      </c>
      <c r="D322" s="3">
        <f t="shared" si="11"/>
        <v>6.2499999999999778E-3</v>
      </c>
      <c r="E322" s="3">
        <f t="shared" si="12"/>
        <v>4.8611111111110938E-3</v>
      </c>
      <c r="F322" s="1" t="s">
        <v>3</v>
      </c>
    </row>
    <row r="323" spans="1:6" x14ac:dyDescent="0.25">
      <c r="A323" s="20">
        <v>42278</v>
      </c>
      <c r="B323" s="3">
        <v>0.8847222222222223</v>
      </c>
      <c r="C323" s="3">
        <v>0.89583333333333337</v>
      </c>
      <c r="D323" s="3">
        <f t="shared" ref="D323:D386" si="13">(C323-B323)</f>
        <v>1.1111111111111072E-2</v>
      </c>
      <c r="E323" s="3">
        <f t="shared" si="12"/>
        <v>8.333333333333387E-3</v>
      </c>
      <c r="F323" s="1" t="s">
        <v>3</v>
      </c>
    </row>
    <row r="324" spans="1:6" x14ac:dyDescent="0.25">
      <c r="A324" s="20">
        <v>42278</v>
      </c>
      <c r="B324" s="3">
        <v>0.15347222222222223</v>
      </c>
      <c r="C324" s="3">
        <v>0.17291666666666669</v>
      </c>
      <c r="D324" s="3">
        <f t="shared" si="13"/>
        <v>1.9444444444444459E-2</v>
      </c>
      <c r="E324" s="3">
        <f t="shared" si="12"/>
        <v>1.3194444444444481E-2</v>
      </c>
      <c r="F324" s="1" t="s">
        <v>3</v>
      </c>
    </row>
    <row r="325" spans="1:6" x14ac:dyDescent="0.25">
      <c r="A325" s="20">
        <v>42278</v>
      </c>
      <c r="B325" s="3">
        <v>0.29166666666666669</v>
      </c>
      <c r="C325" s="3">
        <v>0.29791666666666666</v>
      </c>
      <c r="D325" s="3">
        <f t="shared" si="13"/>
        <v>6.2499999999999778E-3</v>
      </c>
      <c r="E325" s="3">
        <f t="shared" si="12"/>
        <v>6.9444444444449749E-4</v>
      </c>
      <c r="F325" s="1" t="s">
        <v>3</v>
      </c>
    </row>
    <row r="326" spans="1:6" x14ac:dyDescent="0.25">
      <c r="A326" s="20">
        <v>42278</v>
      </c>
      <c r="B326" s="3">
        <v>0.44444444444444442</v>
      </c>
      <c r="C326" s="3">
        <v>0.4513888888888889</v>
      </c>
      <c r="D326" s="3">
        <f t="shared" si="13"/>
        <v>6.9444444444444753E-3</v>
      </c>
      <c r="E326" s="3">
        <f t="shared" si="12"/>
        <v>1.1111111111111016E-2</v>
      </c>
      <c r="F326" s="1" t="s">
        <v>3</v>
      </c>
    </row>
    <row r="327" spans="1:6" x14ac:dyDescent="0.25">
      <c r="A327" s="20">
        <v>42278</v>
      </c>
      <c r="B327" s="3">
        <v>0.58194444444444449</v>
      </c>
      <c r="C327" s="3">
        <v>0.6</v>
      </c>
      <c r="D327" s="3">
        <f t="shared" si="13"/>
        <v>1.8055555555555491E-2</v>
      </c>
      <c r="E327" s="3">
        <f t="shared" si="12"/>
        <v>1.3194444444444398E-2</v>
      </c>
      <c r="F327" s="1" t="s">
        <v>3</v>
      </c>
    </row>
    <row r="328" spans="1:6" x14ac:dyDescent="0.25">
      <c r="A328" s="20">
        <v>42278</v>
      </c>
      <c r="B328" s="3">
        <v>0.73958333333333337</v>
      </c>
      <c r="C328" s="3">
        <v>0.74444444444444446</v>
      </c>
      <c r="D328" s="3">
        <f t="shared" si="13"/>
        <v>4.8611111111110938E-3</v>
      </c>
      <c r="E328" s="3">
        <f t="shared" si="12"/>
        <v>4.8611111111110938E-3</v>
      </c>
      <c r="F328" s="1" t="s">
        <v>3</v>
      </c>
    </row>
    <row r="329" spans="1:6" x14ac:dyDescent="0.25">
      <c r="A329" s="20">
        <v>42278</v>
      </c>
      <c r="B329" s="3">
        <v>0.70277777777777783</v>
      </c>
      <c r="C329" s="3">
        <v>0.71250000000000002</v>
      </c>
      <c r="D329" s="3">
        <f t="shared" si="13"/>
        <v>9.7222222222221877E-3</v>
      </c>
      <c r="E329" s="3">
        <f t="shared" si="12"/>
        <v>2.7777777777776569E-3</v>
      </c>
      <c r="F329" s="1" t="s">
        <v>3</v>
      </c>
    </row>
    <row r="330" spans="1:6" x14ac:dyDescent="0.25">
      <c r="A330" s="20">
        <v>42278</v>
      </c>
      <c r="B330" s="3">
        <v>0.81111111111111101</v>
      </c>
      <c r="C330" s="3">
        <v>0.81805555555555554</v>
      </c>
      <c r="D330" s="3">
        <f t="shared" si="13"/>
        <v>6.9444444444445308E-3</v>
      </c>
      <c r="E330" s="3">
        <f t="shared" si="12"/>
        <v>6.9444444444433095E-4</v>
      </c>
      <c r="F330" s="1" t="s">
        <v>3</v>
      </c>
    </row>
    <row r="331" spans="1:6" x14ac:dyDescent="0.25">
      <c r="A331" s="20">
        <v>42278</v>
      </c>
      <c r="B331" s="3">
        <v>0.86319444444444438</v>
      </c>
      <c r="C331" s="3">
        <v>0.87083333333333324</v>
      </c>
      <c r="D331" s="3">
        <f t="shared" si="13"/>
        <v>7.6388888888888618E-3</v>
      </c>
      <c r="E331" s="3">
        <f t="shared" si="12"/>
        <v>3.4722222222220989E-3</v>
      </c>
      <c r="F331" s="1" t="s">
        <v>3</v>
      </c>
    </row>
    <row r="332" spans="1:6" x14ac:dyDescent="0.25">
      <c r="A332" s="20">
        <v>42278</v>
      </c>
      <c r="B332" s="3">
        <v>0.96180555555555547</v>
      </c>
      <c r="C332" s="3">
        <v>0.96597222222222223</v>
      </c>
      <c r="D332" s="3">
        <f t="shared" si="13"/>
        <v>4.1666666666667629E-3</v>
      </c>
      <c r="E332" s="3">
        <f t="shared" si="12"/>
        <v>2.0833333333331594E-3</v>
      </c>
      <c r="F332" s="1" t="s">
        <v>3</v>
      </c>
    </row>
    <row r="333" spans="1:6" x14ac:dyDescent="0.25">
      <c r="A333" s="20">
        <v>42278</v>
      </c>
      <c r="B333" s="3">
        <v>0.34583333333333338</v>
      </c>
      <c r="C333" s="3">
        <v>0.3520833333333333</v>
      </c>
      <c r="D333" s="3">
        <f t="shared" si="13"/>
        <v>6.2499999999999223E-3</v>
      </c>
      <c r="E333" s="3">
        <f t="shared" si="12"/>
        <v>6.9444444444427544E-4</v>
      </c>
      <c r="F333" s="1" t="s">
        <v>3</v>
      </c>
    </row>
    <row r="334" spans="1:6" x14ac:dyDescent="0.25">
      <c r="A334" s="20">
        <v>42278</v>
      </c>
      <c r="B334" s="3">
        <v>0.40416666666666662</v>
      </c>
      <c r="C334" s="3">
        <v>0.40972222222222227</v>
      </c>
      <c r="D334" s="3">
        <f t="shared" si="13"/>
        <v>5.5555555555556468E-3</v>
      </c>
      <c r="E334" s="3">
        <f t="shared" ref="E334:E375" si="14">ABS(D334-D335)</f>
        <v>9.0277777777777457E-3</v>
      </c>
      <c r="F334" s="1" t="s">
        <v>3</v>
      </c>
    </row>
    <row r="335" spans="1:6" x14ac:dyDescent="0.25">
      <c r="A335" s="20">
        <v>42278</v>
      </c>
      <c r="B335" s="3">
        <v>0.40277777777777773</v>
      </c>
      <c r="C335" s="3">
        <v>0.41736111111111113</v>
      </c>
      <c r="D335" s="3">
        <f t="shared" si="13"/>
        <v>1.4583333333333393E-2</v>
      </c>
      <c r="E335" s="3">
        <f t="shared" si="14"/>
        <v>1.0416666666666741E-2</v>
      </c>
      <c r="F335" s="1" t="s">
        <v>3</v>
      </c>
    </row>
    <row r="336" spans="1:6" x14ac:dyDescent="0.25">
      <c r="A336" s="20">
        <v>42278</v>
      </c>
      <c r="B336" s="3">
        <v>0.42430555555555555</v>
      </c>
      <c r="C336" s="3">
        <v>0.4284722222222222</v>
      </c>
      <c r="D336" s="3">
        <f t="shared" si="13"/>
        <v>4.1666666666666519E-3</v>
      </c>
      <c r="E336" s="3">
        <f t="shared" si="14"/>
        <v>4.8611111111110938E-3</v>
      </c>
      <c r="F336" s="1" t="s">
        <v>3</v>
      </c>
    </row>
    <row r="337" spans="1:6" x14ac:dyDescent="0.25">
      <c r="A337" s="20">
        <v>42278</v>
      </c>
      <c r="B337" s="3">
        <v>0.41944444444444445</v>
      </c>
      <c r="C337" s="3">
        <v>0.4284722222222222</v>
      </c>
      <c r="D337" s="3">
        <f t="shared" si="13"/>
        <v>9.0277777777777457E-3</v>
      </c>
      <c r="E337" s="3">
        <f t="shared" si="14"/>
        <v>5.5511151231257827E-17</v>
      </c>
      <c r="F337" s="1" t="s">
        <v>3</v>
      </c>
    </row>
    <row r="338" spans="1:6" x14ac:dyDescent="0.25">
      <c r="A338" s="20">
        <v>42278</v>
      </c>
      <c r="B338" s="3">
        <v>0.44027777777777777</v>
      </c>
      <c r="C338" s="3">
        <v>0.44930555555555557</v>
      </c>
      <c r="D338" s="3">
        <f t="shared" si="13"/>
        <v>9.0277777777778012E-3</v>
      </c>
      <c r="E338" s="3">
        <f t="shared" si="14"/>
        <v>1.4583333333333282E-2</v>
      </c>
      <c r="F338" s="1" t="s">
        <v>3</v>
      </c>
    </row>
    <row r="339" spans="1:6" x14ac:dyDescent="0.25">
      <c r="A339" s="20">
        <v>42278</v>
      </c>
      <c r="B339" s="3">
        <v>0.47222222222222227</v>
      </c>
      <c r="C339" s="3">
        <v>0.49583333333333335</v>
      </c>
      <c r="D339" s="3">
        <f t="shared" si="13"/>
        <v>2.3611111111111083E-2</v>
      </c>
      <c r="E339" s="3">
        <f t="shared" si="14"/>
        <v>1.5972222222222221E-2</v>
      </c>
      <c r="F339" s="1" t="s">
        <v>3</v>
      </c>
    </row>
    <row r="340" spans="1:6" x14ac:dyDescent="0.25">
      <c r="A340" s="20">
        <v>42278</v>
      </c>
      <c r="B340" s="3">
        <v>0.5229166666666667</v>
      </c>
      <c r="C340" s="3">
        <v>0.5625</v>
      </c>
      <c r="D340" s="3">
        <f t="shared" si="13"/>
        <v>3.9583333333333304E-2</v>
      </c>
      <c r="E340" s="3">
        <f t="shared" si="14"/>
        <v>3.125E-2</v>
      </c>
      <c r="F340" s="1" t="s">
        <v>3</v>
      </c>
    </row>
    <row r="341" spans="1:6" x14ac:dyDescent="0.25">
      <c r="A341" s="20">
        <v>42278</v>
      </c>
      <c r="B341" s="3">
        <v>0.50138888888888888</v>
      </c>
      <c r="C341" s="3">
        <v>0.50972222222222219</v>
      </c>
      <c r="D341" s="3">
        <f t="shared" si="13"/>
        <v>8.3333333333333037E-3</v>
      </c>
      <c r="E341" s="3">
        <f t="shared" si="14"/>
        <v>2.0833333333333259E-3</v>
      </c>
      <c r="F341" s="1" t="s">
        <v>3</v>
      </c>
    </row>
    <row r="342" spans="1:6" x14ac:dyDescent="0.25">
      <c r="A342" s="20">
        <v>42278</v>
      </c>
      <c r="B342" s="3">
        <v>0.56388888888888888</v>
      </c>
      <c r="C342" s="3">
        <v>0.57430555555555551</v>
      </c>
      <c r="D342" s="3">
        <f t="shared" si="13"/>
        <v>1.041666666666663E-2</v>
      </c>
      <c r="E342" s="3">
        <f t="shared" si="14"/>
        <v>3.4722222222220989E-3</v>
      </c>
      <c r="F342" s="1" t="s">
        <v>3</v>
      </c>
    </row>
    <row r="343" spans="1:6" x14ac:dyDescent="0.25">
      <c r="A343" s="20">
        <v>42278</v>
      </c>
      <c r="B343" s="3">
        <v>0.57986111111111105</v>
      </c>
      <c r="C343" s="3">
        <v>0.58680555555555558</v>
      </c>
      <c r="D343" s="3">
        <f t="shared" si="13"/>
        <v>6.9444444444445308E-3</v>
      </c>
      <c r="E343" s="3">
        <f t="shared" si="14"/>
        <v>6.94444444444553E-4</v>
      </c>
      <c r="F343" s="1" t="s">
        <v>3</v>
      </c>
    </row>
    <row r="344" spans="1:6" x14ac:dyDescent="0.25">
      <c r="A344" s="20">
        <v>42278</v>
      </c>
      <c r="B344" s="3">
        <v>0.6430555555555556</v>
      </c>
      <c r="C344" s="3">
        <v>0.64930555555555558</v>
      </c>
      <c r="D344" s="3">
        <f t="shared" si="13"/>
        <v>6.2499999999999778E-3</v>
      </c>
      <c r="E344" s="3">
        <f t="shared" si="14"/>
        <v>2.2916666666666696E-2</v>
      </c>
      <c r="F344" s="1" t="s">
        <v>3</v>
      </c>
    </row>
    <row r="345" spans="1:6" x14ac:dyDescent="0.25">
      <c r="A345" s="20">
        <v>42278</v>
      </c>
      <c r="B345" s="3">
        <v>0.70972222222222225</v>
      </c>
      <c r="C345" s="3">
        <v>0.73888888888888893</v>
      </c>
      <c r="D345" s="3">
        <f t="shared" si="13"/>
        <v>2.9166666666666674E-2</v>
      </c>
      <c r="E345" s="3">
        <f t="shared" si="14"/>
        <v>2.430555555555558E-2</v>
      </c>
      <c r="F345" s="1" t="s">
        <v>3</v>
      </c>
    </row>
    <row r="346" spans="1:6" x14ac:dyDescent="0.25">
      <c r="A346" s="20">
        <v>42278</v>
      </c>
      <c r="B346" s="3">
        <v>0.7729166666666667</v>
      </c>
      <c r="C346" s="3">
        <v>0.77777777777777779</v>
      </c>
      <c r="D346" s="3">
        <f t="shared" si="13"/>
        <v>4.8611111111110938E-3</v>
      </c>
      <c r="E346" s="3">
        <f t="shared" si="14"/>
        <v>7.6388888888887507E-3</v>
      </c>
      <c r="F346" s="1" t="s">
        <v>3</v>
      </c>
    </row>
    <row r="347" spans="1:6" x14ac:dyDescent="0.25">
      <c r="A347" s="20">
        <v>42278</v>
      </c>
      <c r="B347" s="3">
        <v>0.90763888888888899</v>
      </c>
      <c r="C347" s="3">
        <v>0.92013888888888884</v>
      </c>
      <c r="D347" s="3">
        <f t="shared" si="13"/>
        <v>1.2499999999999845E-2</v>
      </c>
      <c r="E347" s="3">
        <f t="shared" si="14"/>
        <v>5.5555555555554248E-3</v>
      </c>
      <c r="F347" s="1" t="s">
        <v>3</v>
      </c>
    </row>
    <row r="348" spans="1:6" x14ac:dyDescent="0.25">
      <c r="A348" s="20">
        <v>42278</v>
      </c>
      <c r="B348" s="3">
        <v>0.39861111111111108</v>
      </c>
      <c r="C348" s="3">
        <v>0.4055555555555555</v>
      </c>
      <c r="D348" s="3">
        <f t="shared" si="13"/>
        <v>6.9444444444444198E-3</v>
      </c>
      <c r="E348" s="3">
        <f t="shared" si="14"/>
        <v>2.5694444444444464E-2</v>
      </c>
      <c r="F348" s="1" t="s">
        <v>3</v>
      </c>
    </row>
    <row r="349" spans="1:6" x14ac:dyDescent="0.25">
      <c r="A349" s="20">
        <v>42278</v>
      </c>
      <c r="B349" s="3">
        <v>0.51944444444444449</v>
      </c>
      <c r="C349" s="3">
        <v>0.55208333333333337</v>
      </c>
      <c r="D349" s="3">
        <f t="shared" si="13"/>
        <v>3.2638888888888884E-2</v>
      </c>
      <c r="E349" s="3">
        <f t="shared" si="14"/>
        <v>2.5694444444444464E-2</v>
      </c>
      <c r="F349" s="1" t="s">
        <v>3</v>
      </c>
    </row>
    <row r="350" spans="1:6" x14ac:dyDescent="0.25">
      <c r="A350" s="20">
        <v>42278</v>
      </c>
      <c r="B350" s="3">
        <v>0.53888888888888886</v>
      </c>
      <c r="C350" s="3">
        <v>0.54583333333333328</v>
      </c>
      <c r="D350" s="3">
        <f t="shared" si="13"/>
        <v>6.9444444444444198E-3</v>
      </c>
      <c r="E350" s="3">
        <f t="shared" si="14"/>
        <v>4.1666666666666741E-2</v>
      </c>
      <c r="F350" s="1" t="s">
        <v>3</v>
      </c>
    </row>
    <row r="351" spans="1:6" x14ac:dyDescent="0.25">
      <c r="A351" s="20">
        <v>42278</v>
      </c>
      <c r="B351" s="3">
        <v>0.69305555555555554</v>
      </c>
      <c r="C351" s="3">
        <v>0.7416666666666667</v>
      </c>
      <c r="D351" s="3">
        <f t="shared" si="13"/>
        <v>4.861111111111116E-2</v>
      </c>
      <c r="E351" s="3">
        <f t="shared" si="14"/>
        <v>4.0277777777777746E-2</v>
      </c>
      <c r="F351" s="1" t="s">
        <v>3</v>
      </c>
    </row>
    <row r="352" spans="1:6" x14ac:dyDescent="0.25">
      <c r="A352" s="20">
        <v>42278</v>
      </c>
      <c r="B352" s="3">
        <v>0.70694444444444438</v>
      </c>
      <c r="C352" s="3">
        <v>0.71527777777777779</v>
      </c>
      <c r="D352" s="3">
        <f t="shared" si="13"/>
        <v>8.3333333333334147E-3</v>
      </c>
      <c r="E352" s="3">
        <f t="shared" si="14"/>
        <v>2.7777777777778789E-3</v>
      </c>
      <c r="F352" s="1" t="s">
        <v>3</v>
      </c>
    </row>
    <row r="353" spans="1:6" x14ac:dyDescent="0.25">
      <c r="A353" s="20">
        <v>42278</v>
      </c>
      <c r="B353" s="3">
        <v>0.73611111111111116</v>
      </c>
      <c r="C353" s="3">
        <v>0.7416666666666667</v>
      </c>
      <c r="D353" s="3">
        <f t="shared" si="13"/>
        <v>5.5555555555555358E-3</v>
      </c>
      <c r="E353" s="3">
        <f t="shared" si="14"/>
        <v>9.7222222222222987E-3</v>
      </c>
      <c r="F353" s="1" t="s">
        <v>3</v>
      </c>
    </row>
    <row r="354" spans="1:6" x14ac:dyDescent="0.25">
      <c r="A354" s="20">
        <v>42278</v>
      </c>
      <c r="B354" s="3">
        <v>0.78333333333333333</v>
      </c>
      <c r="C354" s="3">
        <v>0.79861111111111116</v>
      </c>
      <c r="D354" s="3">
        <f t="shared" si="13"/>
        <v>1.5277777777777835E-2</v>
      </c>
      <c r="E354" s="3">
        <f t="shared" si="14"/>
        <v>3.0555555555555336E-2</v>
      </c>
      <c r="F354" s="1" t="s">
        <v>3</v>
      </c>
    </row>
    <row r="355" spans="1:6" x14ac:dyDescent="0.25">
      <c r="A355" s="20">
        <v>42278</v>
      </c>
      <c r="B355" s="3">
        <v>0.91041666666666676</v>
      </c>
      <c r="C355" s="3">
        <v>0.95624999999999993</v>
      </c>
      <c r="D355" s="3">
        <f t="shared" si="13"/>
        <v>4.5833333333333171E-2</v>
      </c>
      <c r="E355" s="3">
        <f t="shared" si="14"/>
        <v>4.1666666666666519E-2</v>
      </c>
      <c r="F355" s="1" t="s">
        <v>3</v>
      </c>
    </row>
    <row r="356" spans="1:6" x14ac:dyDescent="0.25">
      <c r="A356" s="20">
        <v>42278</v>
      </c>
      <c r="B356" s="3">
        <v>0.4201388888888889</v>
      </c>
      <c r="C356" s="3">
        <v>0.42430555555555555</v>
      </c>
      <c r="D356" s="3">
        <f t="shared" si="13"/>
        <v>4.1666666666666519E-3</v>
      </c>
      <c r="E356" s="3">
        <f t="shared" si="14"/>
        <v>2.0833333333332704E-3</v>
      </c>
      <c r="F356" s="1" t="s">
        <v>3</v>
      </c>
    </row>
    <row r="357" spans="1:6" x14ac:dyDescent="0.25">
      <c r="A357" s="20">
        <v>42278</v>
      </c>
      <c r="B357" s="3">
        <v>0.4381944444444445</v>
      </c>
      <c r="C357" s="3">
        <v>0.44444444444444442</v>
      </c>
      <c r="D357" s="3">
        <f t="shared" si="13"/>
        <v>6.2499999999999223E-3</v>
      </c>
      <c r="E357" s="3">
        <f t="shared" si="14"/>
        <v>6.9444444444438647E-4</v>
      </c>
      <c r="F357" s="1" t="s">
        <v>3</v>
      </c>
    </row>
    <row r="358" spans="1:6" x14ac:dyDescent="0.25">
      <c r="A358" s="20">
        <v>42278</v>
      </c>
      <c r="B358" s="3">
        <v>0.4694444444444445</v>
      </c>
      <c r="C358" s="3">
        <v>0.47500000000000003</v>
      </c>
      <c r="D358" s="3">
        <f t="shared" si="13"/>
        <v>5.5555555555555358E-3</v>
      </c>
      <c r="E358" s="3">
        <f t="shared" si="14"/>
        <v>3.4722222222222099E-3</v>
      </c>
      <c r="F358" s="1" t="s">
        <v>3</v>
      </c>
    </row>
    <row r="359" spans="1:6" x14ac:dyDescent="0.25">
      <c r="A359" s="20">
        <v>42278</v>
      </c>
      <c r="B359" s="3">
        <v>0.51388888888888895</v>
      </c>
      <c r="C359" s="3">
        <v>0.5229166666666667</v>
      </c>
      <c r="D359" s="3">
        <f t="shared" si="13"/>
        <v>9.0277777777777457E-3</v>
      </c>
      <c r="E359" s="3">
        <f t="shared" si="14"/>
        <v>3.4722222222222099E-3</v>
      </c>
      <c r="F359" s="1" t="s">
        <v>3</v>
      </c>
    </row>
    <row r="360" spans="1:6" x14ac:dyDescent="0.25">
      <c r="A360" s="20">
        <v>42278</v>
      </c>
      <c r="B360" s="3">
        <v>0.52847222222222223</v>
      </c>
      <c r="C360" s="3">
        <v>0.53402777777777777</v>
      </c>
      <c r="D360" s="3">
        <f t="shared" si="13"/>
        <v>5.5555555555555358E-3</v>
      </c>
      <c r="E360" s="3">
        <f t="shared" si="14"/>
        <v>3.3333333333333326E-2</v>
      </c>
      <c r="F360" s="1" t="s">
        <v>3</v>
      </c>
    </row>
    <row r="361" spans="1:6" x14ac:dyDescent="0.25">
      <c r="A361" s="20">
        <v>42278</v>
      </c>
      <c r="B361" s="3">
        <v>0.53194444444444444</v>
      </c>
      <c r="C361" s="3">
        <v>0.5708333333333333</v>
      </c>
      <c r="D361" s="3">
        <f t="shared" si="13"/>
        <v>3.8888888888888862E-2</v>
      </c>
      <c r="E361" s="3">
        <f t="shared" si="14"/>
        <v>2.6388888888888906E-2</v>
      </c>
      <c r="F361" s="1" t="s">
        <v>3</v>
      </c>
    </row>
    <row r="362" spans="1:6" x14ac:dyDescent="0.25">
      <c r="A362" s="20">
        <v>42278</v>
      </c>
      <c r="B362" s="3">
        <v>0.53472222222222221</v>
      </c>
      <c r="C362" s="3">
        <v>0.54722222222222217</v>
      </c>
      <c r="D362" s="3">
        <f t="shared" si="13"/>
        <v>1.2499999999999956E-2</v>
      </c>
      <c r="E362" s="3">
        <f t="shared" si="14"/>
        <v>7.6388888888888618E-3</v>
      </c>
      <c r="F362" s="1" t="s">
        <v>3</v>
      </c>
    </row>
    <row r="363" spans="1:6" x14ac:dyDescent="0.25">
      <c r="A363" s="20">
        <v>42278</v>
      </c>
      <c r="B363" s="3">
        <v>0.55208333333333337</v>
      </c>
      <c r="C363" s="3">
        <v>0.57222222222222219</v>
      </c>
      <c r="D363" s="3">
        <f t="shared" si="13"/>
        <v>2.0138888888888817E-2</v>
      </c>
      <c r="E363" s="3">
        <f t="shared" si="14"/>
        <v>2.0833333333333259E-3</v>
      </c>
      <c r="F363" s="1" t="s">
        <v>3</v>
      </c>
    </row>
    <row r="364" spans="1:6" x14ac:dyDescent="0.25">
      <c r="A364" s="20">
        <v>42278</v>
      </c>
      <c r="B364" s="3">
        <v>0.73611111111111116</v>
      </c>
      <c r="C364" s="3">
        <v>0.7583333333333333</v>
      </c>
      <c r="D364" s="3">
        <f t="shared" si="13"/>
        <v>2.2222222222222143E-2</v>
      </c>
      <c r="E364" s="3">
        <f t="shared" si="14"/>
        <v>9.0277777777777457E-3</v>
      </c>
      <c r="F364" s="1" t="s">
        <v>3</v>
      </c>
    </row>
    <row r="365" spans="1:6" x14ac:dyDescent="0.25">
      <c r="A365" s="20">
        <v>42278</v>
      </c>
      <c r="B365" s="3">
        <v>0.84097222222222223</v>
      </c>
      <c r="C365" s="3">
        <v>0.85416666666666663</v>
      </c>
      <c r="D365" s="3">
        <f t="shared" si="13"/>
        <v>1.3194444444444398E-2</v>
      </c>
      <c r="E365" s="3">
        <f t="shared" si="14"/>
        <v>0</v>
      </c>
      <c r="F365" s="1" t="s">
        <v>3</v>
      </c>
    </row>
    <row r="366" spans="1:6" x14ac:dyDescent="0.25">
      <c r="A366" s="20">
        <v>42278</v>
      </c>
      <c r="B366" s="3">
        <v>0.95138888888888884</v>
      </c>
      <c r="C366" s="3">
        <v>0.96458333333333324</v>
      </c>
      <c r="D366" s="3">
        <f t="shared" si="13"/>
        <v>1.3194444444444398E-2</v>
      </c>
      <c r="E366" s="3">
        <f t="shared" si="14"/>
        <v>1.388888888889106E-3</v>
      </c>
      <c r="F366" s="1" t="s">
        <v>3</v>
      </c>
    </row>
    <row r="367" spans="1:6" x14ac:dyDescent="0.25">
      <c r="A367" s="20">
        <v>42278</v>
      </c>
      <c r="B367" s="3">
        <v>0.99305555555555547</v>
      </c>
      <c r="C367" s="3">
        <v>1.007638888888889</v>
      </c>
      <c r="D367" s="3">
        <f t="shared" si="13"/>
        <v>1.4583333333333504E-2</v>
      </c>
      <c r="E367" s="3">
        <f t="shared" si="14"/>
        <v>4.1666666666668323E-3</v>
      </c>
      <c r="F367" s="1" t="s">
        <v>3</v>
      </c>
    </row>
    <row r="368" spans="1:6" x14ac:dyDescent="0.25">
      <c r="A368" s="20">
        <v>42278</v>
      </c>
      <c r="B368" s="3">
        <v>9.6527777777777768E-2</v>
      </c>
      <c r="C368" s="3">
        <v>0.10694444444444444</v>
      </c>
      <c r="D368" s="3">
        <f t="shared" si="13"/>
        <v>1.0416666666666671E-2</v>
      </c>
      <c r="E368" s="3">
        <f t="shared" si="14"/>
        <v>6.9444444444444337E-3</v>
      </c>
      <c r="F368" s="1" t="s">
        <v>3</v>
      </c>
    </row>
    <row r="369" spans="1:6" x14ac:dyDescent="0.25">
      <c r="A369" s="20">
        <v>42278</v>
      </c>
      <c r="B369" s="3">
        <v>0.14166666666666666</v>
      </c>
      <c r="C369" s="3">
        <v>0.1451388888888889</v>
      </c>
      <c r="D369" s="3">
        <f t="shared" si="13"/>
        <v>3.4722222222222376E-3</v>
      </c>
      <c r="E369" s="3">
        <f t="shared" si="14"/>
        <v>2.7777777777777957E-3</v>
      </c>
      <c r="F369" s="1" t="s">
        <v>3</v>
      </c>
    </row>
    <row r="370" spans="1:6" x14ac:dyDescent="0.25">
      <c r="A370" s="20">
        <v>42278</v>
      </c>
      <c r="B370" s="3">
        <v>0.3125</v>
      </c>
      <c r="C370" s="3">
        <v>0.31875000000000003</v>
      </c>
      <c r="D370" s="3">
        <f t="shared" si="13"/>
        <v>6.2500000000000333E-3</v>
      </c>
      <c r="E370" s="3">
        <f t="shared" si="14"/>
        <v>3.4722222222221544E-3</v>
      </c>
      <c r="F370" s="1" t="s">
        <v>3</v>
      </c>
    </row>
    <row r="371" spans="1:6" x14ac:dyDescent="0.25">
      <c r="A371" s="20">
        <v>42278</v>
      </c>
      <c r="B371" s="3">
        <v>0.58611111111111114</v>
      </c>
      <c r="C371" s="3">
        <v>0.59583333333333333</v>
      </c>
      <c r="D371" s="3">
        <f t="shared" si="13"/>
        <v>9.7222222222221877E-3</v>
      </c>
      <c r="E371" s="3">
        <f t="shared" si="14"/>
        <v>6.94444444444553E-4</v>
      </c>
      <c r="F371" s="1" t="s">
        <v>3</v>
      </c>
    </row>
    <row r="372" spans="1:6" x14ac:dyDescent="0.25">
      <c r="A372" s="20">
        <v>42278</v>
      </c>
      <c r="B372" s="3">
        <v>0.85416666666666663</v>
      </c>
      <c r="C372" s="3">
        <v>0.86458333333333337</v>
      </c>
      <c r="D372" s="3">
        <f t="shared" si="13"/>
        <v>1.0416666666666741E-2</v>
      </c>
      <c r="E372" s="3">
        <f t="shared" si="14"/>
        <v>5.5555555555556468E-3</v>
      </c>
      <c r="F372" s="1" t="s">
        <v>3</v>
      </c>
    </row>
    <row r="373" spans="1:6" x14ac:dyDescent="0.25">
      <c r="A373" s="20">
        <v>42278</v>
      </c>
      <c r="B373" s="3">
        <v>0.94027777777777777</v>
      </c>
      <c r="C373" s="3">
        <v>0.94513888888888886</v>
      </c>
      <c r="D373" s="3">
        <f t="shared" si="13"/>
        <v>4.8611111111110938E-3</v>
      </c>
      <c r="E373" s="3">
        <f t="shared" si="14"/>
        <v>2.0833333333332149E-3</v>
      </c>
      <c r="F373" s="1" t="s">
        <v>3</v>
      </c>
    </row>
    <row r="374" spans="1:6" x14ac:dyDescent="0.25">
      <c r="A374" s="20">
        <v>42278</v>
      </c>
      <c r="B374" s="3">
        <v>0.50972222222222219</v>
      </c>
      <c r="C374" s="3">
        <v>0.51250000000000007</v>
      </c>
      <c r="D374" s="3">
        <f t="shared" si="13"/>
        <v>2.7777777777778789E-3</v>
      </c>
      <c r="E374" s="3">
        <f t="shared" si="14"/>
        <v>8.3333333333331927E-3</v>
      </c>
      <c r="F374" s="1" t="s">
        <v>3</v>
      </c>
    </row>
    <row r="375" spans="1:6" x14ac:dyDescent="0.25">
      <c r="A375" s="20">
        <v>42278</v>
      </c>
      <c r="B375" s="3">
        <v>0.77569444444444446</v>
      </c>
      <c r="C375" s="3">
        <v>0.78680555555555554</v>
      </c>
      <c r="D375" s="3">
        <f t="shared" si="13"/>
        <v>1.1111111111111072E-2</v>
      </c>
      <c r="E375" s="3">
        <f t="shared" si="14"/>
        <v>4.8611111111109828E-3</v>
      </c>
      <c r="F375" s="1" t="s">
        <v>3</v>
      </c>
    </row>
    <row r="376" spans="1:6" x14ac:dyDescent="0.25">
      <c r="A376" s="20">
        <v>42278</v>
      </c>
      <c r="B376" s="3">
        <v>0.81597222222222221</v>
      </c>
      <c r="C376" s="3">
        <v>0.8222222222222223</v>
      </c>
      <c r="D376" s="3">
        <f t="shared" si="13"/>
        <v>6.2500000000000888E-3</v>
      </c>
      <c r="E376" s="3"/>
      <c r="F376" s="1" t="s">
        <v>3</v>
      </c>
    </row>
    <row r="377" spans="1:6" x14ac:dyDescent="0.25">
      <c r="A377" s="20">
        <v>42278</v>
      </c>
      <c r="B377" s="3">
        <v>0.42083333333333334</v>
      </c>
      <c r="C377" s="3">
        <v>0.43611111111111112</v>
      </c>
      <c r="D377" s="3">
        <f t="shared" si="13"/>
        <v>1.5277777777777779E-2</v>
      </c>
      <c r="E377" s="3">
        <f t="shared" ref="E377:E440" si="15">ABS(D377-D378)</f>
        <v>1.3888888888888784E-2</v>
      </c>
      <c r="F377" s="1" t="s">
        <v>10</v>
      </c>
    </row>
    <row r="378" spans="1:6" x14ac:dyDescent="0.25">
      <c r="A378" s="20">
        <v>42278</v>
      </c>
      <c r="B378" s="3">
        <v>1.0111111111111111</v>
      </c>
      <c r="C378" s="3">
        <v>1.0402777777777776</v>
      </c>
      <c r="D378" s="3">
        <f t="shared" si="13"/>
        <v>2.9166666666666563E-2</v>
      </c>
      <c r="E378" s="3">
        <f t="shared" si="15"/>
        <v>1.388888888888884E-2</v>
      </c>
      <c r="F378" s="1" t="s">
        <v>10</v>
      </c>
    </row>
    <row r="379" spans="1:6" x14ac:dyDescent="0.25">
      <c r="A379" s="20">
        <v>42278</v>
      </c>
      <c r="B379" s="3">
        <v>0.55069444444444449</v>
      </c>
      <c r="C379" s="3">
        <v>0.56597222222222221</v>
      </c>
      <c r="D379" s="3">
        <f t="shared" si="13"/>
        <v>1.5277777777777724E-2</v>
      </c>
      <c r="E379" s="3">
        <f t="shared" si="15"/>
        <v>1.1102230246251565E-16</v>
      </c>
      <c r="F379" s="1" t="s">
        <v>10</v>
      </c>
    </row>
    <row r="380" spans="1:6" x14ac:dyDescent="0.25">
      <c r="A380" s="20">
        <v>42278</v>
      </c>
      <c r="B380" s="3">
        <v>0.56527777777777777</v>
      </c>
      <c r="C380" s="3">
        <v>0.5805555555555556</v>
      </c>
      <c r="D380" s="3">
        <f t="shared" si="13"/>
        <v>1.5277777777777835E-2</v>
      </c>
      <c r="E380" s="3">
        <f t="shared" si="15"/>
        <v>2.7777777777776569E-3</v>
      </c>
      <c r="F380" s="1" t="s">
        <v>10</v>
      </c>
    </row>
    <row r="381" spans="1:6" x14ac:dyDescent="0.25">
      <c r="A381" s="20">
        <v>42278</v>
      </c>
      <c r="B381" s="3">
        <v>0.72222222222222221</v>
      </c>
      <c r="C381" s="3">
        <v>0.7402777777777777</v>
      </c>
      <c r="D381" s="3">
        <f t="shared" si="13"/>
        <v>1.8055555555555491E-2</v>
      </c>
      <c r="E381" s="3">
        <f t="shared" si="15"/>
        <v>2.0833333333333259E-3</v>
      </c>
      <c r="F381" s="1" t="s">
        <v>10</v>
      </c>
    </row>
    <row r="382" spans="1:6" x14ac:dyDescent="0.25">
      <c r="A382" s="20">
        <v>42278</v>
      </c>
      <c r="B382" s="3">
        <v>0.89236111111111116</v>
      </c>
      <c r="C382" s="3">
        <v>0.91249999999999998</v>
      </c>
      <c r="D382" s="3">
        <f t="shared" si="13"/>
        <v>2.0138888888888817E-2</v>
      </c>
      <c r="E382" s="3">
        <f t="shared" si="15"/>
        <v>4.8611111111112049E-3</v>
      </c>
      <c r="F382" s="1" t="s">
        <v>10</v>
      </c>
    </row>
    <row r="383" spans="1:6" x14ac:dyDescent="0.25">
      <c r="A383" s="20">
        <v>42278</v>
      </c>
      <c r="B383" s="3">
        <v>0.94166666666666676</v>
      </c>
      <c r="C383" s="3">
        <v>0.95694444444444438</v>
      </c>
      <c r="D383" s="3">
        <f t="shared" si="13"/>
        <v>1.5277777777777612E-2</v>
      </c>
      <c r="E383" s="3">
        <f t="shared" si="15"/>
        <v>1.6653345369377348E-16</v>
      </c>
      <c r="F383" s="1" t="s">
        <v>10</v>
      </c>
    </row>
    <row r="384" spans="1:6" x14ac:dyDescent="0.25">
      <c r="A384" s="20">
        <v>42278</v>
      </c>
      <c r="B384" s="3">
        <v>9.2361111111111116E-2</v>
      </c>
      <c r="C384" s="3">
        <v>0.1076388888888889</v>
      </c>
      <c r="D384" s="3">
        <f t="shared" si="13"/>
        <v>1.5277777777777779E-2</v>
      </c>
      <c r="E384" s="3">
        <f t="shared" si="15"/>
        <v>3.4722222222222654E-3</v>
      </c>
      <c r="F384" s="1" t="s">
        <v>10</v>
      </c>
    </row>
    <row r="385" spans="1:6" x14ac:dyDescent="0.25">
      <c r="A385" s="20">
        <v>42278</v>
      </c>
      <c r="B385" s="3">
        <v>0.56041666666666667</v>
      </c>
      <c r="C385" s="3">
        <v>0.57916666666666672</v>
      </c>
      <c r="D385" s="3">
        <f t="shared" si="13"/>
        <v>1.8750000000000044E-2</v>
      </c>
      <c r="E385" s="3">
        <f t="shared" si="15"/>
        <v>3.4722222222222099E-3</v>
      </c>
      <c r="F385" s="1" t="s">
        <v>10</v>
      </c>
    </row>
    <row r="386" spans="1:6" x14ac:dyDescent="0.25">
      <c r="A386" s="20">
        <v>42278</v>
      </c>
      <c r="B386" s="3">
        <v>0.74305555555555547</v>
      </c>
      <c r="C386" s="3">
        <v>0.7583333333333333</v>
      </c>
      <c r="D386" s="3">
        <f t="shared" si="13"/>
        <v>1.5277777777777835E-2</v>
      </c>
      <c r="E386" s="3">
        <f t="shared" si="15"/>
        <v>6.9444444444444198E-4</v>
      </c>
      <c r="F386" s="1" t="s">
        <v>10</v>
      </c>
    </row>
    <row r="387" spans="1:6" x14ac:dyDescent="0.25">
      <c r="A387" s="20">
        <v>42278</v>
      </c>
      <c r="B387" s="3">
        <v>0.84375</v>
      </c>
      <c r="C387" s="3">
        <v>0.85833333333333339</v>
      </c>
      <c r="D387" s="3">
        <f t="shared" ref="D387:D450" si="16">(C387-B387)</f>
        <v>1.4583333333333393E-2</v>
      </c>
      <c r="E387" s="3">
        <f t="shared" si="15"/>
        <v>1.3888888888887729E-3</v>
      </c>
      <c r="F387" s="1" t="s">
        <v>10</v>
      </c>
    </row>
    <row r="388" spans="1:6" x14ac:dyDescent="0.25">
      <c r="A388" s="20">
        <v>42278</v>
      </c>
      <c r="B388" s="3">
        <v>0.89236111111111116</v>
      </c>
      <c r="C388" s="3">
        <v>0.90833333333333333</v>
      </c>
      <c r="D388" s="3">
        <f t="shared" si="16"/>
        <v>1.5972222222222165E-2</v>
      </c>
      <c r="E388" s="3">
        <f t="shared" si="15"/>
        <v>6.2499999999999778E-3</v>
      </c>
      <c r="F388" s="1" t="s">
        <v>10</v>
      </c>
    </row>
    <row r="389" spans="1:6" x14ac:dyDescent="0.25">
      <c r="A389" s="20">
        <v>42278</v>
      </c>
      <c r="B389" s="3">
        <v>1.0069444444444444</v>
      </c>
      <c r="C389" s="3">
        <v>1.0291666666666666</v>
      </c>
      <c r="D389" s="3">
        <f t="shared" si="16"/>
        <v>2.2222222222222143E-2</v>
      </c>
      <c r="E389" s="3">
        <f t="shared" si="15"/>
        <v>1.3888888888888284E-3</v>
      </c>
      <c r="F389" s="1" t="s">
        <v>10</v>
      </c>
    </row>
    <row r="390" spans="1:6" x14ac:dyDescent="0.25">
      <c r="A390" s="20">
        <v>42278</v>
      </c>
      <c r="B390" s="3">
        <v>0.47291666666666665</v>
      </c>
      <c r="C390" s="3">
        <v>0.49374999999999997</v>
      </c>
      <c r="D390" s="3">
        <f t="shared" si="16"/>
        <v>2.0833333333333315E-2</v>
      </c>
      <c r="E390" s="3">
        <f t="shared" si="15"/>
        <v>4.1666666666665964E-3</v>
      </c>
      <c r="F390" s="1" t="s">
        <v>10</v>
      </c>
    </row>
    <row r="391" spans="1:6" x14ac:dyDescent="0.25">
      <c r="A391" s="20">
        <v>42278</v>
      </c>
      <c r="B391" s="3">
        <v>0.6381944444444444</v>
      </c>
      <c r="C391" s="3">
        <v>0.65486111111111112</v>
      </c>
      <c r="D391" s="3">
        <f t="shared" si="16"/>
        <v>1.6666666666666718E-2</v>
      </c>
      <c r="E391" s="3">
        <f t="shared" si="15"/>
        <v>6.94444444444553E-4</v>
      </c>
      <c r="F391" s="1" t="s">
        <v>10</v>
      </c>
    </row>
    <row r="392" spans="1:6" x14ac:dyDescent="0.25">
      <c r="A392" s="20">
        <v>42278</v>
      </c>
      <c r="B392" s="3">
        <v>0.82638888888888884</v>
      </c>
      <c r="C392" s="3">
        <v>0.84236111111111101</v>
      </c>
      <c r="D392" s="3">
        <f t="shared" si="16"/>
        <v>1.5972222222222165E-2</v>
      </c>
      <c r="E392" s="3">
        <f t="shared" si="15"/>
        <v>2.7777777777778789E-3</v>
      </c>
      <c r="F392" s="1" t="s">
        <v>10</v>
      </c>
    </row>
    <row r="393" spans="1:6" x14ac:dyDescent="0.25">
      <c r="A393" s="20">
        <v>42278</v>
      </c>
      <c r="B393" s="3">
        <v>0.75208333333333333</v>
      </c>
      <c r="C393" s="3">
        <v>0.77083333333333337</v>
      </c>
      <c r="D393" s="3">
        <f t="shared" si="16"/>
        <v>1.8750000000000044E-2</v>
      </c>
      <c r="E393" s="3">
        <f t="shared" si="15"/>
        <v>4.1666666666666519E-3</v>
      </c>
      <c r="F393" s="1" t="s">
        <v>10</v>
      </c>
    </row>
    <row r="394" spans="1:6" x14ac:dyDescent="0.25">
      <c r="A394" s="20">
        <v>42278</v>
      </c>
      <c r="B394" s="3">
        <v>0.9145833333333333</v>
      </c>
      <c r="C394" s="3">
        <v>0.9291666666666667</v>
      </c>
      <c r="D394" s="3">
        <f t="shared" si="16"/>
        <v>1.4583333333333393E-2</v>
      </c>
      <c r="E394" s="3">
        <f t="shared" si="15"/>
        <v>2.0833333333333259E-3</v>
      </c>
      <c r="F394" s="1" t="s">
        <v>10</v>
      </c>
    </row>
    <row r="395" spans="1:6" x14ac:dyDescent="0.25">
      <c r="A395" s="20">
        <v>42278</v>
      </c>
      <c r="B395" s="3">
        <v>0.95138888888888884</v>
      </c>
      <c r="C395" s="3">
        <v>0.96388888888888891</v>
      </c>
      <c r="D395" s="3">
        <f t="shared" si="16"/>
        <v>1.2500000000000067E-2</v>
      </c>
      <c r="E395" s="3">
        <f t="shared" si="15"/>
        <v>9.0277777777776347E-3</v>
      </c>
      <c r="F395" s="1" t="s">
        <v>10</v>
      </c>
    </row>
    <row r="396" spans="1:6" x14ac:dyDescent="0.25">
      <c r="A396" s="20">
        <v>42278</v>
      </c>
      <c r="B396" s="3">
        <v>0.63611111111111118</v>
      </c>
      <c r="C396" s="3">
        <v>0.65763888888888888</v>
      </c>
      <c r="D396" s="3">
        <f t="shared" si="16"/>
        <v>2.1527777777777701E-2</v>
      </c>
      <c r="E396" s="3">
        <f t="shared" si="15"/>
        <v>6.9444444444433095E-4</v>
      </c>
      <c r="F396" s="1" t="s">
        <v>10</v>
      </c>
    </row>
    <row r="397" spans="1:6" x14ac:dyDescent="0.25">
      <c r="A397" s="20">
        <v>42278</v>
      </c>
      <c r="B397" s="3">
        <v>0.55833333333333335</v>
      </c>
      <c r="C397" s="3">
        <v>0.57916666666666672</v>
      </c>
      <c r="D397" s="3">
        <f t="shared" si="16"/>
        <v>2.083333333333337E-2</v>
      </c>
      <c r="E397" s="3">
        <f t="shared" si="15"/>
        <v>2.083333333333437E-3</v>
      </c>
      <c r="F397" s="1" t="s">
        <v>10</v>
      </c>
    </row>
    <row r="398" spans="1:6" x14ac:dyDescent="0.25">
      <c r="A398" s="20">
        <v>42278</v>
      </c>
      <c r="B398" s="3">
        <v>0.63888888888888895</v>
      </c>
      <c r="C398" s="3">
        <v>0.65763888888888888</v>
      </c>
      <c r="D398" s="3">
        <f t="shared" si="16"/>
        <v>1.8749999999999933E-2</v>
      </c>
      <c r="E398" s="3">
        <f t="shared" si="15"/>
        <v>1.0416666666666741E-2</v>
      </c>
      <c r="F398" s="1" t="s">
        <v>10</v>
      </c>
    </row>
    <row r="399" spans="1:6" x14ac:dyDescent="0.25">
      <c r="A399" s="20">
        <v>42278</v>
      </c>
      <c r="B399" s="3">
        <v>0.96527777777777779</v>
      </c>
      <c r="C399" s="3">
        <v>0.99444444444444446</v>
      </c>
      <c r="D399" s="3">
        <f t="shared" si="16"/>
        <v>2.9166666666666674E-2</v>
      </c>
      <c r="E399" s="3">
        <f t="shared" si="15"/>
        <v>7.6388888888888618E-3</v>
      </c>
      <c r="F399" s="1" t="s">
        <v>10</v>
      </c>
    </row>
    <row r="400" spans="1:6" x14ac:dyDescent="0.25">
      <c r="A400" s="20">
        <v>42278</v>
      </c>
      <c r="B400" s="3">
        <v>0.54652777777777783</v>
      </c>
      <c r="C400" s="3">
        <v>0.58333333333333337</v>
      </c>
      <c r="D400" s="3">
        <f t="shared" si="16"/>
        <v>3.6805555555555536E-2</v>
      </c>
      <c r="E400" s="3">
        <f t="shared" si="15"/>
        <v>2.3611111111111027E-2</v>
      </c>
      <c r="F400" s="1" t="s">
        <v>10</v>
      </c>
    </row>
    <row r="401" spans="1:6" x14ac:dyDescent="0.25">
      <c r="A401" s="20">
        <v>42278</v>
      </c>
      <c r="B401" s="3">
        <v>0.95347222222222217</v>
      </c>
      <c r="C401" s="3">
        <v>0.96666666666666667</v>
      </c>
      <c r="D401" s="3">
        <f t="shared" si="16"/>
        <v>1.3194444444444509E-2</v>
      </c>
      <c r="E401" s="3">
        <f t="shared" si="15"/>
        <v>3.4722222222222099E-3</v>
      </c>
      <c r="F401" s="1" t="s">
        <v>10</v>
      </c>
    </row>
    <row r="402" spans="1:6" x14ac:dyDescent="0.25">
      <c r="A402" s="20">
        <v>42278</v>
      </c>
      <c r="B402" s="3">
        <v>0.6381944444444444</v>
      </c>
      <c r="C402" s="3">
        <v>0.65486111111111112</v>
      </c>
      <c r="D402" s="3">
        <f t="shared" si="16"/>
        <v>1.6666666666666718E-2</v>
      </c>
      <c r="E402" s="3">
        <f t="shared" si="15"/>
        <v>6.94444444444553E-4</v>
      </c>
      <c r="F402" s="1" t="s">
        <v>10</v>
      </c>
    </row>
    <row r="403" spans="1:6" x14ac:dyDescent="0.25">
      <c r="A403" s="20">
        <v>42278</v>
      </c>
      <c r="B403" s="3">
        <v>0.82638888888888884</v>
      </c>
      <c r="C403" s="3">
        <v>0.84236111111111101</v>
      </c>
      <c r="D403" s="3">
        <f t="shared" si="16"/>
        <v>1.5972222222222165E-2</v>
      </c>
      <c r="E403" s="3">
        <f t="shared" si="15"/>
        <v>2.7777777777778789E-3</v>
      </c>
      <c r="F403" s="1" t="s">
        <v>10</v>
      </c>
    </row>
    <row r="404" spans="1:6" x14ac:dyDescent="0.25">
      <c r="A404" s="20">
        <v>42278</v>
      </c>
      <c r="B404" s="3">
        <v>0.75208333333333333</v>
      </c>
      <c r="C404" s="3">
        <v>0.77083333333333337</v>
      </c>
      <c r="D404" s="3">
        <f t="shared" si="16"/>
        <v>1.8750000000000044E-2</v>
      </c>
      <c r="E404" s="3">
        <f t="shared" si="15"/>
        <v>4.1666666666666519E-3</v>
      </c>
      <c r="F404" s="1" t="s">
        <v>10</v>
      </c>
    </row>
    <row r="405" spans="1:6" x14ac:dyDescent="0.25">
      <c r="A405" s="20">
        <v>42278</v>
      </c>
      <c r="B405" s="3">
        <v>0.9145833333333333</v>
      </c>
      <c r="C405" s="3">
        <v>0.9291666666666667</v>
      </c>
      <c r="D405" s="3">
        <f t="shared" si="16"/>
        <v>1.4583333333333393E-2</v>
      </c>
      <c r="E405" s="3">
        <f t="shared" si="15"/>
        <v>2.0833333333333259E-3</v>
      </c>
      <c r="F405" s="1" t="s">
        <v>10</v>
      </c>
    </row>
    <row r="406" spans="1:6" x14ac:dyDescent="0.25">
      <c r="A406" s="20">
        <v>42278</v>
      </c>
      <c r="B406" s="3">
        <v>0.95138888888888884</v>
      </c>
      <c r="C406" s="3">
        <v>0.96388888888888891</v>
      </c>
      <c r="D406" s="3">
        <f t="shared" si="16"/>
        <v>1.2500000000000067E-2</v>
      </c>
      <c r="E406" s="3">
        <f t="shared" si="15"/>
        <v>9.0277777777776347E-3</v>
      </c>
      <c r="F406" s="1" t="s">
        <v>10</v>
      </c>
    </row>
    <row r="407" spans="1:6" x14ac:dyDescent="0.25">
      <c r="A407" s="20">
        <v>42278</v>
      </c>
      <c r="B407" s="3">
        <v>0.63611111111111118</v>
      </c>
      <c r="C407" s="3">
        <v>0.65763888888888888</v>
      </c>
      <c r="D407" s="3">
        <f t="shared" si="16"/>
        <v>2.1527777777777701E-2</v>
      </c>
      <c r="E407" s="3">
        <f t="shared" si="15"/>
        <v>6.9444444444433095E-4</v>
      </c>
      <c r="F407" s="1" t="s">
        <v>10</v>
      </c>
    </row>
    <row r="408" spans="1:6" x14ac:dyDescent="0.25">
      <c r="A408" s="20">
        <v>42278</v>
      </c>
      <c r="B408" s="3">
        <v>0.55833333333333335</v>
      </c>
      <c r="C408" s="3">
        <v>0.57916666666666672</v>
      </c>
      <c r="D408" s="3">
        <f t="shared" si="16"/>
        <v>2.083333333333337E-2</v>
      </c>
      <c r="E408" s="3">
        <f t="shared" si="15"/>
        <v>2.083333333333437E-3</v>
      </c>
      <c r="F408" s="1" t="s">
        <v>10</v>
      </c>
    </row>
    <row r="409" spans="1:6" x14ac:dyDescent="0.25">
      <c r="A409" s="20">
        <v>42278</v>
      </c>
      <c r="B409" s="3">
        <v>0.63888888888888895</v>
      </c>
      <c r="C409" s="3">
        <v>0.65763888888888888</v>
      </c>
      <c r="D409" s="3">
        <f t="shared" si="16"/>
        <v>1.8749999999999933E-2</v>
      </c>
      <c r="E409" s="3">
        <f t="shared" si="15"/>
        <v>1.0416666666666741E-2</v>
      </c>
      <c r="F409" s="1" t="s">
        <v>10</v>
      </c>
    </row>
    <row r="410" spans="1:6" x14ac:dyDescent="0.25">
      <c r="A410" s="20">
        <v>42278</v>
      </c>
      <c r="B410" s="3">
        <v>0.96527777777777779</v>
      </c>
      <c r="C410" s="3">
        <v>0.99444444444444446</v>
      </c>
      <c r="D410" s="3">
        <f t="shared" si="16"/>
        <v>2.9166666666666674E-2</v>
      </c>
      <c r="E410" s="3">
        <f t="shared" si="15"/>
        <v>2.777777777777779E-2</v>
      </c>
      <c r="F410" s="1" t="s">
        <v>10</v>
      </c>
    </row>
    <row r="411" spans="1:6" x14ac:dyDescent="0.25">
      <c r="A411" s="20">
        <v>42278</v>
      </c>
      <c r="B411" s="3">
        <v>1.03125</v>
      </c>
      <c r="C411" s="3">
        <v>1.0326388888888889</v>
      </c>
      <c r="D411" s="3">
        <f t="shared" si="16"/>
        <v>1.388888888888884E-3</v>
      </c>
      <c r="E411" s="3">
        <f t="shared" si="15"/>
        <v>1.3888888888888895E-2</v>
      </c>
      <c r="F411" s="1" t="s">
        <v>10</v>
      </c>
    </row>
    <row r="412" spans="1:6" x14ac:dyDescent="0.25">
      <c r="A412" s="20">
        <v>42278</v>
      </c>
      <c r="B412" s="3">
        <v>9.2361111111111116E-2</v>
      </c>
      <c r="C412" s="3">
        <v>0.1076388888888889</v>
      </c>
      <c r="D412" s="3">
        <f t="shared" si="16"/>
        <v>1.5277777777777779E-2</v>
      </c>
      <c r="E412" s="3">
        <f t="shared" si="15"/>
        <v>5.5511151231257827E-17</v>
      </c>
      <c r="F412" s="1" t="s">
        <v>10</v>
      </c>
    </row>
    <row r="413" spans="1:6" x14ac:dyDescent="0.25">
      <c r="A413" s="20">
        <v>42278</v>
      </c>
      <c r="B413" s="3">
        <v>0.74305555555555547</v>
      </c>
      <c r="C413" s="3">
        <v>0.7583333333333333</v>
      </c>
      <c r="D413" s="3">
        <f t="shared" si="16"/>
        <v>1.5277777777777835E-2</v>
      </c>
      <c r="E413" s="3">
        <f t="shared" si="15"/>
        <v>6.9444444444444198E-4</v>
      </c>
      <c r="F413" s="1" t="s">
        <v>10</v>
      </c>
    </row>
    <row r="414" spans="1:6" x14ac:dyDescent="0.25">
      <c r="A414" s="20">
        <v>42278</v>
      </c>
      <c r="B414" s="3">
        <v>0.84375</v>
      </c>
      <c r="C414" s="3">
        <v>0.85833333333333339</v>
      </c>
      <c r="D414" s="3">
        <f t="shared" si="16"/>
        <v>1.4583333333333393E-2</v>
      </c>
      <c r="E414" s="3">
        <f t="shared" si="15"/>
        <v>1.3888888888887729E-3</v>
      </c>
      <c r="F414" s="1" t="s">
        <v>10</v>
      </c>
    </row>
    <row r="415" spans="1:6" x14ac:dyDescent="0.25">
      <c r="A415" s="20">
        <v>42278</v>
      </c>
      <c r="B415" s="3">
        <v>0.89236111111111116</v>
      </c>
      <c r="C415" s="3">
        <v>0.90833333333333333</v>
      </c>
      <c r="D415" s="3">
        <f t="shared" si="16"/>
        <v>1.5972222222222165E-2</v>
      </c>
      <c r="E415" s="3">
        <f t="shared" si="15"/>
        <v>6.2499999999999778E-3</v>
      </c>
      <c r="F415" s="1" t="s">
        <v>10</v>
      </c>
    </row>
    <row r="416" spans="1:6" x14ac:dyDescent="0.25">
      <c r="A416" s="20">
        <v>42278</v>
      </c>
      <c r="B416" s="3">
        <v>1.0069444444444444</v>
      </c>
      <c r="C416" s="3">
        <v>1.0291666666666666</v>
      </c>
      <c r="D416" s="3">
        <f t="shared" si="16"/>
        <v>2.2222222222222143E-2</v>
      </c>
      <c r="E416" s="3">
        <f t="shared" si="15"/>
        <v>1.3888888888888284E-3</v>
      </c>
      <c r="F416" s="1" t="s">
        <v>10</v>
      </c>
    </row>
    <row r="417" spans="1:6" x14ac:dyDescent="0.25">
      <c r="A417" s="20">
        <v>42278</v>
      </c>
      <c r="B417" s="3">
        <v>0.47291666666666665</v>
      </c>
      <c r="C417" s="3">
        <v>0.49374999999999997</v>
      </c>
      <c r="D417" s="3">
        <f t="shared" si="16"/>
        <v>2.0833333333333315E-2</v>
      </c>
      <c r="E417" s="3">
        <f t="shared" si="15"/>
        <v>6.24999999999995E-3</v>
      </c>
      <c r="F417" s="1" t="s">
        <v>10</v>
      </c>
    </row>
    <row r="418" spans="1:6" x14ac:dyDescent="0.25">
      <c r="A418" s="20">
        <v>42278</v>
      </c>
      <c r="B418" s="3">
        <v>0.19097222222222221</v>
      </c>
      <c r="C418" s="3">
        <v>0.20555555555555557</v>
      </c>
      <c r="D418" s="3">
        <f t="shared" si="16"/>
        <v>1.4583333333333365E-2</v>
      </c>
      <c r="E418" s="3">
        <f t="shared" si="15"/>
        <v>6.24999999999995E-3</v>
      </c>
      <c r="F418" s="1" t="s">
        <v>10</v>
      </c>
    </row>
    <row r="419" spans="1:6" x14ac:dyDescent="0.25">
      <c r="A419" s="20">
        <v>42278</v>
      </c>
      <c r="B419" s="3">
        <v>0.49374999999999997</v>
      </c>
      <c r="C419" s="3">
        <v>0.51458333333333328</v>
      </c>
      <c r="D419" s="3">
        <f t="shared" si="16"/>
        <v>2.0833333333333315E-2</v>
      </c>
      <c r="E419" s="3">
        <f t="shared" si="15"/>
        <v>1.3888888888889395E-3</v>
      </c>
      <c r="F419" s="1" t="s">
        <v>10</v>
      </c>
    </row>
    <row r="420" spans="1:6" x14ac:dyDescent="0.25">
      <c r="A420" s="20">
        <v>42278</v>
      </c>
      <c r="B420" s="3">
        <v>0.51666666666666672</v>
      </c>
      <c r="C420" s="3">
        <v>0.53611111111111109</v>
      </c>
      <c r="D420" s="3">
        <f t="shared" si="16"/>
        <v>1.9444444444444375E-2</v>
      </c>
      <c r="E420" s="3">
        <f t="shared" si="15"/>
        <v>2.0833333333334925E-3</v>
      </c>
      <c r="F420" s="1" t="s">
        <v>10</v>
      </c>
    </row>
    <row r="421" spans="1:6" x14ac:dyDescent="0.25">
      <c r="A421" s="20">
        <v>42278</v>
      </c>
      <c r="B421" s="3">
        <v>0.48958333333333331</v>
      </c>
      <c r="C421" s="3">
        <v>0.51111111111111118</v>
      </c>
      <c r="D421" s="3">
        <f t="shared" si="16"/>
        <v>2.1527777777777868E-2</v>
      </c>
      <c r="E421" s="3">
        <f t="shared" si="15"/>
        <v>2.7777777777779344E-3</v>
      </c>
      <c r="F421" s="1" t="s">
        <v>10</v>
      </c>
    </row>
    <row r="422" spans="1:6" x14ac:dyDescent="0.25">
      <c r="A422" s="20">
        <v>42278</v>
      </c>
      <c r="B422" s="3">
        <v>0.68541666666666667</v>
      </c>
      <c r="C422" s="3">
        <v>0.70416666666666661</v>
      </c>
      <c r="D422" s="3">
        <f t="shared" si="16"/>
        <v>1.8749999999999933E-2</v>
      </c>
      <c r="E422" s="3">
        <f t="shared" si="15"/>
        <v>1.2500000000000067E-2</v>
      </c>
      <c r="F422" s="1" t="s">
        <v>10</v>
      </c>
    </row>
    <row r="423" spans="1:6" x14ac:dyDescent="0.25">
      <c r="A423" s="20">
        <v>42278</v>
      </c>
      <c r="B423" s="3">
        <v>0.76944444444444438</v>
      </c>
      <c r="C423" s="3">
        <v>0.80069444444444438</v>
      </c>
      <c r="D423" s="3">
        <f t="shared" si="16"/>
        <v>3.125E-2</v>
      </c>
      <c r="E423" s="3">
        <f t="shared" si="15"/>
        <v>1.388888888888995E-3</v>
      </c>
      <c r="F423" s="1" t="s">
        <v>10</v>
      </c>
    </row>
    <row r="424" spans="1:6" x14ac:dyDescent="0.25">
      <c r="A424" s="20">
        <v>42278</v>
      </c>
      <c r="B424" s="3">
        <v>0.77083333333333337</v>
      </c>
      <c r="C424" s="3">
        <v>0.80069444444444438</v>
      </c>
      <c r="D424" s="3">
        <f t="shared" si="16"/>
        <v>2.9861111111111005E-2</v>
      </c>
      <c r="E424" s="3">
        <f t="shared" si="15"/>
        <v>1.5277777777777835E-2</v>
      </c>
      <c r="F424" s="1" t="s">
        <v>10</v>
      </c>
    </row>
    <row r="425" spans="1:6" x14ac:dyDescent="0.25">
      <c r="A425" s="20">
        <v>42278</v>
      </c>
      <c r="B425" s="3">
        <v>0.98611111111111116</v>
      </c>
      <c r="C425" s="3">
        <v>1.0006944444444443</v>
      </c>
      <c r="D425" s="3">
        <f t="shared" si="16"/>
        <v>1.4583333333333171E-2</v>
      </c>
      <c r="E425" s="3">
        <f t="shared" si="15"/>
        <v>4.1666666666668323E-3</v>
      </c>
      <c r="F425" s="1" t="s">
        <v>10</v>
      </c>
    </row>
    <row r="426" spans="1:6" x14ac:dyDescent="0.25">
      <c r="A426" s="20">
        <v>42278</v>
      </c>
      <c r="B426" s="3">
        <v>0.10486111111111111</v>
      </c>
      <c r="C426" s="3">
        <v>0.12361111111111112</v>
      </c>
      <c r="D426" s="3">
        <f t="shared" si="16"/>
        <v>1.8750000000000003E-2</v>
      </c>
      <c r="E426" s="3">
        <f t="shared" si="15"/>
        <v>2.7777777777777818E-3</v>
      </c>
      <c r="F426" s="1" t="s">
        <v>10</v>
      </c>
    </row>
    <row r="427" spans="1:6" x14ac:dyDescent="0.25">
      <c r="A427" s="20">
        <v>42278</v>
      </c>
      <c r="B427" s="3">
        <v>0.17916666666666667</v>
      </c>
      <c r="C427" s="3">
        <v>0.19513888888888889</v>
      </c>
      <c r="D427" s="3">
        <f t="shared" si="16"/>
        <v>1.5972222222222221E-2</v>
      </c>
      <c r="E427" s="3">
        <f t="shared" si="15"/>
        <v>1.3888888888888562E-3</v>
      </c>
      <c r="F427" s="1" t="s">
        <v>10</v>
      </c>
    </row>
    <row r="428" spans="1:6" x14ac:dyDescent="0.25">
      <c r="A428" s="20">
        <v>42278</v>
      </c>
      <c r="B428" s="3">
        <v>0.22152777777777777</v>
      </c>
      <c r="C428" s="3">
        <v>0.23611111111111113</v>
      </c>
      <c r="D428" s="3">
        <f t="shared" si="16"/>
        <v>1.4583333333333365E-2</v>
      </c>
      <c r="E428" s="3">
        <f t="shared" si="15"/>
        <v>3.4722222222221821E-3</v>
      </c>
      <c r="F428" s="1" t="s">
        <v>10</v>
      </c>
    </row>
    <row r="429" spans="1:6" x14ac:dyDescent="0.25">
      <c r="A429" s="20">
        <v>42278</v>
      </c>
      <c r="B429" s="3">
        <v>0.38958333333333334</v>
      </c>
      <c r="C429" s="3">
        <v>0.40763888888888888</v>
      </c>
      <c r="D429" s="3">
        <f t="shared" si="16"/>
        <v>1.8055555555555547E-2</v>
      </c>
      <c r="E429" s="3">
        <f t="shared" si="15"/>
        <v>6.9444444444449749E-4</v>
      </c>
      <c r="F429" s="1" t="s">
        <v>10</v>
      </c>
    </row>
    <row r="430" spans="1:6" x14ac:dyDescent="0.25">
      <c r="A430" s="20">
        <v>42278</v>
      </c>
      <c r="B430" s="3">
        <v>0.42499999999999999</v>
      </c>
      <c r="C430" s="3">
        <v>0.44375000000000003</v>
      </c>
      <c r="D430" s="3">
        <f t="shared" si="16"/>
        <v>1.8750000000000044E-2</v>
      </c>
      <c r="E430" s="3">
        <f t="shared" si="15"/>
        <v>2.0833333333333259E-3</v>
      </c>
      <c r="F430" s="1" t="s">
        <v>10</v>
      </c>
    </row>
    <row r="431" spans="1:6" x14ac:dyDescent="0.25">
      <c r="A431" s="20">
        <v>42278</v>
      </c>
      <c r="B431" s="3">
        <v>0.53125</v>
      </c>
      <c r="C431" s="3">
        <v>0.55208333333333337</v>
      </c>
      <c r="D431" s="3">
        <f t="shared" si="16"/>
        <v>2.083333333333337E-2</v>
      </c>
      <c r="E431" s="3">
        <f t="shared" si="15"/>
        <v>9.0277777777778567E-3</v>
      </c>
      <c r="F431" s="1" t="s">
        <v>10</v>
      </c>
    </row>
    <row r="432" spans="1:6" x14ac:dyDescent="0.25">
      <c r="A432" s="20">
        <v>42278</v>
      </c>
      <c r="B432" s="3">
        <v>0.5395833333333333</v>
      </c>
      <c r="C432" s="3">
        <v>0.55138888888888882</v>
      </c>
      <c r="D432" s="3">
        <f t="shared" si="16"/>
        <v>1.1805555555555514E-2</v>
      </c>
      <c r="E432" s="3">
        <f t="shared" si="15"/>
        <v>4.8611111111112049E-3</v>
      </c>
      <c r="F432" s="1" t="s">
        <v>10</v>
      </c>
    </row>
    <row r="433" spans="1:6" x14ac:dyDescent="0.25">
      <c r="A433" s="20">
        <v>42278</v>
      </c>
      <c r="B433" s="3">
        <v>0.5444444444444444</v>
      </c>
      <c r="C433" s="3">
        <v>0.56111111111111112</v>
      </c>
      <c r="D433" s="3">
        <f t="shared" si="16"/>
        <v>1.6666666666666718E-2</v>
      </c>
      <c r="E433" s="3">
        <f t="shared" si="15"/>
        <v>4.1666666666665408E-3</v>
      </c>
      <c r="F433" s="1" t="s">
        <v>10</v>
      </c>
    </row>
    <row r="434" spans="1:6" x14ac:dyDescent="0.25">
      <c r="A434" s="20">
        <v>42278</v>
      </c>
      <c r="B434" s="3">
        <v>0.61875000000000002</v>
      </c>
      <c r="C434" s="3">
        <v>0.63958333333333328</v>
      </c>
      <c r="D434" s="3">
        <f t="shared" si="16"/>
        <v>2.0833333333333259E-2</v>
      </c>
      <c r="E434" s="3">
        <f t="shared" si="15"/>
        <v>2.7777777777778789E-3</v>
      </c>
      <c r="F434" s="1" t="s">
        <v>10</v>
      </c>
    </row>
    <row r="435" spans="1:6" x14ac:dyDescent="0.25">
      <c r="A435" s="20">
        <v>42278</v>
      </c>
      <c r="B435" s="3">
        <v>0.63472222222222219</v>
      </c>
      <c r="C435" s="3">
        <v>0.65833333333333333</v>
      </c>
      <c r="D435" s="3">
        <f t="shared" si="16"/>
        <v>2.3611111111111138E-2</v>
      </c>
      <c r="E435" s="3">
        <f t="shared" si="15"/>
        <v>1.388888888888884E-3</v>
      </c>
      <c r="F435" s="1" t="s">
        <v>10</v>
      </c>
    </row>
    <row r="436" spans="1:6" x14ac:dyDescent="0.25">
      <c r="A436" s="20">
        <v>42278</v>
      </c>
      <c r="B436" s="3">
        <v>0.67986111111111114</v>
      </c>
      <c r="C436" s="3">
        <v>0.70486111111111116</v>
      </c>
      <c r="D436" s="3">
        <f t="shared" si="16"/>
        <v>2.5000000000000022E-2</v>
      </c>
      <c r="E436" s="3">
        <f t="shared" si="15"/>
        <v>3.4722222222223209E-3</v>
      </c>
      <c r="F436" s="1" t="s">
        <v>10</v>
      </c>
    </row>
    <row r="437" spans="1:6" x14ac:dyDescent="0.25">
      <c r="A437" s="20">
        <v>42278</v>
      </c>
      <c r="B437" s="3">
        <v>0.75</v>
      </c>
      <c r="C437" s="3">
        <v>0.7715277777777777</v>
      </c>
      <c r="D437" s="3">
        <f t="shared" si="16"/>
        <v>2.1527777777777701E-2</v>
      </c>
      <c r="E437" s="3">
        <f t="shared" si="15"/>
        <v>2.0833333333332149E-3</v>
      </c>
      <c r="F437" s="1" t="s">
        <v>10</v>
      </c>
    </row>
    <row r="438" spans="1:6" x14ac:dyDescent="0.25">
      <c r="A438" s="20">
        <v>42278</v>
      </c>
      <c r="B438" s="3">
        <v>0.82638888888888884</v>
      </c>
      <c r="C438" s="3">
        <v>0.84583333333333333</v>
      </c>
      <c r="D438" s="3">
        <f t="shared" si="16"/>
        <v>1.9444444444444486E-2</v>
      </c>
      <c r="E438" s="3">
        <f t="shared" si="15"/>
        <v>4.8611111111113159E-3</v>
      </c>
      <c r="F438" s="1" t="s">
        <v>10</v>
      </c>
    </row>
    <row r="439" spans="1:6" x14ac:dyDescent="0.25">
      <c r="A439" s="20">
        <v>42278</v>
      </c>
      <c r="B439" s="3">
        <v>0.97013888888888899</v>
      </c>
      <c r="C439" s="3">
        <v>0.98472222222222217</v>
      </c>
      <c r="D439" s="3">
        <f t="shared" si="16"/>
        <v>1.4583333333333171E-2</v>
      </c>
      <c r="E439" s="3">
        <f t="shared" si="15"/>
        <v>2.2222222222222386E-2</v>
      </c>
      <c r="F439" s="1" t="s">
        <v>10</v>
      </c>
    </row>
    <row r="440" spans="1:6" x14ac:dyDescent="0.25">
      <c r="A440" s="20">
        <v>42278</v>
      </c>
      <c r="B440" s="3">
        <v>5.8333333333333327E-2</v>
      </c>
      <c r="C440" s="3">
        <v>9.5138888888888884E-2</v>
      </c>
      <c r="D440" s="3">
        <f t="shared" si="16"/>
        <v>3.6805555555555557E-2</v>
      </c>
      <c r="E440" s="3">
        <f t="shared" si="15"/>
        <v>2.2916666666666662E-2</v>
      </c>
      <c r="F440" s="1" t="s">
        <v>10</v>
      </c>
    </row>
    <row r="441" spans="1:6" x14ac:dyDescent="0.25">
      <c r="A441" s="20">
        <v>42278</v>
      </c>
      <c r="B441" s="3">
        <v>0.34375</v>
      </c>
      <c r="C441" s="3">
        <v>0.3576388888888889</v>
      </c>
      <c r="D441" s="3">
        <f t="shared" si="16"/>
        <v>1.3888888888888895E-2</v>
      </c>
      <c r="E441" s="3">
        <f t="shared" ref="E441:E504" si="17">ABS(D441-D442)</f>
        <v>9.0277777777778012E-3</v>
      </c>
      <c r="F441" s="1" t="s">
        <v>10</v>
      </c>
    </row>
    <row r="442" spans="1:6" x14ac:dyDescent="0.25">
      <c r="A442" s="20">
        <v>42278</v>
      </c>
      <c r="B442" s="3">
        <v>0.46875</v>
      </c>
      <c r="C442" s="3">
        <v>0.4916666666666667</v>
      </c>
      <c r="D442" s="3">
        <f t="shared" si="16"/>
        <v>2.2916666666666696E-2</v>
      </c>
      <c r="E442" s="3">
        <f t="shared" si="17"/>
        <v>6.9444444444444198E-4</v>
      </c>
      <c r="F442" s="1" t="s">
        <v>10</v>
      </c>
    </row>
    <row r="443" spans="1:6" x14ac:dyDescent="0.25">
      <c r="A443" s="20">
        <v>42278</v>
      </c>
      <c r="B443" s="3">
        <v>0.53125</v>
      </c>
      <c r="C443" s="3">
        <v>0.55486111111111114</v>
      </c>
      <c r="D443" s="3">
        <f t="shared" si="16"/>
        <v>2.3611111111111138E-2</v>
      </c>
      <c r="E443" s="3">
        <f t="shared" si="17"/>
        <v>6.9444444444445308E-3</v>
      </c>
      <c r="F443" s="1" t="s">
        <v>10</v>
      </c>
    </row>
    <row r="444" spans="1:6" x14ac:dyDescent="0.25">
      <c r="A444" s="20">
        <v>42278</v>
      </c>
      <c r="B444" s="3">
        <v>0.64027777777777783</v>
      </c>
      <c r="C444" s="3">
        <v>0.65694444444444444</v>
      </c>
      <c r="D444" s="3">
        <f t="shared" si="16"/>
        <v>1.6666666666666607E-2</v>
      </c>
      <c r="E444" s="3">
        <f t="shared" si="17"/>
        <v>4.1666666666667629E-3</v>
      </c>
      <c r="F444" s="1" t="s">
        <v>10</v>
      </c>
    </row>
    <row r="445" spans="1:6" x14ac:dyDescent="0.25">
      <c r="A445" s="20">
        <v>42278</v>
      </c>
      <c r="B445" s="3">
        <v>0.67361111111111116</v>
      </c>
      <c r="C445" s="3">
        <v>0.69444444444444453</v>
      </c>
      <c r="D445" s="3">
        <f t="shared" si="16"/>
        <v>2.083333333333337E-2</v>
      </c>
      <c r="E445" s="3">
        <f t="shared" si="17"/>
        <v>1.3194444444444509E-2</v>
      </c>
      <c r="F445" s="1" t="s">
        <v>10</v>
      </c>
    </row>
    <row r="446" spans="1:6" x14ac:dyDescent="0.25">
      <c r="A446" s="20">
        <v>42278</v>
      </c>
      <c r="B446" s="3">
        <v>0.6875</v>
      </c>
      <c r="C446" s="3">
        <v>0.69513888888888886</v>
      </c>
      <c r="D446" s="3">
        <f t="shared" si="16"/>
        <v>7.6388888888888618E-3</v>
      </c>
      <c r="E446" s="3">
        <f t="shared" si="17"/>
        <v>7.6388888888889728E-3</v>
      </c>
      <c r="F446" s="1" t="s">
        <v>10</v>
      </c>
    </row>
    <row r="447" spans="1:6" x14ac:dyDescent="0.25">
      <c r="A447" s="20">
        <v>42278</v>
      </c>
      <c r="B447" s="3">
        <v>0.84236111111111101</v>
      </c>
      <c r="C447" s="3">
        <v>0.85763888888888884</v>
      </c>
      <c r="D447" s="3">
        <f t="shared" si="16"/>
        <v>1.5277777777777835E-2</v>
      </c>
      <c r="E447" s="3">
        <f t="shared" si="17"/>
        <v>6.9444444444433095E-4</v>
      </c>
      <c r="F447" s="1" t="s">
        <v>10</v>
      </c>
    </row>
    <row r="448" spans="1:6" x14ac:dyDescent="0.25">
      <c r="A448" s="20">
        <v>42278</v>
      </c>
      <c r="B448" s="3">
        <v>0.8979166666666667</v>
      </c>
      <c r="C448" s="3">
        <v>0.91388888888888886</v>
      </c>
      <c r="D448" s="3">
        <f t="shared" si="16"/>
        <v>1.5972222222222165E-2</v>
      </c>
      <c r="E448" s="3">
        <f t="shared" si="17"/>
        <v>1.3888888888889395E-3</v>
      </c>
      <c r="F448" s="1" t="s">
        <v>10</v>
      </c>
    </row>
    <row r="449" spans="1:6" x14ac:dyDescent="0.25">
      <c r="A449" s="20">
        <v>42278</v>
      </c>
      <c r="B449" s="3">
        <v>0.10416666666666667</v>
      </c>
      <c r="C449" s="3">
        <v>0.12152777777777778</v>
      </c>
      <c r="D449" s="3">
        <f t="shared" si="16"/>
        <v>1.7361111111111105E-2</v>
      </c>
      <c r="E449" s="3">
        <f t="shared" si="17"/>
        <v>2.7777777777777679E-3</v>
      </c>
      <c r="F449" s="1" t="s">
        <v>10</v>
      </c>
    </row>
    <row r="450" spans="1:6" x14ac:dyDescent="0.25">
      <c r="A450" s="20">
        <v>42278</v>
      </c>
      <c r="B450" s="3">
        <v>0.39583333333333331</v>
      </c>
      <c r="C450" s="3">
        <v>0.41597222222222219</v>
      </c>
      <c r="D450" s="3">
        <f t="shared" si="16"/>
        <v>2.0138888888888873E-2</v>
      </c>
      <c r="E450" s="3">
        <f t="shared" si="17"/>
        <v>3.4722222222222099E-3</v>
      </c>
      <c r="F450" s="1" t="s">
        <v>10</v>
      </c>
    </row>
    <row r="451" spans="1:6" x14ac:dyDescent="0.25">
      <c r="A451" s="20">
        <v>42278</v>
      </c>
      <c r="B451" s="3">
        <v>0.41666666666666669</v>
      </c>
      <c r="C451" s="3">
        <v>0.43333333333333335</v>
      </c>
      <c r="D451" s="3">
        <f t="shared" ref="D451:D514" si="18">(C451-B451)</f>
        <v>1.6666666666666663E-2</v>
      </c>
      <c r="E451" s="3">
        <f t="shared" si="17"/>
        <v>3.4722222222222099E-3</v>
      </c>
      <c r="F451" s="1" t="s">
        <v>10</v>
      </c>
    </row>
    <row r="452" spans="1:6" x14ac:dyDescent="0.25">
      <c r="A452" s="20">
        <v>42278</v>
      </c>
      <c r="B452" s="3">
        <v>0.46180555555555558</v>
      </c>
      <c r="C452" s="3">
        <v>0.48194444444444445</v>
      </c>
      <c r="D452" s="3">
        <f t="shared" si="18"/>
        <v>2.0138888888888873E-2</v>
      </c>
      <c r="E452" s="3">
        <f t="shared" si="17"/>
        <v>2.0833333333333259E-3</v>
      </c>
      <c r="F452" s="1" t="s">
        <v>10</v>
      </c>
    </row>
    <row r="453" spans="1:6" x14ac:dyDescent="0.25">
      <c r="A453" s="20">
        <v>42278</v>
      </c>
      <c r="B453" s="3">
        <v>0.47916666666666669</v>
      </c>
      <c r="C453" s="3">
        <v>0.49722222222222223</v>
      </c>
      <c r="D453" s="3">
        <f t="shared" si="18"/>
        <v>1.8055555555555547E-2</v>
      </c>
      <c r="E453" s="3">
        <f t="shared" si="17"/>
        <v>5.5511151231257827E-17</v>
      </c>
      <c r="F453" s="1" t="s">
        <v>10</v>
      </c>
    </row>
    <row r="454" spans="1:6" x14ac:dyDescent="0.25">
      <c r="A454" s="20">
        <v>42278</v>
      </c>
      <c r="B454" s="3">
        <v>0.52500000000000002</v>
      </c>
      <c r="C454" s="3">
        <v>0.54305555555555551</v>
      </c>
      <c r="D454" s="3">
        <f t="shared" si="18"/>
        <v>1.8055555555555491E-2</v>
      </c>
      <c r="E454" s="3">
        <f t="shared" si="17"/>
        <v>2.083333333333437E-3</v>
      </c>
      <c r="F454" s="1" t="s">
        <v>10</v>
      </c>
    </row>
    <row r="455" spans="1:6" x14ac:dyDescent="0.25">
      <c r="A455" s="20">
        <v>42278</v>
      </c>
      <c r="B455" s="3">
        <v>0.60347222222222219</v>
      </c>
      <c r="C455" s="3">
        <v>0.62361111111111112</v>
      </c>
      <c r="D455" s="3">
        <f t="shared" si="18"/>
        <v>2.0138888888888928E-2</v>
      </c>
      <c r="E455" s="3">
        <f t="shared" si="17"/>
        <v>1.1102230246251565E-16</v>
      </c>
      <c r="F455" s="1" t="s">
        <v>10</v>
      </c>
    </row>
    <row r="456" spans="1:6" x14ac:dyDescent="0.25">
      <c r="A456" s="20">
        <v>42278</v>
      </c>
      <c r="B456" s="3">
        <v>0.70763888888888893</v>
      </c>
      <c r="C456" s="3">
        <v>0.72777777777777775</v>
      </c>
      <c r="D456" s="3">
        <f t="shared" si="18"/>
        <v>2.0138888888888817E-2</v>
      </c>
      <c r="E456" s="3">
        <f t="shared" si="17"/>
        <v>6.9444444444421993E-4</v>
      </c>
      <c r="F456" s="1" t="s">
        <v>10</v>
      </c>
    </row>
    <row r="457" spans="1:6" x14ac:dyDescent="0.25">
      <c r="A457" s="20">
        <v>42278</v>
      </c>
      <c r="B457" s="3">
        <v>0.9277777777777777</v>
      </c>
      <c r="C457" s="3">
        <v>0.9472222222222223</v>
      </c>
      <c r="D457" s="3">
        <f t="shared" si="18"/>
        <v>1.9444444444444597E-2</v>
      </c>
      <c r="E457" s="3">
        <f t="shared" si="17"/>
        <v>1.388888888889217E-3</v>
      </c>
      <c r="F457" s="1" t="s">
        <v>10</v>
      </c>
    </row>
    <row r="458" spans="1:6" x14ac:dyDescent="0.25">
      <c r="A458" s="20">
        <v>42278</v>
      </c>
      <c r="B458" s="3">
        <v>0.94930555555555562</v>
      </c>
      <c r="C458" s="3">
        <v>0.96736111111111101</v>
      </c>
      <c r="D458" s="3">
        <f t="shared" si="18"/>
        <v>1.805555555555538E-2</v>
      </c>
      <c r="E458" s="3">
        <f t="shared" si="17"/>
        <v>1.3888888888886619E-3</v>
      </c>
      <c r="F458" s="1" t="s">
        <v>10</v>
      </c>
    </row>
    <row r="459" spans="1:6" x14ac:dyDescent="0.25">
      <c r="A459" s="20">
        <v>42278</v>
      </c>
      <c r="B459" s="3">
        <v>0.6381944444444444</v>
      </c>
      <c r="C459" s="3">
        <v>0.65486111111111112</v>
      </c>
      <c r="D459" s="3">
        <f t="shared" si="18"/>
        <v>1.6666666666666718E-2</v>
      </c>
      <c r="E459" s="3">
        <f t="shared" si="17"/>
        <v>6.94444444444553E-4</v>
      </c>
      <c r="F459" s="1" t="s">
        <v>10</v>
      </c>
    </row>
    <row r="460" spans="1:6" x14ac:dyDescent="0.25">
      <c r="A460" s="20">
        <v>42278</v>
      </c>
      <c r="B460" s="3">
        <v>0.82638888888888884</v>
      </c>
      <c r="C460" s="3">
        <v>0.84236111111111101</v>
      </c>
      <c r="D460" s="3">
        <f t="shared" si="18"/>
        <v>1.5972222222222165E-2</v>
      </c>
      <c r="E460" s="3">
        <f t="shared" si="17"/>
        <v>2.7777777777778789E-3</v>
      </c>
      <c r="F460" s="1" t="s">
        <v>10</v>
      </c>
    </row>
    <row r="461" spans="1:6" x14ac:dyDescent="0.25">
      <c r="A461" s="20">
        <v>42278</v>
      </c>
      <c r="B461" s="3">
        <v>0.75208333333333333</v>
      </c>
      <c r="C461" s="3">
        <v>0.77083333333333337</v>
      </c>
      <c r="D461" s="3">
        <f t="shared" si="18"/>
        <v>1.8750000000000044E-2</v>
      </c>
      <c r="E461" s="3">
        <f t="shared" si="17"/>
        <v>6.2499999999999778E-3</v>
      </c>
      <c r="F461" s="1" t="s">
        <v>10</v>
      </c>
    </row>
    <row r="462" spans="1:6" x14ac:dyDescent="0.25">
      <c r="A462" s="20">
        <v>42278</v>
      </c>
      <c r="B462" s="3">
        <v>0.9145833333333333</v>
      </c>
      <c r="C462" s="3">
        <v>0.92708333333333337</v>
      </c>
      <c r="D462" s="3">
        <f t="shared" si="18"/>
        <v>1.2500000000000067E-2</v>
      </c>
      <c r="E462" s="3">
        <f t="shared" si="17"/>
        <v>0</v>
      </c>
      <c r="F462" s="1" t="s">
        <v>10</v>
      </c>
    </row>
    <row r="463" spans="1:6" x14ac:dyDescent="0.25">
      <c r="A463" s="20">
        <v>42278</v>
      </c>
      <c r="B463" s="3">
        <v>0.95138888888888884</v>
      </c>
      <c r="C463" s="3">
        <v>0.96388888888888891</v>
      </c>
      <c r="D463" s="3">
        <f t="shared" si="18"/>
        <v>1.2500000000000067E-2</v>
      </c>
      <c r="E463" s="3">
        <f t="shared" si="17"/>
        <v>9.0277777777776347E-3</v>
      </c>
      <c r="F463" s="1" t="s">
        <v>10</v>
      </c>
    </row>
    <row r="464" spans="1:6" x14ac:dyDescent="0.25">
      <c r="A464" s="20">
        <v>42278</v>
      </c>
      <c r="B464" s="3">
        <v>0.63611111111111118</v>
      </c>
      <c r="C464" s="3">
        <v>0.65763888888888888</v>
      </c>
      <c r="D464" s="3">
        <f t="shared" si="18"/>
        <v>2.1527777777777701E-2</v>
      </c>
      <c r="E464" s="3">
        <f t="shared" si="17"/>
        <v>6.9444444444433095E-4</v>
      </c>
      <c r="F464" s="1" t="s">
        <v>10</v>
      </c>
    </row>
    <row r="465" spans="1:6" x14ac:dyDescent="0.25">
      <c r="A465" s="20">
        <v>42278</v>
      </c>
      <c r="B465" s="3">
        <v>0.55833333333333335</v>
      </c>
      <c r="C465" s="3">
        <v>0.57916666666666672</v>
      </c>
      <c r="D465" s="3">
        <f t="shared" si="18"/>
        <v>2.083333333333337E-2</v>
      </c>
      <c r="E465" s="3">
        <f t="shared" si="17"/>
        <v>2.083333333333437E-3</v>
      </c>
      <c r="F465" s="1" t="s">
        <v>10</v>
      </c>
    </row>
    <row r="466" spans="1:6" x14ac:dyDescent="0.25">
      <c r="A466" s="20">
        <v>42278</v>
      </c>
      <c r="B466" s="3">
        <v>0.63888888888888895</v>
      </c>
      <c r="C466" s="3">
        <v>0.65763888888888888</v>
      </c>
      <c r="D466" s="3">
        <f t="shared" si="18"/>
        <v>1.8749999999999933E-2</v>
      </c>
      <c r="E466" s="3">
        <f t="shared" si="17"/>
        <v>1.0416666666666741E-2</v>
      </c>
      <c r="F466" s="1" t="s">
        <v>10</v>
      </c>
    </row>
    <row r="467" spans="1:6" x14ac:dyDescent="0.25">
      <c r="A467" s="20">
        <v>42278</v>
      </c>
      <c r="B467" s="3">
        <v>0.96527777777777779</v>
      </c>
      <c r="C467" s="3">
        <v>0.99444444444444446</v>
      </c>
      <c r="D467" s="3">
        <f t="shared" si="18"/>
        <v>2.9166666666666674E-2</v>
      </c>
      <c r="E467" s="3">
        <f t="shared" si="17"/>
        <v>1.041666666666663E-2</v>
      </c>
      <c r="F467" s="1" t="s">
        <v>10</v>
      </c>
    </row>
    <row r="468" spans="1:6" x14ac:dyDescent="0.25">
      <c r="A468" s="20">
        <v>42278</v>
      </c>
      <c r="B468" s="3">
        <v>1.0138888888888888</v>
      </c>
      <c r="C468" s="3">
        <v>1.0326388888888889</v>
      </c>
      <c r="D468" s="3">
        <f t="shared" si="18"/>
        <v>1.8750000000000044E-2</v>
      </c>
      <c r="E468" s="3">
        <f t="shared" si="17"/>
        <v>2.7777777777778234E-3</v>
      </c>
      <c r="F468" s="1" t="s">
        <v>10</v>
      </c>
    </row>
    <row r="469" spans="1:6" x14ac:dyDescent="0.25">
      <c r="A469" s="20">
        <v>42278</v>
      </c>
      <c r="B469" s="3">
        <v>9.2361111111111116E-2</v>
      </c>
      <c r="C469" s="3">
        <v>0.10833333333333334</v>
      </c>
      <c r="D469" s="3">
        <f t="shared" si="18"/>
        <v>1.5972222222222221E-2</v>
      </c>
      <c r="E469" s="3">
        <f t="shared" si="17"/>
        <v>2.7777777777778234E-3</v>
      </c>
      <c r="F469" s="1" t="s">
        <v>10</v>
      </c>
    </row>
    <row r="470" spans="1:6" x14ac:dyDescent="0.25">
      <c r="A470" s="20">
        <v>42278</v>
      </c>
      <c r="B470" s="3">
        <v>0.56041666666666667</v>
      </c>
      <c r="C470" s="3">
        <v>0.57916666666666672</v>
      </c>
      <c r="D470" s="3">
        <f t="shared" si="18"/>
        <v>1.8750000000000044E-2</v>
      </c>
      <c r="E470" s="3">
        <f t="shared" si="17"/>
        <v>3.4722222222222099E-3</v>
      </c>
      <c r="F470" s="1" t="s">
        <v>10</v>
      </c>
    </row>
    <row r="471" spans="1:6" x14ac:dyDescent="0.25">
      <c r="A471" s="20">
        <v>42278</v>
      </c>
      <c r="B471" s="3">
        <v>0.74305555555555547</v>
      </c>
      <c r="C471" s="3">
        <v>0.7583333333333333</v>
      </c>
      <c r="D471" s="3">
        <f t="shared" si="18"/>
        <v>1.5277777777777835E-2</v>
      </c>
      <c r="E471" s="3">
        <f t="shared" si="17"/>
        <v>6.9444444444444198E-4</v>
      </c>
      <c r="F471" s="1" t="s">
        <v>10</v>
      </c>
    </row>
    <row r="472" spans="1:6" x14ac:dyDescent="0.25">
      <c r="A472" s="20">
        <v>42278</v>
      </c>
      <c r="B472" s="3">
        <v>0.84375</v>
      </c>
      <c r="C472" s="3">
        <v>0.85833333333333339</v>
      </c>
      <c r="D472" s="3">
        <f t="shared" si="18"/>
        <v>1.4583333333333393E-2</v>
      </c>
      <c r="E472" s="3">
        <f t="shared" si="17"/>
        <v>1.1102230246251565E-16</v>
      </c>
      <c r="F472" s="1" t="s">
        <v>10</v>
      </c>
    </row>
    <row r="473" spans="1:6" x14ac:dyDescent="0.25">
      <c r="A473" s="20">
        <v>42278</v>
      </c>
      <c r="B473" s="3">
        <v>0.89236111111111116</v>
      </c>
      <c r="C473" s="3">
        <v>0.90694444444444444</v>
      </c>
      <c r="D473" s="3">
        <f t="shared" si="18"/>
        <v>1.4583333333333282E-2</v>
      </c>
      <c r="E473" s="3">
        <f t="shared" si="17"/>
        <v>7.6388888888888618E-3</v>
      </c>
      <c r="F473" s="1" t="s">
        <v>10</v>
      </c>
    </row>
    <row r="474" spans="1:6" x14ac:dyDescent="0.25">
      <c r="A474" s="20">
        <v>42278</v>
      </c>
      <c r="B474" s="3">
        <v>1.0069444444444444</v>
      </c>
      <c r="C474" s="3">
        <v>1.0291666666666666</v>
      </c>
      <c r="D474" s="3">
        <f t="shared" si="18"/>
        <v>2.2222222222222143E-2</v>
      </c>
      <c r="E474" s="3">
        <f t="shared" si="17"/>
        <v>1.3888888888888284E-3</v>
      </c>
      <c r="F474" s="1" t="s">
        <v>10</v>
      </c>
    </row>
    <row r="475" spans="1:6" x14ac:dyDescent="0.25">
      <c r="A475" s="20">
        <v>42278</v>
      </c>
      <c r="B475" s="3">
        <v>0.47291666666666665</v>
      </c>
      <c r="C475" s="3">
        <v>0.49374999999999997</v>
      </c>
      <c r="D475" s="3">
        <f t="shared" si="18"/>
        <v>2.0833333333333315E-2</v>
      </c>
      <c r="E475" s="3">
        <f t="shared" si="17"/>
        <v>3.4722222222221544E-3</v>
      </c>
      <c r="F475" s="1" t="s">
        <v>10</v>
      </c>
    </row>
    <row r="476" spans="1:6" x14ac:dyDescent="0.25">
      <c r="A476" s="20">
        <v>42278</v>
      </c>
      <c r="B476" s="3">
        <v>0.54652777777777783</v>
      </c>
      <c r="C476" s="3">
        <v>0.5708333333333333</v>
      </c>
      <c r="D476" s="3">
        <f t="shared" si="18"/>
        <v>2.4305555555555469E-2</v>
      </c>
      <c r="E476" s="3">
        <f t="shared" si="17"/>
        <v>1.1111111111110961E-2</v>
      </c>
      <c r="F476" s="1" t="s">
        <v>10</v>
      </c>
    </row>
    <row r="477" spans="1:6" x14ac:dyDescent="0.25">
      <c r="A477" s="20">
        <v>42278</v>
      </c>
      <c r="B477" s="3">
        <v>0.95347222222222217</v>
      </c>
      <c r="C477" s="3">
        <v>0.96666666666666667</v>
      </c>
      <c r="D477" s="3">
        <f t="shared" si="18"/>
        <v>1.3194444444444509E-2</v>
      </c>
      <c r="E477" s="3">
        <f t="shared" si="17"/>
        <v>1.5972222222222054E-2</v>
      </c>
      <c r="F477" s="1" t="s">
        <v>10</v>
      </c>
    </row>
    <row r="478" spans="1:6" x14ac:dyDescent="0.25">
      <c r="A478" s="20">
        <v>42278</v>
      </c>
      <c r="B478" s="3">
        <v>0.51944444444444449</v>
      </c>
      <c r="C478" s="3">
        <v>0.54861111111111105</v>
      </c>
      <c r="D478" s="3">
        <f t="shared" si="18"/>
        <v>2.9166666666666563E-2</v>
      </c>
      <c r="E478" s="3">
        <f t="shared" si="17"/>
        <v>9.0277777777779677E-3</v>
      </c>
      <c r="F478" s="1" t="s">
        <v>10</v>
      </c>
    </row>
    <row r="479" spans="1:6" x14ac:dyDescent="0.25">
      <c r="A479" s="20">
        <v>42278</v>
      </c>
      <c r="B479" s="3">
        <v>0.53680555555555554</v>
      </c>
      <c r="C479" s="3">
        <v>0.57500000000000007</v>
      </c>
      <c r="D479" s="3">
        <f t="shared" si="18"/>
        <v>3.8194444444444531E-2</v>
      </c>
      <c r="E479" s="3">
        <f t="shared" si="17"/>
        <v>1.8750000000000044E-2</v>
      </c>
      <c r="F479" s="1" t="s">
        <v>10</v>
      </c>
    </row>
    <row r="480" spans="1:6" x14ac:dyDescent="0.25">
      <c r="A480" s="20">
        <v>42278</v>
      </c>
      <c r="B480" s="3">
        <v>0.62708333333333333</v>
      </c>
      <c r="C480" s="3">
        <v>0.64652777777777781</v>
      </c>
      <c r="D480" s="3">
        <f t="shared" si="18"/>
        <v>1.9444444444444486E-2</v>
      </c>
      <c r="E480" s="3">
        <f t="shared" si="17"/>
        <v>2.7777777777778789E-3</v>
      </c>
      <c r="F480" s="1" t="s">
        <v>10</v>
      </c>
    </row>
    <row r="481" spans="1:6" x14ac:dyDescent="0.25">
      <c r="A481" s="20">
        <v>42278</v>
      </c>
      <c r="B481" s="3">
        <v>0.87638888888888899</v>
      </c>
      <c r="C481" s="3">
        <v>0.8930555555555556</v>
      </c>
      <c r="D481" s="3">
        <f t="shared" si="18"/>
        <v>1.6666666666666607E-2</v>
      </c>
      <c r="E481" s="3">
        <f t="shared" si="17"/>
        <v>4.8611111111110383E-3</v>
      </c>
      <c r="F481" s="1" t="s">
        <v>10</v>
      </c>
    </row>
    <row r="482" spans="1:6" x14ac:dyDescent="0.25">
      <c r="A482" s="20">
        <v>42278</v>
      </c>
      <c r="B482" s="3">
        <v>0.4909722222222222</v>
      </c>
      <c r="C482" s="3">
        <v>0.50277777777777777</v>
      </c>
      <c r="D482" s="3">
        <f t="shared" si="18"/>
        <v>1.1805555555555569E-2</v>
      </c>
      <c r="E482" s="3">
        <f t="shared" si="17"/>
        <v>6.9444444444443643E-3</v>
      </c>
      <c r="F482" s="1" t="s">
        <v>10</v>
      </c>
    </row>
    <row r="483" spans="1:6" x14ac:dyDescent="0.25">
      <c r="A483" s="20">
        <v>42278</v>
      </c>
      <c r="B483" s="3">
        <v>0.65902777777777777</v>
      </c>
      <c r="C483" s="3">
        <v>0.6777777777777777</v>
      </c>
      <c r="D483" s="3">
        <f t="shared" si="18"/>
        <v>1.8749999999999933E-2</v>
      </c>
      <c r="E483" s="3">
        <f t="shared" si="17"/>
        <v>6.94444444444553E-4</v>
      </c>
      <c r="F483" s="1" t="s">
        <v>10</v>
      </c>
    </row>
    <row r="484" spans="1:6" x14ac:dyDescent="0.25">
      <c r="A484" s="20">
        <v>42278</v>
      </c>
      <c r="B484" s="3">
        <v>0.64097222222222217</v>
      </c>
      <c r="C484" s="3">
        <v>0.66041666666666665</v>
      </c>
      <c r="D484" s="3">
        <f t="shared" si="18"/>
        <v>1.9444444444444486E-2</v>
      </c>
      <c r="E484" s="3">
        <f t="shared" si="17"/>
        <v>9.0277777777777457E-3</v>
      </c>
      <c r="F484" s="1" t="s">
        <v>10</v>
      </c>
    </row>
    <row r="485" spans="1:6" x14ac:dyDescent="0.25">
      <c r="A485" s="20">
        <v>42278</v>
      </c>
      <c r="B485" s="3">
        <v>0.69513888888888886</v>
      </c>
      <c r="C485" s="3">
        <v>0.7055555555555556</v>
      </c>
      <c r="D485" s="3">
        <f t="shared" si="18"/>
        <v>1.0416666666666741E-2</v>
      </c>
      <c r="E485" s="3">
        <f t="shared" si="17"/>
        <v>6.9444444444443643E-3</v>
      </c>
      <c r="F485" s="1" t="s">
        <v>10</v>
      </c>
    </row>
    <row r="486" spans="1:6" x14ac:dyDescent="0.25">
      <c r="A486" s="20">
        <v>42278</v>
      </c>
      <c r="B486" s="3">
        <v>0.43888888888888888</v>
      </c>
      <c r="C486" s="3">
        <v>0.45624999999999999</v>
      </c>
      <c r="D486" s="3">
        <f t="shared" si="18"/>
        <v>1.7361111111111105E-2</v>
      </c>
      <c r="E486" s="3">
        <f t="shared" si="17"/>
        <v>1.388888888888884E-3</v>
      </c>
      <c r="F486" s="1" t="s">
        <v>10</v>
      </c>
    </row>
    <row r="487" spans="1:6" x14ac:dyDescent="0.25">
      <c r="A487" s="20">
        <v>42278</v>
      </c>
      <c r="B487" s="3">
        <v>0.46597222222222223</v>
      </c>
      <c r="C487" s="3">
        <v>0.48194444444444445</v>
      </c>
      <c r="D487" s="3">
        <f t="shared" si="18"/>
        <v>1.5972222222222221E-2</v>
      </c>
      <c r="E487" s="3">
        <f t="shared" si="17"/>
        <v>1.3888888888889395E-3</v>
      </c>
      <c r="F487" s="1" t="s">
        <v>10</v>
      </c>
    </row>
    <row r="488" spans="1:6" x14ac:dyDescent="0.25">
      <c r="A488" s="20">
        <v>42278</v>
      </c>
      <c r="B488" s="3">
        <v>0.57847222222222217</v>
      </c>
      <c r="C488" s="3">
        <v>0.59583333333333333</v>
      </c>
      <c r="D488" s="3">
        <f t="shared" si="18"/>
        <v>1.736111111111116E-2</v>
      </c>
      <c r="E488" s="3">
        <f t="shared" si="17"/>
        <v>6.9444444444444198E-4</v>
      </c>
      <c r="F488" s="1" t="s">
        <v>10</v>
      </c>
    </row>
    <row r="489" spans="1:6" x14ac:dyDescent="0.25">
      <c r="A489" s="20">
        <v>42278</v>
      </c>
      <c r="B489" s="3">
        <v>0.7583333333333333</v>
      </c>
      <c r="C489" s="3">
        <v>0.77500000000000002</v>
      </c>
      <c r="D489" s="3">
        <f t="shared" si="18"/>
        <v>1.6666666666666718E-2</v>
      </c>
      <c r="E489" s="3">
        <f t="shared" si="17"/>
        <v>2.0833333333333259E-3</v>
      </c>
      <c r="F489" s="1" t="s">
        <v>10</v>
      </c>
    </row>
    <row r="490" spans="1:6" x14ac:dyDescent="0.25">
      <c r="A490" s="20">
        <v>42278</v>
      </c>
      <c r="B490" s="3">
        <v>0.83680555555555547</v>
      </c>
      <c r="C490" s="3">
        <v>0.85138888888888886</v>
      </c>
      <c r="D490" s="3">
        <f t="shared" si="18"/>
        <v>1.4583333333333393E-2</v>
      </c>
      <c r="E490" s="3">
        <f t="shared" si="17"/>
        <v>3.4722222222222099E-3</v>
      </c>
      <c r="F490" s="1" t="s">
        <v>10</v>
      </c>
    </row>
    <row r="491" spans="1:6" x14ac:dyDescent="0.25">
      <c r="A491" s="20">
        <v>42278</v>
      </c>
      <c r="B491" s="3">
        <v>0.49305555555555558</v>
      </c>
      <c r="C491" s="3">
        <v>0.51111111111111118</v>
      </c>
      <c r="D491" s="3">
        <f t="shared" si="18"/>
        <v>1.8055555555555602E-2</v>
      </c>
      <c r="E491" s="3">
        <f t="shared" si="17"/>
        <v>6.9444444444444198E-4</v>
      </c>
      <c r="F491" s="1" t="s">
        <v>10</v>
      </c>
    </row>
    <row r="492" spans="1:6" x14ac:dyDescent="0.25">
      <c r="A492" s="20">
        <v>42278</v>
      </c>
      <c r="B492" s="3">
        <v>0.39861111111111108</v>
      </c>
      <c r="C492" s="3">
        <v>0.41736111111111113</v>
      </c>
      <c r="D492" s="3">
        <f t="shared" si="18"/>
        <v>1.8750000000000044E-2</v>
      </c>
      <c r="E492" s="3">
        <f t="shared" si="17"/>
        <v>2.0833333333333814E-3</v>
      </c>
      <c r="F492" s="1" t="s">
        <v>10</v>
      </c>
    </row>
    <row r="493" spans="1:6" x14ac:dyDescent="0.25">
      <c r="A493" s="20">
        <v>42278</v>
      </c>
      <c r="B493" s="3">
        <v>0.44305555555555554</v>
      </c>
      <c r="C493" s="3">
        <v>0.4597222222222222</v>
      </c>
      <c r="D493" s="3">
        <f t="shared" si="18"/>
        <v>1.6666666666666663E-2</v>
      </c>
      <c r="E493" s="3">
        <f t="shared" si="17"/>
        <v>6.9444444444438647E-4</v>
      </c>
      <c r="F493" s="1" t="s">
        <v>10</v>
      </c>
    </row>
    <row r="494" spans="1:6" x14ac:dyDescent="0.25">
      <c r="A494" s="20">
        <v>42278</v>
      </c>
      <c r="B494" s="3">
        <v>0.47430555555555554</v>
      </c>
      <c r="C494" s="3">
        <v>0.49027777777777781</v>
      </c>
      <c r="D494" s="3">
        <f t="shared" si="18"/>
        <v>1.5972222222222276E-2</v>
      </c>
      <c r="E494" s="3">
        <f t="shared" si="17"/>
        <v>1.3888888888886619E-3</v>
      </c>
      <c r="F494" s="1" t="s">
        <v>10</v>
      </c>
    </row>
    <row r="495" spans="1:6" x14ac:dyDescent="0.25">
      <c r="A495" s="20">
        <v>42278</v>
      </c>
      <c r="B495" s="3">
        <v>0.70000000000000007</v>
      </c>
      <c r="C495" s="3">
        <v>0.71736111111111101</v>
      </c>
      <c r="D495" s="3">
        <f t="shared" si="18"/>
        <v>1.7361111111110938E-2</v>
      </c>
      <c r="E495" s="3">
        <f t="shared" si="17"/>
        <v>1.1805555555555847E-2</v>
      </c>
      <c r="F495" s="1" t="s">
        <v>10</v>
      </c>
    </row>
    <row r="496" spans="1:6" x14ac:dyDescent="0.25">
      <c r="A496" s="20">
        <v>42278</v>
      </c>
      <c r="B496" s="3">
        <v>0.72222222222222221</v>
      </c>
      <c r="C496" s="3">
        <v>0.75138888888888899</v>
      </c>
      <c r="D496" s="3">
        <f t="shared" si="18"/>
        <v>2.9166666666666785E-2</v>
      </c>
      <c r="E496" s="3">
        <f t="shared" si="17"/>
        <v>1.3194444444444509E-2</v>
      </c>
      <c r="F496" s="1" t="s">
        <v>10</v>
      </c>
    </row>
    <row r="497" spans="1:6" x14ac:dyDescent="0.25">
      <c r="A497" s="20">
        <v>42278</v>
      </c>
      <c r="B497" s="3">
        <v>0.76597222222222217</v>
      </c>
      <c r="C497" s="3">
        <v>0.78194444444444444</v>
      </c>
      <c r="D497" s="3">
        <f t="shared" si="18"/>
        <v>1.5972222222222276E-2</v>
      </c>
      <c r="E497" s="3">
        <f t="shared" si="17"/>
        <v>4.1666666666665408E-3</v>
      </c>
      <c r="F497" s="1" t="s">
        <v>10</v>
      </c>
    </row>
    <row r="498" spans="1:6" x14ac:dyDescent="0.25">
      <c r="A498" s="20">
        <v>42278</v>
      </c>
      <c r="B498" s="3">
        <v>0.78055555555555556</v>
      </c>
      <c r="C498" s="3">
        <v>0.80069444444444438</v>
      </c>
      <c r="D498" s="3">
        <f t="shared" si="18"/>
        <v>2.0138888888888817E-2</v>
      </c>
      <c r="E498" s="3">
        <f t="shared" si="17"/>
        <v>2.7777777777776569E-3</v>
      </c>
      <c r="F498" s="1" t="s">
        <v>10</v>
      </c>
    </row>
    <row r="499" spans="1:6" x14ac:dyDescent="0.25">
      <c r="A499" s="20">
        <v>42278</v>
      </c>
      <c r="B499" s="3">
        <v>0.85277777777777775</v>
      </c>
      <c r="C499" s="3">
        <v>0.87013888888888891</v>
      </c>
      <c r="D499" s="3">
        <f t="shared" si="18"/>
        <v>1.736111111111116E-2</v>
      </c>
      <c r="E499" s="3">
        <f t="shared" si="17"/>
        <v>9.7222222222224097E-3</v>
      </c>
      <c r="F499" s="1" t="s">
        <v>10</v>
      </c>
    </row>
    <row r="500" spans="1:6" x14ac:dyDescent="0.25">
      <c r="A500" s="20">
        <v>42278</v>
      </c>
      <c r="B500" s="3">
        <v>1.0020833333333334</v>
      </c>
      <c r="C500" s="3">
        <v>1.0097222222222222</v>
      </c>
      <c r="D500" s="3">
        <f t="shared" si="18"/>
        <v>7.6388888888887507E-3</v>
      </c>
      <c r="E500" s="3">
        <f t="shared" si="17"/>
        <v>1.180555555555568E-2</v>
      </c>
      <c r="F500" s="1" t="s">
        <v>10</v>
      </c>
    </row>
    <row r="501" spans="1:6" x14ac:dyDescent="0.25">
      <c r="A501" s="20">
        <v>42278</v>
      </c>
      <c r="B501" s="3">
        <v>0.38680555555555557</v>
      </c>
      <c r="C501" s="3">
        <v>0.40625</v>
      </c>
      <c r="D501" s="3">
        <f t="shared" si="18"/>
        <v>1.9444444444444431E-2</v>
      </c>
      <c r="E501" s="3">
        <f t="shared" si="17"/>
        <v>6.2499999999999778E-3</v>
      </c>
      <c r="F501" s="1" t="s">
        <v>10</v>
      </c>
    </row>
    <row r="502" spans="1:6" x14ac:dyDescent="0.25">
      <c r="A502" s="20">
        <v>42278</v>
      </c>
      <c r="B502" s="3">
        <v>0.4375</v>
      </c>
      <c r="C502" s="3">
        <v>0.45069444444444445</v>
      </c>
      <c r="D502" s="3">
        <f t="shared" si="18"/>
        <v>1.3194444444444453E-2</v>
      </c>
      <c r="E502" s="3">
        <f t="shared" si="17"/>
        <v>8.3333333333334147E-3</v>
      </c>
      <c r="F502" s="1" t="s">
        <v>10</v>
      </c>
    </row>
    <row r="503" spans="1:6" x14ac:dyDescent="0.25">
      <c r="A503" s="20">
        <v>42278</v>
      </c>
      <c r="B503" s="3">
        <v>0.48958333333333331</v>
      </c>
      <c r="C503" s="3">
        <v>0.51111111111111118</v>
      </c>
      <c r="D503" s="3">
        <f t="shared" si="18"/>
        <v>2.1527777777777868E-2</v>
      </c>
      <c r="E503" s="3">
        <f t="shared" si="17"/>
        <v>6.9444444444427544E-4</v>
      </c>
      <c r="F503" s="1" t="s">
        <v>10</v>
      </c>
    </row>
    <row r="504" spans="1:6" x14ac:dyDescent="0.25">
      <c r="A504" s="20">
        <v>42278</v>
      </c>
      <c r="B504" s="3">
        <v>0.61041666666666672</v>
      </c>
      <c r="C504" s="3">
        <v>0.63263888888888886</v>
      </c>
      <c r="D504" s="3">
        <f t="shared" si="18"/>
        <v>2.2222222222222143E-2</v>
      </c>
      <c r="E504" s="3">
        <f t="shared" si="17"/>
        <v>4.8611111111109828E-3</v>
      </c>
      <c r="F504" s="1" t="s">
        <v>10</v>
      </c>
    </row>
    <row r="505" spans="1:6" x14ac:dyDescent="0.25">
      <c r="A505" s="20">
        <v>42278</v>
      </c>
      <c r="B505" s="3">
        <v>0.92013888888888884</v>
      </c>
      <c r="C505" s="3">
        <v>0.9375</v>
      </c>
      <c r="D505" s="3">
        <f t="shared" si="18"/>
        <v>1.736111111111116E-2</v>
      </c>
      <c r="E505" s="3">
        <f t="shared" ref="E505:E568" si="19">ABS(D505-D506)</f>
        <v>3.4722222222223209E-3</v>
      </c>
      <c r="F505" s="1" t="s">
        <v>10</v>
      </c>
    </row>
    <row r="506" spans="1:6" x14ac:dyDescent="0.25">
      <c r="A506" s="20">
        <v>42278</v>
      </c>
      <c r="B506" s="3">
        <v>0.32222222222222224</v>
      </c>
      <c r="C506" s="3">
        <v>0.33611111111111108</v>
      </c>
      <c r="D506" s="3">
        <f t="shared" si="18"/>
        <v>1.388888888888884E-2</v>
      </c>
      <c r="E506" s="3">
        <f t="shared" si="19"/>
        <v>5.5555555555555358E-3</v>
      </c>
      <c r="F506" s="1" t="s">
        <v>10</v>
      </c>
    </row>
    <row r="507" spans="1:6" x14ac:dyDescent="0.25">
      <c r="A507" s="20">
        <v>42278</v>
      </c>
      <c r="B507" s="3">
        <v>0.38125000000000003</v>
      </c>
      <c r="C507" s="3">
        <v>0.38958333333333334</v>
      </c>
      <c r="D507" s="3">
        <f t="shared" si="18"/>
        <v>8.3333333333333037E-3</v>
      </c>
      <c r="E507" s="3">
        <f t="shared" si="19"/>
        <v>1.388888888888884E-2</v>
      </c>
      <c r="F507" s="1" t="s">
        <v>10</v>
      </c>
    </row>
    <row r="508" spans="1:6" x14ac:dyDescent="0.25">
      <c r="A508" s="20">
        <v>42278</v>
      </c>
      <c r="B508" s="3">
        <v>0.70763888888888893</v>
      </c>
      <c r="C508" s="3">
        <v>0.72986111111111107</v>
      </c>
      <c r="D508" s="3">
        <f t="shared" si="18"/>
        <v>2.2222222222222143E-2</v>
      </c>
      <c r="E508" s="3">
        <f t="shared" si="19"/>
        <v>1.3888888888888951E-2</v>
      </c>
      <c r="F508" s="1" t="s">
        <v>10</v>
      </c>
    </row>
    <row r="509" spans="1:6" x14ac:dyDescent="0.25">
      <c r="A509" s="20">
        <v>42278</v>
      </c>
      <c r="B509" s="3">
        <v>0.74722222222222223</v>
      </c>
      <c r="C509" s="3">
        <v>0.78333333333333333</v>
      </c>
      <c r="D509" s="3">
        <f t="shared" si="18"/>
        <v>3.6111111111111094E-2</v>
      </c>
      <c r="E509" s="3">
        <f t="shared" si="19"/>
        <v>1.9444444444444264E-2</v>
      </c>
      <c r="F509" s="1" t="s">
        <v>10</v>
      </c>
    </row>
    <row r="510" spans="1:6" x14ac:dyDescent="0.25">
      <c r="A510" s="20">
        <v>42278</v>
      </c>
      <c r="B510" s="3">
        <v>0.86805555555555547</v>
      </c>
      <c r="C510" s="3">
        <v>0.8847222222222223</v>
      </c>
      <c r="D510" s="3">
        <f t="shared" si="18"/>
        <v>1.6666666666666829E-2</v>
      </c>
      <c r="E510" s="3">
        <f t="shared" si="19"/>
        <v>2.7777777777776569E-3</v>
      </c>
      <c r="F510" s="1" t="s">
        <v>10</v>
      </c>
    </row>
    <row r="511" spans="1:6" x14ac:dyDescent="0.25">
      <c r="A511" s="20">
        <v>42278</v>
      </c>
      <c r="B511" s="3">
        <v>0.87777777777777777</v>
      </c>
      <c r="C511" s="3">
        <v>0.89722222222222225</v>
      </c>
      <c r="D511" s="3">
        <f t="shared" si="18"/>
        <v>1.9444444444444486E-2</v>
      </c>
      <c r="E511" s="3">
        <f t="shared" si="19"/>
        <v>0</v>
      </c>
      <c r="F511" s="1" t="s">
        <v>10</v>
      </c>
    </row>
    <row r="512" spans="1:6" x14ac:dyDescent="0.25">
      <c r="A512" s="20">
        <v>42278</v>
      </c>
      <c r="B512" s="3">
        <v>0.26944444444444443</v>
      </c>
      <c r="C512" s="3">
        <v>0.28888888888888892</v>
      </c>
      <c r="D512" s="3">
        <f t="shared" si="18"/>
        <v>1.9444444444444486E-2</v>
      </c>
      <c r="E512" s="3">
        <f t="shared" si="19"/>
        <v>1.041666666666663E-2</v>
      </c>
      <c r="F512" s="1" t="s">
        <v>10</v>
      </c>
    </row>
    <row r="513" spans="1:6" x14ac:dyDescent="0.25">
      <c r="A513" s="20">
        <v>42278</v>
      </c>
      <c r="B513" s="3">
        <v>0.41666666666666669</v>
      </c>
      <c r="C513" s="3">
        <v>0.4465277777777778</v>
      </c>
      <c r="D513" s="3">
        <f t="shared" si="18"/>
        <v>2.9861111111111116E-2</v>
      </c>
      <c r="E513" s="3">
        <f t="shared" si="19"/>
        <v>1.1111111111111183E-2</v>
      </c>
      <c r="F513" s="1" t="s">
        <v>10</v>
      </c>
    </row>
    <row r="514" spans="1:6" x14ac:dyDescent="0.25">
      <c r="A514" s="20">
        <v>42278</v>
      </c>
      <c r="B514" s="3">
        <v>0.7729166666666667</v>
      </c>
      <c r="C514" s="3">
        <v>0.79166666666666663</v>
      </c>
      <c r="D514" s="3">
        <f t="shared" si="18"/>
        <v>1.8749999999999933E-2</v>
      </c>
      <c r="E514" s="3">
        <f t="shared" si="19"/>
        <v>3.4722222222220989E-3</v>
      </c>
      <c r="F514" s="1" t="s">
        <v>10</v>
      </c>
    </row>
    <row r="515" spans="1:6" x14ac:dyDescent="0.25">
      <c r="A515" s="20">
        <v>42278</v>
      </c>
      <c r="B515" s="3">
        <v>0.79722222222222217</v>
      </c>
      <c r="C515" s="3">
        <v>0.8125</v>
      </c>
      <c r="D515" s="3">
        <f t="shared" ref="D515:D578" si="20">(C515-B515)</f>
        <v>1.5277777777777835E-2</v>
      </c>
      <c r="E515" s="3">
        <f t="shared" si="19"/>
        <v>2.7777777777777679E-3</v>
      </c>
      <c r="F515" s="1" t="s">
        <v>10</v>
      </c>
    </row>
    <row r="516" spans="1:6" x14ac:dyDescent="0.25">
      <c r="A516" s="20">
        <v>42278</v>
      </c>
      <c r="B516" s="3">
        <v>0.87152777777777779</v>
      </c>
      <c r="C516" s="3">
        <v>0.88958333333333339</v>
      </c>
      <c r="D516" s="3">
        <f t="shared" si="20"/>
        <v>1.8055555555555602E-2</v>
      </c>
      <c r="E516" s="3">
        <f t="shared" si="19"/>
        <v>2.0833333333333259E-3</v>
      </c>
      <c r="F516" s="1" t="s">
        <v>10</v>
      </c>
    </row>
    <row r="517" spans="1:6" x14ac:dyDescent="0.25">
      <c r="A517" s="20">
        <v>42278</v>
      </c>
      <c r="B517" s="3">
        <v>0.875</v>
      </c>
      <c r="C517" s="3">
        <v>0.89513888888888893</v>
      </c>
      <c r="D517" s="3">
        <f t="shared" si="20"/>
        <v>2.0138888888888928E-2</v>
      </c>
      <c r="E517" s="3">
        <f t="shared" si="19"/>
        <v>3.4722222222222099E-3</v>
      </c>
      <c r="F517" s="1" t="s">
        <v>10</v>
      </c>
    </row>
    <row r="518" spans="1:6" x14ac:dyDescent="0.25">
      <c r="A518" s="20">
        <v>42278</v>
      </c>
      <c r="B518" s="3">
        <v>0.92083333333333339</v>
      </c>
      <c r="C518" s="3">
        <v>0.94444444444444453</v>
      </c>
      <c r="D518" s="3">
        <f t="shared" si="20"/>
        <v>2.3611111111111138E-2</v>
      </c>
      <c r="E518" s="3">
        <f t="shared" si="19"/>
        <v>3.4722222222222099E-3</v>
      </c>
      <c r="F518" s="1" t="s">
        <v>10</v>
      </c>
    </row>
    <row r="519" spans="1:6" x14ac:dyDescent="0.25">
      <c r="A519" s="20">
        <v>42278</v>
      </c>
      <c r="B519" s="3">
        <v>0.96597222222222223</v>
      </c>
      <c r="C519" s="3">
        <v>0.98611111111111116</v>
      </c>
      <c r="D519" s="3">
        <f t="shared" si="20"/>
        <v>2.0138888888888928E-2</v>
      </c>
      <c r="E519" s="3">
        <f t="shared" si="19"/>
        <v>2.7777777777777367E-3</v>
      </c>
      <c r="F519" s="1" t="s">
        <v>10</v>
      </c>
    </row>
    <row r="520" spans="1:6" x14ac:dyDescent="0.25">
      <c r="A520" s="20">
        <v>42278</v>
      </c>
      <c r="B520" s="3">
        <v>5.5555555555555558E-3</v>
      </c>
      <c r="C520" s="3">
        <v>2.8472222222222222E-2</v>
      </c>
      <c r="D520" s="3">
        <f t="shared" si="20"/>
        <v>2.2916666666666665E-2</v>
      </c>
      <c r="E520" s="3">
        <f t="shared" si="19"/>
        <v>4.1666666666667317E-3</v>
      </c>
      <c r="F520" s="1" t="s">
        <v>10</v>
      </c>
    </row>
    <row r="521" spans="1:6" x14ac:dyDescent="0.25">
      <c r="A521" s="20">
        <v>42278</v>
      </c>
      <c r="B521" s="3">
        <v>0.57500000000000007</v>
      </c>
      <c r="C521" s="3">
        <v>0.59375</v>
      </c>
      <c r="D521" s="3">
        <f t="shared" si="20"/>
        <v>1.8749999999999933E-2</v>
      </c>
      <c r="E521" s="3">
        <f t="shared" si="19"/>
        <v>6.9444444444444198E-4</v>
      </c>
      <c r="F521" s="1" t="s">
        <v>10</v>
      </c>
    </row>
    <row r="522" spans="1:6" x14ac:dyDescent="0.25">
      <c r="A522" s="20">
        <v>42278</v>
      </c>
      <c r="B522" s="3">
        <v>0.68402777777777779</v>
      </c>
      <c r="C522" s="3">
        <v>0.70347222222222217</v>
      </c>
      <c r="D522" s="3">
        <f t="shared" si="20"/>
        <v>1.9444444444444375E-2</v>
      </c>
      <c r="E522" s="3">
        <f t="shared" si="19"/>
        <v>1.388888888888884E-3</v>
      </c>
      <c r="F522" s="1" t="s">
        <v>10</v>
      </c>
    </row>
    <row r="523" spans="1:6" x14ac:dyDescent="0.25">
      <c r="A523" s="20">
        <v>42278</v>
      </c>
      <c r="B523" s="3">
        <v>0.67708333333333337</v>
      </c>
      <c r="C523" s="3">
        <v>0.69513888888888886</v>
      </c>
      <c r="D523" s="3">
        <f t="shared" si="20"/>
        <v>1.8055555555555491E-2</v>
      </c>
      <c r="E523" s="3">
        <f t="shared" si="19"/>
        <v>2.0833333333333259E-3</v>
      </c>
      <c r="F523" s="1" t="s">
        <v>10</v>
      </c>
    </row>
    <row r="524" spans="1:6" x14ac:dyDescent="0.25">
      <c r="A524" s="20">
        <v>42278</v>
      </c>
      <c r="B524" s="3">
        <v>0.82777777777777783</v>
      </c>
      <c r="C524" s="3">
        <v>0.84375</v>
      </c>
      <c r="D524" s="3">
        <f t="shared" si="20"/>
        <v>1.5972222222222165E-2</v>
      </c>
      <c r="E524" s="3">
        <f t="shared" si="19"/>
        <v>1.388888888888995E-3</v>
      </c>
      <c r="F524" s="1" t="s">
        <v>10</v>
      </c>
    </row>
    <row r="525" spans="1:6" x14ac:dyDescent="0.25">
      <c r="A525" s="20">
        <v>42278</v>
      </c>
      <c r="B525" s="3">
        <v>0.37291666666666662</v>
      </c>
      <c r="C525" s="3">
        <v>0.39027777777777778</v>
      </c>
      <c r="D525" s="3">
        <f t="shared" si="20"/>
        <v>1.736111111111116E-2</v>
      </c>
      <c r="E525" s="3">
        <f t="shared" si="19"/>
        <v>5.5511151231257827E-17</v>
      </c>
      <c r="F525" s="1" t="s">
        <v>10</v>
      </c>
    </row>
    <row r="526" spans="1:6" x14ac:dyDescent="0.25">
      <c r="A526" s="20">
        <v>42278</v>
      </c>
      <c r="B526" s="3">
        <v>0.4291666666666667</v>
      </c>
      <c r="C526" s="3">
        <v>0.4465277777777778</v>
      </c>
      <c r="D526" s="3">
        <f t="shared" si="20"/>
        <v>1.7361111111111105E-2</v>
      </c>
      <c r="E526" s="3">
        <f t="shared" si="19"/>
        <v>5.5555555555555913E-3</v>
      </c>
      <c r="F526" s="1" t="s">
        <v>10</v>
      </c>
    </row>
    <row r="527" spans="1:6" x14ac:dyDescent="0.25">
      <c r="A527" s="20">
        <v>42278</v>
      </c>
      <c r="B527" s="3">
        <v>0.47847222222222219</v>
      </c>
      <c r="C527" s="3">
        <v>0.50138888888888888</v>
      </c>
      <c r="D527" s="3">
        <f t="shared" si="20"/>
        <v>2.2916666666666696E-2</v>
      </c>
      <c r="E527" s="3">
        <f t="shared" si="19"/>
        <v>6.9444444444444198E-4</v>
      </c>
      <c r="F527" s="1" t="s">
        <v>10</v>
      </c>
    </row>
    <row r="528" spans="1:6" x14ac:dyDescent="0.25">
      <c r="A528" s="20">
        <v>42278</v>
      </c>
      <c r="B528" s="3">
        <v>0.66666666666666663</v>
      </c>
      <c r="C528" s="3">
        <v>0.69027777777777777</v>
      </c>
      <c r="D528" s="3">
        <f t="shared" si="20"/>
        <v>2.3611111111111138E-2</v>
      </c>
      <c r="E528" s="3">
        <f t="shared" si="19"/>
        <v>6.2500000000001998E-3</v>
      </c>
      <c r="F528" s="1" t="s">
        <v>10</v>
      </c>
    </row>
    <row r="529" spans="1:6" x14ac:dyDescent="0.25">
      <c r="A529" s="20">
        <v>42278</v>
      </c>
      <c r="B529" s="3">
        <v>0.68888888888888899</v>
      </c>
      <c r="C529" s="3">
        <v>0.70624999999999993</v>
      </c>
      <c r="D529" s="3">
        <f t="shared" si="20"/>
        <v>1.7361111111110938E-2</v>
      </c>
      <c r="E529" s="3">
        <f t="shared" si="19"/>
        <v>2.7777777777775459E-3</v>
      </c>
      <c r="F529" s="1" t="s">
        <v>10</v>
      </c>
    </row>
    <row r="530" spans="1:6" x14ac:dyDescent="0.25">
      <c r="A530" s="20">
        <v>42278</v>
      </c>
      <c r="B530" s="3">
        <v>0.72986111111111107</v>
      </c>
      <c r="C530" s="3">
        <v>0.74444444444444446</v>
      </c>
      <c r="D530" s="3">
        <f t="shared" si="20"/>
        <v>1.4583333333333393E-2</v>
      </c>
      <c r="E530" s="3">
        <f t="shared" si="19"/>
        <v>4.1666666666667629E-3</v>
      </c>
      <c r="F530" s="1" t="s">
        <v>10</v>
      </c>
    </row>
    <row r="531" spans="1:6" x14ac:dyDescent="0.25">
      <c r="A531" s="20">
        <v>42278</v>
      </c>
      <c r="B531" s="3">
        <v>0.74305555555555547</v>
      </c>
      <c r="C531" s="3">
        <v>0.76180555555555562</v>
      </c>
      <c r="D531" s="3">
        <f t="shared" si="20"/>
        <v>1.8750000000000155E-2</v>
      </c>
      <c r="E531" s="3">
        <f t="shared" si="19"/>
        <v>2.2204460492503131E-16</v>
      </c>
      <c r="F531" s="1" t="s">
        <v>10</v>
      </c>
    </row>
    <row r="532" spans="1:6" x14ac:dyDescent="0.25">
      <c r="A532" s="20">
        <v>42278</v>
      </c>
      <c r="B532" s="3">
        <v>0.82361111111111107</v>
      </c>
      <c r="C532" s="3">
        <v>0.84236111111111101</v>
      </c>
      <c r="D532" s="3">
        <f t="shared" si="20"/>
        <v>1.8749999999999933E-2</v>
      </c>
      <c r="E532" s="3">
        <f t="shared" si="19"/>
        <v>5.5555555555554872E-3</v>
      </c>
      <c r="F532" s="1" t="s">
        <v>10</v>
      </c>
    </row>
    <row r="533" spans="1:6" x14ac:dyDescent="0.25">
      <c r="A533" s="20">
        <v>42278</v>
      </c>
      <c r="B533" s="3">
        <v>4.8611111111111112E-3</v>
      </c>
      <c r="C533" s="3">
        <v>1.8055555555555557E-2</v>
      </c>
      <c r="D533" s="3">
        <f t="shared" si="20"/>
        <v>1.3194444444444446E-2</v>
      </c>
      <c r="E533" s="3">
        <f t="shared" si="19"/>
        <v>1.3888888888888909E-3</v>
      </c>
      <c r="F533" s="1" t="s">
        <v>10</v>
      </c>
    </row>
    <row r="534" spans="1:6" x14ac:dyDescent="0.25">
      <c r="A534" s="20">
        <v>42278</v>
      </c>
      <c r="B534" s="3">
        <v>0.1423611111111111</v>
      </c>
      <c r="C534" s="3">
        <v>0.15694444444444444</v>
      </c>
      <c r="D534" s="3">
        <f t="shared" si="20"/>
        <v>1.4583333333333337E-2</v>
      </c>
      <c r="E534" s="3">
        <f t="shared" si="19"/>
        <v>1.3888888888889395E-3</v>
      </c>
      <c r="F534" s="1" t="s">
        <v>10</v>
      </c>
    </row>
    <row r="535" spans="1:6" x14ac:dyDescent="0.25">
      <c r="A535" s="20">
        <v>42278</v>
      </c>
      <c r="B535" s="3">
        <v>0.42638888888888887</v>
      </c>
      <c r="C535" s="3">
        <v>0.44236111111111115</v>
      </c>
      <c r="D535" s="3">
        <f t="shared" si="20"/>
        <v>1.5972222222222276E-2</v>
      </c>
      <c r="E535" s="3">
        <f t="shared" si="19"/>
        <v>1.1102230246251565E-16</v>
      </c>
      <c r="F535" s="1" t="s">
        <v>10</v>
      </c>
    </row>
    <row r="536" spans="1:6" x14ac:dyDescent="0.25">
      <c r="A536" s="20">
        <v>42278</v>
      </c>
      <c r="B536" s="3">
        <v>0.45208333333333334</v>
      </c>
      <c r="C536" s="3">
        <v>0.4680555555555555</v>
      </c>
      <c r="D536" s="3">
        <f t="shared" si="20"/>
        <v>1.5972222222222165E-2</v>
      </c>
      <c r="E536" s="3">
        <f t="shared" si="19"/>
        <v>6.9444444444444198E-4</v>
      </c>
      <c r="F536" s="1" t="s">
        <v>10</v>
      </c>
    </row>
    <row r="537" spans="1:6" x14ac:dyDescent="0.25">
      <c r="A537" s="20">
        <v>42278</v>
      </c>
      <c r="B537" s="3">
        <v>0.47083333333333338</v>
      </c>
      <c r="C537" s="3">
        <v>0.4861111111111111</v>
      </c>
      <c r="D537" s="3">
        <f t="shared" si="20"/>
        <v>1.5277777777777724E-2</v>
      </c>
      <c r="E537" s="3">
        <f t="shared" si="19"/>
        <v>8.3333333333334147E-3</v>
      </c>
      <c r="F537" s="1" t="s">
        <v>10</v>
      </c>
    </row>
    <row r="538" spans="1:6" x14ac:dyDescent="0.25">
      <c r="A538" s="20">
        <v>42278</v>
      </c>
      <c r="B538" s="3">
        <v>0.78819444444444453</v>
      </c>
      <c r="C538" s="3">
        <v>0.79513888888888884</v>
      </c>
      <c r="D538" s="3">
        <f t="shared" si="20"/>
        <v>6.9444444444443088E-3</v>
      </c>
      <c r="E538" s="3">
        <f t="shared" si="19"/>
        <v>5.5555555555556468E-3</v>
      </c>
      <c r="F538" s="1" t="s">
        <v>10</v>
      </c>
    </row>
    <row r="539" spans="1:6" x14ac:dyDescent="0.25">
      <c r="A539" s="20">
        <v>42278</v>
      </c>
      <c r="B539" s="3">
        <v>0.85277777777777775</v>
      </c>
      <c r="C539" s="3">
        <v>0.8652777777777777</v>
      </c>
      <c r="D539" s="3">
        <f t="shared" si="20"/>
        <v>1.2499999999999956E-2</v>
      </c>
      <c r="E539" s="3">
        <f t="shared" si="19"/>
        <v>5.5555555555556468E-3</v>
      </c>
      <c r="F539" s="1" t="s">
        <v>10</v>
      </c>
    </row>
    <row r="540" spans="1:6" x14ac:dyDescent="0.25">
      <c r="A540" s="20">
        <v>42278</v>
      </c>
      <c r="B540" s="3">
        <v>0.91736111111111107</v>
      </c>
      <c r="C540" s="3">
        <v>0.93541666666666667</v>
      </c>
      <c r="D540" s="3">
        <f t="shared" si="20"/>
        <v>1.8055555555555602E-2</v>
      </c>
      <c r="E540" s="3">
        <f t="shared" si="19"/>
        <v>6.9444444444444198E-4</v>
      </c>
      <c r="F540" s="1" t="s">
        <v>10</v>
      </c>
    </row>
    <row r="541" spans="1:6" x14ac:dyDescent="0.25">
      <c r="A541" s="20">
        <v>42278</v>
      </c>
      <c r="B541" s="3">
        <v>0.91666666666666663</v>
      </c>
      <c r="C541" s="3">
        <v>0.93541666666666667</v>
      </c>
      <c r="D541" s="3">
        <f t="shared" si="20"/>
        <v>1.8750000000000044E-2</v>
      </c>
      <c r="E541" s="3">
        <f t="shared" si="19"/>
        <v>4.1666666666666519E-3</v>
      </c>
      <c r="F541" s="1" t="s">
        <v>10</v>
      </c>
    </row>
    <row r="542" spans="1:6" x14ac:dyDescent="0.25">
      <c r="A542" s="20">
        <v>42278</v>
      </c>
      <c r="B542" s="3">
        <v>0.93541666666666667</v>
      </c>
      <c r="C542" s="3">
        <v>0.95000000000000007</v>
      </c>
      <c r="D542" s="3">
        <f t="shared" si="20"/>
        <v>1.4583333333333393E-2</v>
      </c>
      <c r="E542" s="3">
        <f t="shared" si="19"/>
        <v>0</v>
      </c>
      <c r="F542" s="1" t="s">
        <v>10</v>
      </c>
    </row>
    <row r="543" spans="1:6" x14ac:dyDescent="0.25">
      <c r="A543" s="20">
        <v>42278</v>
      </c>
      <c r="B543" s="3">
        <v>0.96458333333333324</v>
      </c>
      <c r="C543" s="3">
        <v>0.97916666666666663</v>
      </c>
      <c r="D543" s="3">
        <f t="shared" si="20"/>
        <v>1.4583333333333393E-2</v>
      </c>
      <c r="E543" s="3">
        <f t="shared" si="19"/>
        <v>5.5511151231257827E-17</v>
      </c>
      <c r="F543" s="1" t="s">
        <v>10</v>
      </c>
    </row>
    <row r="544" spans="1:6" x14ac:dyDescent="0.25">
      <c r="A544" s="20">
        <v>42278</v>
      </c>
      <c r="B544" s="3">
        <v>0.29652777777777778</v>
      </c>
      <c r="C544" s="3">
        <v>0.31111111111111112</v>
      </c>
      <c r="D544" s="3">
        <f t="shared" si="20"/>
        <v>1.4583333333333337E-2</v>
      </c>
      <c r="E544" s="3">
        <f t="shared" si="19"/>
        <v>3.4722222222222099E-3</v>
      </c>
      <c r="F544" s="1" t="s">
        <v>10</v>
      </c>
    </row>
    <row r="545" spans="1:6" x14ac:dyDescent="0.25">
      <c r="A545" s="20">
        <v>42278</v>
      </c>
      <c r="B545" s="3">
        <v>0.27569444444444446</v>
      </c>
      <c r="C545" s="3">
        <v>0.29375000000000001</v>
      </c>
      <c r="D545" s="3">
        <f t="shared" si="20"/>
        <v>1.8055555555555547E-2</v>
      </c>
      <c r="E545" s="3">
        <f t="shared" si="19"/>
        <v>1.8055555555555602E-2</v>
      </c>
      <c r="F545" s="1" t="s">
        <v>10</v>
      </c>
    </row>
    <row r="546" spans="1:6" x14ac:dyDescent="0.25">
      <c r="A546" s="20">
        <v>42278</v>
      </c>
      <c r="B546" s="3">
        <v>0.40625</v>
      </c>
      <c r="C546" s="3">
        <v>0.44236111111111115</v>
      </c>
      <c r="D546" s="3">
        <f t="shared" si="20"/>
        <v>3.6111111111111149E-2</v>
      </c>
      <c r="E546" s="3">
        <f t="shared" si="19"/>
        <v>1.4583333333333337E-2</v>
      </c>
      <c r="F546" s="1" t="s">
        <v>10</v>
      </c>
    </row>
    <row r="547" spans="1:6" x14ac:dyDescent="0.25">
      <c r="A547" s="20">
        <v>42278</v>
      </c>
      <c r="B547" s="3">
        <v>0.4284722222222222</v>
      </c>
      <c r="C547" s="3">
        <v>0.45</v>
      </c>
      <c r="D547" s="3">
        <f t="shared" si="20"/>
        <v>2.1527777777777812E-2</v>
      </c>
      <c r="E547" s="3">
        <f t="shared" si="19"/>
        <v>2.7777777777777679E-3</v>
      </c>
      <c r="F547" s="1" t="s">
        <v>10</v>
      </c>
    </row>
    <row r="548" spans="1:6" x14ac:dyDescent="0.25">
      <c r="A548" s="20">
        <v>42278</v>
      </c>
      <c r="B548" s="3">
        <v>0.50208333333333333</v>
      </c>
      <c r="C548" s="3">
        <v>0.52638888888888891</v>
      </c>
      <c r="D548" s="3">
        <f t="shared" si="20"/>
        <v>2.430555555555558E-2</v>
      </c>
      <c r="E548" s="3">
        <f t="shared" si="19"/>
        <v>9.0277777777777457E-3</v>
      </c>
      <c r="F548" s="1" t="s">
        <v>10</v>
      </c>
    </row>
    <row r="549" spans="1:6" x14ac:dyDescent="0.25">
      <c r="A549" s="20">
        <v>42278</v>
      </c>
      <c r="B549" s="3">
        <v>0.53402777777777777</v>
      </c>
      <c r="C549" s="3">
        <v>0.5493055555555556</v>
      </c>
      <c r="D549" s="3">
        <f t="shared" si="20"/>
        <v>1.5277777777777835E-2</v>
      </c>
      <c r="E549" s="3">
        <f t="shared" si="19"/>
        <v>5.5555555555555358E-3</v>
      </c>
      <c r="F549" s="1" t="s">
        <v>10</v>
      </c>
    </row>
    <row r="550" spans="1:6" x14ac:dyDescent="0.25">
      <c r="A550" s="20">
        <v>42278</v>
      </c>
      <c r="B550" s="3">
        <v>0.53263888888888888</v>
      </c>
      <c r="C550" s="3">
        <v>0.55347222222222225</v>
      </c>
      <c r="D550" s="3">
        <f t="shared" si="20"/>
        <v>2.083333333333337E-2</v>
      </c>
      <c r="E550" s="3">
        <f t="shared" si="19"/>
        <v>4.1666666666665408E-3</v>
      </c>
      <c r="F550" s="1" t="s">
        <v>10</v>
      </c>
    </row>
    <row r="551" spans="1:6" x14ac:dyDescent="0.25">
      <c r="A551" s="20">
        <v>42278</v>
      </c>
      <c r="B551" s="3">
        <v>0.67222222222222217</v>
      </c>
      <c r="C551" s="3">
        <v>0.68888888888888899</v>
      </c>
      <c r="D551" s="3">
        <f t="shared" si="20"/>
        <v>1.6666666666666829E-2</v>
      </c>
      <c r="E551" s="3">
        <f t="shared" si="19"/>
        <v>1.1102230246251565E-16</v>
      </c>
      <c r="F551" s="1" t="s">
        <v>10</v>
      </c>
    </row>
    <row r="552" spans="1:6" x14ac:dyDescent="0.25">
      <c r="A552" s="20">
        <v>42278</v>
      </c>
      <c r="B552" s="3">
        <v>0.72986111111111107</v>
      </c>
      <c r="C552" s="3">
        <v>0.74652777777777779</v>
      </c>
      <c r="D552" s="3">
        <f t="shared" si="20"/>
        <v>1.6666666666666718E-2</v>
      </c>
      <c r="E552" s="3">
        <f t="shared" si="19"/>
        <v>8.8888888888888795E-2</v>
      </c>
      <c r="F552" s="1" t="s">
        <v>10</v>
      </c>
    </row>
    <row r="553" spans="1:6" x14ac:dyDescent="0.25">
      <c r="A553" s="20">
        <v>42278</v>
      </c>
      <c r="B553" s="3">
        <v>0.83472222222222225</v>
      </c>
      <c r="C553" s="3">
        <v>0.94027777777777777</v>
      </c>
      <c r="D553" s="3">
        <f t="shared" si="20"/>
        <v>0.10555555555555551</v>
      </c>
      <c r="E553" s="3">
        <f t="shared" si="19"/>
        <v>8.8888888888888906E-2</v>
      </c>
      <c r="F553" s="1" t="s">
        <v>10</v>
      </c>
    </row>
    <row r="554" spans="1:6" x14ac:dyDescent="0.25">
      <c r="A554" s="20">
        <v>42278</v>
      </c>
      <c r="B554" s="3">
        <v>0.8847222222222223</v>
      </c>
      <c r="C554" s="3">
        <v>0.90138888888888891</v>
      </c>
      <c r="D554" s="3">
        <f t="shared" si="20"/>
        <v>1.6666666666666607E-2</v>
      </c>
      <c r="E554" s="3">
        <f t="shared" si="19"/>
        <v>3.1250000000000028E-2</v>
      </c>
      <c r="F554" s="1" t="s">
        <v>10</v>
      </c>
    </row>
    <row r="555" spans="1:6" x14ac:dyDescent="0.25">
      <c r="A555" s="20">
        <v>42278</v>
      </c>
      <c r="B555" s="3">
        <v>0.15347222222222223</v>
      </c>
      <c r="C555" s="3">
        <v>0.20138888888888887</v>
      </c>
      <c r="D555" s="3">
        <f t="shared" si="20"/>
        <v>4.7916666666666635E-2</v>
      </c>
      <c r="E555" s="3">
        <f t="shared" si="19"/>
        <v>3.1249999999999972E-2</v>
      </c>
      <c r="F555" s="1" t="s">
        <v>10</v>
      </c>
    </row>
    <row r="556" spans="1:6" x14ac:dyDescent="0.25">
      <c r="A556" s="20">
        <v>42278</v>
      </c>
      <c r="B556" s="3">
        <v>0.29166666666666669</v>
      </c>
      <c r="C556" s="3">
        <v>0.30833333333333335</v>
      </c>
      <c r="D556" s="3">
        <f t="shared" si="20"/>
        <v>1.6666666666666663E-2</v>
      </c>
      <c r="E556" s="3">
        <f t="shared" si="19"/>
        <v>1.6666666666666663E-2</v>
      </c>
      <c r="F556" s="1" t="s">
        <v>10</v>
      </c>
    </row>
    <row r="557" spans="1:6" x14ac:dyDescent="0.25">
      <c r="A557" s="20">
        <v>42278</v>
      </c>
      <c r="B557" s="3">
        <v>0.58194444444444449</v>
      </c>
      <c r="C557" s="3">
        <v>0.61527777777777781</v>
      </c>
      <c r="D557" s="3">
        <f t="shared" si="20"/>
        <v>3.3333333333333326E-2</v>
      </c>
      <c r="E557" s="3">
        <f t="shared" si="19"/>
        <v>1.9444444444444486E-2</v>
      </c>
      <c r="F557" s="1" t="s">
        <v>10</v>
      </c>
    </row>
    <row r="558" spans="1:6" x14ac:dyDescent="0.25">
      <c r="A558" s="20">
        <v>42278</v>
      </c>
      <c r="B558" s="3">
        <v>0.73958333333333337</v>
      </c>
      <c r="C558" s="3">
        <v>0.75347222222222221</v>
      </c>
      <c r="D558" s="3">
        <f t="shared" si="20"/>
        <v>1.388888888888884E-2</v>
      </c>
      <c r="E558" s="3">
        <f t="shared" si="19"/>
        <v>4.1666666666666519E-3</v>
      </c>
      <c r="F558" s="1" t="s">
        <v>10</v>
      </c>
    </row>
    <row r="559" spans="1:6" x14ac:dyDescent="0.25">
      <c r="A559" s="20">
        <v>42278</v>
      </c>
      <c r="B559" s="3">
        <v>0.70277777777777783</v>
      </c>
      <c r="C559" s="3">
        <v>0.72083333333333333</v>
      </c>
      <c r="D559" s="3">
        <f t="shared" si="20"/>
        <v>1.8055555555555491E-2</v>
      </c>
      <c r="E559" s="3">
        <f t="shared" si="19"/>
        <v>1.1102230246251565E-16</v>
      </c>
      <c r="F559" s="1" t="s">
        <v>10</v>
      </c>
    </row>
    <row r="560" spans="1:6" x14ac:dyDescent="0.25">
      <c r="A560" s="20">
        <v>42278</v>
      </c>
      <c r="B560" s="3">
        <v>0.81111111111111101</v>
      </c>
      <c r="C560" s="3">
        <v>0.82916666666666661</v>
      </c>
      <c r="D560" s="3">
        <f t="shared" si="20"/>
        <v>1.8055555555555602E-2</v>
      </c>
      <c r="E560" s="3">
        <f t="shared" si="19"/>
        <v>0</v>
      </c>
      <c r="F560" s="1" t="s">
        <v>10</v>
      </c>
    </row>
    <row r="561" spans="1:6" x14ac:dyDescent="0.25">
      <c r="A561" s="20">
        <v>42278</v>
      </c>
      <c r="B561" s="3">
        <v>0.86319444444444438</v>
      </c>
      <c r="C561" s="3">
        <v>0.88124999999999998</v>
      </c>
      <c r="D561" s="3">
        <f t="shared" si="20"/>
        <v>1.8055555555555602E-2</v>
      </c>
      <c r="E561" s="3">
        <f t="shared" si="19"/>
        <v>9.0277777777776347E-3</v>
      </c>
      <c r="F561" s="1" t="s">
        <v>10</v>
      </c>
    </row>
    <row r="562" spans="1:6" x14ac:dyDescent="0.25">
      <c r="A562" s="20">
        <v>42278</v>
      </c>
      <c r="B562" s="3">
        <v>0.34583333333333338</v>
      </c>
      <c r="C562" s="3">
        <v>0.37291666666666662</v>
      </c>
      <c r="D562" s="3">
        <f t="shared" si="20"/>
        <v>2.7083333333333237E-2</v>
      </c>
      <c r="E562" s="3">
        <f t="shared" si="19"/>
        <v>2.7777777777776569E-3</v>
      </c>
      <c r="F562" s="1" t="s">
        <v>10</v>
      </c>
    </row>
    <row r="563" spans="1:6" x14ac:dyDescent="0.25">
      <c r="A563" s="20">
        <v>42278</v>
      </c>
      <c r="B563" s="3">
        <v>0.40416666666666662</v>
      </c>
      <c r="C563" s="3">
        <v>0.4284722222222222</v>
      </c>
      <c r="D563" s="3">
        <f t="shared" si="20"/>
        <v>2.430555555555558E-2</v>
      </c>
      <c r="E563" s="3">
        <f t="shared" si="19"/>
        <v>9.7222222222221877E-3</v>
      </c>
      <c r="F563" s="1" t="s">
        <v>10</v>
      </c>
    </row>
    <row r="564" spans="1:6" x14ac:dyDescent="0.25">
      <c r="A564" s="20">
        <v>42278</v>
      </c>
      <c r="B564" s="3">
        <v>0.40277777777777773</v>
      </c>
      <c r="C564" s="3">
        <v>0.4368055555555555</v>
      </c>
      <c r="D564" s="3">
        <f t="shared" si="20"/>
        <v>3.4027777777777768E-2</v>
      </c>
      <c r="E564" s="3">
        <f t="shared" si="19"/>
        <v>1.3194444444444398E-2</v>
      </c>
      <c r="F564" s="1" t="s">
        <v>10</v>
      </c>
    </row>
    <row r="565" spans="1:6" x14ac:dyDescent="0.25">
      <c r="A565" s="20">
        <v>42278</v>
      </c>
      <c r="B565" s="3">
        <v>0.42430555555555555</v>
      </c>
      <c r="C565" s="3">
        <v>0.44513888888888892</v>
      </c>
      <c r="D565" s="3">
        <f t="shared" si="20"/>
        <v>2.083333333333337E-2</v>
      </c>
      <c r="E565" s="3">
        <f t="shared" si="19"/>
        <v>1.1111111111111072E-2</v>
      </c>
      <c r="F565" s="1" t="s">
        <v>10</v>
      </c>
    </row>
    <row r="566" spans="1:6" x14ac:dyDescent="0.25">
      <c r="A566" s="20">
        <v>42278</v>
      </c>
      <c r="B566" s="3">
        <v>0.41944444444444445</v>
      </c>
      <c r="C566" s="3">
        <v>0.4513888888888889</v>
      </c>
      <c r="D566" s="3">
        <f t="shared" si="20"/>
        <v>3.1944444444444442E-2</v>
      </c>
      <c r="E566" s="3">
        <f t="shared" si="19"/>
        <v>1.9444444444444375E-2</v>
      </c>
      <c r="F566" s="1" t="s">
        <v>10</v>
      </c>
    </row>
    <row r="567" spans="1:6" x14ac:dyDescent="0.25">
      <c r="A567" s="20">
        <v>42278</v>
      </c>
      <c r="B567" s="3">
        <v>0.5229166666666667</v>
      </c>
      <c r="C567" s="3">
        <v>0.57430555555555551</v>
      </c>
      <c r="D567" s="3">
        <f t="shared" si="20"/>
        <v>5.1388888888888817E-2</v>
      </c>
      <c r="E567" s="3">
        <f t="shared" si="19"/>
        <v>3.4027777777777768E-2</v>
      </c>
      <c r="F567" s="1" t="s">
        <v>10</v>
      </c>
    </row>
    <row r="568" spans="1:6" x14ac:dyDescent="0.25">
      <c r="A568" s="20">
        <v>42278</v>
      </c>
      <c r="B568" s="3">
        <v>0.50138888888888888</v>
      </c>
      <c r="C568" s="3">
        <v>0.51874999999999993</v>
      </c>
      <c r="D568" s="3">
        <f t="shared" si="20"/>
        <v>1.7361111111111049E-2</v>
      </c>
      <c r="E568" s="3">
        <f t="shared" si="19"/>
        <v>6.9444444444445308E-3</v>
      </c>
      <c r="F568" s="1" t="s">
        <v>10</v>
      </c>
    </row>
    <row r="569" spans="1:6" x14ac:dyDescent="0.25">
      <c r="A569" s="20">
        <v>42278</v>
      </c>
      <c r="B569" s="3">
        <v>0.56388888888888888</v>
      </c>
      <c r="C569" s="3">
        <v>0.58819444444444446</v>
      </c>
      <c r="D569" s="3">
        <f t="shared" si="20"/>
        <v>2.430555555555558E-2</v>
      </c>
      <c r="E569" s="3">
        <f t="shared" ref="E569:E598" si="21">ABS(D569-D570)</f>
        <v>3.4722222222223209E-3</v>
      </c>
      <c r="F569" s="1" t="s">
        <v>10</v>
      </c>
    </row>
    <row r="570" spans="1:6" x14ac:dyDescent="0.25">
      <c r="A570" s="20">
        <v>42278</v>
      </c>
      <c r="B570" s="3">
        <v>0.57986111111111105</v>
      </c>
      <c r="C570" s="3">
        <v>0.60763888888888895</v>
      </c>
      <c r="D570" s="3">
        <f t="shared" si="20"/>
        <v>2.7777777777777901E-2</v>
      </c>
      <c r="E570" s="3">
        <f t="shared" si="21"/>
        <v>9.0277777777779677E-3</v>
      </c>
      <c r="F570" s="1" t="s">
        <v>10</v>
      </c>
    </row>
    <row r="571" spans="1:6" x14ac:dyDescent="0.25">
      <c r="A571" s="20">
        <v>42278</v>
      </c>
      <c r="B571" s="3">
        <v>0.6430555555555556</v>
      </c>
      <c r="C571" s="3">
        <v>0.66180555555555554</v>
      </c>
      <c r="D571" s="3">
        <f t="shared" si="20"/>
        <v>1.8749999999999933E-2</v>
      </c>
      <c r="E571" s="3">
        <f t="shared" si="21"/>
        <v>1.388888888888884E-3</v>
      </c>
      <c r="F571" s="1" t="s">
        <v>10</v>
      </c>
    </row>
    <row r="572" spans="1:6" x14ac:dyDescent="0.25">
      <c r="A572" s="20">
        <v>42278</v>
      </c>
      <c r="B572" s="3">
        <v>0.70972222222222225</v>
      </c>
      <c r="C572" s="3">
        <v>0.72986111111111107</v>
      </c>
      <c r="D572" s="3">
        <f t="shared" si="20"/>
        <v>2.0138888888888817E-2</v>
      </c>
      <c r="E572" s="3">
        <f t="shared" si="21"/>
        <v>3.4722222222222099E-3</v>
      </c>
      <c r="F572" s="1" t="s">
        <v>10</v>
      </c>
    </row>
    <row r="573" spans="1:6" x14ac:dyDescent="0.25">
      <c r="A573" s="20">
        <v>42278</v>
      </c>
      <c r="B573" s="3">
        <v>0.7729166666666667</v>
      </c>
      <c r="C573" s="3">
        <v>0.7895833333333333</v>
      </c>
      <c r="D573" s="3">
        <f t="shared" si="20"/>
        <v>1.6666666666666607E-2</v>
      </c>
      <c r="E573" s="3">
        <f t="shared" si="21"/>
        <v>4.8611111111110938E-3</v>
      </c>
      <c r="F573" s="1" t="s">
        <v>10</v>
      </c>
    </row>
    <row r="574" spans="1:6" x14ac:dyDescent="0.25">
      <c r="A574" s="20">
        <v>42278</v>
      </c>
      <c r="B574" s="3">
        <v>0.90763888888888899</v>
      </c>
      <c r="C574" s="3">
        <v>0.9291666666666667</v>
      </c>
      <c r="D574" s="3">
        <f t="shared" si="20"/>
        <v>2.1527777777777701E-2</v>
      </c>
      <c r="E574" s="3">
        <f t="shared" si="21"/>
        <v>4.1666666666667629E-3</v>
      </c>
      <c r="F574" s="1" t="s">
        <v>10</v>
      </c>
    </row>
    <row r="575" spans="1:6" x14ac:dyDescent="0.25">
      <c r="A575" s="20">
        <v>42278</v>
      </c>
      <c r="B575" s="3">
        <v>0.51944444444444449</v>
      </c>
      <c r="C575" s="3">
        <v>0.54513888888888895</v>
      </c>
      <c r="D575" s="3">
        <f t="shared" si="20"/>
        <v>2.5694444444444464E-2</v>
      </c>
      <c r="E575" s="3">
        <f t="shared" si="21"/>
        <v>6.2499999999999778E-3</v>
      </c>
      <c r="F575" s="1" t="s">
        <v>10</v>
      </c>
    </row>
    <row r="576" spans="1:6" x14ac:dyDescent="0.25">
      <c r="A576" s="20">
        <v>42278</v>
      </c>
      <c r="B576" s="3">
        <v>0.53888888888888886</v>
      </c>
      <c r="C576" s="3">
        <v>0.55833333333333335</v>
      </c>
      <c r="D576" s="3">
        <f t="shared" si="20"/>
        <v>1.9444444444444486E-2</v>
      </c>
      <c r="E576" s="3">
        <f t="shared" si="21"/>
        <v>2.7777777777777679E-3</v>
      </c>
      <c r="F576" s="1" t="s">
        <v>10</v>
      </c>
    </row>
    <row r="577" spans="1:6" x14ac:dyDescent="0.25">
      <c r="A577" s="20">
        <v>42278</v>
      </c>
      <c r="B577" s="3">
        <v>0.69305555555555554</v>
      </c>
      <c r="C577" s="3">
        <v>0.70972222222222225</v>
      </c>
      <c r="D577" s="3">
        <f t="shared" si="20"/>
        <v>1.6666666666666718E-2</v>
      </c>
      <c r="E577" s="3">
        <f t="shared" si="21"/>
        <v>2.7777777777776569E-3</v>
      </c>
      <c r="F577" s="1" t="s">
        <v>10</v>
      </c>
    </row>
    <row r="578" spans="1:6" x14ac:dyDescent="0.25">
      <c r="A578" s="20">
        <v>42278</v>
      </c>
      <c r="B578" s="3">
        <v>0.78333333333333333</v>
      </c>
      <c r="C578" s="3">
        <v>0.8027777777777777</v>
      </c>
      <c r="D578" s="3">
        <f t="shared" si="20"/>
        <v>1.9444444444444375E-2</v>
      </c>
      <c r="E578" s="3">
        <f t="shared" si="21"/>
        <v>1.8055555555555491E-2</v>
      </c>
      <c r="F578" s="1" t="s">
        <v>10</v>
      </c>
    </row>
    <row r="579" spans="1:6" x14ac:dyDescent="0.25">
      <c r="A579" s="20">
        <v>42278</v>
      </c>
      <c r="B579" s="3">
        <v>0.81319444444444444</v>
      </c>
      <c r="C579" s="3">
        <v>0.81458333333333333</v>
      </c>
      <c r="D579" s="3">
        <f t="shared" ref="D579:D642" si="22">(C579-B579)</f>
        <v>1.388888888888884E-3</v>
      </c>
      <c r="E579" s="3">
        <f t="shared" si="21"/>
        <v>5.9722222222222121E-2</v>
      </c>
      <c r="F579" s="1" t="s">
        <v>10</v>
      </c>
    </row>
    <row r="580" spans="1:6" x14ac:dyDescent="0.25">
      <c r="A580" s="20">
        <v>42278</v>
      </c>
      <c r="B580" s="3">
        <v>0.91041666666666676</v>
      </c>
      <c r="C580" s="3">
        <v>0.97152777777777777</v>
      </c>
      <c r="D580" s="3">
        <f t="shared" si="22"/>
        <v>6.1111111111111005E-2</v>
      </c>
      <c r="E580" s="3">
        <f t="shared" si="21"/>
        <v>4.37499999999999E-2</v>
      </c>
      <c r="F580" s="1" t="s">
        <v>10</v>
      </c>
    </row>
    <row r="581" spans="1:6" x14ac:dyDescent="0.25">
      <c r="A581" s="20">
        <v>42278</v>
      </c>
      <c r="B581" s="3">
        <v>0.4201388888888889</v>
      </c>
      <c r="C581" s="3">
        <v>0.4375</v>
      </c>
      <c r="D581" s="3">
        <f t="shared" si="22"/>
        <v>1.7361111111111105E-2</v>
      </c>
      <c r="E581" s="3">
        <f t="shared" si="21"/>
        <v>2.7777777777778234E-3</v>
      </c>
      <c r="F581" s="1" t="s">
        <v>10</v>
      </c>
    </row>
    <row r="582" spans="1:6" x14ac:dyDescent="0.25">
      <c r="A582" s="20">
        <v>42278</v>
      </c>
      <c r="B582" s="3">
        <v>0.4381944444444445</v>
      </c>
      <c r="C582" s="3">
        <v>0.45277777777777778</v>
      </c>
      <c r="D582" s="3">
        <f t="shared" si="22"/>
        <v>1.4583333333333282E-2</v>
      </c>
      <c r="E582" s="3">
        <f t="shared" si="21"/>
        <v>3.4722222222222099E-3</v>
      </c>
      <c r="F582" s="1" t="s">
        <v>10</v>
      </c>
    </row>
    <row r="583" spans="1:6" x14ac:dyDescent="0.25">
      <c r="A583" s="20">
        <v>42278</v>
      </c>
      <c r="B583" s="3">
        <v>0.4694444444444445</v>
      </c>
      <c r="C583" s="3">
        <v>0.48749999999999999</v>
      </c>
      <c r="D583" s="3">
        <f t="shared" si="22"/>
        <v>1.8055555555555491E-2</v>
      </c>
      <c r="E583" s="3">
        <f t="shared" si="21"/>
        <v>2.0833333333333259E-3</v>
      </c>
      <c r="F583" s="1" t="s">
        <v>10</v>
      </c>
    </row>
    <row r="584" spans="1:6" x14ac:dyDescent="0.25">
      <c r="A584" s="20">
        <v>42278</v>
      </c>
      <c r="B584" s="3">
        <v>0.51388888888888895</v>
      </c>
      <c r="C584" s="3">
        <v>0.53402777777777777</v>
      </c>
      <c r="D584" s="3">
        <f t="shared" si="22"/>
        <v>2.0138888888888817E-2</v>
      </c>
      <c r="E584" s="3">
        <f t="shared" si="21"/>
        <v>1.388888888888884E-3</v>
      </c>
      <c r="F584" s="1" t="s">
        <v>10</v>
      </c>
    </row>
    <row r="585" spans="1:6" x14ac:dyDescent="0.25">
      <c r="A585" s="20">
        <v>42278</v>
      </c>
      <c r="B585" s="3">
        <v>0.52847222222222223</v>
      </c>
      <c r="C585" s="3">
        <v>0.54999999999999993</v>
      </c>
      <c r="D585" s="3">
        <f t="shared" si="22"/>
        <v>2.1527777777777701E-2</v>
      </c>
      <c r="E585" s="3">
        <f t="shared" si="21"/>
        <v>2.7777777777778789E-3</v>
      </c>
      <c r="F585" s="1" t="s">
        <v>10</v>
      </c>
    </row>
    <row r="586" spans="1:6" x14ac:dyDescent="0.25">
      <c r="A586" s="20">
        <v>42278</v>
      </c>
      <c r="B586" s="3">
        <v>0.53194444444444444</v>
      </c>
      <c r="C586" s="3">
        <v>0.55625000000000002</v>
      </c>
      <c r="D586" s="3">
        <f t="shared" si="22"/>
        <v>2.430555555555558E-2</v>
      </c>
      <c r="E586" s="3">
        <f t="shared" si="21"/>
        <v>9.7222222222221877E-3</v>
      </c>
      <c r="F586" s="1" t="s">
        <v>10</v>
      </c>
    </row>
    <row r="587" spans="1:6" x14ac:dyDescent="0.25">
      <c r="A587" s="20">
        <v>42278</v>
      </c>
      <c r="B587" s="3">
        <v>0.53472222222222221</v>
      </c>
      <c r="C587" s="3">
        <v>0.5493055555555556</v>
      </c>
      <c r="D587" s="3">
        <f t="shared" si="22"/>
        <v>1.4583333333333393E-2</v>
      </c>
      <c r="E587" s="3">
        <f t="shared" si="21"/>
        <v>4.8611111111109828E-3</v>
      </c>
      <c r="F587" s="1" t="s">
        <v>10</v>
      </c>
    </row>
    <row r="588" spans="1:6" x14ac:dyDescent="0.25">
      <c r="A588" s="20">
        <v>42278</v>
      </c>
      <c r="B588" s="3">
        <v>0.55208333333333337</v>
      </c>
      <c r="C588" s="3">
        <v>0.57152777777777775</v>
      </c>
      <c r="D588" s="3">
        <f t="shared" si="22"/>
        <v>1.9444444444444375E-2</v>
      </c>
      <c r="E588" s="3">
        <f t="shared" si="21"/>
        <v>2.0833333333333259E-3</v>
      </c>
      <c r="F588" s="1" t="s">
        <v>10</v>
      </c>
    </row>
    <row r="589" spans="1:6" x14ac:dyDescent="0.25">
      <c r="A589" s="20">
        <v>42278</v>
      </c>
      <c r="B589" s="3">
        <v>0.73611111111111116</v>
      </c>
      <c r="C589" s="3">
        <v>0.75347222222222221</v>
      </c>
      <c r="D589" s="3">
        <f t="shared" si="22"/>
        <v>1.7361111111111049E-2</v>
      </c>
      <c r="E589" s="3">
        <f t="shared" si="21"/>
        <v>2.0833333333332149E-3</v>
      </c>
      <c r="F589" s="1" t="s">
        <v>10</v>
      </c>
    </row>
    <row r="590" spans="1:6" x14ac:dyDescent="0.25">
      <c r="A590" s="20">
        <v>42278</v>
      </c>
      <c r="B590" s="3">
        <v>0.95138888888888884</v>
      </c>
      <c r="C590" s="3">
        <v>0.96666666666666667</v>
      </c>
      <c r="D590" s="3">
        <f t="shared" si="22"/>
        <v>1.5277777777777835E-2</v>
      </c>
      <c r="E590" s="3">
        <f t="shared" si="21"/>
        <v>4.8611111111112049E-3</v>
      </c>
      <c r="F590" s="1" t="s">
        <v>10</v>
      </c>
    </row>
    <row r="591" spans="1:6" x14ac:dyDescent="0.25">
      <c r="A591" s="20">
        <v>42278</v>
      </c>
      <c r="B591" s="3">
        <v>0.99305555555555547</v>
      </c>
      <c r="C591" s="3">
        <v>1.0131944444444445</v>
      </c>
      <c r="D591" s="3">
        <f t="shared" si="22"/>
        <v>2.0138888888889039E-2</v>
      </c>
      <c r="E591" s="3">
        <f t="shared" si="21"/>
        <v>6.944444444443032E-4</v>
      </c>
      <c r="F591" s="1" t="s">
        <v>10</v>
      </c>
    </row>
    <row r="592" spans="1:6" x14ac:dyDescent="0.25">
      <c r="A592" s="20">
        <v>42278</v>
      </c>
      <c r="B592" s="3">
        <v>0.14166666666666666</v>
      </c>
      <c r="C592" s="3">
        <v>0.16250000000000001</v>
      </c>
      <c r="D592" s="3">
        <f t="shared" si="22"/>
        <v>2.0833333333333343E-2</v>
      </c>
      <c r="E592" s="3">
        <f t="shared" si="21"/>
        <v>1.3888888888889117E-3</v>
      </c>
      <c r="F592" s="1" t="s">
        <v>10</v>
      </c>
    </row>
    <row r="593" spans="1:6" x14ac:dyDescent="0.25">
      <c r="A593" s="20">
        <v>42278</v>
      </c>
      <c r="B593" s="3">
        <v>0.3125</v>
      </c>
      <c r="C593" s="3">
        <v>0.33194444444444443</v>
      </c>
      <c r="D593" s="3">
        <f t="shared" si="22"/>
        <v>1.9444444444444431E-2</v>
      </c>
      <c r="E593" s="3">
        <f t="shared" si="21"/>
        <v>2.7777777777778234E-3</v>
      </c>
      <c r="F593" s="1" t="s">
        <v>10</v>
      </c>
    </row>
    <row r="594" spans="1:6" x14ac:dyDescent="0.25">
      <c r="A594" s="20">
        <v>42278</v>
      </c>
      <c r="B594" s="3">
        <v>0.85416666666666663</v>
      </c>
      <c r="C594" s="3">
        <v>0.87083333333333324</v>
      </c>
      <c r="D594" s="3">
        <f t="shared" si="22"/>
        <v>1.6666666666666607E-2</v>
      </c>
      <c r="E594" s="3">
        <f t="shared" si="21"/>
        <v>2.0833333333332149E-3</v>
      </c>
      <c r="F594" s="1" t="s">
        <v>10</v>
      </c>
    </row>
    <row r="595" spans="1:6" x14ac:dyDescent="0.25">
      <c r="A595" s="20">
        <v>42278</v>
      </c>
      <c r="B595" s="3">
        <v>0.94027777777777777</v>
      </c>
      <c r="C595" s="3">
        <v>0.95486111111111116</v>
      </c>
      <c r="D595" s="3">
        <f t="shared" si="22"/>
        <v>1.4583333333333393E-2</v>
      </c>
      <c r="E595" s="3">
        <f t="shared" si="21"/>
        <v>2.0833333333333259E-3</v>
      </c>
      <c r="F595" s="1" t="s">
        <v>10</v>
      </c>
    </row>
    <row r="596" spans="1:6" x14ac:dyDescent="0.25">
      <c r="A596" s="20">
        <v>42278</v>
      </c>
      <c r="B596" s="3">
        <v>0.53611111111111109</v>
      </c>
      <c r="C596" s="3">
        <v>0.55277777777777781</v>
      </c>
      <c r="D596" s="3">
        <f t="shared" si="22"/>
        <v>1.6666666666666718E-2</v>
      </c>
      <c r="E596" s="3">
        <f t="shared" si="21"/>
        <v>0</v>
      </c>
      <c r="F596" s="1" t="s">
        <v>10</v>
      </c>
    </row>
    <row r="597" spans="1:6" x14ac:dyDescent="0.25">
      <c r="A597" s="20">
        <v>42278</v>
      </c>
      <c r="B597" s="3">
        <v>0.50972222222222219</v>
      </c>
      <c r="C597" s="3">
        <v>0.52638888888888891</v>
      </c>
      <c r="D597" s="3">
        <f t="shared" si="22"/>
        <v>1.6666666666666718E-2</v>
      </c>
      <c r="E597" s="3">
        <f t="shared" si="21"/>
        <v>2.7777777777776569E-3</v>
      </c>
      <c r="F597" s="1" t="s">
        <v>10</v>
      </c>
    </row>
    <row r="598" spans="1:6" x14ac:dyDescent="0.25">
      <c r="A598" s="20">
        <v>42278</v>
      </c>
      <c r="B598" s="3">
        <v>0.77569444444444446</v>
      </c>
      <c r="C598" s="3">
        <v>0.79513888888888884</v>
      </c>
      <c r="D598" s="3">
        <f t="shared" si="22"/>
        <v>1.9444444444444375E-2</v>
      </c>
      <c r="E598" s="3">
        <f t="shared" si="21"/>
        <v>3.4722222222222099E-3</v>
      </c>
      <c r="F598" s="1" t="s">
        <v>10</v>
      </c>
    </row>
    <row r="599" spans="1:6" x14ac:dyDescent="0.25">
      <c r="A599" s="20">
        <v>42278</v>
      </c>
      <c r="B599" s="3">
        <v>0.81597222222222221</v>
      </c>
      <c r="C599" s="3">
        <v>0.83194444444444438</v>
      </c>
      <c r="D599" s="3">
        <f t="shared" si="22"/>
        <v>1.5972222222222165E-2</v>
      </c>
      <c r="E599" s="3"/>
      <c r="F599" s="1" t="s">
        <v>10</v>
      </c>
    </row>
    <row r="600" spans="1:6" x14ac:dyDescent="0.25">
      <c r="A600" s="19">
        <v>42278</v>
      </c>
      <c r="B600" s="3">
        <v>0.36527777777777781</v>
      </c>
      <c r="C600" s="3">
        <v>0.38194444444444442</v>
      </c>
      <c r="D600" s="3">
        <f t="shared" si="22"/>
        <v>1.6666666666666607E-2</v>
      </c>
      <c r="E600" s="3">
        <f t="shared" ref="E600:E645" si="23">ABS(D600-D601)</f>
        <v>5.5555555555555358E-3</v>
      </c>
      <c r="F600" s="5" t="s">
        <v>8</v>
      </c>
    </row>
    <row r="601" spans="1:6" x14ac:dyDescent="0.25">
      <c r="A601" s="20">
        <v>42278</v>
      </c>
      <c r="B601" s="3">
        <v>0.55069444444444449</v>
      </c>
      <c r="C601" s="3">
        <v>0.56180555555555556</v>
      </c>
      <c r="D601" s="3">
        <f t="shared" si="22"/>
        <v>1.1111111111111072E-2</v>
      </c>
      <c r="E601" s="3">
        <f t="shared" si="23"/>
        <v>8.3333333333334147E-3</v>
      </c>
      <c r="F601" s="1" t="s">
        <v>8</v>
      </c>
    </row>
    <row r="602" spans="1:6" x14ac:dyDescent="0.25">
      <c r="A602" s="20">
        <v>42278</v>
      </c>
      <c r="B602" s="3">
        <v>0.72222222222222221</v>
      </c>
      <c r="C602" s="3">
        <v>0.7416666666666667</v>
      </c>
      <c r="D602" s="3">
        <f t="shared" si="22"/>
        <v>1.9444444444444486E-2</v>
      </c>
      <c r="E602" s="3">
        <f t="shared" si="23"/>
        <v>1.4583333333333282E-2</v>
      </c>
      <c r="F602" s="1" t="s">
        <v>8</v>
      </c>
    </row>
    <row r="603" spans="1:6" x14ac:dyDescent="0.25">
      <c r="A603" s="20">
        <v>42278</v>
      </c>
      <c r="B603" s="3">
        <v>0.6381944444444444</v>
      </c>
      <c r="C603" s="3">
        <v>0.67222222222222217</v>
      </c>
      <c r="D603" s="3">
        <f t="shared" si="22"/>
        <v>3.4027777777777768E-2</v>
      </c>
      <c r="E603" s="3">
        <f t="shared" si="23"/>
        <v>2.083333333333337E-2</v>
      </c>
      <c r="F603" s="1" t="s">
        <v>8</v>
      </c>
    </row>
    <row r="604" spans="1:6" x14ac:dyDescent="0.25">
      <c r="A604" s="20">
        <v>42278</v>
      </c>
      <c r="B604" s="3">
        <v>0.84375</v>
      </c>
      <c r="C604" s="3">
        <v>0.8569444444444444</v>
      </c>
      <c r="D604" s="3">
        <f t="shared" si="22"/>
        <v>1.3194444444444398E-2</v>
      </c>
      <c r="E604" s="3">
        <f t="shared" si="23"/>
        <v>3.4722222222222099E-3</v>
      </c>
      <c r="F604" s="1" t="s">
        <v>8</v>
      </c>
    </row>
    <row r="605" spans="1:6" x14ac:dyDescent="0.25">
      <c r="A605" s="20">
        <v>42278</v>
      </c>
      <c r="B605" s="3">
        <v>0.8041666666666667</v>
      </c>
      <c r="C605" s="3">
        <v>0.8208333333333333</v>
      </c>
      <c r="D605" s="3">
        <f t="shared" si="22"/>
        <v>1.6666666666666607E-2</v>
      </c>
      <c r="E605" s="3">
        <f t="shared" si="23"/>
        <v>1.388888888888884E-3</v>
      </c>
      <c r="F605" s="1" t="s">
        <v>8</v>
      </c>
    </row>
    <row r="606" spans="1:6" x14ac:dyDescent="0.25">
      <c r="A606" s="20">
        <v>42278</v>
      </c>
      <c r="B606" s="3">
        <v>0.67986111111111114</v>
      </c>
      <c r="C606" s="3">
        <v>0.69791666666666663</v>
      </c>
      <c r="D606" s="3">
        <f t="shared" si="22"/>
        <v>1.8055555555555491E-2</v>
      </c>
      <c r="E606" s="3">
        <f t="shared" si="23"/>
        <v>4.8611111111110938E-3</v>
      </c>
      <c r="F606" s="1" t="s">
        <v>8</v>
      </c>
    </row>
    <row r="607" spans="1:6" x14ac:dyDescent="0.25">
      <c r="A607" s="20">
        <v>42278</v>
      </c>
      <c r="B607" s="3">
        <v>0.75</v>
      </c>
      <c r="C607" s="3">
        <v>0.7631944444444444</v>
      </c>
      <c r="D607" s="3">
        <f t="shared" si="22"/>
        <v>1.3194444444444398E-2</v>
      </c>
      <c r="E607" s="3">
        <f t="shared" si="23"/>
        <v>2.7777777777778789E-3</v>
      </c>
      <c r="F607" s="1" t="s">
        <v>8</v>
      </c>
    </row>
    <row r="608" spans="1:6" x14ac:dyDescent="0.25">
      <c r="A608" s="20">
        <v>42278</v>
      </c>
      <c r="B608" s="3">
        <v>0.50902777777777775</v>
      </c>
      <c r="C608" s="3">
        <v>0.52500000000000002</v>
      </c>
      <c r="D608" s="3">
        <f t="shared" si="22"/>
        <v>1.5972222222222276E-2</v>
      </c>
      <c r="E608" s="3">
        <f t="shared" si="23"/>
        <v>8.3333333333335258E-3</v>
      </c>
      <c r="F608" s="1" t="s">
        <v>8</v>
      </c>
    </row>
    <row r="609" spans="1:6" x14ac:dyDescent="0.25">
      <c r="A609" s="20">
        <v>42278</v>
      </c>
      <c r="B609" s="3">
        <v>0.84513888888888899</v>
      </c>
      <c r="C609" s="3">
        <v>0.85277777777777775</v>
      </c>
      <c r="D609" s="3">
        <f t="shared" si="22"/>
        <v>7.6388888888887507E-3</v>
      </c>
      <c r="E609" s="3">
        <f t="shared" si="23"/>
        <v>6.9444444444433095E-4</v>
      </c>
      <c r="F609" s="1" t="s">
        <v>8</v>
      </c>
    </row>
    <row r="610" spans="1:6" x14ac:dyDescent="0.25">
      <c r="A610" s="20">
        <v>42278</v>
      </c>
      <c r="B610" s="3">
        <v>0.84583333333333333</v>
      </c>
      <c r="C610" s="3">
        <v>0.85277777777777775</v>
      </c>
      <c r="D610" s="3">
        <f t="shared" si="22"/>
        <v>6.9444444444444198E-3</v>
      </c>
      <c r="E610" s="3">
        <f t="shared" si="23"/>
        <v>6.9444444444433095E-4</v>
      </c>
      <c r="F610" s="1" t="s">
        <v>8</v>
      </c>
    </row>
    <row r="611" spans="1:6" x14ac:dyDescent="0.25">
      <c r="A611" s="20">
        <v>42278</v>
      </c>
      <c r="B611" s="3">
        <v>0.84722222222222221</v>
      </c>
      <c r="C611" s="3">
        <v>0.8534722222222223</v>
      </c>
      <c r="D611" s="3">
        <f t="shared" si="22"/>
        <v>6.2500000000000888E-3</v>
      </c>
      <c r="E611" s="3">
        <f t="shared" si="23"/>
        <v>6.94444444444553E-4</v>
      </c>
      <c r="F611" s="1" t="s">
        <v>8</v>
      </c>
    </row>
    <row r="612" spans="1:6" x14ac:dyDescent="0.25">
      <c r="A612" s="20">
        <v>42278</v>
      </c>
      <c r="B612" s="3">
        <v>0.34791666666666665</v>
      </c>
      <c r="C612" s="3">
        <v>0.35347222222222219</v>
      </c>
      <c r="D612" s="3">
        <f t="shared" si="22"/>
        <v>5.5555555555555358E-3</v>
      </c>
      <c r="E612" s="3">
        <f t="shared" si="23"/>
        <v>6.9444444444445308E-3</v>
      </c>
      <c r="F612" s="1" t="s">
        <v>8</v>
      </c>
    </row>
    <row r="613" spans="1:6" x14ac:dyDescent="0.25">
      <c r="A613" s="20">
        <v>42278</v>
      </c>
      <c r="B613" s="3">
        <v>0.39583333333333331</v>
      </c>
      <c r="C613" s="3">
        <v>0.40833333333333338</v>
      </c>
      <c r="D613" s="3">
        <f t="shared" si="22"/>
        <v>1.2500000000000067E-2</v>
      </c>
      <c r="E613" s="3">
        <f t="shared" si="23"/>
        <v>1.1102230246251565E-16</v>
      </c>
      <c r="F613" s="1" t="s">
        <v>8</v>
      </c>
    </row>
    <row r="614" spans="1:6" x14ac:dyDescent="0.25">
      <c r="A614" s="20">
        <v>42278</v>
      </c>
      <c r="B614" s="3">
        <v>0.46180555555555558</v>
      </c>
      <c r="C614" s="3">
        <v>0.47430555555555554</v>
      </c>
      <c r="D614" s="3">
        <f t="shared" si="22"/>
        <v>1.2499999999999956E-2</v>
      </c>
      <c r="E614" s="3">
        <f t="shared" si="23"/>
        <v>6.9444444444444198E-4</v>
      </c>
      <c r="F614" s="1" t="s">
        <v>8</v>
      </c>
    </row>
    <row r="615" spans="1:6" x14ac:dyDescent="0.25">
      <c r="A615" s="20">
        <v>42278</v>
      </c>
      <c r="B615" s="3">
        <v>0.84375</v>
      </c>
      <c r="C615" s="3">
        <v>0.8569444444444444</v>
      </c>
      <c r="D615" s="3">
        <f t="shared" si="22"/>
        <v>1.3194444444444398E-2</v>
      </c>
      <c r="E615" s="3">
        <f t="shared" si="23"/>
        <v>6.9444444444443643E-3</v>
      </c>
      <c r="F615" s="1" t="s">
        <v>8</v>
      </c>
    </row>
    <row r="616" spans="1:6" x14ac:dyDescent="0.25">
      <c r="A616" s="20">
        <v>42278</v>
      </c>
      <c r="B616" s="3">
        <v>0.4909722222222222</v>
      </c>
      <c r="C616" s="3">
        <v>0.49722222222222223</v>
      </c>
      <c r="D616" s="3">
        <f t="shared" si="22"/>
        <v>6.2500000000000333E-3</v>
      </c>
      <c r="E616" s="3">
        <f t="shared" si="23"/>
        <v>1.1805555555555569E-2</v>
      </c>
      <c r="F616" s="1" t="s">
        <v>8</v>
      </c>
    </row>
    <row r="617" spans="1:6" x14ac:dyDescent="0.25">
      <c r="A617" s="20">
        <v>42278</v>
      </c>
      <c r="B617" s="3">
        <v>0.64097222222222217</v>
      </c>
      <c r="C617" s="3">
        <v>0.65902777777777777</v>
      </c>
      <c r="D617" s="3">
        <f t="shared" si="22"/>
        <v>1.8055555555555602E-2</v>
      </c>
      <c r="E617" s="3">
        <f t="shared" si="23"/>
        <v>1.3888888888889395E-3</v>
      </c>
      <c r="F617" s="1" t="s">
        <v>8</v>
      </c>
    </row>
    <row r="618" spans="1:6" x14ac:dyDescent="0.25">
      <c r="A618" s="20">
        <v>42278</v>
      </c>
      <c r="B618" s="3">
        <v>0.43888888888888888</v>
      </c>
      <c r="C618" s="3">
        <v>0.45555555555555555</v>
      </c>
      <c r="D618" s="3">
        <f t="shared" si="22"/>
        <v>1.6666666666666663E-2</v>
      </c>
      <c r="E618" s="3">
        <f t="shared" si="23"/>
        <v>6.9444444444438647E-4</v>
      </c>
      <c r="F618" s="1" t="s">
        <v>8</v>
      </c>
    </row>
    <row r="619" spans="1:6" x14ac:dyDescent="0.25">
      <c r="A619" s="20">
        <v>42278</v>
      </c>
      <c r="B619" s="3">
        <v>0.57847222222222217</v>
      </c>
      <c r="C619" s="3">
        <v>0.59444444444444444</v>
      </c>
      <c r="D619" s="3">
        <f t="shared" si="22"/>
        <v>1.5972222222222276E-2</v>
      </c>
      <c r="E619" s="3">
        <f t="shared" si="23"/>
        <v>7.6388888888888062E-3</v>
      </c>
      <c r="F619" s="1" t="s">
        <v>8</v>
      </c>
    </row>
    <row r="620" spans="1:6" x14ac:dyDescent="0.25">
      <c r="A620" s="20">
        <v>42278</v>
      </c>
      <c r="B620" s="3">
        <v>0.38680555555555557</v>
      </c>
      <c r="C620" s="3">
        <v>0.41041666666666665</v>
      </c>
      <c r="D620" s="3">
        <f t="shared" si="22"/>
        <v>2.3611111111111083E-2</v>
      </c>
      <c r="E620" s="3">
        <f t="shared" si="23"/>
        <v>4.8611111111110938E-3</v>
      </c>
      <c r="F620" s="1" t="s">
        <v>8</v>
      </c>
    </row>
    <row r="621" spans="1:6" x14ac:dyDescent="0.25">
      <c r="A621" s="20">
        <v>42278</v>
      </c>
      <c r="B621" s="3">
        <v>0.3888888888888889</v>
      </c>
      <c r="C621" s="3">
        <v>0.40763888888888888</v>
      </c>
      <c r="D621" s="3">
        <f t="shared" si="22"/>
        <v>1.8749999999999989E-2</v>
      </c>
      <c r="E621" s="3">
        <f t="shared" si="23"/>
        <v>2.0833333333332704E-3</v>
      </c>
      <c r="F621" s="1" t="s">
        <v>8</v>
      </c>
    </row>
    <row r="622" spans="1:6" x14ac:dyDescent="0.25">
      <c r="A622" s="20">
        <v>42278</v>
      </c>
      <c r="B622" s="3">
        <v>0.56874999999999998</v>
      </c>
      <c r="C622" s="3">
        <v>0.5854166666666667</v>
      </c>
      <c r="D622" s="3">
        <f t="shared" si="22"/>
        <v>1.6666666666666718E-2</v>
      </c>
      <c r="E622" s="3">
        <f t="shared" si="23"/>
        <v>2.7777777777778789E-3</v>
      </c>
      <c r="F622" s="1" t="s">
        <v>8</v>
      </c>
    </row>
    <row r="623" spans="1:6" x14ac:dyDescent="0.25">
      <c r="A623" s="20">
        <v>42278</v>
      </c>
      <c r="B623" s="3">
        <v>0.70763888888888893</v>
      </c>
      <c r="C623" s="3">
        <v>0.72152777777777777</v>
      </c>
      <c r="D623" s="3">
        <f t="shared" si="22"/>
        <v>1.388888888888884E-2</v>
      </c>
      <c r="E623" s="3">
        <f t="shared" si="23"/>
        <v>1.3888888888887729E-3</v>
      </c>
      <c r="F623" s="1" t="s">
        <v>8</v>
      </c>
    </row>
    <row r="624" spans="1:6" x14ac:dyDescent="0.25">
      <c r="A624" s="20">
        <v>42278</v>
      </c>
      <c r="B624" s="3">
        <v>0.8354166666666667</v>
      </c>
      <c r="C624" s="3">
        <v>0.84791666666666676</v>
      </c>
      <c r="D624" s="3">
        <f t="shared" si="22"/>
        <v>1.2500000000000067E-2</v>
      </c>
      <c r="E624" s="3">
        <f t="shared" si="23"/>
        <v>1.388888888888995E-3</v>
      </c>
      <c r="F624" s="1" t="s">
        <v>8</v>
      </c>
    </row>
    <row r="625" spans="1:6" x14ac:dyDescent="0.25">
      <c r="A625" s="20">
        <v>42278</v>
      </c>
      <c r="B625" s="3">
        <v>0.31736111111111115</v>
      </c>
      <c r="C625" s="3">
        <v>0.32847222222222222</v>
      </c>
      <c r="D625" s="3">
        <f t="shared" si="22"/>
        <v>1.1111111111111072E-2</v>
      </c>
      <c r="E625" s="3">
        <f t="shared" si="23"/>
        <v>6.9444444444445308E-3</v>
      </c>
      <c r="F625" s="1" t="s">
        <v>8</v>
      </c>
    </row>
    <row r="626" spans="1:6" x14ac:dyDescent="0.25">
      <c r="A626" s="20">
        <v>42278</v>
      </c>
      <c r="B626" s="3">
        <v>0.87152777777777779</v>
      </c>
      <c r="C626" s="3">
        <v>0.88958333333333339</v>
      </c>
      <c r="D626" s="3">
        <f t="shared" si="22"/>
        <v>1.8055555555555602E-2</v>
      </c>
      <c r="E626" s="3">
        <f t="shared" si="23"/>
        <v>4.8611111111112049E-3</v>
      </c>
      <c r="F626" s="1" t="s">
        <v>8</v>
      </c>
    </row>
    <row r="627" spans="1:6" x14ac:dyDescent="0.25">
      <c r="A627" s="20">
        <v>42278</v>
      </c>
      <c r="B627" s="3">
        <v>0.96597222222222223</v>
      </c>
      <c r="C627" s="3">
        <v>0.97916666666666663</v>
      </c>
      <c r="D627" s="3">
        <f t="shared" si="22"/>
        <v>1.3194444444444398E-2</v>
      </c>
      <c r="E627" s="3">
        <f t="shared" si="23"/>
        <v>9.7222222222222675E-3</v>
      </c>
      <c r="F627" s="1" t="s">
        <v>8</v>
      </c>
    </row>
    <row r="628" spans="1:6" x14ac:dyDescent="0.25">
      <c r="A628" s="20">
        <v>42278</v>
      </c>
      <c r="B628" s="3">
        <v>5.5555555555555558E-3</v>
      </c>
      <c r="C628" s="3">
        <v>2.8472222222222222E-2</v>
      </c>
      <c r="D628" s="3">
        <f t="shared" si="22"/>
        <v>2.2916666666666665E-2</v>
      </c>
      <c r="E628" s="3">
        <f t="shared" si="23"/>
        <v>3.4722222222221787E-3</v>
      </c>
      <c r="F628" s="1" t="s">
        <v>8</v>
      </c>
    </row>
    <row r="629" spans="1:6" x14ac:dyDescent="0.25">
      <c r="A629" s="20">
        <v>42278</v>
      </c>
      <c r="B629" s="3">
        <v>0.37291666666666662</v>
      </c>
      <c r="C629" s="3">
        <v>0.3923611111111111</v>
      </c>
      <c r="D629" s="3">
        <f t="shared" si="22"/>
        <v>1.9444444444444486E-2</v>
      </c>
      <c r="E629" s="3">
        <f t="shared" si="23"/>
        <v>3.4722222222222099E-3</v>
      </c>
      <c r="F629" s="1" t="s">
        <v>8</v>
      </c>
    </row>
    <row r="630" spans="1:6" x14ac:dyDescent="0.25">
      <c r="A630" s="20">
        <v>42278</v>
      </c>
      <c r="B630" s="3">
        <v>0.66666666666666663</v>
      </c>
      <c r="C630" s="3">
        <v>0.68958333333333333</v>
      </c>
      <c r="D630" s="3">
        <f t="shared" si="22"/>
        <v>2.2916666666666696E-2</v>
      </c>
      <c r="E630" s="3">
        <f t="shared" si="23"/>
        <v>6.2499999999999778E-3</v>
      </c>
      <c r="F630" s="1" t="s">
        <v>8</v>
      </c>
    </row>
    <row r="631" spans="1:6" x14ac:dyDescent="0.25">
      <c r="A631" s="20">
        <v>42278</v>
      </c>
      <c r="B631" s="3">
        <v>0.15347222222222223</v>
      </c>
      <c r="C631" s="3">
        <v>0.18263888888888891</v>
      </c>
      <c r="D631" s="3">
        <f t="shared" si="22"/>
        <v>2.9166666666666674E-2</v>
      </c>
      <c r="E631" s="3">
        <f t="shared" si="23"/>
        <v>2.5694444444444409E-2</v>
      </c>
      <c r="F631" s="1" t="s">
        <v>8</v>
      </c>
    </row>
    <row r="632" spans="1:6" x14ac:dyDescent="0.25">
      <c r="A632" s="20">
        <v>42278</v>
      </c>
      <c r="B632" s="3">
        <v>0.39305555555555555</v>
      </c>
      <c r="C632" s="3">
        <v>0.39652777777777781</v>
      </c>
      <c r="D632" s="3">
        <f t="shared" si="22"/>
        <v>3.4722222222222654E-3</v>
      </c>
      <c r="E632" s="3">
        <f t="shared" si="23"/>
        <v>1.1111111111111016E-2</v>
      </c>
      <c r="F632" s="1" t="s">
        <v>8</v>
      </c>
    </row>
    <row r="633" spans="1:6" x14ac:dyDescent="0.25">
      <c r="A633" s="20">
        <v>42278</v>
      </c>
      <c r="B633" s="3">
        <v>0.58194444444444449</v>
      </c>
      <c r="C633" s="3">
        <v>0.59652777777777777</v>
      </c>
      <c r="D633" s="3">
        <f t="shared" si="22"/>
        <v>1.4583333333333282E-2</v>
      </c>
      <c r="E633" s="3">
        <f t="shared" si="23"/>
        <v>1.0416666666666519E-2</v>
      </c>
      <c r="F633" s="1" t="s">
        <v>8</v>
      </c>
    </row>
    <row r="634" spans="1:6" x14ac:dyDescent="0.25">
      <c r="A634" s="20">
        <v>42278</v>
      </c>
      <c r="B634" s="3">
        <v>0.63194444444444442</v>
      </c>
      <c r="C634" s="3">
        <v>0.63611111111111118</v>
      </c>
      <c r="D634" s="3">
        <f t="shared" si="22"/>
        <v>4.1666666666667629E-3</v>
      </c>
      <c r="E634" s="3">
        <f t="shared" si="23"/>
        <v>8.3333333333333037E-3</v>
      </c>
      <c r="F634" s="1" t="s">
        <v>8</v>
      </c>
    </row>
    <row r="635" spans="1:6" x14ac:dyDescent="0.25">
      <c r="A635" s="20">
        <v>42278</v>
      </c>
      <c r="B635" s="3">
        <v>0.50138888888888888</v>
      </c>
      <c r="C635" s="3">
        <v>0.51388888888888895</v>
      </c>
      <c r="D635" s="3">
        <f t="shared" si="22"/>
        <v>1.2500000000000067E-2</v>
      </c>
      <c r="E635" s="3">
        <f t="shared" si="23"/>
        <v>4.8611111111109828E-3</v>
      </c>
      <c r="F635" s="1" t="s">
        <v>8</v>
      </c>
    </row>
    <row r="636" spans="1:6" x14ac:dyDescent="0.25">
      <c r="A636" s="20">
        <v>42278</v>
      </c>
      <c r="B636" s="3">
        <v>0.51944444444444449</v>
      </c>
      <c r="C636" s="3">
        <v>0.53680555555555554</v>
      </c>
      <c r="D636" s="3">
        <f t="shared" si="22"/>
        <v>1.7361111111111049E-2</v>
      </c>
      <c r="E636" s="3">
        <f t="shared" si="23"/>
        <v>2.9861111111111116E-2</v>
      </c>
      <c r="F636" s="1" t="s">
        <v>8</v>
      </c>
    </row>
    <row r="637" spans="1:6" x14ac:dyDescent="0.25">
      <c r="A637" s="20">
        <v>42278</v>
      </c>
      <c r="B637" s="3">
        <v>0.69305555555555554</v>
      </c>
      <c r="C637" s="3">
        <v>0.7402777777777777</v>
      </c>
      <c r="D637" s="3">
        <f t="shared" si="22"/>
        <v>4.7222222222222165E-2</v>
      </c>
      <c r="E637" s="3">
        <f t="shared" si="23"/>
        <v>3.6111111111111094E-2</v>
      </c>
      <c r="F637" s="1" t="s">
        <v>8</v>
      </c>
    </row>
    <row r="638" spans="1:6" x14ac:dyDescent="0.25">
      <c r="A638" s="20">
        <v>42278</v>
      </c>
      <c r="B638" s="3">
        <v>0.73611111111111116</v>
      </c>
      <c r="C638" s="3">
        <v>0.74722222222222223</v>
      </c>
      <c r="D638" s="3">
        <f t="shared" si="22"/>
        <v>1.1111111111111072E-2</v>
      </c>
      <c r="E638" s="3">
        <f t="shared" si="23"/>
        <v>1.1111111111111072E-2</v>
      </c>
      <c r="F638" s="1" t="s">
        <v>8</v>
      </c>
    </row>
    <row r="639" spans="1:6" x14ac:dyDescent="0.25">
      <c r="A639" s="20">
        <v>42278</v>
      </c>
      <c r="B639" s="3">
        <v>0.78333333333333333</v>
      </c>
      <c r="C639" s="3">
        <v>0.80555555555555547</v>
      </c>
      <c r="D639" s="3">
        <f t="shared" si="22"/>
        <v>2.2222222222222143E-2</v>
      </c>
      <c r="E639" s="3">
        <f t="shared" si="23"/>
        <v>3.5416666666666652E-2</v>
      </c>
      <c r="F639" s="1" t="s">
        <v>8</v>
      </c>
    </row>
    <row r="640" spans="1:6" x14ac:dyDescent="0.25">
      <c r="A640" s="20">
        <v>42278</v>
      </c>
      <c r="B640" s="3">
        <v>0.91041666666666676</v>
      </c>
      <c r="C640" s="3">
        <v>0.96805555555555556</v>
      </c>
      <c r="D640" s="3">
        <f t="shared" si="22"/>
        <v>5.7638888888888795E-2</v>
      </c>
      <c r="E640" s="3">
        <f t="shared" si="23"/>
        <v>4.4444444444444398E-2</v>
      </c>
      <c r="F640" s="1" t="s">
        <v>8</v>
      </c>
    </row>
    <row r="641" spans="1:6" x14ac:dyDescent="0.25">
      <c r="A641" s="20">
        <v>42278</v>
      </c>
      <c r="B641" s="3">
        <v>0.875</v>
      </c>
      <c r="C641" s="3">
        <v>0.8881944444444444</v>
      </c>
      <c r="D641" s="3">
        <f t="shared" si="22"/>
        <v>1.3194444444444398E-2</v>
      </c>
      <c r="E641" s="3">
        <f t="shared" si="23"/>
        <v>7.6388888888889728E-3</v>
      </c>
      <c r="F641" s="1" t="s">
        <v>8</v>
      </c>
    </row>
    <row r="642" spans="1:6" x14ac:dyDescent="0.25">
      <c r="A642" s="20">
        <v>42278</v>
      </c>
      <c r="B642" s="3">
        <v>0.99305555555555547</v>
      </c>
      <c r="C642" s="3">
        <v>1.0138888888888888</v>
      </c>
      <c r="D642" s="3">
        <f t="shared" si="22"/>
        <v>2.083333333333337E-2</v>
      </c>
      <c r="E642" s="3">
        <f t="shared" si="23"/>
        <v>6.2500000000000333E-3</v>
      </c>
      <c r="F642" s="1" t="s">
        <v>8</v>
      </c>
    </row>
    <row r="643" spans="1:6" x14ac:dyDescent="0.25">
      <c r="A643" s="20">
        <v>42278</v>
      </c>
      <c r="B643" s="3">
        <v>0.3125</v>
      </c>
      <c r="C643" s="3">
        <v>0.32708333333333334</v>
      </c>
      <c r="D643" s="3">
        <f t="shared" ref="D643:D706" si="24">(C643-B643)</f>
        <v>1.4583333333333337E-2</v>
      </c>
      <c r="E643" s="3">
        <f t="shared" si="23"/>
        <v>7.6388888888888618E-3</v>
      </c>
      <c r="F643" s="1" t="s">
        <v>8</v>
      </c>
    </row>
    <row r="644" spans="1:6" x14ac:dyDescent="0.25">
      <c r="A644" s="20">
        <v>42278</v>
      </c>
      <c r="B644" s="3">
        <v>0.31666666666666665</v>
      </c>
      <c r="C644" s="3">
        <v>0.32361111111111113</v>
      </c>
      <c r="D644" s="3">
        <f t="shared" si="24"/>
        <v>6.9444444444444753E-3</v>
      </c>
      <c r="E644" s="3">
        <f t="shared" si="23"/>
        <v>6.9444444444443643E-3</v>
      </c>
      <c r="F644" s="1" t="s">
        <v>8</v>
      </c>
    </row>
    <row r="645" spans="1:6" x14ac:dyDescent="0.25">
      <c r="A645" s="20">
        <v>42278</v>
      </c>
      <c r="B645" s="3">
        <v>0.66111111111111109</v>
      </c>
      <c r="C645" s="3">
        <v>0.67499999999999993</v>
      </c>
      <c r="D645" s="3">
        <f t="shared" si="24"/>
        <v>1.388888888888884E-2</v>
      </c>
      <c r="E645" s="3">
        <f t="shared" si="23"/>
        <v>5.5555555555555358E-3</v>
      </c>
      <c r="F645" s="1" t="s">
        <v>8</v>
      </c>
    </row>
    <row r="646" spans="1:6" x14ac:dyDescent="0.25">
      <c r="A646" s="20">
        <v>42278</v>
      </c>
      <c r="B646" s="3">
        <v>1.0097222222222222</v>
      </c>
      <c r="C646" s="3">
        <v>1.0180555555555555</v>
      </c>
      <c r="D646" s="3">
        <f t="shared" si="24"/>
        <v>8.3333333333333037E-3</v>
      </c>
      <c r="E646" s="3"/>
      <c r="F646" s="1" t="s">
        <v>8</v>
      </c>
    </row>
    <row r="647" spans="1:6" x14ac:dyDescent="0.25">
      <c r="A647" s="20">
        <v>42278</v>
      </c>
      <c r="B647" s="3">
        <v>0.55069444444444449</v>
      </c>
      <c r="C647" s="3">
        <v>0.57222222222222219</v>
      </c>
      <c r="D647" s="3">
        <f t="shared" si="24"/>
        <v>2.1527777777777701E-2</v>
      </c>
      <c r="E647" s="3">
        <f t="shared" ref="E647:E678" si="25">ABS(D647-D648)</f>
        <v>2.0833333333332149E-3</v>
      </c>
      <c r="F647" s="1" t="s">
        <v>11</v>
      </c>
    </row>
    <row r="648" spans="1:6" x14ac:dyDescent="0.25">
      <c r="A648" s="20">
        <v>42278</v>
      </c>
      <c r="B648" s="3">
        <v>0.56527777777777777</v>
      </c>
      <c r="C648" s="3">
        <v>0.58472222222222225</v>
      </c>
      <c r="D648" s="3">
        <f t="shared" si="24"/>
        <v>1.9444444444444486E-2</v>
      </c>
      <c r="E648" s="3">
        <f t="shared" si="25"/>
        <v>4.8611111111110938E-3</v>
      </c>
      <c r="F648" s="1" t="s">
        <v>11</v>
      </c>
    </row>
    <row r="649" spans="1:6" x14ac:dyDescent="0.25">
      <c r="A649" s="20">
        <v>42278</v>
      </c>
      <c r="B649" s="3">
        <v>0.78888888888888886</v>
      </c>
      <c r="C649" s="3">
        <v>0.81319444444444444</v>
      </c>
      <c r="D649" s="3">
        <f t="shared" si="24"/>
        <v>2.430555555555558E-2</v>
      </c>
      <c r="E649" s="3">
        <f t="shared" si="25"/>
        <v>4.1666666666666935E-3</v>
      </c>
      <c r="F649" s="1" t="s">
        <v>11</v>
      </c>
    </row>
    <row r="650" spans="1:6" x14ac:dyDescent="0.25">
      <c r="A650" s="20">
        <v>42278</v>
      </c>
      <c r="B650" s="3">
        <v>9.2361111111111116E-2</v>
      </c>
      <c r="C650" s="3">
        <v>0.1125</v>
      </c>
      <c r="D650" s="3">
        <f t="shared" si="24"/>
        <v>2.0138888888888887E-2</v>
      </c>
      <c r="E650" s="3">
        <f t="shared" si="25"/>
        <v>6.944444444444281E-4</v>
      </c>
      <c r="F650" s="1" t="s">
        <v>11</v>
      </c>
    </row>
    <row r="651" spans="1:6" x14ac:dyDescent="0.25">
      <c r="A651" s="20">
        <v>42278</v>
      </c>
      <c r="B651" s="3">
        <v>0.33680555555555558</v>
      </c>
      <c r="C651" s="3">
        <v>0.3576388888888889</v>
      </c>
      <c r="D651" s="3">
        <f t="shared" si="24"/>
        <v>2.0833333333333315E-2</v>
      </c>
      <c r="E651" s="3">
        <f t="shared" si="25"/>
        <v>3.4722222222222654E-3</v>
      </c>
      <c r="F651" s="1" t="s">
        <v>11</v>
      </c>
    </row>
    <row r="652" spans="1:6" x14ac:dyDescent="0.25">
      <c r="A652" s="20">
        <v>42278</v>
      </c>
      <c r="B652" s="3">
        <v>0.4597222222222222</v>
      </c>
      <c r="C652" s="3">
        <v>0.48402777777777778</v>
      </c>
      <c r="D652" s="3">
        <f t="shared" si="24"/>
        <v>2.430555555555558E-2</v>
      </c>
      <c r="E652" s="3">
        <f t="shared" si="25"/>
        <v>2.7777777777777679E-3</v>
      </c>
      <c r="F652" s="1" t="s">
        <v>11</v>
      </c>
    </row>
    <row r="653" spans="1:6" x14ac:dyDescent="0.25">
      <c r="A653" s="20">
        <v>42278</v>
      </c>
      <c r="B653" s="3">
        <v>0.56041666666666667</v>
      </c>
      <c r="C653" s="3">
        <v>0.58194444444444449</v>
      </c>
      <c r="D653" s="3">
        <f t="shared" si="24"/>
        <v>2.1527777777777812E-2</v>
      </c>
      <c r="E653" s="3">
        <f t="shared" si="25"/>
        <v>4.8611111111112049E-3</v>
      </c>
      <c r="F653" s="1" t="s">
        <v>11</v>
      </c>
    </row>
    <row r="654" spans="1:6" x14ac:dyDescent="0.25">
      <c r="A654" s="20">
        <v>42278</v>
      </c>
      <c r="B654" s="3">
        <v>1.0069444444444444</v>
      </c>
      <c r="C654" s="3">
        <v>1.0333333333333334</v>
      </c>
      <c r="D654" s="3">
        <f t="shared" si="24"/>
        <v>2.6388888888889017E-2</v>
      </c>
      <c r="E654" s="3">
        <f t="shared" si="25"/>
        <v>3.4722222222224319E-3</v>
      </c>
      <c r="F654" s="1" t="s">
        <v>11</v>
      </c>
    </row>
    <row r="655" spans="1:6" x14ac:dyDescent="0.25">
      <c r="A655" s="20">
        <v>42278</v>
      </c>
      <c r="B655" s="3">
        <v>0.34583333333333338</v>
      </c>
      <c r="C655" s="3">
        <v>0.36874999999999997</v>
      </c>
      <c r="D655" s="3">
        <f t="shared" si="24"/>
        <v>2.2916666666666585E-2</v>
      </c>
      <c r="E655" s="3">
        <f t="shared" si="25"/>
        <v>2.083333333333437E-3</v>
      </c>
      <c r="F655" s="1" t="s">
        <v>11</v>
      </c>
    </row>
    <row r="656" spans="1:6" x14ac:dyDescent="0.25">
      <c r="A656" s="20">
        <v>42278</v>
      </c>
      <c r="B656" s="3">
        <v>0.6381944444444444</v>
      </c>
      <c r="C656" s="3">
        <v>0.66319444444444442</v>
      </c>
      <c r="D656" s="3">
        <f t="shared" si="24"/>
        <v>2.5000000000000022E-2</v>
      </c>
      <c r="E656" s="3">
        <f t="shared" si="25"/>
        <v>6.2499999999998668E-3</v>
      </c>
      <c r="F656" s="1" t="s">
        <v>11</v>
      </c>
    </row>
    <row r="657" spans="1:6" x14ac:dyDescent="0.25">
      <c r="A657" s="20">
        <v>42278</v>
      </c>
      <c r="B657" s="3">
        <v>0.82638888888888884</v>
      </c>
      <c r="C657" s="3">
        <v>0.84513888888888899</v>
      </c>
      <c r="D657" s="3">
        <f t="shared" si="24"/>
        <v>1.8750000000000155E-2</v>
      </c>
      <c r="E657" s="3">
        <f t="shared" si="25"/>
        <v>1.388888888889106E-3</v>
      </c>
      <c r="F657" s="1" t="s">
        <v>11</v>
      </c>
    </row>
    <row r="658" spans="1:6" x14ac:dyDescent="0.25">
      <c r="A658" s="20">
        <v>42278</v>
      </c>
      <c r="B658" s="3">
        <v>0.75208333333333333</v>
      </c>
      <c r="C658" s="3">
        <v>0.76944444444444438</v>
      </c>
      <c r="D658" s="3">
        <f t="shared" si="24"/>
        <v>1.7361111111111049E-2</v>
      </c>
      <c r="E658" s="3">
        <f t="shared" si="25"/>
        <v>2.0833333333332149E-3</v>
      </c>
      <c r="F658" s="1" t="s">
        <v>11</v>
      </c>
    </row>
    <row r="659" spans="1:6" x14ac:dyDescent="0.25">
      <c r="A659" s="20">
        <v>42278</v>
      </c>
      <c r="B659" s="3">
        <v>0.95138888888888884</v>
      </c>
      <c r="C659" s="3">
        <v>0.96666666666666667</v>
      </c>
      <c r="D659" s="3">
        <f t="shared" si="24"/>
        <v>1.5277777777777835E-2</v>
      </c>
      <c r="E659" s="3">
        <f t="shared" si="25"/>
        <v>9.0277777777776347E-3</v>
      </c>
      <c r="F659" s="1" t="s">
        <v>11</v>
      </c>
    </row>
    <row r="660" spans="1:6" x14ac:dyDescent="0.25">
      <c r="A660" s="20">
        <v>42278</v>
      </c>
      <c r="B660" s="3">
        <v>0.54652777777777783</v>
      </c>
      <c r="C660" s="3">
        <v>0.5708333333333333</v>
      </c>
      <c r="D660" s="3">
        <f t="shared" si="24"/>
        <v>2.4305555555555469E-2</v>
      </c>
      <c r="E660" s="3">
        <f t="shared" si="25"/>
        <v>6.94444444444553E-4</v>
      </c>
      <c r="F660" s="1" t="s">
        <v>11</v>
      </c>
    </row>
    <row r="661" spans="1:6" x14ac:dyDescent="0.25">
      <c r="A661" s="20">
        <v>42278</v>
      </c>
      <c r="B661" s="3">
        <v>0.6381944444444444</v>
      </c>
      <c r="C661" s="3">
        <v>0.66319444444444442</v>
      </c>
      <c r="D661" s="3">
        <f t="shared" si="24"/>
        <v>2.5000000000000022E-2</v>
      </c>
      <c r="E661" s="3">
        <f t="shared" si="25"/>
        <v>6.2499999999998668E-3</v>
      </c>
      <c r="F661" s="1" t="s">
        <v>11</v>
      </c>
    </row>
    <row r="662" spans="1:6" x14ac:dyDescent="0.25">
      <c r="A662" s="20">
        <v>42278</v>
      </c>
      <c r="B662" s="3">
        <v>0.82638888888888884</v>
      </c>
      <c r="C662" s="3">
        <v>0.84513888888888899</v>
      </c>
      <c r="D662" s="3">
        <f t="shared" si="24"/>
        <v>1.8750000000000155E-2</v>
      </c>
      <c r="E662" s="3">
        <f t="shared" si="25"/>
        <v>1.388888888889106E-3</v>
      </c>
      <c r="F662" s="1" t="s">
        <v>11</v>
      </c>
    </row>
    <row r="663" spans="1:6" x14ac:dyDescent="0.25">
      <c r="A663" s="20">
        <v>42278</v>
      </c>
      <c r="B663" s="3">
        <v>0.75208333333333333</v>
      </c>
      <c r="C663" s="3">
        <v>0.76944444444444438</v>
      </c>
      <c r="D663" s="3">
        <f t="shared" si="24"/>
        <v>1.7361111111111049E-2</v>
      </c>
      <c r="E663" s="3">
        <f t="shared" si="25"/>
        <v>2.0833333333332149E-3</v>
      </c>
      <c r="F663" s="1" t="s">
        <v>11</v>
      </c>
    </row>
    <row r="664" spans="1:6" x14ac:dyDescent="0.25">
      <c r="A664" s="20">
        <v>42278</v>
      </c>
      <c r="B664" s="3">
        <v>0.95138888888888884</v>
      </c>
      <c r="C664" s="3">
        <v>0.96666666666666667</v>
      </c>
      <c r="D664" s="3">
        <f t="shared" si="24"/>
        <v>1.5277777777777835E-2</v>
      </c>
      <c r="E664" s="3">
        <f t="shared" si="25"/>
        <v>4.8611111111110522E-3</v>
      </c>
      <c r="F664" s="1" t="s">
        <v>11</v>
      </c>
    </row>
    <row r="665" spans="1:6" x14ac:dyDescent="0.25">
      <c r="A665" s="20">
        <v>42278</v>
      </c>
      <c r="B665" s="3">
        <v>9.2361111111111116E-2</v>
      </c>
      <c r="C665" s="3">
        <v>0.1125</v>
      </c>
      <c r="D665" s="3">
        <f t="shared" si="24"/>
        <v>2.0138888888888887E-2</v>
      </c>
      <c r="E665" s="3">
        <f t="shared" si="25"/>
        <v>6.944444444444281E-4</v>
      </c>
      <c r="F665" s="1" t="s">
        <v>11</v>
      </c>
    </row>
    <row r="666" spans="1:6" x14ac:dyDescent="0.25">
      <c r="A666" s="20">
        <v>42278</v>
      </c>
      <c r="B666" s="3">
        <v>0.33680555555555558</v>
      </c>
      <c r="C666" s="3">
        <v>0.3576388888888889</v>
      </c>
      <c r="D666" s="3">
        <f t="shared" si="24"/>
        <v>2.0833333333333315E-2</v>
      </c>
      <c r="E666" s="3">
        <f t="shared" si="25"/>
        <v>3.4722222222222654E-3</v>
      </c>
      <c r="F666" s="1" t="s">
        <v>11</v>
      </c>
    </row>
    <row r="667" spans="1:6" x14ac:dyDescent="0.25">
      <c r="A667" s="20">
        <v>42278</v>
      </c>
      <c r="B667" s="3">
        <v>0.4597222222222222</v>
      </c>
      <c r="C667" s="3">
        <v>0.48402777777777778</v>
      </c>
      <c r="D667" s="3">
        <f t="shared" si="24"/>
        <v>2.430555555555558E-2</v>
      </c>
      <c r="E667" s="3">
        <f t="shared" si="25"/>
        <v>2.7777777777777679E-3</v>
      </c>
      <c r="F667" s="1" t="s">
        <v>11</v>
      </c>
    </row>
    <row r="668" spans="1:6" x14ac:dyDescent="0.25">
      <c r="A668" s="20">
        <v>42278</v>
      </c>
      <c r="B668" s="3">
        <v>0.56041666666666667</v>
      </c>
      <c r="C668" s="3">
        <v>0.58194444444444449</v>
      </c>
      <c r="D668" s="3">
        <f t="shared" si="24"/>
        <v>2.1527777777777812E-2</v>
      </c>
      <c r="E668" s="3">
        <f t="shared" si="25"/>
        <v>4.8611111111112049E-3</v>
      </c>
      <c r="F668" s="1" t="s">
        <v>11</v>
      </c>
    </row>
    <row r="669" spans="1:6" x14ac:dyDescent="0.25">
      <c r="A669" s="20">
        <v>42278</v>
      </c>
      <c r="B669" s="3">
        <v>1.0069444444444444</v>
      </c>
      <c r="C669" s="3">
        <v>1.0333333333333334</v>
      </c>
      <c r="D669" s="3">
        <f t="shared" si="24"/>
        <v>2.6388888888889017E-2</v>
      </c>
      <c r="E669" s="3">
        <f t="shared" si="25"/>
        <v>6.9444444444445863E-3</v>
      </c>
      <c r="F669" s="1" t="s">
        <v>11</v>
      </c>
    </row>
    <row r="670" spans="1:6" x14ac:dyDescent="0.25">
      <c r="A670" s="20">
        <v>42278</v>
      </c>
      <c r="B670" s="3">
        <v>0.40347222222222223</v>
      </c>
      <c r="C670" s="3">
        <v>0.42291666666666666</v>
      </c>
      <c r="D670" s="3">
        <f t="shared" si="24"/>
        <v>1.9444444444444431E-2</v>
      </c>
      <c r="E670" s="3">
        <f t="shared" si="25"/>
        <v>2.083333333333437E-3</v>
      </c>
      <c r="F670" s="1" t="s">
        <v>11</v>
      </c>
    </row>
    <row r="671" spans="1:6" x14ac:dyDescent="0.25">
      <c r="A671" s="20">
        <v>42278</v>
      </c>
      <c r="B671" s="3">
        <v>0.49374999999999997</v>
      </c>
      <c r="C671" s="3">
        <v>0.51527777777777783</v>
      </c>
      <c r="D671" s="3">
        <f t="shared" si="24"/>
        <v>2.1527777777777868E-2</v>
      </c>
      <c r="E671" s="3">
        <f t="shared" si="25"/>
        <v>1.6653345369377348E-16</v>
      </c>
      <c r="F671" s="1" t="s">
        <v>11</v>
      </c>
    </row>
    <row r="672" spans="1:6" x14ac:dyDescent="0.25">
      <c r="A672" s="20">
        <v>42278</v>
      </c>
      <c r="B672" s="3">
        <v>0.68541666666666667</v>
      </c>
      <c r="C672" s="3">
        <v>0.70694444444444438</v>
      </c>
      <c r="D672" s="3">
        <f t="shared" si="24"/>
        <v>2.1527777777777701E-2</v>
      </c>
      <c r="E672" s="3">
        <f t="shared" si="25"/>
        <v>1.1111111111111294E-2</v>
      </c>
      <c r="F672" s="1" t="s">
        <v>11</v>
      </c>
    </row>
    <row r="673" spans="1:6" x14ac:dyDescent="0.25">
      <c r="A673" s="20">
        <v>42278</v>
      </c>
      <c r="B673" s="3">
        <v>0.76944444444444438</v>
      </c>
      <c r="C673" s="3">
        <v>0.80208333333333337</v>
      </c>
      <c r="D673" s="3">
        <f t="shared" si="24"/>
        <v>3.2638888888888995E-2</v>
      </c>
      <c r="E673" s="3">
        <f t="shared" si="25"/>
        <v>1.388888888888995E-3</v>
      </c>
      <c r="F673" s="1" t="s">
        <v>11</v>
      </c>
    </row>
    <row r="674" spans="1:6" x14ac:dyDescent="0.25">
      <c r="A674" s="20">
        <v>42278</v>
      </c>
      <c r="B674" s="3">
        <v>0.77083333333333337</v>
      </c>
      <c r="C674" s="3">
        <v>0.80208333333333337</v>
      </c>
      <c r="D674" s="3">
        <f t="shared" si="24"/>
        <v>3.125E-2</v>
      </c>
      <c r="E674" s="3">
        <f t="shared" si="25"/>
        <v>7.6388888888888618E-3</v>
      </c>
      <c r="F674" s="1" t="s">
        <v>11</v>
      </c>
    </row>
    <row r="675" spans="1:6" x14ac:dyDescent="0.25">
      <c r="A675" s="20">
        <v>42278</v>
      </c>
      <c r="B675" s="3">
        <v>0.83263888888888893</v>
      </c>
      <c r="C675" s="3">
        <v>0.85625000000000007</v>
      </c>
      <c r="D675" s="3">
        <f t="shared" si="24"/>
        <v>2.3611111111111138E-2</v>
      </c>
      <c r="E675" s="3">
        <f t="shared" si="25"/>
        <v>5.5555555555556468E-3</v>
      </c>
      <c r="F675" s="1" t="s">
        <v>11</v>
      </c>
    </row>
    <row r="676" spans="1:6" x14ac:dyDescent="0.25">
      <c r="A676" s="20">
        <v>42278</v>
      </c>
      <c r="B676" s="3">
        <v>0.83888888888888891</v>
      </c>
      <c r="C676" s="3">
        <v>0.8569444444444444</v>
      </c>
      <c r="D676" s="3">
        <f t="shared" si="24"/>
        <v>1.8055555555555491E-2</v>
      </c>
      <c r="E676" s="3">
        <f t="shared" si="25"/>
        <v>0</v>
      </c>
      <c r="F676" s="1" t="s">
        <v>11</v>
      </c>
    </row>
    <row r="677" spans="1:6" x14ac:dyDescent="0.25">
      <c r="A677" s="20">
        <v>42278</v>
      </c>
      <c r="B677" s="3">
        <v>0.98611111111111116</v>
      </c>
      <c r="C677" s="3">
        <v>1.0041666666666667</v>
      </c>
      <c r="D677" s="3">
        <f t="shared" si="24"/>
        <v>1.8055555555555491E-2</v>
      </c>
      <c r="E677" s="3">
        <f t="shared" si="25"/>
        <v>2.7777777777778512E-3</v>
      </c>
      <c r="F677" s="1" t="s">
        <v>11</v>
      </c>
    </row>
    <row r="678" spans="1:6" x14ac:dyDescent="0.25">
      <c r="A678" s="20">
        <v>42278</v>
      </c>
      <c r="B678" s="3">
        <v>9.8611111111111108E-2</v>
      </c>
      <c r="C678" s="3">
        <v>0.11944444444444445</v>
      </c>
      <c r="D678" s="3">
        <f t="shared" si="24"/>
        <v>2.0833333333333343E-2</v>
      </c>
      <c r="E678" s="3">
        <f t="shared" si="25"/>
        <v>2.0833333333333537E-3</v>
      </c>
      <c r="F678" s="1" t="s">
        <v>11</v>
      </c>
    </row>
    <row r="679" spans="1:6" x14ac:dyDescent="0.25">
      <c r="A679" s="20">
        <v>42278</v>
      </c>
      <c r="B679" s="3">
        <v>0.42499999999999999</v>
      </c>
      <c r="C679" s="3">
        <v>0.44791666666666669</v>
      </c>
      <c r="D679" s="3">
        <f t="shared" si="24"/>
        <v>2.2916666666666696E-2</v>
      </c>
      <c r="E679" s="3">
        <f t="shared" ref="E679:E710" si="26">ABS(D679-D680)</f>
        <v>9.0277777777778567E-3</v>
      </c>
      <c r="F679" s="1" t="s">
        <v>11</v>
      </c>
    </row>
    <row r="680" spans="1:6" x14ac:dyDescent="0.25">
      <c r="A680" s="20">
        <v>42278</v>
      </c>
      <c r="B680" s="3">
        <v>0.61875000000000002</v>
      </c>
      <c r="C680" s="3">
        <v>0.63263888888888886</v>
      </c>
      <c r="D680" s="3">
        <f t="shared" si="24"/>
        <v>1.388888888888884E-2</v>
      </c>
      <c r="E680" s="3">
        <f t="shared" si="26"/>
        <v>1.1805555555555625E-2</v>
      </c>
      <c r="F680" s="1" t="s">
        <v>11</v>
      </c>
    </row>
    <row r="681" spans="1:6" x14ac:dyDescent="0.25">
      <c r="A681" s="20">
        <v>42278</v>
      </c>
      <c r="B681" s="3">
        <v>0.67152777777777783</v>
      </c>
      <c r="C681" s="3">
        <v>0.6972222222222223</v>
      </c>
      <c r="D681" s="3">
        <f t="shared" si="24"/>
        <v>2.5694444444444464E-2</v>
      </c>
      <c r="E681" s="3">
        <f t="shared" si="26"/>
        <v>1.388888888888884E-3</v>
      </c>
      <c r="F681" s="1" t="s">
        <v>11</v>
      </c>
    </row>
    <row r="682" spans="1:6" x14ac:dyDescent="0.25">
      <c r="A682" s="20">
        <v>42278</v>
      </c>
      <c r="B682" s="3">
        <v>0.63472222222222219</v>
      </c>
      <c r="C682" s="3">
        <v>0.66180555555555554</v>
      </c>
      <c r="D682" s="3">
        <f t="shared" si="24"/>
        <v>2.7083333333333348E-2</v>
      </c>
      <c r="E682" s="3">
        <f t="shared" si="26"/>
        <v>6.94444444444553E-4</v>
      </c>
      <c r="F682" s="1" t="s">
        <v>11</v>
      </c>
    </row>
    <row r="683" spans="1:6" x14ac:dyDescent="0.25">
      <c r="A683" s="20">
        <v>42278</v>
      </c>
      <c r="B683" s="3">
        <v>0.69097222222222221</v>
      </c>
      <c r="C683" s="3">
        <v>0.71736111111111101</v>
      </c>
      <c r="D683" s="3">
        <f t="shared" si="24"/>
        <v>2.6388888888888795E-2</v>
      </c>
      <c r="E683" s="3">
        <f t="shared" si="26"/>
        <v>1.1111111111111072E-2</v>
      </c>
      <c r="F683" s="1" t="s">
        <v>11</v>
      </c>
    </row>
    <row r="684" spans="1:6" x14ac:dyDescent="0.25">
      <c r="A684" s="20">
        <v>42278</v>
      </c>
      <c r="B684" s="3">
        <v>0.67986111111111114</v>
      </c>
      <c r="C684" s="3">
        <v>0.71736111111111101</v>
      </c>
      <c r="D684" s="3">
        <f t="shared" si="24"/>
        <v>3.7499999999999867E-2</v>
      </c>
      <c r="E684" s="3">
        <f t="shared" si="26"/>
        <v>1.5972222222222165E-2</v>
      </c>
      <c r="F684" s="1" t="s">
        <v>11</v>
      </c>
    </row>
    <row r="685" spans="1:6" x14ac:dyDescent="0.25">
      <c r="A685" s="20">
        <v>42278</v>
      </c>
      <c r="B685" s="3">
        <v>0.81944444444444453</v>
      </c>
      <c r="C685" s="3">
        <v>0.84097222222222223</v>
      </c>
      <c r="D685" s="3">
        <f t="shared" si="24"/>
        <v>2.1527777777777701E-2</v>
      </c>
      <c r="E685" s="3">
        <f t="shared" si="26"/>
        <v>7.6388888888889797E-3</v>
      </c>
      <c r="F685" s="1" t="s">
        <v>11</v>
      </c>
    </row>
    <row r="686" spans="1:6" x14ac:dyDescent="0.25">
      <c r="A686" s="20">
        <v>42278</v>
      </c>
      <c r="B686" s="3">
        <v>5.8333333333333327E-2</v>
      </c>
      <c r="C686" s="3">
        <v>8.7500000000000008E-2</v>
      </c>
      <c r="D686" s="3">
        <f t="shared" si="24"/>
        <v>2.9166666666666681E-2</v>
      </c>
      <c r="E686" s="3">
        <f t="shared" si="26"/>
        <v>5.5555555555555428E-3</v>
      </c>
      <c r="F686" s="1" t="s">
        <v>11</v>
      </c>
    </row>
    <row r="687" spans="1:6" x14ac:dyDescent="0.25">
      <c r="A687" s="20">
        <v>42278</v>
      </c>
      <c r="B687" s="3">
        <v>0.53125</v>
      </c>
      <c r="C687" s="3">
        <v>0.55486111111111114</v>
      </c>
      <c r="D687" s="3">
        <f t="shared" si="24"/>
        <v>2.3611111111111138E-2</v>
      </c>
      <c r="E687" s="3">
        <f t="shared" si="26"/>
        <v>6.94444444444553E-4</v>
      </c>
      <c r="F687" s="1" t="s">
        <v>11</v>
      </c>
    </row>
    <row r="688" spans="1:6" x14ac:dyDescent="0.25">
      <c r="A688" s="20">
        <v>42278</v>
      </c>
      <c r="B688" s="3">
        <v>0.64027777777777783</v>
      </c>
      <c r="C688" s="3">
        <v>0.66319444444444442</v>
      </c>
      <c r="D688" s="3">
        <f t="shared" si="24"/>
        <v>2.2916666666666585E-2</v>
      </c>
      <c r="E688" s="3">
        <f t="shared" si="26"/>
        <v>5.5555555555555358E-3</v>
      </c>
      <c r="F688" s="1" t="s">
        <v>11</v>
      </c>
    </row>
    <row r="689" spans="1:6" x14ac:dyDescent="0.25">
      <c r="A689" s="20">
        <v>42278</v>
      </c>
      <c r="B689" s="3">
        <v>0.41666666666666669</v>
      </c>
      <c r="C689" s="3">
        <v>0.43402777777777773</v>
      </c>
      <c r="D689" s="3">
        <f t="shared" si="24"/>
        <v>1.7361111111111049E-2</v>
      </c>
      <c r="E689" s="3">
        <f t="shared" si="26"/>
        <v>2.7777777777778234E-3</v>
      </c>
      <c r="F689" s="1" t="s">
        <v>11</v>
      </c>
    </row>
    <row r="690" spans="1:6" x14ac:dyDescent="0.25">
      <c r="A690" s="20">
        <v>42278</v>
      </c>
      <c r="B690" s="3">
        <v>0.46180555555555558</v>
      </c>
      <c r="C690" s="3">
        <v>0.48194444444444445</v>
      </c>
      <c r="D690" s="3">
        <f t="shared" si="24"/>
        <v>2.0138888888888873E-2</v>
      </c>
      <c r="E690" s="3">
        <f t="shared" si="26"/>
        <v>1.388888888888884E-3</v>
      </c>
      <c r="F690" s="1" t="s">
        <v>11</v>
      </c>
    </row>
    <row r="691" spans="1:6" x14ac:dyDescent="0.25">
      <c r="A691" s="20">
        <v>42278</v>
      </c>
      <c r="B691" s="3">
        <v>0.47916666666666669</v>
      </c>
      <c r="C691" s="3">
        <v>0.50069444444444444</v>
      </c>
      <c r="D691" s="3">
        <f t="shared" si="24"/>
        <v>2.1527777777777757E-2</v>
      </c>
      <c r="E691" s="3">
        <f t="shared" si="26"/>
        <v>2.0833333333332704E-3</v>
      </c>
      <c r="F691" s="1" t="s">
        <v>11</v>
      </c>
    </row>
    <row r="692" spans="1:6" x14ac:dyDescent="0.25">
      <c r="A692" s="20">
        <v>42278</v>
      </c>
      <c r="B692" s="3">
        <v>0.65416666666666667</v>
      </c>
      <c r="C692" s="3">
        <v>0.67361111111111116</v>
      </c>
      <c r="D692" s="3">
        <f t="shared" si="24"/>
        <v>1.9444444444444486E-2</v>
      </c>
      <c r="E692" s="3">
        <f t="shared" si="26"/>
        <v>1.388888888889106E-3</v>
      </c>
      <c r="F692" s="1" t="s">
        <v>11</v>
      </c>
    </row>
    <row r="693" spans="1:6" x14ac:dyDescent="0.25">
      <c r="A693" s="20">
        <v>42278</v>
      </c>
      <c r="B693" s="3">
        <v>0.94930555555555562</v>
      </c>
      <c r="C693" s="3">
        <v>0.96736111111111101</v>
      </c>
      <c r="D693" s="3">
        <f t="shared" si="24"/>
        <v>1.805555555555538E-2</v>
      </c>
      <c r="E693" s="3">
        <f t="shared" si="26"/>
        <v>6.9444444444477504E-4</v>
      </c>
      <c r="F693" s="1" t="s">
        <v>11</v>
      </c>
    </row>
    <row r="694" spans="1:6" x14ac:dyDescent="0.25">
      <c r="A694" s="20">
        <v>42278</v>
      </c>
      <c r="B694" s="3">
        <v>0.82638888888888884</v>
      </c>
      <c r="C694" s="3">
        <v>0.84513888888888899</v>
      </c>
      <c r="D694" s="3">
        <f t="shared" si="24"/>
        <v>1.8750000000000155E-2</v>
      </c>
      <c r="E694" s="3">
        <f t="shared" si="26"/>
        <v>3.4722222222223209E-3</v>
      </c>
      <c r="F694" s="1" t="s">
        <v>11</v>
      </c>
    </row>
    <row r="695" spans="1:6" x14ac:dyDescent="0.25">
      <c r="A695" s="20">
        <v>42278</v>
      </c>
      <c r="B695" s="3">
        <v>0.95138888888888884</v>
      </c>
      <c r="C695" s="3">
        <v>0.96666666666666667</v>
      </c>
      <c r="D695" s="3">
        <f t="shared" si="24"/>
        <v>1.5277777777777835E-2</v>
      </c>
      <c r="E695" s="3">
        <f t="shared" si="26"/>
        <v>4.8611111111110522E-3</v>
      </c>
      <c r="F695" s="1" t="s">
        <v>11</v>
      </c>
    </row>
    <row r="696" spans="1:6" x14ac:dyDescent="0.25">
      <c r="A696" s="20">
        <v>42278</v>
      </c>
      <c r="B696" s="3">
        <v>9.2361111111111116E-2</v>
      </c>
      <c r="C696" s="3">
        <v>0.1125</v>
      </c>
      <c r="D696" s="3">
        <f t="shared" si="24"/>
        <v>2.0138888888888887E-2</v>
      </c>
      <c r="E696" s="3">
        <f t="shared" si="26"/>
        <v>1.3888888888888701E-3</v>
      </c>
      <c r="F696" s="1" t="s">
        <v>11</v>
      </c>
    </row>
    <row r="697" spans="1:6" x14ac:dyDescent="0.25">
      <c r="A697" s="20">
        <v>42278</v>
      </c>
      <c r="B697" s="3">
        <v>0.33680555555555558</v>
      </c>
      <c r="C697" s="3">
        <v>0.35833333333333334</v>
      </c>
      <c r="D697" s="3">
        <f t="shared" si="24"/>
        <v>2.1527777777777757E-2</v>
      </c>
      <c r="E697" s="3">
        <f t="shared" si="26"/>
        <v>2.7777777777778234E-3</v>
      </c>
      <c r="F697" s="1" t="s">
        <v>11</v>
      </c>
    </row>
    <row r="698" spans="1:6" x14ac:dyDescent="0.25">
      <c r="A698" s="20">
        <v>42278</v>
      </c>
      <c r="B698" s="3">
        <v>0.4597222222222222</v>
      </c>
      <c r="C698" s="3">
        <v>0.48402777777777778</v>
      </c>
      <c r="D698" s="3">
        <f t="shared" si="24"/>
        <v>2.430555555555558E-2</v>
      </c>
      <c r="E698" s="3">
        <f t="shared" si="26"/>
        <v>0</v>
      </c>
      <c r="F698" s="1" t="s">
        <v>11</v>
      </c>
    </row>
    <row r="699" spans="1:6" x14ac:dyDescent="0.25">
      <c r="A699" s="20">
        <v>42278</v>
      </c>
      <c r="B699" s="3">
        <v>0.56041666666666667</v>
      </c>
      <c r="C699" s="3">
        <v>0.58472222222222225</v>
      </c>
      <c r="D699" s="3">
        <f t="shared" si="24"/>
        <v>2.430555555555558E-2</v>
      </c>
      <c r="E699" s="3">
        <f t="shared" si="26"/>
        <v>6.9444444444433095E-4</v>
      </c>
      <c r="F699" s="1" t="s">
        <v>11</v>
      </c>
    </row>
    <row r="700" spans="1:6" x14ac:dyDescent="0.25">
      <c r="A700" s="20">
        <v>42278</v>
      </c>
      <c r="B700" s="3">
        <v>1.0069444444444444</v>
      </c>
      <c r="C700" s="3">
        <v>1.0319444444444443</v>
      </c>
      <c r="D700" s="3">
        <f t="shared" si="24"/>
        <v>2.4999999999999911E-2</v>
      </c>
      <c r="E700" s="3">
        <f t="shared" si="26"/>
        <v>5.5555555555555913E-3</v>
      </c>
      <c r="F700" s="1" t="s">
        <v>11</v>
      </c>
    </row>
    <row r="701" spans="1:6" x14ac:dyDescent="0.25">
      <c r="A701" s="20">
        <v>42278</v>
      </c>
      <c r="B701" s="3">
        <v>0.34583333333333338</v>
      </c>
      <c r="C701" s="3">
        <v>0.37638888888888888</v>
      </c>
      <c r="D701" s="3">
        <f t="shared" si="24"/>
        <v>3.0555555555555503E-2</v>
      </c>
      <c r="E701" s="3">
        <f t="shared" si="26"/>
        <v>6.2500000000000333E-3</v>
      </c>
      <c r="F701" s="1" t="s">
        <v>11</v>
      </c>
    </row>
    <row r="702" spans="1:6" x14ac:dyDescent="0.25">
      <c r="A702" s="20">
        <v>42278</v>
      </c>
      <c r="B702" s="3">
        <v>0.54652777777777783</v>
      </c>
      <c r="C702" s="3">
        <v>0.5708333333333333</v>
      </c>
      <c r="D702" s="3">
        <f t="shared" si="24"/>
        <v>2.4305555555555469E-2</v>
      </c>
      <c r="E702" s="3">
        <f t="shared" si="26"/>
        <v>6.94444444444553E-4</v>
      </c>
      <c r="F702" s="1" t="s">
        <v>11</v>
      </c>
    </row>
    <row r="703" spans="1:6" x14ac:dyDescent="0.25">
      <c r="A703" s="20">
        <v>42278</v>
      </c>
      <c r="B703" s="3">
        <v>0.51041666666666663</v>
      </c>
      <c r="C703" s="3">
        <v>0.53541666666666665</v>
      </c>
      <c r="D703" s="3">
        <f t="shared" si="24"/>
        <v>2.5000000000000022E-2</v>
      </c>
      <c r="E703" s="3">
        <f t="shared" si="26"/>
        <v>8.3333333333334147E-3</v>
      </c>
      <c r="F703" s="1" t="s">
        <v>11</v>
      </c>
    </row>
    <row r="704" spans="1:6" x14ac:dyDescent="0.25">
      <c r="A704" s="20">
        <v>42278</v>
      </c>
      <c r="B704" s="3">
        <v>0.87638888888888899</v>
      </c>
      <c r="C704" s="3">
        <v>0.8930555555555556</v>
      </c>
      <c r="D704" s="3">
        <f t="shared" si="24"/>
        <v>1.6666666666666607E-2</v>
      </c>
      <c r="E704" s="3">
        <f t="shared" si="26"/>
        <v>4.8611111111110938E-3</v>
      </c>
      <c r="F704" s="1" t="s">
        <v>11</v>
      </c>
    </row>
    <row r="705" spans="1:6" x14ac:dyDescent="0.25">
      <c r="A705" s="20">
        <v>42278</v>
      </c>
      <c r="B705" s="3">
        <v>0.64722222222222225</v>
      </c>
      <c r="C705" s="3">
        <v>0.65902777777777777</v>
      </c>
      <c r="D705" s="3">
        <f t="shared" si="24"/>
        <v>1.1805555555555514E-2</v>
      </c>
      <c r="E705" s="3">
        <f t="shared" si="26"/>
        <v>1.6653345369377348E-16</v>
      </c>
      <c r="F705" s="1" t="s">
        <v>11</v>
      </c>
    </row>
    <row r="706" spans="1:6" x14ac:dyDescent="0.25">
      <c r="A706" s="20">
        <v>42278</v>
      </c>
      <c r="B706" s="3">
        <v>0.4993055555555555</v>
      </c>
      <c r="C706" s="3">
        <v>0.51111111111111118</v>
      </c>
      <c r="D706" s="3">
        <f t="shared" si="24"/>
        <v>1.180555555555568E-2</v>
      </c>
      <c r="E706" s="3">
        <f t="shared" si="26"/>
        <v>1.5972222222222054E-2</v>
      </c>
      <c r="F706" s="1" t="s">
        <v>11</v>
      </c>
    </row>
    <row r="707" spans="1:6" x14ac:dyDescent="0.25">
      <c r="A707" s="20">
        <v>42278</v>
      </c>
      <c r="B707" s="3">
        <v>0.43888888888888888</v>
      </c>
      <c r="C707" s="3">
        <v>0.46666666666666662</v>
      </c>
      <c r="D707" s="3">
        <f t="shared" ref="D707:D770" si="27">(C707-B707)</f>
        <v>2.7777777777777735E-2</v>
      </c>
      <c r="E707" s="3">
        <f t="shared" si="26"/>
        <v>5.5555555555554803E-3</v>
      </c>
      <c r="F707" s="1" t="s">
        <v>11</v>
      </c>
    </row>
    <row r="708" spans="1:6" x14ac:dyDescent="0.25">
      <c r="A708" s="20">
        <v>42278</v>
      </c>
      <c r="B708" s="3">
        <v>0.39861111111111108</v>
      </c>
      <c r="C708" s="3">
        <v>0.42083333333333334</v>
      </c>
      <c r="D708" s="3">
        <f t="shared" si="27"/>
        <v>2.2222222222222254E-2</v>
      </c>
      <c r="E708" s="3">
        <f t="shared" si="26"/>
        <v>4.1666666666665964E-3</v>
      </c>
      <c r="F708" s="1" t="s">
        <v>11</v>
      </c>
    </row>
    <row r="709" spans="1:6" x14ac:dyDescent="0.25">
      <c r="A709" s="20">
        <v>42278</v>
      </c>
      <c r="B709" s="3">
        <v>0.47361111111111115</v>
      </c>
      <c r="C709" s="3">
        <v>0.5</v>
      </c>
      <c r="D709" s="3">
        <f t="shared" si="27"/>
        <v>2.6388888888888851E-2</v>
      </c>
      <c r="E709" s="3">
        <f t="shared" si="26"/>
        <v>6.9444444444438647E-4</v>
      </c>
      <c r="F709" s="1" t="s">
        <v>11</v>
      </c>
    </row>
    <row r="710" spans="1:6" x14ac:dyDescent="0.25">
      <c r="A710" s="20">
        <v>42278</v>
      </c>
      <c r="B710" s="3">
        <v>0.85277777777777775</v>
      </c>
      <c r="C710" s="3">
        <v>0.87847222222222221</v>
      </c>
      <c r="D710" s="3">
        <f t="shared" si="27"/>
        <v>2.5694444444444464E-2</v>
      </c>
      <c r="E710" s="3">
        <f t="shared" si="26"/>
        <v>8.3333333333333037E-3</v>
      </c>
      <c r="F710" s="1" t="s">
        <v>11</v>
      </c>
    </row>
    <row r="711" spans="1:6" x14ac:dyDescent="0.25">
      <c r="A711" s="20">
        <v>42278</v>
      </c>
      <c r="B711" s="3">
        <v>0.92222222222222217</v>
      </c>
      <c r="C711" s="3">
        <v>0.93958333333333333</v>
      </c>
      <c r="D711" s="3">
        <f t="shared" si="27"/>
        <v>1.736111111111116E-2</v>
      </c>
      <c r="E711" s="3">
        <f t="shared" ref="E711:E742" si="28">ABS(D711-D712)</f>
        <v>6.2499999999999223E-3</v>
      </c>
      <c r="F711" s="1" t="s">
        <v>11</v>
      </c>
    </row>
    <row r="712" spans="1:6" x14ac:dyDescent="0.25">
      <c r="A712" s="20">
        <v>42278</v>
      </c>
      <c r="B712" s="3">
        <v>0.38680555555555557</v>
      </c>
      <c r="C712" s="3">
        <v>0.41041666666666665</v>
      </c>
      <c r="D712" s="3">
        <f t="shared" si="27"/>
        <v>2.3611111111111083E-2</v>
      </c>
      <c r="E712" s="3">
        <f t="shared" si="28"/>
        <v>1.3888888888889395E-3</v>
      </c>
      <c r="F712" s="1" t="s">
        <v>11</v>
      </c>
    </row>
    <row r="713" spans="1:6" x14ac:dyDescent="0.25">
      <c r="A713" s="20">
        <v>42278</v>
      </c>
      <c r="B713" s="3">
        <v>0.45416666666666666</v>
      </c>
      <c r="C713" s="3">
        <v>0.47916666666666669</v>
      </c>
      <c r="D713" s="3">
        <f t="shared" si="27"/>
        <v>2.5000000000000022E-2</v>
      </c>
      <c r="E713" s="3">
        <f t="shared" si="28"/>
        <v>2.0833333333333259E-3</v>
      </c>
      <c r="F713" s="1" t="s">
        <v>11</v>
      </c>
    </row>
    <row r="714" spans="1:6" x14ac:dyDescent="0.25">
      <c r="A714" s="20">
        <v>42278</v>
      </c>
      <c r="B714" s="3">
        <v>0.4375</v>
      </c>
      <c r="C714" s="3">
        <v>0.46458333333333335</v>
      </c>
      <c r="D714" s="3">
        <f t="shared" si="27"/>
        <v>2.7083333333333348E-2</v>
      </c>
      <c r="E714" s="3">
        <f t="shared" si="28"/>
        <v>2.7777777777778234E-3</v>
      </c>
      <c r="F714" s="1" t="s">
        <v>11</v>
      </c>
    </row>
    <row r="715" spans="1:6" x14ac:dyDescent="0.25">
      <c r="A715" s="20">
        <v>42278</v>
      </c>
      <c r="B715" s="3">
        <v>0.48958333333333331</v>
      </c>
      <c r="C715" s="3">
        <v>0.51944444444444449</v>
      </c>
      <c r="D715" s="3">
        <f t="shared" si="27"/>
        <v>2.9861111111111172E-2</v>
      </c>
      <c r="E715" s="3">
        <f t="shared" si="28"/>
        <v>1.1111111111111127E-2</v>
      </c>
      <c r="F715" s="1" t="s">
        <v>11</v>
      </c>
    </row>
    <row r="716" spans="1:6" x14ac:dyDescent="0.25">
      <c r="A716" s="20">
        <v>42278</v>
      </c>
      <c r="B716" s="3">
        <v>0.59444444444444444</v>
      </c>
      <c r="C716" s="3">
        <v>0.61319444444444449</v>
      </c>
      <c r="D716" s="3">
        <f t="shared" si="27"/>
        <v>1.8750000000000044E-2</v>
      </c>
      <c r="E716" s="3">
        <f t="shared" si="28"/>
        <v>2.0833333333332149E-3</v>
      </c>
      <c r="F716" s="1" t="s">
        <v>11</v>
      </c>
    </row>
    <row r="717" spans="1:6" x14ac:dyDescent="0.25">
      <c r="A717" s="20">
        <v>42278</v>
      </c>
      <c r="B717" s="3">
        <v>0.61041666666666672</v>
      </c>
      <c r="C717" s="3">
        <v>0.63124999999999998</v>
      </c>
      <c r="D717" s="3">
        <f t="shared" si="27"/>
        <v>2.0833333333333259E-2</v>
      </c>
      <c r="E717" s="3">
        <f t="shared" si="28"/>
        <v>6.9444444444433095E-4</v>
      </c>
      <c r="F717" s="1" t="s">
        <v>11</v>
      </c>
    </row>
    <row r="718" spans="1:6" x14ac:dyDescent="0.25">
      <c r="A718" s="20">
        <v>42278</v>
      </c>
      <c r="B718" s="3">
        <v>0.92013888888888884</v>
      </c>
      <c r="C718" s="3">
        <v>0.94027777777777777</v>
      </c>
      <c r="D718" s="3">
        <f t="shared" si="27"/>
        <v>2.0138888888888928E-2</v>
      </c>
      <c r="E718" s="3">
        <f t="shared" si="28"/>
        <v>6.9444444444449749E-4</v>
      </c>
      <c r="F718" s="1" t="s">
        <v>11</v>
      </c>
    </row>
    <row r="719" spans="1:6" x14ac:dyDescent="0.25">
      <c r="A719" s="20">
        <v>42278</v>
      </c>
      <c r="B719" s="3">
        <v>0.37638888888888888</v>
      </c>
      <c r="C719" s="3">
        <v>0.39583333333333331</v>
      </c>
      <c r="D719" s="3">
        <f t="shared" si="27"/>
        <v>1.9444444444444431E-2</v>
      </c>
      <c r="E719" s="3">
        <f t="shared" si="28"/>
        <v>1.3888888888889395E-3</v>
      </c>
      <c r="F719" s="1" t="s">
        <v>11</v>
      </c>
    </row>
    <row r="720" spans="1:6" x14ac:dyDescent="0.25">
      <c r="A720" s="20">
        <v>42278</v>
      </c>
      <c r="B720" s="3">
        <v>0.70763888888888893</v>
      </c>
      <c r="C720" s="3">
        <v>0.7284722222222223</v>
      </c>
      <c r="D720" s="3">
        <f t="shared" si="27"/>
        <v>2.083333333333337E-2</v>
      </c>
      <c r="E720" s="3">
        <f t="shared" si="28"/>
        <v>6.9444444444444198E-4</v>
      </c>
      <c r="F720" s="1" t="s">
        <v>11</v>
      </c>
    </row>
    <row r="721" spans="1:6" x14ac:dyDescent="0.25">
      <c r="A721" s="20">
        <v>42278</v>
      </c>
      <c r="B721" s="3">
        <v>0.74236111111111114</v>
      </c>
      <c r="C721" s="3">
        <v>0.76250000000000007</v>
      </c>
      <c r="D721" s="3">
        <f t="shared" si="27"/>
        <v>2.0138888888888928E-2</v>
      </c>
      <c r="E721" s="3">
        <f t="shared" si="28"/>
        <v>6.2499999999999778E-3</v>
      </c>
      <c r="F721" s="1" t="s">
        <v>11</v>
      </c>
    </row>
    <row r="722" spans="1:6" x14ac:dyDescent="0.25">
      <c r="A722" s="20">
        <v>42278</v>
      </c>
      <c r="B722" s="3">
        <v>0.74722222222222223</v>
      </c>
      <c r="C722" s="3">
        <v>0.77361111111111114</v>
      </c>
      <c r="D722" s="3">
        <f t="shared" si="27"/>
        <v>2.6388888888888906E-2</v>
      </c>
      <c r="E722" s="3">
        <f t="shared" si="28"/>
        <v>9.7222222222222987E-3</v>
      </c>
      <c r="F722" s="1" t="s">
        <v>11</v>
      </c>
    </row>
    <row r="723" spans="1:6" x14ac:dyDescent="0.25">
      <c r="A723" s="20">
        <v>42278</v>
      </c>
      <c r="B723" s="3">
        <v>0.87777777777777777</v>
      </c>
      <c r="C723" s="3">
        <v>0.89444444444444438</v>
      </c>
      <c r="D723" s="3">
        <f t="shared" si="27"/>
        <v>1.6666666666666607E-2</v>
      </c>
      <c r="E723" s="3">
        <f t="shared" si="28"/>
        <v>8.3333333333333037E-3</v>
      </c>
      <c r="F723" s="1" t="s">
        <v>11</v>
      </c>
    </row>
    <row r="724" spans="1:6" x14ac:dyDescent="0.25">
      <c r="A724" s="20">
        <v>42278</v>
      </c>
      <c r="B724" s="3">
        <v>0.95833333333333337</v>
      </c>
      <c r="C724" s="3">
        <v>0.96666666666666667</v>
      </c>
      <c r="D724" s="3">
        <f t="shared" si="27"/>
        <v>8.3333333333333037E-3</v>
      </c>
      <c r="E724" s="3">
        <f t="shared" si="28"/>
        <v>1.5972222222222245E-2</v>
      </c>
      <c r="F724" s="1" t="s">
        <v>11</v>
      </c>
    </row>
    <row r="725" spans="1:6" x14ac:dyDescent="0.25">
      <c r="A725" s="20">
        <v>42278</v>
      </c>
      <c r="B725" s="3">
        <v>1.8055555555555557E-2</v>
      </c>
      <c r="C725" s="3">
        <v>4.2361111111111106E-2</v>
      </c>
      <c r="D725" s="3">
        <f t="shared" si="27"/>
        <v>2.4305555555555549E-2</v>
      </c>
      <c r="E725" s="3">
        <f t="shared" si="28"/>
        <v>1.3888888888889152E-3</v>
      </c>
      <c r="F725" s="1" t="s">
        <v>11</v>
      </c>
    </row>
    <row r="726" spans="1:6" x14ac:dyDescent="0.25">
      <c r="A726" s="20">
        <v>42278</v>
      </c>
      <c r="B726" s="3">
        <v>0.26944444444444443</v>
      </c>
      <c r="C726" s="3">
        <v>0.2951388888888889</v>
      </c>
      <c r="D726" s="3">
        <f t="shared" si="27"/>
        <v>2.5694444444444464E-2</v>
      </c>
      <c r="E726" s="3">
        <f t="shared" si="28"/>
        <v>4.8611111111111494E-3</v>
      </c>
      <c r="F726" s="1" t="s">
        <v>11</v>
      </c>
    </row>
    <row r="727" spans="1:6" x14ac:dyDescent="0.25">
      <c r="A727" s="20">
        <v>42278</v>
      </c>
      <c r="B727" s="3">
        <v>0.3298611111111111</v>
      </c>
      <c r="C727" s="3">
        <v>0.35069444444444442</v>
      </c>
      <c r="D727" s="3">
        <f t="shared" si="27"/>
        <v>2.0833333333333315E-2</v>
      </c>
      <c r="E727" s="3">
        <f t="shared" si="28"/>
        <v>6.9444444444438647E-4</v>
      </c>
      <c r="F727" s="1" t="s">
        <v>11</v>
      </c>
    </row>
    <row r="728" spans="1:6" x14ac:dyDescent="0.25">
      <c r="A728" s="20">
        <v>42278</v>
      </c>
      <c r="B728" s="3">
        <v>0.4465277777777778</v>
      </c>
      <c r="C728" s="3">
        <v>0.4680555555555555</v>
      </c>
      <c r="D728" s="3">
        <f t="shared" si="27"/>
        <v>2.1527777777777701E-2</v>
      </c>
      <c r="E728" s="3">
        <f t="shared" si="28"/>
        <v>2.5694444444444575E-2</v>
      </c>
      <c r="F728" s="1" t="s">
        <v>11</v>
      </c>
    </row>
    <row r="729" spans="1:6" x14ac:dyDescent="0.25">
      <c r="A729" s="20">
        <v>42278</v>
      </c>
      <c r="B729" s="3">
        <v>0.44305555555555554</v>
      </c>
      <c r="C729" s="3">
        <v>0.49027777777777781</v>
      </c>
      <c r="D729" s="3">
        <f t="shared" si="27"/>
        <v>4.7222222222222276E-2</v>
      </c>
      <c r="E729" s="3">
        <f t="shared" si="28"/>
        <v>2.430555555555558E-2</v>
      </c>
      <c r="F729" s="1" t="s">
        <v>11</v>
      </c>
    </row>
    <row r="730" spans="1:6" x14ac:dyDescent="0.25">
      <c r="A730" s="20">
        <v>42278</v>
      </c>
      <c r="B730" s="3">
        <v>0.66527777777777775</v>
      </c>
      <c r="C730" s="3">
        <v>0.68819444444444444</v>
      </c>
      <c r="D730" s="3">
        <f t="shared" si="27"/>
        <v>2.2916666666666696E-2</v>
      </c>
      <c r="E730" s="3">
        <f t="shared" si="28"/>
        <v>3.4722222222223209E-3</v>
      </c>
      <c r="F730" s="1" t="s">
        <v>11</v>
      </c>
    </row>
    <row r="731" spans="1:6" x14ac:dyDescent="0.25">
      <c r="A731" s="20">
        <v>42278</v>
      </c>
      <c r="B731" s="3">
        <v>0.93680555555555556</v>
      </c>
      <c r="C731" s="3">
        <v>0.95624999999999993</v>
      </c>
      <c r="D731" s="3">
        <f t="shared" si="27"/>
        <v>1.9444444444444375E-2</v>
      </c>
      <c r="E731" s="3">
        <f t="shared" si="28"/>
        <v>0</v>
      </c>
      <c r="F731" s="1" t="s">
        <v>11</v>
      </c>
    </row>
    <row r="732" spans="1:6" x14ac:dyDescent="0.25">
      <c r="A732" s="20">
        <v>42278</v>
      </c>
      <c r="B732" s="3">
        <v>0.96597222222222223</v>
      </c>
      <c r="C732" s="3">
        <v>0.98541666666666661</v>
      </c>
      <c r="D732" s="3">
        <f t="shared" si="27"/>
        <v>1.9444444444444375E-2</v>
      </c>
      <c r="E732" s="3">
        <f t="shared" si="28"/>
        <v>8.3333333333334043E-3</v>
      </c>
      <c r="F732" s="1" t="s">
        <v>11</v>
      </c>
    </row>
    <row r="733" spans="1:6" x14ac:dyDescent="0.25">
      <c r="A733" s="20">
        <v>42278</v>
      </c>
      <c r="B733" s="3">
        <v>2.6388888888888889E-2</v>
      </c>
      <c r="C733" s="3">
        <v>5.4166666666666669E-2</v>
      </c>
      <c r="D733" s="3">
        <f t="shared" si="27"/>
        <v>2.777777777777778E-2</v>
      </c>
      <c r="E733" s="3">
        <f t="shared" si="28"/>
        <v>2.7777777777777853E-3</v>
      </c>
      <c r="F733" s="1" t="s">
        <v>11</v>
      </c>
    </row>
    <row r="734" spans="1:6" x14ac:dyDescent="0.25">
      <c r="A734" s="20">
        <v>42278</v>
      </c>
      <c r="B734" s="3">
        <v>0.21597222222222223</v>
      </c>
      <c r="C734" s="3">
        <v>0.24097222222222223</v>
      </c>
      <c r="D734" s="3">
        <f t="shared" si="27"/>
        <v>2.4999999999999994E-2</v>
      </c>
      <c r="E734" s="3">
        <f t="shared" si="28"/>
        <v>4.8611111111110661E-3</v>
      </c>
      <c r="F734" s="1" t="s">
        <v>11</v>
      </c>
    </row>
    <row r="735" spans="1:6" x14ac:dyDescent="0.25">
      <c r="A735" s="20">
        <v>42278</v>
      </c>
      <c r="B735" s="3">
        <v>0.37291666666666662</v>
      </c>
      <c r="C735" s="3">
        <v>0.39305555555555555</v>
      </c>
      <c r="D735" s="3">
        <f t="shared" si="27"/>
        <v>2.0138888888888928E-2</v>
      </c>
      <c r="E735" s="3">
        <f t="shared" si="28"/>
        <v>2.0833333333333259E-3</v>
      </c>
      <c r="F735" s="1" t="s">
        <v>11</v>
      </c>
    </row>
    <row r="736" spans="1:6" x14ac:dyDescent="0.25">
      <c r="A736" s="20">
        <v>42278</v>
      </c>
      <c r="B736" s="3">
        <v>0.82361111111111107</v>
      </c>
      <c r="C736" s="3">
        <v>0.84583333333333333</v>
      </c>
      <c r="D736" s="3">
        <f t="shared" si="27"/>
        <v>2.2222222222222254E-2</v>
      </c>
      <c r="E736" s="3">
        <f t="shared" si="28"/>
        <v>2.0833333333333287E-2</v>
      </c>
      <c r="F736" s="1" t="s">
        <v>11</v>
      </c>
    </row>
    <row r="737" spans="1:6" x14ac:dyDescent="0.25">
      <c r="A737" s="20">
        <v>42278</v>
      </c>
      <c r="B737" s="3">
        <v>7.2916666666666671E-2</v>
      </c>
      <c r="C737" s="3">
        <v>0.11597222222222221</v>
      </c>
      <c r="D737" s="3">
        <f t="shared" si="27"/>
        <v>4.3055555555555541E-2</v>
      </c>
      <c r="E737" s="3">
        <f t="shared" si="28"/>
        <v>2.9166666666666653E-2</v>
      </c>
      <c r="F737" s="1" t="s">
        <v>11</v>
      </c>
    </row>
    <row r="738" spans="1:6" x14ac:dyDescent="0.25">
      <c r="A738" s="20">
        <v>42278</v>
      </c>
      <c r="B738" s="3">
        <v>4.8611111111111112E-3</v>
      </c>
      <c r="C738" s="3">
        <v>1.8749999999999999E-2</v>
      </c>
      <c r="D738" s="3">
        <f t="shared" si="27"/>
        <v>1.3888888888888888E-2</v>
      </c>
      <c r="E738" s="3">
        <f t="shared" si="28"/>
        <v>5.5555555555555428E-3</v>
      </c>
      <c r="F738" s="1" t="s">
        <v>11</v>
      </c>
    </row>
    <row r="739" spans="1:6" x14ac:dyDescent="0.25">
      <c r="A739" s="20">
        <v>42278</v>
      </c>
      <c r="B739" s="3">
        <v>0.29583333333333334</v>
      </c>
      <c r="C739" s="3">
        <v>0.31527777777777777</v>
      </c>
      <c r="D739" s="3">
        <f t="shared" si="27"/>
        <v>1.9444444444444431E-2</v>
      </c>
      <c r="E739" s="3">
        <f t="shared" si="28"/>
        <v>6.9444444444438647E-4</v>
      </c>
      <c r="F739" s="1" t="s">
        <v>11</v>
      </c>
    </row>
    <row r="740" spans="1:6" x14ac:dyDescent="0.25">
      <c r="A740" s="20">
        <v>42278</v>
      </c>
      <c r="B740" s="3">
        <v>0.47083333333333338</v>
      </c>
      <c r="C740" s="3">
        <v>0.4909722222222222</v>
      </c>
      <c r="D740" s="3">
        <f t="shared" si="27"/>
        <v>2.0138888888888817E-2</v>
      </c>
      <c r="E740" s="3">
        <f t="shared" si="28"/>
        <v>0</v>
      </c>
      <c r="F740" s="1" t="s">
        <v>11</v>
      </c>
    </row>
    <row r="741" spans="1:6" x14ac:dyDescent="0.25">
      <c r="A741" s="20">
        <v>42278</v>
      </c>
      <c r="B741" s="3">
        <v>0.52569444444444446</v>
      </c>
      <c r="C741" s="3">
        <v>0.54583333333333328</v>
      </c>
      <c r="D741" s="3">
        <f t="shared" si="27"/>
        <v>2.0138888888888817E-2</v>
      </c>
      <c r="E741" s="3">
        <f t="shared" si="28"/>
        <v>9.0277777777779677E-3</v>
      </c>
      <c r="F741" s="1" t="s">
        <v>11</v>
      </c>
    </row>
    <row r="742" spans="1:6" x14ac:dyDescent="0.25">
      <c r="A742" s="20">
        <v>42278</v>
      </c>
      <c r="B742" s="3">
        <v>0.85277777777777775</v>
      </c>
      <c r="C742" s="3">
        <v>0.88194444444444453</v>
      </c>
      <c r="D742" s="3">
        <f t="shared" si="27"/>
        <v>2.9166666666666785E-2</v>
      </c>
      <c r="E742" s="3">
        <f t="shared" si="28"/>
        <v>1.0416666666666852E-2</v>
      </c>
      <c r="F742" s="1" t="s">
        <v>11</v>
      </c>
    </row>
    <row r="743" spans="1:6" x14ac:dyDescent="0.25">
      <c r="A743" s="20">
        <v>42278</v>
      </c>
      <c r="B743" s="3">
        <v>0.93541666666666667</v>
      </c>
      <c r="C743" s="3">
        <v>0.95416666666666661</v>
      </c>
      <c r="D743" s="3">
        <f t="shared" si="27"/>
        <v>1.8749999999999933E-2</v>
      </c>
      <c r="E743" s="3">
        <f t="shared" ref="E743:E774" si="29">ABS(D743-D744)</f>
        <v>3.4722222222221544E-3</v>
      </c>
      <c r="F743" s="1" t="s">
        <v>11</v>
      </c>
    </row>
    <row r="744" spans="1:6" x14ac:dyDescent="0.25">
      <c r="A744" s="20">
        <v>42278</v>
      </c>
      <c r="B744" s="3">
        <v>0.37777777777777777</v>
      </c>
      <c r="C744" s="3">
        <v>0.39305555555555555</v>
      </c>
      <c r="D744" s="3">
        <f t="shared" si="27"/>
        <v>1.5277777777777779E-2</v>
      </c>
      <c r="E744" s="3">
        <f t="shared" si="29"/>
        <v>4.1666666666668184E-3</v>
      </c>
      <c r="F744" s="1" t="s">
        <v>11</v>
      </c>
    </row>
    <row r="745" spans="1:6" x14ac:dyDescent="0.25">
      <c r="A745" s="20">
        <v>42278</v>
      </c>
      <c r="B745" s="3">
        <v>0.96458333333333324</v>
      </c>
      <c r="C745" s="3">
        <v>0.98402777777777783</v>
      </c>
      <c r="D745" s="3">
        <f t="shared" si="27"/>
        <v>1.9444444444444597E-2</v>
      </c>
      <c r="E745" s="3">
        <f t="shared" si="29"/>
        <v>6.2499999999998668E-3</v>
      </c>
      <c r="F745" s="1" t="s">
        <v>11</v>
      </c>
    </row>
    <row r="746" spans="1:6" x14ac:dyDescent="0.25">
      <c r="A746" s="20">
        <v>42278</v>
      </c>
      <c r="B746" s="3">
        <v>0.4284722222222222</v>
      </c>
      <c r="C746" s="3">
        <v>0.45416666666666666</v>
      </c>
      <c r="D746" s="3">
        <f t="shared" si="27"/>
        <v>2.5694444444444464E-2</v>
      </c>
      <c r="E746" s="3">
        <f t="shared" si="29"/>
        <v>1.388888888888884E-3</v>
      </c>
      <c r="F746" s="1" t="s">
        <v>11</v>
      </c>
    </row>
    <row r="747" spans="1:6" x14ac:dyDescent="0.25">
      <c r="A747" s="20">
        <v>42278</v>
      </c>
      <c r="B747" s="3">
        <v>0.50208333333333333</v>
      </c>
      <c r="C747" s="3">
        <v>0.52638888888888891</v>
      </c>
      <c r="D747" s="3">
        <f t="shared" si="27"/>
        <v>2.430555555555558E-2</v>
      </c>
      <c r="E747" s="3">
        <f t="shared" si="29"/>
        <v>5.5555555555555358E-3</v>
      </c>
      <c r="F747" s="1" t="s">
        <v>11</v>
      </c>
    </row>
    <row r="748" spans="1:6" x14ac:dyDescent="0.25">
      <c r="A748" s="20">
        <v>42278</v>
      </c>
      <c r="B748" s="3">
        <v>0.53402777777777777</v>
      </c>
      <c r="C748" s="3">
        <v>0.56388888888888888</v>
      </c>
      <c r="D748" s="3">
        <f t="shared" si="27"/>
        <v>2.9861111111111116E-2</v>
      </c>
      <c r="E748" s="3">
        <f t="shared" si="29"/>
        <v>1.388888888888884E-3</v>
      </c>
      <c r="F748" s="1" t="s">
        <v>11</v>
      </c>
    </row>
    <row r="749" spans="1:6" x14ac:dyDescent="0.25">
      <c r="A749" s="20">
        <v>42278</v>
      </c>
      <c r="B749" s="3">
        <v>0.53263888888888888</v>
      </c>
      <c r="C749" s="3">
        <v>0.56388888888888888</v>
      </c>
      <c r="D749" s="3">
        <f t="shared" si="27"/>
        <v>3.125E-2</v>
      </c>
      <c r="E749" s="3">
        <f t="shared" si="29"/>
        <v>1.1111111111111072E-2</v>
      </c>
      <c r="F749" s="1" t="s">
        <v>11</v>
      </c>
    </row>
    <row r="750" spans="1:6" x14ac:dyDescent="0.25">
      <c r="A750" s="20">
        <v>42278</v>
      </c>
      <c r="B750" s="3">
        <v>0.72986111111111107</v>
      </c>
      <c r="C750" s="3">
        <v>0.75</v>
      </c>
      <c r="D750" s="3">
        <f t="shared" si="27"/>
        <v>2.0138888888888928E-2</v>
      </c>
      <c r="E750" s="3">
        <f t="shared" si="29"/>
        <v>1.6666666666666607E-2</v>
      </c>
      <c r="F750" s="1" t="s">
        <v>11</v>
      </c>
    </row>
    <row r="751" spans="1:6" x14ac:dyDescent="0.25">
      <c r="A751" s="20">
        <v>42278</v>
      </c>
      <c r="B751" s="3">
        <v>0.58194444444444449</v>
      </c>
      <c r="C751" s="3">
        <v>0.61875000000000002</v>
      </c>
      <c r="D751" s="3">
        <f t="shared" si="27"/>
        <v>3.6805555555555536E-2</v>
      </c>
      <c r="E751" s="3">
        <f t="shared" si="29"/>
        <v>8.3333333333333037E-3</v>
      </c>
      <c r="F751" s="1" t="s">
        <v>11</v>
      </c>
    </row>
    <row r="752" spans="1:6" x14ac:dyDescent="0.25">
      <c r="A752" s="20">
        <v>42278</v>
      </c>
      <c r="B752" s="3">
        <v>0.70277777777777783</v>
      </c>
      <c r="C752" s="3">
        <v>0.73125000000000007</v>
      </c>
      <c r="D752" s="3">
        <f t="shared" si="27"/>
        <v>2.8472222222222232E-2</v>
      </c>
      <c r="E752" s="3">
        <f t="shared" si="29"/>
        <v>7.6388888888888618E-3</v>
      </c>
      <c r="F752" s="1" t="s">
        <v>11</v>
      </c>
    </row>
    <row r="753" spans="1:6" x14ac:dyDescent="0.25">
      <c r="A753" s="20">
        <v>42278</v>
      </c>
      <c r="B753" s="3">
        <v>0.81111111111111101</v>
      </c>
      <c r="C753" s="3">
        <v>0.83194444444444438</v>
      </c>
      <c r="D753" s="3">
        <f t="shared" si="27"/>
        <v>2.083333333333337E-2</v>
      </c>
      <c r="E753" s="3">
        <f t="shared" si="29"/>
        <v>2.0833333333332149E-3</v>
      </c>
      <c r="F753" s="1" t="s">
        <v>11</v>
      </c>
    </row>
    <row r="754" spans="1:6" x14ac:dyDescent="0.25">
      <c r="A754" s="20">
        <v>42278</v>
      </c>
      <c r="B754" s="3">
        <v>0.85833333333333339</v>
      </c>
      <c r="C754" s="3">
        <v>0.88124999999999998</v>
      </c>
      <c r="D754" s="3">
        <f t="shared" si="27"/>
        <v>2.2916666666666585E-2</v>
      </c>
      <c r="E754" s="3">
        <f t="shared" si="29"/>
        <v>6.9444444444466402E-4</v>
      </c>
      <c r="F754" s="1" t="s">
        <v>11</v>
      </c>
    </row>
    <row r="755" spans="1:6" x14ac:dyDescent="0.25">
      <c r="A755" s="20">
        <v>42278</v>
      </c>
      <c r="B755" s="3">
        <v>0.86319444444444438</v>
      </c>
      <c r="C755" s="3">
        <v>0.88680555555555562</v>
      </c>
      <c r="D755" s="3">
        <f t="shared" si="27"/>
        <v>2.3611111111111249E-2</v>
      </c>
      <c r="E755" s="3">
        <f t="shared" si="29"/>
        <v>4.1666666666664853E-3</v>
      </c>
      <c r="F755" s="1" t="s">
        <v>11</v>
      </c>
    </row>
    <row r="756" spans="1:6" x14ac:dyDescent="0.25">
      <c r="A756" s="20">
        <v>42278</v>
      </c>
      <c r="B756" s="3">
        <v>0.34583333333333338</v>
      </c>
      <c r="C756" s="3">
        <v>0.37361111111111112</v>
      </c>
      <c r="D756" s="3">
        <f t="shared" si="27"/>
        <v>2.7777777777777735E-2</v>
      </c>
      <c r="E756" s="3">
        <f t="shared" si="29"/>
        <v>2.0833333333332704E-3</v>
      </c>
      <c r="F756" s="1" t="s">
        <v>11</v>
      </c>
    </row>
    <row r="757" spans="1:6" x14ac:dyDescent="0.25">
      <c r="A757" s="20">
        <v>42278</v>
      </c>
      <c r="B757" s="3">
        <v>0.40277777777777773</v>
      </c>
      <c r="C757" s="3">
        <v>0.4284722222222222</v>
      </c>
      <c r="D757" s="3">
        <f t="shared" si="27"/>
        <v>2.5694444444444464E-2</v>
      </c>
      <c r="E757" s="3">
        <f t="shared" si="29"/>
        <v>6.9444444444444198E-4</v>
      </c>
      <c r="F757" s="1" t="s">
        <v>11</v>
      </c>
    </row>
    <row r="758" spans="1:6" x14ac:dyDescent="0.25">
      <c r="A758" s="20">
        <v>42278</v>
      </c>
      <c r="B758" s="3">
        <v>0.56388888888888888</v>
      </c>
      <c r="C758" s="3">
        <v>0.59027777777777779</v>
      </c>
      <c r="D758" s="3">
        <f t="shared" si="27"/>
        <v>2.6388888888888906E-2</v>
      </c>
      <c r="E758" s="3">
        <f t="shared" si="29"/>
        <v>2.7777777777778789E-3</v>
      </c>
      <c r="F758" s="1" t="s">
        <v>11</v>
      </c>
    </row>
    <row r="759" spans="1:6" x14ac:dyDescent="0.25">
      <c r="A759" s="20">
        <v>42278</v>
      </c>
      <c r="B759" s="3">
        <v>0.6430555555555556</v>
      </c>
      <c r="C759" s="3">
        <v>0.66666666666666663</v>
      </c>
      <c r="D759" s="3">
        <f t="shared" si="27"/>
        <v>2.3611111111111027E-2</v>
      </c>
      <c r="E759" s="3">
        <f t="shared" si="29"/>
        <v>3.4722222222224319E-3</v>
      </c>
      <c r="F759" s="1" t="s">
        <v>11</v>
      </c>
    </row>
    <row r="760" spans="1:6" x14ac:dyDescent="0.25">
      <c r="A760" s="20">
        <v>42278</v>
      </c>
      <c r="B760" s="3">
        <v>0.73263888888888884</v>
      </c>
      <c r="C760" s="3">
        <v>0.7597222222222223</v>
      </c>
      <c r="D760" s="3">
        <f t="shared" si="27"/>
        <v>2.7083333333333459E-2</v>
      </c>
      <c r="E760" s="3">
        <f t="shared" si="29"/>
        <v>5.5555555555557579E-3</v>
      </c>
      <c r="F760" s="1" t="s">
        <v>11</v>
      </c>
    </row>
    <row r="761" spans="1:6" x14ac:dyDescent="0.25">
      <c r="A761" s="20">
        <v>42278</v>
      </c>
      <c r="B761" s="3">
        <v>0.90763888888888899</v>
      </c>
      <c r="C761" s="3">
        <v>0.9291666666666667</v>
      </c>
      <c r="D761" s="3">
        <f t="shared" si="27"/>
        <v>2.1527777777777701E-2</v>
      </c>
      <c r="E761" s="3">
        <f t="shared" si="29"/>
        <v>2.7777777777777679E-3</v>
      </c>
      <c r="F761" s="1" t="s">
        <v>11</v>
      </c>
    </row>
    <row r="762" spans="1:6" x14ac:dyDescent="0.25">
      <c r="A762" s="20">
        <v>42278</v>
      </c>
      <c r="B762" s="3">
        <v>0.93819444444444444</v>
      </c>
      <c r="C762" s="3">
        <v>0.95694444444444438</v>
      </c>
      <c r="D762" s="3">
        <f t="shared" si="27"/>
        <v>1.8749999999999933E-2</v>
      </c>
      <c r="E762" s="3">
        <f t="shared" si="29"/>
        <v>6.9444444444444198E-4</v>
      </c>
      <c r="F762" s="1" t="s">
        <v>11</v>
      </c>
    </row>
    <row r="763" spans="1:6" x14ac:dyDescent="0.25">
      <c r="A763" s="20">
        <v>42278</v>
      </c>
      <c r="B763" s="3">
        <v>0.4381944444444445</v>
      </c>
      <c r="C763" s="3">
        <v>0.45624999999999999</v>
      </c>
      <c r="D763" s="3">
        <f t="shared" si="27"/>
        <v>1.8055555555555491E-2</v>
      </c>
      <c r="E763" s="3">
        <f t="shared" si="29"/>
        <v>8.3333333333333037E-3</v>
      </c>
      <c r="F763" s="1" t="s">
        <v>11</v>
      </c>
    </row>
    <row r="764" spans="1:6" x14ac:dyDescent="0.25">
      <c r="A764" s="20">
        <v>42278</v>
      </c>
      <c r="B764" s="3">
        <v>0.51388888888888895</v>
      </c>
      <c r="C764" s="3">
        <v>0.54027777777777775</v>
      </c>
      <c r="D764" s="3">
        <f t="shared" si="27"/>
        <v>2.6388888888888795E-2</v>
      </c>
      <c r="E764" s="3">
        <f t="shared" si="29"/>
        <v>6.9444444444444198E-4</v>
      </c>
      <c r="F764" s="1" t="s">
        <v>11</v>
      </c>
    </row>
    <row r="765" spans="1:6" x14ac:dyDescent="0.25">
      <c r="A765" s="20">
        <v>42278</v>
      </c>
      <c r="B765" s="3">
        <v>0.51388888888888895</v>
      </c>
      <c r="C765" s="3">
        <v>0.5395833333333333</v>
      </c>
      <c r="D765" s="3">
        <f t="shared" si="27"/>
        <v>2.5694444444444353E-2</v>
      </c>
      <c r="E765" s="3">
        <f t="shared" si="29"/>
        <v>8.3333333333333037E-3</v>
      </c>
      <c r="F765" s="1" t="s">
        <v>11</v>
      </c>
    </row>
    <row r="766" spans="1:6" x14ac:dyDescent="0.25">
      <c r="A766" s="20">
        <v>42278</v>
      </c>
      <c r="B766" s="3">
        <v>0.59652777777777777</v>
      </c>
      <c r="C766" s="3">
        <v>0.61388888888888882</v>
      </c>
      <c r="D766" s="3">
        <f t="shared" si="27"/>
        <v>1.7361111111111049E-2</v>
      </c>
      <c r="E766" s="3">
        <f t="shared" si="29"/>
        <v>5.5555555555555358E-3</v>
      </c>
      <c r="F766" s="1" t="s">
        <v>11</v>
      </c>
    </row>
    <row r="767" spans="1:6" x14ac:dyDescent="0.25">
      <c r="A767" s="20">
        <v>42278</v>
      </c>
      <c r="B767" s="3">
        <v>0.55208333333333337</v>
      </c>
      <c r="C767" s="3">
        <v>0.56388888888888888</v>
      </c>
      <c r="D767" s="3">
        <f t="shared" si="27"/>
        <v>1.1805555555555514E-2</v>
      </c>
      <c r="E767" s="3">
        <f t="shared" si="29"/>
        <v>7.6388888888890838E-3</v>
      </c>
      <c r="F767" s="1" t="s">
        <v>11</v>
      </c>
    </row>
    <row r="768" spans="1:6" x14ac:dyDescent="0.25">
      <c r="A768" s="20">
        <v>42278</v>
      </c>
      <c r="B768" s="3">
        <v>0.7090277777777777</v>
      </c>
      <c r="C768" s="3">
        <v>0.7284722222222223</v>
      </c>
      <c r="D768" s="3">
        <f t="shared" si="27"/>
        <v>1.9444444444444597E-2</v>
      </c>
      <c r="E768" s="3">
        <f t="shared" si="29"/>
        <v>2.083333333333659E-3</v>
      </c>
      <c r="F768" s="1" t="s">
        <v>11</v>
      </c>
    </row>
    <row r="769" spans="1:6" x14ac:dyDescent="0.25">
      <c r="A769" s="20">
        <v>42278</v>
      </c>
      <c r="B769" s="3">
        <v>0.97291666666666676</v>
      </c>
      <c r="C769" s="3">
        <v>0.9902777777777777</v>
      </c>
      <c r="D769" s="3">
        <f t="shared" si="27"/>
        <v>1.7361111111110938E-2</v>
      </c>
      <c r="E769" s="3">
        <f t="shared" si="29"/>
        <v>1.6653345369377348E-16</v>
      </c>
      <c r="F769" s="1" t="s">
        <v>11</v>
      </c>
    </row>
    <row r="770" spans="1:6" x14ac:dyDescent="0.25">
      <c r="A770" s="20">
        <v>42278</v>
      </c>
      <c r="B770" s="3">
        <v>0.28680555555555554</v>
      </c>
      <c r="C770" s="3">
        <v>0.30416666666666664</v>
      </c>
      <c r="D770" s="3">
        <f t="shared" si="27"/>
        <v>1.7361111111111105E-2</v>
      </c>
      <c r="E770" s="3">
        <f t="shared" si="29"/>
        <v>3.4722222222222654E-3</v>
      </c>
      <c r="F770" s="1" t="s">
        <v>11</v>
      </c>
    </row>
    <row r="771" spans="1:6" x14ac:dyDescent="0.25">
      <c r="A771" s="20">
        <v>42278</v>
      </c>
      <c r="B771" s="3">
        <v>0.95138888888888884</v>
      </c>
      <c r="C771" s="3">
        <v>0.97222222222222221</v>
      </c>
      <c r="D771" s="3">
        <f t="shared" ref="D771:D781" si="30">(C771-B771)</f>
        <v>2.083333333333337E-2</v>
      </c>
      <c r="E771" s="3">
        <f t="shared" si="29"/>
        <v>2.083333333333437E-3</v>
      </c>
      <c r="F771" s="1" t="s">
        <v>11</v>
      </c>
    </row>
    <row r="772" spans="1:6" x14ac:dyDescent="0.25">
      <c r="A772" s="20">
        <v>42278</v>
      </c>
      <c r="B772" s="3">
        <v>0.99305555555555547</v>
      </c>
      <c r="C772" s="3">
        <v>1.0159722222222223</v>
      </c>
      <c r="D772" s="3">
        <f t="shared" si="30"/>
        <v>2.2916666666666807E-2</v>
      </c>
      <c r="E772" s="3">
        <f t="shared" si="29"/>
        <v>4.8611111111112465E-3</v>
      </c>
      <c r="F772" s="1" t="s">
        <v>11</v>
      </c>
    </row>
    <row r="773" spans="1:6" x14ac:dyDescent="0.25">
      <c r="A773" s="20">
        <v>42278</v>
      </c>
      <c r="B773" s="3">
        <v>9.6527777777777768E-2</v>
      </c>
      <c r="C773" s="3">
        <v>0.11458333333333333</v>
      </c>
      <c r="D773" s="3">
        <f t="shared" si="30"/>
        <v>1.8055555555555561E-2</v>
      </c>
      <c r="E773" s="3">
        <f t="shared" si="29"/>
        <v>3.4722222222222515E-3</v>
      </c>
      <c r="F773" s="1" t="s">
        <v>11</v>
      </c>
    </row>
    <row r="774" spans="1:6" x14ac:dyDescent="0.25">
      <c r="A774" s="20">
        <v>42278</v>
      </c>
      <c r="B774" s="3">
        <v>0.3125</v>
      </c>
      <c r="C774" s="3">
        <v>0.33402777777777781</v>
      </c>
      <c r="D774" s="3">
        <f t="shared" si="30"/>
        <v>2.1527777777777812E-2</v>
      </c>
      <c r="E774" s="3">
        <f t="shared" si="29"/>
        <v>2.7777777777777679E-3</v>
      </c>
      <c r="F774" s="1" t="s">
        <v>11</v>
      </c>
    </row>
    <row r="775" spans="1:6" x14ac:dyDescent="0.25">
      <c r="A775" s="20">
        <v>42278</v>
      </c>
      <c r="B775" s="3">
        <v>0.58611111111111114</v>
      </c>
      <c r="C775" s="3">
        <v>0.61041666666666672</v>
      </c>
      <c r="D775" s="3">
        <f t="shared" si="30"/>
        <v>2.430555555555558E-2</v>
      </c>
      <c r="E775" s="3">
        <f t="shared" ref="E775:E780" si="31">ABS(D775-D776)</f>
        <v>3.4722222222223209E-3</v>
      </c>
      <c r="F775" s="1" t="s">
        <v>11</v>
      </c>
    </row>
    <row r="776" spans="1:6" x14ac:dyDescent="0.25">
      <c r="A776" s="20">
        <v>42278</v>
      </c>
      <c r="B776" s="3">
        <v>0.65972222222222221</v>
      </c>
      <c r="C776" s="3">
        <v>0.68055555555555547</v>
      </c>
      <c r="D776" s="3">
        <f t="shared" si="30"/>
        <v>2.0833333333333259E-2</v>
      </c>
      <c r="E776" s="3">
        <f t="shared" si="31"/>
        <v>1.1102230246251565E-16</v>
      </c>
      <c r="F776" s="1" t="s">
        <v>11</v>
      </c>
    </row>
    <row r="777" spans="1:6" x14ac:dyDescent="0.25">
      <c r="A777" s="20">
        <v>42278</v>
      </c>
      <c r="B777" s="3">
        <v>0.85416666666666663</v>
      </c>
      <c r="C777" s="3">
        <v>0.875</v>
      </c>
      <c r="D777" s="3">
        <f t="shared" si="30"/>
        <v>2.083333333333337E-2</v>
      </c>
      <c r="E777" s="3">
        <f t="shared" si="31"/>
        <v>6.9444444444444198E-4</v>
      </c>
      <c r="F777" s="1" t="s">
        <v>11</v>
      </c>
    </row>
    <row r="778" spans="1:6" x14ac:dyDescent="0.25">
      <c r="A778" s="20">
        <v>42278</v>
      </c>
      <c r="B778" s="3">
        <v>0.72083333333333333</v>
      </c>
      <c r="C778" s="3">
        <v>0.74097222222222225</v>
      </c>
      <c r="D778" s="3">
        <f t="shared" si="30"/>
        <v>2.0138888888888928E-2</v>
      </c>
      <c r="E778" s="3">
        <f t="shared" si="31"/>
        <v>1.388888888888884E-3</v>
      </c>
      <c r="F778" s="1" t="s">
        <v>11</v>
      </c>
    </row>
    <row r="779" spans="1:6" x14ac:dyDescent="0.25">
      <c r="A779" s="20">
        <v>42278</v>
      </c>
      <c r="B779" s="3">
        <v>0.56041666666666667</v>
      </c>
      <c r="C779" s="3">
        <v>0.57916666666666672</v>
      </c>
      <c r="D779" s="3">
        <f t="shared" si="30"/>
        <v>1.8750000000000044E-2</v>
      </c>
      <c r="E779" s="3">
        <f t="shared" si="31"/>
        <v>4.8611111111110626E-3</v>
      </c>
      <c r="F779" s="1" t="s">
        <v>11</v>
      </c>
    </row>
    <row r="780" spans="1:6" x14ac:dyDescent="0.25">
      <c r="A780" s="20">
        <v>42278</v>
      </c>
      <c r="B780" s="3">
        <v>1.8055555555555557E-2</v>
      </c>
      <c r="C780" s="3">
        <v>4.1666666666666664E-2</v>
      </c>
      <c r="D780" s="3">
        <f t="shared" si="30"/>
        <v>2.3611111111111107E-2</v>
      </c>
      <c r="E780" s="3">
        <f t="shared" si="31"/>
        <v>2.0833333333333572E-3</v>
      </c>
      <c r="F780" s="1" t="s">
        <v>11</v>
      </c>
    </row>
    <row r="781" spans="1:6" x14ac:dyDescent="0.25">
      <c r="A781" s="20">
        <v>42278</v>
      </c>
      <c r="B781" s="3">
        <v>0.6381944444444444</v>
      </c>
      <c r="C781" s="3">
        <v>0.66388888888888886</v>
      </c>
      <c r="D781" s="3">
        <f t="shared" si="30"/>
        <v>2.5694444444444464E-2</v>
      </c>
      <c r="E781" s="3"/>
      <c r="F781" s="1" t="s">
        <v>11</v>
      </c>
    </row>
    <row r="783" spans="1:6" x14ac:dyDescent="0.25">
      <c r="A783" s="20"/>
    </row>
    <row r="784" spans="1:6" x14ac:dyDescent="0.25">
      <c r="A784" s="20"/>
    </row>
  </sheetData>
  <sortState ref="A3:F784">
    <sortCondition ref="F3:F912" customList="BMPNL,CBC,CMPNL,PROTIM,TROPI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566"/>
  <sheetViews>
    <sheetView topLeftCell="C8" workbookViewId="0">
      <selection activeCell="J15" sqref="J15"/>
    </sheetView>
  </sheetViews>
  <sheetFormatPr defaultRowHeight="15" x14ac:dyDescent="0.25"/>
  <cols>
    <col min="1" max="2" width="0" hidden="1" customWidth="1"/>
    <col min="3" max="3" width="9.140625" style="19"/>
    <col min="4" max="5" width="9.140625" style="3"/>
    <col min="6" max="7" width="9.140625" style="6"/>
    <col min="9" max="9" width="39.7109375" customWidth="1"/>
    <col min="10" max="10" width="9.7109375" bestFit="1" customWidth="1"/>
    <col min="12" max="12" width="12" bestFit="1" customWidth="1"/>
    <col min="13" max="13" width="17" bestFit="1" customWidth="1"/>
  </cols>
  <sheetData>
    <row r="1" spans="1:15" x14ac:dyDescent="0.25">
      <c r="A1" s="21" t="s">
        <v>24</v>
      </c>
      <c r="B1" s="8" t="s">
        <v>25</v>
      </c>
      <c r="C1" s="22" t="s">
        <v>12</v>
      </c>
      <c r="D1" s="23" t="s">
        <v>13</v>
      </c>
      <c r="E1" s="23" t="s">
        <v>18</v>
      </c>
      <c r="F1" s="8" t="s">
        <v>4</v>
      </c>
      <c r="G1" s="8" t="s">
        <v>5</v>
      </c>
      <c r="H1" s="9" t="s">
        <v>2</v>
      </c>
      <c r="J1" s="1"/>
      <c r="K1" s="1"/>
      <c r="L1" s="1"/>
    </row>
    <row r="2" spans="1:15" x14ac:dyDescent="0.25">
      <c r="C2" s="19">
        <v>42323</v>
      </c>
      <c r="D2" s="3">
        <f t="shared" ref="D2:D65" si="0">G2-F2</f>
        <v>4.8611111111110938E-3</v>
      </c>
      <c r="E2" s="3">
        <f>ABS(D2-D3)</f>
        <v>2.7777777777778234E-3</v>
      </c>
      <c r="F2" s="6">
        <v>6.458333333333334E-2</v>
      </c>
      <c r="G2" s="6">
        <v>6.9444444444444434E-2</v>
      </c>
      <c r="H2" t="s">
        <v>3</v>
      </c>
    </row>
    <row r="3" spans="1:15" x14ac:dyDescent="0.25">
      <c r="C3" s="19">
        <v>42323</v>
      </c>
      <c r="D3" s="3">
        <f t="shared" si="0"/>
        <v>7.6388888888889173E-3</v>
      </c>
      <c r="E3" s="3">
        <f t="shared" ref="E3:E66" si="1">ABS(D3-D4)</f>
        <v>2.7777777777777679E-3</v>
      </c>
      <c r="F3" s="6">
        <v>0.39166666666666666</v>
      </c>
      <c r="G3" s="6">
        <v>0.39930555555555558</v>
      </c>
      <c r="H3" t="s">
        <v>3</v>
      </c>
    </row>
    <row r="4" spans="1:15" x14ac:dyDescent="0.25">
      <c r="C4" s="19">
        <v>42323</v>
      </c>
      <c r="D4" s="3">
        <f t="shared" si="0"/>
        <v>1.0416666666666685E-2</v>
      </c>
      <c r="E4" s="3">
        <f t="shared" si="1"/>
        <v>6.9444444444444198E-3</v>
      </c>
      <c r="F4" s="6">
        <v>0.43263888888888885</v>
      </c>
      <c r="G4" s="6">
        <v>0.44305555555555554</v>
      </c>
      <c r="H4" t="s">
        <v>3</v>
      </c>
    </row>
    <row r="5" spans="1:15" x14ac:dyDescent="0.25">
      <c r="C5" s="19">
        <v>42323</v>
      </c>
      <c r="D5" s="3">
        <f t="shared" si="0"/>
        <v>3.4722222222222654E-3</v>
      </c>
      <c r="E5" s="3">
        <f t="shared" si="1"/>
        <v>2.0833333333332704E-3</v>
      </c>
      <c r="F5" s="6">
        <v>0.49791666666666662</v>
      </c>
      <c r="G5" s="6">
        <v>0.50138888888888888</v>
      </c>
      <c r="H5" t="s">
        <v>3</v>
      </c>
    </row>
    <row r="6" spans="1:15" x14ac:dyDescent="0.25">
      <c r="C6" s="19">
        <v>42323</v>
      </c>
      <c r="D6" s="3">
        <f t="shared" si="0"/>
        <v>5.5555555555555358E-3</v>
      </c>
      <c r="E6" s="3">
        <f t="shared" si="1"/>
        <v>2.0833333333333259E-3</v>
      </c>
      <c r="F6" s="6">
        <v>0.60138888888888886</v>
      </c>
      <c r="G6" s="6">
        <v>0.6069444444444444</v>
      </c>
      <c r="H6" t="s">
        <v>3</v>
      </c>
    </row>
    <row r="7" spans="1:15" x14ac:dyDescent="0.25">
      <c r="C7" s="19">
        <v>42323</v>
      </c>
      <c r="D7" s="3">
        <f t="shared" si="0"/>
        <v>3.4722222222222099E-3</v>
      </c>
      <c r="E7" s="3">
        <f t="shared" si="1"/>
        <v>2.7777777777778789E-3</v>
      </c>
      <c r="F7" s="6">
        <v>0.6694444444444444</v>
      </c>
      <c r="G7" s="6">
        <v>0.67291666666666661</v>
      </c>
      <c r="H7" t="s">
        <v>3</v>
      </c>
    </row>
    <row r="8" spans="1:15" x14ac:dyDescent="0.25">
      <c r="C8" s="19">
        <v>42323</v>
      </c>
      <c r="D8" s="3">
        <f t="shared" si="0"/>
        <v>6.2500000000000888E-3</v>
      </c>
      <c r="E8" s="3">
        <f t="shared" si="1"/>
        <v>2.083333333333437E-3</v>
      </c>
      <c r="F8" s="6">
        <v>0.6777777777777777</v>
      </c>
      <c r="G8" s="6">
        <v>0.68402777777777779</v>
      </c>
      <c r="H8" t="s">
        <v>3</v>
      </c>
    </row>
    <row r="9" spans="1:15" x14ac:dyDescent="0.25">
      <c r="C9" s="19">
        <v>42323</v>
      </c>
      <c r="D9" s="3">
        <f t="shared" si="0"/>
        <v>4.1666666666666519E-3</v>
      </c>
      <c r="E9" s="3">
        <f t="shared" si="1"/>
        <v>6.9444444444433095E-4</v>
      </c>
      <c r="F9" s="6">
        <v>0.65694444444444444</v>
      </c>
      <c r="G9" s="6">
        <v>0.66111111111111109</v>
      </c>
      <c r="H9" t="s">
        <v>3</v>
      </c>
      <c r="L9" s="1" t="s">
        <v>7</v>
      </c>
      <c r="M9" s="1" t="s">
        <v>15</v>
      </c>
      <c r="N9" s="1" t="s">
        <v>17</v>
      </c>
      <c r="O9" s="1" t="s">
        <v>16</v>
      </c>
    </row>
    <row r="10" spans="1:15" x14ac:dyDescent="0.25">
      <c r="C10" s="19">
        <v>42323</v>
      </c>
      <c r="D10" s="3">
        <f t="shared" si="0"/>
        <v>3.4722222222223209E-3</v>
      </c>
      <c r="E10" s="3">
        <f t="shared" si="1"/>
        <v>3.4722222222222099E-3</v>
      </c>
      <c r="F10" s="6">
        <v>0.66527777777777775</v>
      </c>
      <c r="G10" s="6">
        <v>0.66875000000000007</v>
      </c>
      <c r="H10" t="s">
        <v>3</v>
      </c>
      <c r="J10" s="14">
        <v>42309</v>
      </c>
      <c r="K10" t="s">
        <v>19</v>
      </c>
      <c r="L10" t="s">
        <v>9</v>
      </c>
      <c r="M10">
        <f>COUNTIF(H2:H566,L10)</f>
        <v>39</v>
      </c>
      <c r="N10" s="3">
        <f>AVERAGE(D221:D259)</f>
        <v>1.682692307692309E-2</v>
      </c>
      <c r="O10" s="3">
        <f>AVERAGE(E221:E258)</f>
        <v>7.7668128654970765E-3</v>
      </c>
    </row>
    <row r="11" spans="1:15" x14ac:dyDescent="0.25">
      <c r="C11" s="19">
        <v>42323</v>
      </c>
      <c r="D11" s="3">
        <f t="shared" si="0"/>
        <v>6.9444444444445308E-3</v>
      </c>
      <c r="E11" s="3">
        <f t="shared" si="1"/>
        <v>1.1805555555555458E-2</v>
      </c>
      <c r="F11" s="6">
        <v>0.68472222222222223</v>
      </c>
      <c r="G11" s="6">
        <v>0.69166666666666676</v>
      </c>
      <c r="H11" t="s">
        <v>3</v>
      </c>
      <c r="J11" s="14">
        <v>42309</v>
      </c>
      <c r="K11" t="s">
        <v>19</v>
      </c>
      <c r="L11" t="s">
        <v>3</v>
      </c>
      <c r="M11">
        <f>COUNTIF(H2:H566,L11)</f>
        <v>219</v>
      </c>
      <c r="N11" s="3">
        <f>AVERAGE(D2:D220)</f>
        <v>1.1989472349061388E-2</v>
      </c>
      <c r="O11" s="3">
        <f>AVERAGE(E2:E219)</f>
        <v>1.0843527013251784E-2</v>
      </c>
    </row>
    <row r="12" spans="1:15" x14ac:dyDescent="0.25">
      <c r="C12" s="19">
        <v>42323</v>
      </c>
      <c r="D12" s="3">
        <f t="shared" si="0"/>
        <v>1.8749999999999989E-2</v>
      </c>
      <c r="E12" s="3">
        <f t="shared" si="1"/>
        <v>1.5972222222222221E-2</v>
      </c>
      <c r="F12" s="6">
        <v>0.36458333333333331</v>
      </c>
      <c r="G12" s="6">
        <v>0.3833333333333333</v>
      </c>
      <c r="H12" t="s">
        <v>3</v>
      </c>
      <c r="J12" s="14">
        <v>42309</v>
      </c>
      <c r="K12" t="s">
        <v>19</v>
      </c>
      <c r="L12" t="s">
        <v>10</v>
      </c>
      <c r="M12">
        <f>COUNTIF(H2:H566,L12)</f>
        <v>181</v>
      </c>
      <c r="N12" s="3">
        <f>AVERAGE(D260:D440)</f>
        <v>2.0104358502148541E-2</v>
      </c>
      <c r="O12" s="3">
        <f>AVERAGE(E260:E439)</f>
        <v>7.0138888888888872E-3</v>
      </c>
    </row>
    <row r="13" spans="1:15" x14ac:dyDescent="0.25">
      <c r="C13" s="19">
        <v>42323</v>
      </c>
      <c r="D13" s="3">
        <f t="shared" si="0"/>
        <v>2.7777777777777679E-3</v>
      </c>
      <c r="E13" s="3">
        <f t="shared" si="1"/>
        <v>2.0833333333333814E-3</v>
      </c>
      <c r="F13" s="6">
        <v>0.40625</v>
      </c>
      <c r="G13" s="6">
        <v>0.40902777777777777</v>
      </c>
      <c r="H13" t="s">
        <v>3</v>
      </c>
      <c r="J13" s="14">
        <v>42309</v>
      </c>
      <c r="K13" t="s">
        <v>19</v>
      </c>
      <c r="L13" t="s">
        <v>8</v>
      </c>
      <c r="M13">
        <f>COUNTIF(H2:H566,L13)</f>
        <v>29</v>
      </c>
      <c r="N13" s="3">
        <f>AVERAGE(D538:D566)</f>
        <v>2.0330459770114929E-2</v>
      </c>
      <c r="O13" s="3">
        <f>AVERAGE(E538:E565)</f>
        <v>1.2996031746031752E-2</v>
      </c>
    </row>
    <row r="14" spans="1:15" x14ac:dyDescent="0.25">
      <c r="C14" s="19">
        <v>42323</v>
      </c>
      <c r="D14" s="3">
        <f t="shared" si="0"/>
        <v>4.8611111111111494E-3</v>
      </c>
      <c r="E14" s="3">
        <f t="shared" si="1"/>
        <v>6.9444444444438647E-4</v>
      </c>
      <c r="F14" s="6">
        <v>0.47291666666666665</v>
      </c>
      <c r="G14" s="6">
        <v>0.4777777777777778</v>
      </c>
      <c r="H14" t="s">
        <v>3</v>
      </c>
      <c r="J14" s="14">
        <v>42309</v>
      </c>
      <c r="K14" t="s">
        <v>19</v>
      </c>
      <c r="L14" t="s">
        <v>11</v>
      </c>
      <c r="M14">
        <f>COUNTIF(H2:H566,L14)</f>
        <v>97</v>
      </c>
      <c r="N14" s="3">
        <f>AVERAGE(D441:D537)</f>
        <v>2.3095647193585332E-2</v>
      </c>
      <c r="O14" s="3">
        <f>AVERAGE(E441:E536)</f>
        <v>6.2644675925925793E-3</v>
      </c>
    </row>
    <row r="15" spans="1:15" x14ac:dyDescent="0.25">
      <c r="C15" s="19">
        <v>42323</v>
      </c>
      <c r="D15" s="3">
        <f t="shared" si="0"/>
        <v>4.1666666666667629E-3</v>
      </c>
      <c r="E15" s="3">
        <f t="shared" si="1"/>
        <v>6.94444444444553E-4</v>
      </c>
      <c r="F15" s="6">
        <v>0.5395833333333333</v>
      </c>
      <c r="G15" s="6">
        <v>0.54375000000000007</v>
      </c>
      <c r="H15" t="s">
        <v>3</v>
      </c>
    </row>
    <row r="16" spans="1:15" x14ac:dyDescent="0.25">
      <c r="C16" s="19">
        <v>42323</v>
      </c>
      <c r="D16" s="3">
        <f t="shared" si="0"/>
        <v>3.4722222222222099E-3</v>
      </c>
      <c r="E16" s="3">
        <f t="shared" si="1"/>
        <v>9.7222222222221877E-3</v>
      </c>
      <c r="F16" s="6">
        <v>0.55833333333333335</v>
      </c>
      <c r="G16" s="6">
        <v>0.56180555555555556</v>
      </c>
      <c r="H16" t="s">
        <v>3</v>
      </c>
    </row>
    <row r="17" spans="3:8" x14ac:dyDescent="0.25">
      <c r="C17" s="19">
        <v>42323</v>
      </c>
      <c r="D17" s="3">
        <f t="shared" si="0"/>
        <v>1.3194444444444398E-2</v>
      </c>
      <c r="E17" s="3">
        <f t="shared" si="1"/>
        <v>7.6388888888888618E-3</v>
      </c>
      <c r="F17" s="6">
        <v>0.67638888888888893</v>
      </c>
      <c r="G17" s="6">
        <v>0.68958333333333333</v>
      </c>
      <c r="H17" t="s">
        <v>3</v>
      </c>
    </row>
    <row r="18" spans="3:8" x14ac:dyDescent="0.25">
      <c r="C18" s="19">
        <v>42323</v>
      </c>
      <c r="D18" s="3">
        <f t="shared" si="0"/>
        <v>5.5555555555555358E-3</v>
      </c>
      <c r="E18" s="3">
        <f t="shared" si="1"/>
        <v>2.7777777777777679E-3</v>
      </c>
      <c r="F18" s="6">
        <v>0.73611111111111116</v>
      </c>
      <c r="G18" s="6">
        <v>0.7416666666666667</v>
      </c>
      <c r="H18" t="s">
        <v>3</v>
      </c>
    </row>
    <row r="19" spans="3:8" x14ac:dyDescent="0.25">
      <c r="C19" s="19">
        <v>42323</v>
      </c>
      <c r="D19" s="3">
        <f t="shared" si="0"/>
        <v>2.7777777777777679E-3</v>
      </c>
      <c r="E19" s="3">
        <f t="shared" si="1"/>
        <v>4.8611111111110938E-3</v>
      </c>
      <c r="F19" s="6">
        <v>0.2673611111111111</v>
      </c>
      <c r="G19" s="6">
        <v>0.27013888888888887</v>
      </c>
      <c r="H19" t="s">
        <v>3</v>
      </c>
    </row>
    <row r="20" spans="3:8" x14ac:dyDescent="0.25">
      <c r="C20" s="19">
        <v>42323</v>
      </c>
      <c r="D20" s="3">
        <f t="shared" si="0"/>
        <v>7.6388888888888618E-3</v>
      </c>
      <c r="E20" s="3">
        <f t="shared" si="1"/>
        <v>2.0833333333333259E-3</v>
      </c>
      <c r="F20" s="6">
        <v>0.29930555555555555</v>
      </c>
      <c r="G20" s="6">
        <v>0.30694444444444441</v>
      </c>
      <c r="H20" t="s">
        <v>3</v>
      </c>
    </row>
    <row r="21" spans="3:8" x14ac:dyDescent="0.25">
      <c r="C21" s="19">
        <v>42323</v>
      </c>
      <c r="D21" s="3">
        <f t="shared" si="0"/>
        <v>5.5555555555555358E-3</v>
      </c>
      <c r="E21" s="3">
        <f t="shared" si="1"/>
        <v>4.1666666666667629E-3</v>
      </c>
      <c r="F21" s="6">
        <v>0.36041666666666666</v>
      </c>
      <c r="G21" s="6">
        <v>0.3659722222222222</v>
      </c>
      <c r="H21" t="s">
        <v>3</v>
      </c>
    </row>
    <row r="22" spans="3:8" x14ac:dyDescent="0.25">
      <c r="C22" s="19">
        <v>42323</v>
      </c>
      <c r="D22" s="3">
        <f t="shared" si="0"/>
        <v>9.7222222222222987E-3</v>
      </c>
      <c r="E22" s="3">
        <f t="shared" si="1"/>
        <v>3.4722222222223209E-3</v>
      </c>
      <c r="F22" s="6">
        <v>0.3972222222222222</v>
      </c>
      <c r="G22" s="6">
        <v>0.4069444444444445</v>
      </c>
      <c r="H22" t="s">
        <v>3</v>
      </c>
    </row>
    <row r="23" spans="3:8" x14ac:dyDescent="0.25">
      <c r="C23" s="19">
        <v>42323</v>
      </c>
      <c r="D23" s="3">
        <f t="shared" si="0"/>
        <v>6.2499999999999778E-3</v>
      </c>
      <c r="E23" s="3">
        <f t="shared" si="1"/>
        <v>2.0833333333333259E-3</v>
      </c>
      <c r="F23" s="6">
        <v>0.56944444444444442</v>
      </c>
      <c r="G23" s="6">
        <v>0.5756944444444444</v>
      </c>
      <c r="H23" t="s">
        <v>3</v>
      </c>
    </row>
    <row r="24" spans="3:8" x14ac:dyDescent="0.25">
      <c r="C24" s="19">
        <v>42323</v>
      </c>
      <c r="D24" s="3">
        <f t="shared" si="0"/>
        <v>8.3333333333333037E-3</v>
      </c>
      <c r="E24" s="3">
        <f t="shared" si="1"/>
        <v>1.1102230246251565E-16</v>
      </c>
      <c r="F24" s="6">
        <v>0.57500000000000007</v>
      </c>
      <c r="G24" s="6">
        <v>0.58333333333333337</v>
      </c>
      <c r="H24" t="s">
        <v>3</v>
      </c>
    </row>
    <row r="25" spans="3:8" x14ac:dyDescent="0.25">
      <c r="C25" s="19">
        <v>42323</v>
      </c>
      <c r="D25" s="3">
        <f t="shared" si="0"/>
        <v>8.3333333333334147E-3</v>
      </c>
      <c r="E25" s="3">
        <f t="shared" si="1"/>
        <v>2.0833333333332149E-3</v>
      </c>
      <c r="F25" s="6">
        <v>0.58263888888888882</v>
      </c>
      <c r="G25" s="6">
        <v>0.59097222222222223</v>
      </c>
      <c r="H25" t="s">
        <v>3</v>
      </c>
    </row>
    <row r="26" spans="3:8" x14ac:dyDescent="0.25">
      <c r="C26" s="19">
        <v>42323</v>
      </c>
      <c r="D26" s="3">
        <f t="shared" si="0"/>
        <v>1.041666666666663E-2</v>
      </c>
      <c r="E26" s="3">
        <f t="shared" si="1"/>
        <v>1.6666666666666718E-2</v>
      </c>
      <c r="F26" s="6">
        <v>0.73125000000000007</v>
      </c>
      <c r="G26" s="6">
        <v>0.7416666666666667</v>
      </c>
      <c r="H26" t="s">
        <v>3</v>
      </c>
    </row>
    <row r="27" spans="3:8" x14ac:dyDescent="0.25">
      <c r="C27" s="19">
        <v>42323</v>
      </c>
      <c r="D27" s="3">
        <f t="shared" si="0"/>
        <v>2.7083333333333348E-2</v>
      </c>
      <c r="E27" s="3">
        <f t="shared" si="1"/>
        <v>2.0138888888889039E-2</v>
      </c>
      <c r="F27" s="6">
        <v>0.76041666666666663</v>
      </c>
      <c r="G27" s="6">
        <v>0.78749999999999998</v>
      </c>
      <c r="H27" t="s">
        <v>3</v>
      </c>
    </row>
    <row r="28" spans="3:8" x14ac:dyDescent="0.25">
      <c r="C28" s="19">
        <v>42323</v>
      </c>
      <c r="D28" s="3">
        <f t="shared" si="0"/>
        <v>6.9444444444443088E-3</v>
      </c>
      <c r="E28" s="3">
        <f t="shared" si="1"/>
        <v>4.1666666666667629E-3</v>
      </c>
      <c r="F28" s="6">
        <v>0.7909722222222223</v>
      </c>
      <c r="G28" s="6">
        <v>0.79791666666666661</v>
      </c>
      <c r="H28" t="s">
        <v>3</v>
      </c>
    </row>
    <row r="29" spans="3:8" x14ac:dyDescent="0.25">
      <c r="C29" s="19">
        <v>42323</v>
      </c>
      <c r="D29" s="3">
        <f t="shared" si="0"/>
        <v>1.1111111111111072E-2</v>
      </c>
      <c r="E29" s="3">
        <f t="shared" si="1"/>
        <v>1.388888888888995E-3</v>
      </c>
      <c r="F29" s="6">
        <v>0.96250000000000002</v>
      </c>
      <c r="G29" s="6">
        <v>0.97361111111111109</v>
      </c>
      <c r="H29" t="s">
        <v>3</v>
      </c>
    </row>
    <row r="30" spans="3:8" x14ac:dyDescent="0.25">
      <c r="C30" s="19">
        <v>42323</v>
      </c>
      <c r="D30" s="3">
        <f t="shared" si="0"/>
        <v>1.2500000000000067E-2</v>
      </c>
      <c r="E30" s="3">
        <f t="shared" si="1"/>
        <v>6.2500000000000888E-3</v>
      </c>
      <c r="F30" s="6">
        <v>0.9770833333333333</v>
      </c>
      <c r="G30" s="6">
        <v>0.98958333333333337</v>
      </c>
      <c r="H30" t="s">
        <v>3</v>
      </c>
    </row>
    <row r="31" spans="3:8" x14ac:dyDescent="0.25">
      <c r="C31" s="19">
        <v>42323</v>
      </c>
      <c r="D31" s="3">
        <f t="shared" si="0"/>
        <v>6.2499999999999778E-3</v>
      </c>
      <c r="E31" s="3">
        <f t="shared" si="1"/>
        <v>6.9444444444444198E-4</v>
      </c>
      <c r="F31" s="6">
        <v>0.39513888888888887</v>
      </c>
      <c r="G31" s="6">
        <v>0.40138888888888885</v>
      </c>
      <c r="H31" t="s">
        <v>3</v>
      </c>
    </row>
    <row r="32" spans="3:8" x14ac:dyDescent="0.25">
      <c r="C32" s="19">
        <v>42323</v>
      </c>
      <c r="D32" s="3">
        <f t="shared" si="0"/>
        <v>5.5555555555555358E-3</v>
      </c>
      <c r="E32" s="3">
        <f t="shared" si="1"/>
        <v>6.9444444444444198E-4</v>
      </c>
      <c r="F32" s="6">
        <v>0.59444444444444444</v>
      </c>
      <c r="G32" s="6">
        <v>0.6</v>
      </c>
      <c r="H32" t="s">
        <v>3</v>
      </c>
    </row>
    <row r="33" spans="3:8" x14ac:dyDescent="0.25">
      <c r="C33" s="19">
        <v>42323</v>
      </c>
      <c r="D33" s="3">
        <f t="shared" si="0"/>
        <v>4.8611111111110938E-3</v>
      </c>
      <c r="E33" s="3">
        <f t="shared" si="1"/>
        <v>4.1666666666666519E-3</v>
      </c>
      <c r="F33" s="6">
        <v>0.68263888888888891</v>
      </c>
      <c r="G33" s="6">
        <v>0.6875</v>
      </c>
      <c r="H33" t="s">
        <v>3</v>
      </c>
    </row>
    <row r="34" spans="3:8" x14ac:dyDescent="0.25">
      <c r="C34" s="19">
        <v>42323</v>
      </c>
      <c r="D34" s="3">
        <f t="shared" si="0"/>
        <v>9.0277777777777457E-3</v>
      </c>
      <c r="E34" s="3">
        <f t="shared" si="1"/>
        <v>2.7777777777776569E-3</v>
      </c>
      <c r="F34" s="6">
        <v>0.74097222222222225</v>
      </c>
      <c r="G34" s="6">
        <v>0.75</v>
      </c>
      <c r="H34" t="s">
        <v>3</v>
      </c>
    </row>
    <row r="35" spans="3:8" x14ac:dyDescent="0.25">
      <c r="C35" s="19">
        <v>42323</v>
      </c>
      <c r="D35" s="3">
        <f t="shared" si="0"/>
        <v>6.2500000000000888E-3</v>
      </c>
      <c r="E35" s="3">
        <f t="shared" si="1"/>
        <v>2.7777777777778789E-3</v>
      </c>
      <c r="F35" s="6">
        <v>0.76597222222222217</v>
      </c>
      <c r="G35" s="6">
        <v>0.77222222222222225</v>
      </c>
      <c r="H35" t="s">
        <v>3</v>
      </c>
    </row>
    <row r="36" spans="3:8" x14ac:dyDescent="0.25">
      <c r="C36" s="19">
        <v>42323</v>
      </c>
      <c r="D36" s="3">
        <f t="shared" si="0"/>
        <v>3.4722222222222099E-3</v>
      </c>
      <c r="E36" s="3">
        <f t="shared" si="1"/>
        <v>8.3333333333331927E-3</v>
      </c>
      <c r="F36" s="6">
        <v>0.78333333333333333</v>
      </c>
      <c r="G36" s="6">
        <v>0.78680555555555554</v>
      </c>
      <c r="H36" t="s">
        <v>3</v>
      </c>
    </row>
    <row r="37" spans="3:8" x14ac:dyDescent="0.25">
      <c r="C37" s="19">
        <v>42323</v>
      </c>
      <c r="D37" s="3">
        <f t="shared" si="0"/>
        <v>1.1805555555555403E-2</v>
      </c>
      <c r="E37" s="3">
        <f t="shared" si="1"/>
        <v>4.8611111111109828E-3</v>
      </c>
      <c r="F37" s="6">
        <v>0.81666666666666676</v>
      </c>
      <c r="G37" s="6">
        <v>0.82847222222222217</v>
      </c>
      <c r="H37" t="s">
        <v>3</v>
      </c>
    </row>
    <row r="38" spans="3:8" x14ac:dyDescent="0.25">
      <c r="C38" s="19">
        <v>42323</v>
      </c>
      <c r="D38" s="3">
        <f t="shared" si="0"/>
        <v>6.9444444444444198E-3</v>
      </c>
      <c r="E38" s="3">
        <f t="shared" si="1"/>
        <v>2.0833333333333259E-3</v>
      </c>
      <c r="F38" s="6">
        <v>0.83472222222222225</v>
      </c>
      <c r="G38" s="6">
        <v>0.84166666666666667</v>
      </c>
      <c r="H38" t="s">
        <v>3</v>
      </c>
    </row>
    <row r="39" spans="3:8" x14ac:dyDescent="0.25">
      <c r="C39" s="19">
        <v>42323</v>
      </c>
      <c r="D39" s="3">
        <f t="shared" si="0"/>
        <v>4.8611111111110938E-3</v>
      </c>
      <c r="E39" s="3">
        <f t="shared" si="1"/>
        <v>6.9444444444466402E-4</v>
      </c>
      <c r="F39" s="6">
        <v>0.94097222222222221</v>
      </c>
      <c r="G39" s="6">
        <v>0.9458333333333333</v>
      </c>
      <c r="H39" t="s">
        <v>3</v>
      </c>
    </row>
    <row r="40" spans="3:8" x14ac:dyDescent="0.25">
      <c r="C40" s="19">
        <v>42323</v>
      </c>
      <c r="D40" s="3">
        <f t="shared" si="0"/>
        <v>5.5555555555557579E-3</v>
      </c>
      <c r="E40" s="3">
        <f t="shared" si="1"/>
        <v>1.388888888889106E-3</v>
      </c>
      <c r="F40" s="6">
        <v>0.96458333333333324</v>
      </c>
      <c r="G40" s="6">
        <v>0.97013888888888899</v>
      </c>
      <c r="H40" t="s">
        <v>3</v>
      </c>
    </row>
    <row r="41" spans="3:8" x14ac:dyDescent="0.25">
      <c r="C41" s="19">
        <v>42323</v>
      </c>
      <c r="D41" s="3">
        <f t="shared" si="0"/>
        <v>4.1666666666666519E-3</v>
      </c>
      <c r="E41" s="3">
        <f t="shared" si="1"/>
        <v>0</v>
      </c>
      <c r="F41" s="6">
        <v>1.0194444444444444</v>
      </c>
      <c r="G41" s="6">
        <v>1.023611111111111</v>
      </c>
      <c r="H41" t="s">
        <v>3</v>
      </c>
    </row>
    <row r="42" spans="3:8" x14ac:dyDescent="0.25">
      <c r="C42" s="19">
        <v>42323</v>
      </c>
      <c r="D42" s="3">
        <f t="shared" si="0"/>
        <v>4.1666666666666519E-3</v>
      </c>
      <c r="E42" s="3">
        <f t="shared" si="1"/>
        <v>6.9444444444444198E-4</v>
      </c>
      <c r="F42" s="6">
        <v>0.10277777777777779</v>
      </c>
      <c r="G42" s="6">
        <v>0.10694444444444444</v>
      </c>
      <c r="H42" t="s">
        <v>3</v>
      </c>
    </row>
    <row r="43" spans="3:8" x14ac:dyDescent="0.25">
      <c r="C43" s="19">
        <v>42323</v>
      </c>
      <c r="D43" s="3">
        <f t="shared" si="0"/>
        <v>3.4722222222222099E-3</v>
      </c>
      <c r="E43" s="3">
        <f t="shared" si="1"/>
        <v>6.9444444444444198E-3</v>
      </c>
      <c r="F43" s="6">
        <v>0.49861111111111112</v>
      </c>
      <c r="G43" s="6">
        <v>0.50208333333333333</v>
      </c>
      <c r="H43" t="s">
        <v>3</v>
      </c>
    </row>
    <row r="44" spans="3:8" x14ac:dyDescent="0.25">
      <c r="C44" s="19">
        <v>42323</v>
      </c>
      <c r="D44" s="3">
        <f t="shared" si="0"/>
        <v>1.041666666666663E-2</v>
      </c>
      <c r="E44" s="3">
        <f t="shared" si="1"/>
        <v>3.4722222222223209E-3</v>
      </c>
      <c r="F44" s="6">
        <v>0.55208333333333337</v>
      </c>
      <c r="G44" s="6">
        <v>0.5625</v>
      </c>
      <c r="H44" t="s">
        <v>3</v>
      </c>
    </row>
    <row r="45" spans="3:8" x14ac:dyDescent="0.25">
      <c r="C45" s="19">
        <v>42323</v>
      </c>
      <c r="D45" s="3">
        <f t="shared" si="0"/>
        <v>1.3888888888888951E-2</v>
      </c>
      <c r="E45" s="3">
        <f t="shared" si="1"/>
        <v>1.6666666666666607E-2</v>
      </c>
      <c r="F45" s="6">
        <v>0.60347222222222219</v>
      </c>
      <c r="G45" s="6">
        <v>0.61736111111111114</v>
      </c>
      <c r="H45" t="s">
        <v>3</v>
      </c>
    </row>
    <row r="46" spans="3:8" x14ac:dyDescent="0.25">
      <c r="C46" s="19">
        <v>42323</v>
      </c>
      <c r="D46" s="3">
        <f t="shared" si="0"/>
        <v>3.0555555555555558E-2</v>
      </c>
      <c r="E46" s="3">
        <f t="shared" si="1"/>
        <v>1.9444444444444486E-2</v>
      </c>
      <c r="F46" s="6">
        <v>0.6791666666666667</v>
      </c>
      <c r="G46" s="6">
        <v>0.70972222222222225</v>
      </c>
      <c r="H46" t="s">
        <v>3</v>
      </c>
    </row>
    <row r="47" spans="3:8" x14ac:dyDescent="0.25">
      <c r="C47" s="19">
        <v>42323</v>
      </c>
      <c r="D47" s="3">
        <f t="shared" si="0"/>
        <v>1.1111111111111072E-2</v>
      </c>
      <c r="E47" s="3">
        <f t="shared" si="1"/>
        <v>0</v>
      </c>
      <c r="F47" s="6">
        <v>0.75416666666666676</v>
      </c>
      <c r="G47" s="6">
        <v>0.76527777777777783</v>
      </c>
      <c r="H47" t="s">
        <v>3</v>
      </c>
    </row>
    <row r="48" spans="3:8" x14ac:dyDescent="0.25">
      <c r="C48" s="19">
        <v>42323</v>
      </c>
      <c r="D48" s="3">
        <f t="shared" si="0"/>
        <v>1.1111111111111072E-2</v>
      </c>
      <c r="E48" s="3">
        <f t="shared" si="1"/>
        <v>6.9444444444444198E-3</v>
      </c>
      <c r="F48" s="6">
        <v>0.92361111111111116</v>
      </c>
      <c r="G48" s="6">
        <v>0.93472222222222223</v>
      </c>
      <c r="H48" t="s">
        <v>3</v>
      </c>
    </row>
    <row r="49" spans="3:8" x14ac:dyDescent="0.25">
      <c r="C49" s="19">
        <v>42323</v>
      </c>
      <c r="D49" s="3">
        <f t="shared" si="0"/>
        <v>4.1666666666666519E-3</v>
      </c>
      <c r="E49" s="3">
        <f t="shared" si="1"/>
        <v>1.388888888888884E-3</v>
      </c>
      <c r="F49" s="6">
        <v>0.55763888888888891</v>
      </c>
      <c r="G49" s="6">
        <v>0.56180555555555556</v>
      </c>
      <c r="H49" t="s">
        <v>3</v>
      </c>
    </row>
    <row r="50" spans="3:8" x14ac:dyDescent="0.25">
      <c r="C50" s="19">
        <v>42323</v>
      </c>
      <c r="D50" s="3">
        <f t="shared" si="0"/>
        <v>5.5555555555555358E-3</v>
      </c>
      <c r="E50" s="3">
        <f t="shared" si="1"/>
        <v>0.42152777777777789</v>
      </c>
      <c r="F50" s="6">
        <v>0.81041666666666667</v>
      </c>
      <c r="G50" s="6">
        <v>0.81597222222222221</v>
      </c>
      <c r="H50" t="s">
        <v>3</v>
      </c>
    </row>
    <row r="51" spans="3:8" x14ac:dyDescent="0.25">
      <c r="C51" s="19">
        <v>42323</v>
      </c>
      <c r="D51" s="3">
        <f t="shared" si="0"/>
        <v>0.42708333333333343</v>
      </c>
      <c r="E51" s="3">
        <f t="shared" si="1"/>
        <v>0.42291666666666689</v>
      </c>
      <c r="F51" s="6">
        <v>0.4284722222222222</v>
      </c>
      <c r="G51" s="6">
        <v>0.85555555555555562</v>
      </c>
      <c r="H51" t="s">
        <v>3</v>
      </c>
    </row>
    <row r="52" spans="3:8" x14ac:dyDescent="0.25">
      <c r="C52" s="19">
        <v>42323</v>
      </c>
      <c r="D52" s="3">
        <f t="shared" si="0"/>
        <v>4.1666666666665408E-3</v>
      </c>
      <c r="E52" s="3">
        <f t="shared" si="1"/>
        <v>1.388888888888995E-3</v>
      </c>
      <c r="F52" s="6">
        <v>0.87916666666666676</v>
      </c>
      <c r="G52" s="6">
        <v>0.8833333333333333</v>
      </c>
      <c r="H52" t="s">
        <v>3</v>
      </c>
    </row>
    <row r="53" spans="3:8" x14ac:dyDescent="0.25">
      <c r="C53" s="19">
        <v>42323</v>
      </c>
      <c r="D53" s="3">
        <f t="shared" si="0"/>
        <v>5.5555555555555358E-3</v>
      </c>
      <c r="E53" s="3">
        <f t="shared" si="1"/>
        <v>4.8611111111111216E-3</v>
      </c>
      <c r="F53" s="6">
        <v>0.87986111111111109</v>
      </c>
      <c r="G53" s="6">
        <v>0.88541666666666663</v>
      </c>
      <c r="H53" t="s">
        <v>3</v>
      </c>
    </row>
    <row r="54" spans="3:8" x14ac:dyDescent="0.25">
      <c r="C54" s="19">
        <v>42323</v>
      </c>
      <c r="D54" s="3">
        <f t="shared" si="0"/>
        <v>1.0416666666666657E-2</v>
      </c>
      <c r="E54" s="3">
        <f t="shared" si="1"/>
        <v>2.0833333333332982E-3</v>
      </c>
      <c r="F54" s="6">
        <v>0.20694444444444446</v>
      </c>
      <c r="G54" s="6">
        <v>0.21736111111111112</v>
      </c>
      <c r="H54" t="s">
        <v>3</v>
      </c>
    </row>
    <row r="55" spans="3:8" x14ac:dyDescent="0.25">
      <c r="C55" s="19">
        <v>42323</v>
      </c>
      <c r="D55" s="3">
        <f t="shared" si="0"/>
        <v>8.3333333333333592E-3</v>
      </c>
      <c r="E55" s="3">
        <f t="shared" si="1"/>
        <v>1.3888888888889395E-3</v>
      </c>
      <c r="F55" s="6">
        <v>0.45069444444444445</v>
      </c>
      <c r="G55" s="6">
        <v>0.45902777777777781</v>
      </c>
      <c r="H55" t="s">
        <v>3</v>
      </c>
    </row>
    <row r="56" spans="3:8" x14ac:dyDescent="0.25">
      <c r="C56" s="19">
        <v>42323</v>
      </c>
      <c r="D56" s="3">
        <f t="shared" si="0"/>
        <v>9.7222222222222987E-3</v>
      </c>
      <c r="E56" s="3">
        <f t="shared" si="1"/>
        <v>3.4722222222223209E-3</v>
      </c>
      <c r="F56" s="6">
        <v>0.57847222222222217</v>
      </c>
      <c r="G56" s="6">
        <v>0.58819444444444446</v>
      </c>
      <c r="H56" t="s">
        <v>3</v>
      </c>
    </row>
    <row r="57" spans="3:8" x14ac:dyDescent="0.25">
      <c r="C57" s="19">
        <v>42323</v>
      </c>
      <c r="D57" s="3">
        <f t="shared" si="0"/>
        <v>6.2499999999999778E-3</v>
      </c>
      <c r="E57" s="3">
        <f t="shared" si="1"/>
        <v>1.388888888888884E-3</v>
      </c>
      <c r="F57" s="6">
        <v>0.61041666666666672</v>
      </c>
      <c r="G57" s="6">
        <v>0.6166666666666667</v>
      </c>
      <c r="H57" t="s">
        <v>3</v>
      </c>
    </row>
    <row r="58" spans="3:8" x14ac:dyDescent="0.25">
      <c r="C58" s="19">
        <v>42323</v>
      </c>
      <c r="D58" s="3">
        <f t="shared" si="0"/>
        <v>7.6388888888888618E-3</v>
      </c>
      <c r="E58" s="3">
        <f t="shared" si="1"/>
        <v>3.4722222222222099E-3</v>
      </c>
      <c r="F58" s="6">
        <v>0.67638888888888893</v>
      </c>
      <c r="G58" s="6">
        <v>0.68402777777777779</v>
      </c>
      <c r="H58" t="s">
        <v>3</v>
      </c>
    </row>
    <row r="59" spans="3:8" x14ac:dyDescent="0.25">
      <c r="C59" s="19">
        <v>42323</v>
      </c>
      <c r="D59" s="3">
        <f t="shared" si="0"/>
        <v>1.1111111111111072E-2</v>
      </c>
      <c r="E59" s="3">
        <f t="shared" si="1"/>
        <v>6.9444444444444198E-4</v>
      </c>
      <c r="F59" s="6">
        <v>0.73125000000000007</v>
      </c>
      <c r="G59" s="6">
        <v>0.74236111111111114</v>
      </c>
      <c r="H59" t="s">
        <v>3</v>
      </c>
    </row>
    <row r="60" spans="3:8" x14ac:dyDescent="0.25">
      <c r="C60" s="19">
        <v>42323</v>
      </c>
      <c r="D60" s="3">
        <f t="shared" si="0"/>
        <v>1.1805555555555514E-2</v>
      </c>
      <c r="E60" s="3">
        <f t="shared" si="1"/>
        <v>8.3333333333333037E-3</v>
      </c>
      <c r="F60" s="6">
        <v>0.78055555555555556</v>
      </c>
      <c r="G60" s="6">
        <v>0.79236111111111107</v>
      </c>
      <c r="H60" t="s">
        <v>3</v>
      </c>
    </row>
    <row r="61" spans="3:8" x14ac:dyDescent="0.25">
      <c r="C61" s="19">
        <v>42323</v>
      </c>
      <c r="D61" s="3">
        <f t="shared" si="0"/>
        <v>3.4722222222222099E-3</v>
      </c>
      <c r="E61" s="3">
        <f t="shared" si="1"/>
        <v>6.2499999999998668E-3</v>
      </c>
      <c r="F61" s="6">
        <v>0.8041666666666667</v>
      </c>
      <c r="G61" s="6">
        <v>0.80763888888888891</v>
      </c>
      <c r="H61" t="s">
        <v>3</v>
      </c>
    </row>
    <row r="62" spans="3:8" x14ac:dyDescent="0.25">
      <c r="C62" s="19">
        <v>42323</v>
      </c>
      <c r="D62" s="3">
        <f t="shared" si="0"/>
        <v>9.7222222222220767E-3</v>
      </c>
      <c r="E62" s="3">
        <f t="shared" si="1"/>
        <v>1.4583333333333504E-2</v>
      </c>
      <c r="F62" s="6">
        <v>0.92361111111111116</v>
      </c>
      <c r="G62" s="6">
        <v>0.93333333333333324</v>
      </c>
      <c r="H62" t="s">
        <v>3</v>
      </c>
    </row>
    <row r="63" spans="3:8" x14ac:dyDescent="0.25">
      <c r="C63" s="19">
        <v>42323</v>
      </c>
      <c r="D63" s="3">
        <f t="shared" si="0"/>
        <v>2.430555555555558E-2</v>
      </c>
      <c r="E63" s="3">
        <f t="shared" si="1"/>
        <v>1.4583333333333365E-2</v>
      </c>
      <c r="F63" s="6">
        <v>0.94374999999999998</v>
      </c>
      <c r="G63" s="6">
        <v>0.96805555555555556</v>
      </c>
      <c r="H63" t="s">
        <v>3</v>
      </c>
    </row>
    <row r="64" spans="3:8" x14ac:dyDescent="0.25">
      <c r="C64" s="19">
        <v>42323</v>
      </c>
      <c r="D64" s="3">
        <f t="shared" si="0"/>
        <v>9.7222222222222154E-3</v>
      </c>
      <c r="E64" s="3">
        <f t="shared" si="1"/>
        <v>2.0833333333333537E-3</v>
      </c>
      <c r="F64" s="6">
        <v>0.10347222222222223</v>
      </c>
      <c r="G64" s="6">
        <v>0.11319444444444444</v>
      </c>
      <c r="H64" t="s">
        <v>3</v>
      </c>
    </row>
    <row r="65" spans="3:8" x14ac:dyDescent="0.25">
      <c r="C65" s="19">
        <v>42323</v>
      </c>
      <c r="D65" s="3">
        <f t="shared" si="0"/>
        <v>1.1805555555555569E-2</v>
      </c>
      <c r="E65" s="3">
        <f t="shared" si="1"/>
        <v>1.6666666666666663E-2</v>
      </c>
      <c r="F65" s="6">
        <v>0.47569444444444442</v>
      </c>
      <c r="G65" s="6">
        <v>0.48749999999999999</v>
      </c>
      <c r="H65" t="s">
        <v>3</v>
      </c>
    </row>
    <row r="66" spans="3:8" x14ac:dyDescent="0.25">
      <c r="C66" s="19">
        <v>42323</v>
      </c>
      <c r="D66" s="3">
        <f t="shared" ref="D66:D129" si="2">G66-F66</f>
        <v>2.8472222222222232E-2</v>
      </c>
      <c r="E66" s="3">
        <f t="shared" si="1"/>
        <v>1.7361111111111049E-2</v>
      </c>
      <c r="F66" s="6">
        <v>0.6118055555555556</v>
      </c>
      <c r="G66" s="6">
        <v>0.64027777777777783</v>
      </c>
      <c r="H66" t="s">
        <v>3</v>
      </c>
    </row>
    <row r="67" spans="3:8" x14ac:dyDescent="0.25">
      <c r="C67" s="19">
        <v>42323</v>
      </c>
      <c r="D67" s="3">
        <f t="shared" si="2"/>
        <v>1.1111111111111183E-2</v>
      </c>
      <c r="E67" s="3">
        <f t="shared" ref="E67:E130" si="3">ABS(D67-D68)</f>
        <v>1.1102230246251565E-16</v>
      </c>
      <c r="F67" s="6">
        <v>0.66736111111111107</v>
      </c>
      <c r="G67" s="6">
        <v>0.67847222222222225</v>
      </c>
      <c r="H67" t="s">
        <v>3</v>
      </c>
    </row>
    <row r="68" spans="3:8" x14ac:dyDescent="0.25">
      <c r="C68" s="19">
        <v>42323</v>
      </c>
      <c r="D68" s="3">
        <f t="shared" si="2"/>
        <v>1.1111111111111072E-2</v>
      </c>
      <c r="E68" s="3">
        <f t="shared" si="3"/>
        <v>2.7777777777777679E-3</v>
      </c>
      <c r="F68" s="6">
        <v>0.91319444444444453</v>
      </c>
      <c r="G68" s="6">
        <v>0.9243055555555556</v>
      </c>
      <c r="H68" t="s">
        <v>3</v>
      </c>
    </row>
    <row r="69" spans="3:8" x14ac:dyDescent="0.25">
      <c r="C69" s="19">
        <v>42323</v>
      </c>
      <c r="D69" s="3">
        <f t="shared" si="2"/>
        <v>8.3333333333333037E-3</v>
      </c>
      <c r="E69" s="3">
        <f t="shared" si="3"/>
        <v>2.0833333333332704E-3</v>
      </c>
      <c r="F69" s="6">
        <v>0.98958333333333337</v>
      </c>
      <c r="G69" s="6">
        <v>0.99791666666666667</v>
      </c>
      <c r="H69" t="s">
        <v>3</v>
      </c>
    </row>
    <row r="70" spans="3:8" x14ac:dyDescent="0.25">
      <c r="C70" s="19">
        <v>42323</v>
      </c>
      <c r="D70" s="3">
        <f t="shared" si="2"/>
        <v>6.2500000000000333E-3</v>
      </c>
      <c r="E70" s="3">
        <f t="shared" si="3"/>
        <v>0</v>
      </c>
      <c r="F70" s="6">
        <v>0.34097222222222223</v>
      </c>
      <c r="G70" s="6">
        <v>0.34722222222222227</v>
      </c>
      <c r="H70" t="s">
        <v>3</v>
      </c>
    </row>
    <row r="71" spans="3:8" x14ac:dyDescent="0.25">
      <c r="C71" s="19">
        <v>42323</v>
      </c>
      <c r="D71" s="3">
        <f t="shared" si="2"/>
        <v>6.2500000000000333E-3</v>
      </c>
      <c r="E71" s="3">
        <f t="shared" si="3"/>
        <v>1.7361111111111049E-2</v>
      </c>
      <c r="F71" s="6">
        <v>0.3833333333333333</v>
      </c>
      <c r="G71" s="6">
        <v>0.38958333333333334</v>
      </c>
      <c r="H71" t="s">
        <v>3</v>
      </c>
    </row>
    <row r="72" spans="3:8" x14ac:dyDescent="0.25">
      <c r="C72" s="19">
        <v>42323</v>
      </c>
      <c r="D72" s="3">
        <f t="shared" si="2"/>
        <v>2.3611111111111083E-2</v>
      </c>
      <c r="E72" s="3">
        <f t="shared" si="3"/>
        <v>1.2500000000000011E-2</v>
      </c>
      <c r="F72" s="6">
        <v>0.47361111111111115</v>
      </c>
      <c r="G72" s="6">
        <v>0.49722222222222223</v>
      </c>
      <c r="H72" t="s">
        <v>3</v>
      </c>
    </row>
    <row r="73" spans="3:8" x14ac:dyDescent="0.25">
      <c r="C73" s="19">
        <v>42323</v>
      </c>
      <c r="D73" s="3">
        <f t="shared" si="2"/>
        <v>1.1111111111111072E-2</v>
      </c>
      <c r="E73" s="3">
        <f t="shared" si="3"/>
        <v>1.3888888888887729E-3</v>
      </c>
      <c r="F73" s="6">
        <v>0.52222222222222225</v>
      </c>
      <c r="G73" s="6">
        <v>0.53333333333333333</v>
      </c>
      <c r="H73" t="s">
        <v>3</v>
      </c>
    </row>
    <row r="74" spans="3:8" x14ac:dyDescent="0.25">
      <c r="C74" s="19">
        <v>42323</v>
      </c>
      <c r="D74" s="3">
        <f t="shared" si="2"/>
        <v>9.7222222222222987E-3</v>
      </c>
      <c r="E74" s="3">
        <f t="shared" si="3"/>
        <v>6.9444444444444198E-3</v>
      </c>
      <c r="F74" s="6">
        <v>0.60347222222222219</v>
      </c>
      <c r="G74" s="6">
        <v>0.61319444444444449</v>
      </c>
      <c r="H74" t="s">
        <v>3</v>
      </c>
    </row>
    <row r="75" spans="3:8" x14ac:dyDescent="0.25">
      <c r="C75" s="19">
        <v>42323</v>
      </c>
      <c r="D75" s="3">
        <f t="shared" si="2"/>
        <v>1.6666666666666718E-2</v>
      </c>
      <c r="E75" s="3">
        <f t="shared" si="3"/>
        <v>6.2500000000000888E-3</v>
      </c>
      <c r="F75" s="6">
        <v>0.82638888888888884</v>
      </c>
      <c r="G75" s="6">
        <v>0.84305555555555556</v>
      </c>
      <c r="H75" t="s">
        <v>3</v>
      </c>
    </row>
    <row r="76" spans="3:8" x14ac:dyDescent="0.25">
      <c r="C76" s="19">
        <v>42323</v>
      </c>
      <c r="D76" s="3">
        <f t="shared" si="2"/>
        <v>1.041666666666663E-2</v>
      </c>
      <c r="E76" s="3">
        <f t="shared" si="3"/>
        <v>6.9444444444444198E-3</v>
      </c>
      <c r="F76" s="6">
        <v>0.92361111111111116</v>
      </c>
      <c r="G76" s="6">
        <v>0.93402777777777779</v>
      </c>
      <c r="H76" t="s">
        <v>3</v>
      </c>
    </row>
    <row r="77" spans="3:8" x14ac:dyDescent="0.25">
      <c r="C77" s="19">
        <v>42323</v>
      </c>
      <c r="D77" s="3">
        <f t="shared" si="2"/>
        <v>3.4722222222222099E-3</v>
      </c>
      <c r="E77" s="3">
        <f t="shared" si="3"/>
        <v>6.2500000000000056E-3</v>
      </c>
      <c r="F77" s="6">
        <v>0.94305555555555554</v>
      </c>
      <c r="G77" s="6">
        <v>0.94652777777777775</v>
      </c>
      <c r="H77" t="s">
        <v>3</v>
      </c>
    </row>
    <row r="78" spans="3:8" x14ac:dyDescent="0.25">
      <c r="C78" s="19">
        <v>42323</v>
      </c>
      <c r="D78" s="3">
        <f t="shared" si="2"/>
        <v>9.7222222222222154E-3</v>
      </c>
      <c r="E78" s="3">
        <f t="shared" si="3"/>
        <v>3.4722222222222099E-3</v>
      </c>
      <c r="F78" s="6">
        <v>0.14791666666666667</v>
      </c>
      <c r="G78" s="6">
        <v>0.15763888888888888</v>
      </c>
      <c r="H78" t="s">
        <v>3</v>
      </c>
    </row>
    <row r="79" spans="3:8" x14ac:dyDescent="0.25">
      <c r="C79" s="19">
        <v>42323</v>
      </c>
      <c r="D79" s="3">
        <f t="shared" si="2"/>
        <v>6.2500000000000056E-3</v>
      </c>
      <c r="E79" s="3">
        <f t="shared" si="3"/>
        <v>6.9444444444441422E-4</v>
      </c>
      <c r="F79" s="6">
        <v>0.15138888888888888</v>
      </c>
      <c r="G79" s="6">
        <v>0.15763888888888888</v>
      </c>
      <c r="H79" t="s">
        <v>3</v>
      </c>
    </row>
    <row r="80" spans="3:8" x14ac:dyDescent="0.25">
      <c r="C80" s="19">
        <v>42323</v>
      </c>
      <c r="D80" s="3">
        <f t="shared" si="2"/>
        <v>6.9444444444444198E-3</v>
      </c>
      <c r="E80" s="3">
        <f t="shared" si="3"/>
        <v>3.4722222222221544E-3</v>
      </c>
      <c r="F80" s="6">
        <v>0.3666666666666667</v>
      </c>
      <c r="G80" s="6">
        <v>0.37361111111111112</v>
      </c>
      <c r="H80" t="s">
        <v>3</v>
      </c>
    </row>
    <row r="81" spans="3:8" x14ac:dyDescent="0.25">
      <c r="C81" s="19">
        <v>42323</v>
      </c>
      <c r="D81" s="3">
        <f t="shared" si="2"/>
        <v>3.4722222222222654E-3</v>
      </c>
      <c r="E81" s="3">
        <f t="shared" si="3"/>
        <v>6.9444444444438647E-4</v>
      </c>
      <c r="F81" s="6">
        <v>0.4458333333333333</v>
      </c>
      <c r="G81" s="6">
        <v>0.44930555555555557</v>
      </c>
      <c r="H81" t="s">
        <v>3</v>
      </c>
    </row>
    <row r="82" spans="3:8" x14ac:dyDescent="0.25">
      <c r="C82" s="19">
        <v>42323</v>
      </c>
      <c r="D82" s="3">
        <f t="shared" si="2"/>
        <v>4.1666666666666519E-3</v>
      </c>
      <c r="E82" s="3">
        <f t="shared" si="3"/>
        <v>1.388888888888884E-3</v>
      </c>
      <c r="F82" s="6">
        <v>0.46736111111111112</v>
      </c>
      <c r="G82" s="6">
        <v>0.47152777777777777</v>
      </c>
      <c r="H82" t="s">
        <v>3</v>
      </c>
    </row>
    <row r="83" spans="3:8" x14ac:dyDescent="0.25">
      <c r="C83" s="19">
        <v>42323</v>
      </c>
      <c r="D83" s="3">
        <f t="shared" si="2"/>
        <v>5.5555555555555358E-3</v>
      </c>
      <c r="E83" s="3">
        <f t="shared" si="3"/>
        <v>8.3333333333333037E-3</v>
      </c>
      <c r="F83" s="6">
        <v>0.47291666666666665</v>
      </c>
      <c r="G83" s="6">
        <v>0.47847222222222219</v>
      </c>
      <c r="H83" t="s">
        <v>3</v>
      </c>
    </row>
    <row r="84" spans="3:8" x14ac:dyDescent="0.25">
      <c r="C84" s="19">
        <v>42323</v>
      </c>
      <c r="D84" s="3">
        <f t="shared" si="2"/>
        <v>1.388888888888884E-2</v>
      </c>
      <c r="E84" s="3">
        <f t="shared" si="3"/>
        <v>1.1805555555555625E-2</v>
      </c>
      <c r="F84" s="6">
        <v>0.6166666666666667</v>
      </c>
      <c r="G84" s="6">
        <v>0.63055555555555554</v>
      </c>
      <c r="H84" t="s">
        <v>3</v>
      </c>
    </row>
    <row r="85" spans="3:8" x14ac:dyDescent="0.25">
      <c r="C85" s="19">
        <v>42323</v>
      </c>
      <c r="D85" s="3">
        <f t="shared" si="2"/>
        <v>2.5694444444444464E-2</v>
      </c>
      <c r="E85" s="3">
        <f t="shared" si="3"/>
        <v>3.4722222222220989E-3</v>
      </c>
      <c r="F85" s="6">
        <v>0.70277777777777783</v>
      </c>
      <c r="G85" s="6">
        <v>0.7284722222222223</v>
      </c>
      <c r="H85" t="s">
        <v>3</v>
      </c>
    </row>
    <row r="86" spans="3:8" x14ac:dyDescent="0.25">
      <c r="C86" s="19">
        <v>42323</v>
      </c>
      <c r="D86" s="3">
        <f t="shared" si="2"/>
        <v>2.2222222222222365E-2</v>
      </c>
      <c r="E86" s="3">
        <f t="shared" si="3"/>
        <v>1.4583333333333393E-2</v>
      </c>
      <c r="F86" s="6">
        <v>0.73749999999999993</v>
      </c>
      <c r="G86" s="6">
        <v>0.7597222222222223</v>
      </c>
      <c r="H86" t="s">
        <v>3</v>
      </c>
    </row>
    <row r="87" spans="3:8" x14ac:dyDescent="0.25">
      <c r="C87" s="19">
        <v>42323</v>
      </c>
      <c r="D87" s="3">
        <f t="shared" si="2"/>
        <v>7.6388888888889728E-3</v>
      </c>
      <c r="E87" s="3">
        <f t="shared" si="3"/>
        <v>2.7777777777777679E-3</v>
      </c>
      <c r="F87" s="6">
        <v>0.73749999999999993</v>
      </c>
      <c r="G87" s="6">
        <v>0.74513888888888891</v>
      </c>
      <c r="H87" t="s">
        <v>3</v>
      </c>
    </row>
    <row r="88" spans="3:8" x14ac:dyDescent="0.25">
      <c r="C88" s="19">
        <v>42323</v>
      </c>
      <c r="D88" s="3">
        <f t="shared" si="2"/>
        <v>4.8611111111112049E-3</v>
      </c>
      <c r="E88" s="3">
        <f t="shared" si="3"/>
        <v>1.1102230246251565E-16</v>
      </c>
      <c r="F88" s="6">
        <v>0.79166666666666663</v>
      </c>
      <c r="G88" s="6">
        <v>0.79652777777777783</v>
      </c>
      <c r="H88" t="s">
        <v>3</v>
      </c>
    </row>
    <row r="89" spans="3:8" x14ac:dyDescent="0.25">
      <c r="C89" s="19">
        <v>42323</v>
      </c>
      <c r="D89" s="3">
        <f t="shared" si="2"/>
        <v>4.8611111111110938E-3</v>
      </c>
      <c r="E89" s="3">
        <f t="shared" si="3"/>
        <v>4.1666666666666935E-3</v>
      </c>
      <c r="F89" s="6">
        <v>0.85902777777777783</v>
      </c>
      <c r="G89" s="6">
        <v>0.86388888888888893</v>
      </c>
      <c r="H89" t="s">
        <v>3</v>
      </c>
    </row>
    <row r="90" spans="3:8" x14ac:dyDescent="0.25">
      <c r="C90" s="19">
        <v>42323</v>
      </c>
      <c r="D90" s="3">
        <f t="shared" si="2"/>
        <v>9.0277777777777873E-3</v>
      </c>
      <c r="E90" s="3">
        <f t="shared" si="3"/>
        <v>4.8611111111111077E-3</v>
      </c>
      <c r="F90" s="6">
        <v>0.1173611111111111</v>
      </c>
      <c r="G90" s="6">
        <v>0.12638888888888888</v>
      </c>
      <c r="H90" t="s">
        <v>3</v>
      </c>
    </row>
    <row r="91" spans="3:8" x14ac:dyDescent="0.25">
      <c r="C91" s="19">
        <v>42323</v>
      </c>
      <c r="D91" s="3">
        <f t="shared" si="2"/>
        <v>1.3888888888888895E-2</v>
      </c>
      <c r="E91" s="3">
        <f t="shared" si="3"/>
        <v>5.5511151231257827E-17</v>
      </c>
      <c r="F91" s="6">
        <v>0.29791666666666666</v>
      </c>
      <c r="G91" s="6">
        <v>0.31180555555555556</v>
      </c>
      <c r="H91" t="s">
        <v>3</v>
      </c>
    </row>
    <row r="92" spans="3:8" x14ac:dyDescent="0.25">
      <c r="C92" s="19">
        <v>42323</v>
      </c>
      <c r="D92" s="3">
        <f t="shared" si="2"/>
        <v>1.388888888888884E-2</v>
      </c>
      <c r="E92" s="3">
        <f t="shared" si="3"/>
        <v>6.9444444444433095E-4</v>
      </c>
      <c r="F92" s="6">
        <v>0.43958333333333338</v>
      </c>
      <c r="G92" s="6">
        <v>0.45347222222222222</v>
      </c>
      <c r="H92" t="s">
        <v>3</v>
      </c>
    </row>
    <row r="93" spans="3:8" x14ac:dyDescent="0.25">
      <c r="C93" s="19">
        <v>42323</v>
      </c>
      <c r="D93" s="3">
        <f t="shared" si="2"/>
        <v>1.3194444444444509E-2</v>
      </c>
      <c r="E93" s="3">
        <f t="shared" si="3"/>
        <v>7.6388888888889728E-3</v>
      </c>
      <c r="F93" s="6">
        <v>0.54166666666666663</v>
      </c>
      <c r="G93" s="6">
        <v>0.55486111111111114</v>
      </c>
      <c r="H93" t="s">
        <v>3</v>
      </c>
    </row>
    <row r="94" spans="3:8" x14ac:dyDescent="0.25">
      <c r="C94" s="19">
        <v>42323</v>
      </c>
      <c r="D94" s="3">
        <f t="shared" si="2"/>
        <v>5.5555555555555358E-3</v>
      </c>
      <c r="E94" s="3">
        <f t="shared" si="3"/>
        <v>8.3333333333333037E-3</v>
      </c>
      <c r="F94" s="6">
        <v>0.56666666666666665</v>
      </c>
      <c r="G94" s="6">
        <v>0.57222222222222219</v>
      </c>
      <c r="H94" t="s">
        <v>3</v>
      </c>
    </row>
    <row r="95" spans="3:8" x14ac:dyDescent="0.25">
      <c r="C95" s="19">
        <v>42323</v>
      </c>
      <c r="D95" s="3">
        <f t="shared" si="2"/>
        <v>1.388888888888884E-2</v>
      </c>
      <c r="E95" s="3">
        <f t="shared" si="3"/>
        <v>6.9444444444445308E-3</v>
      </c>
      <c r="F95" s="6">
        <v>0.61319444444444449</v>
      </c>
      <c r="G95" s="6">
        <v>0.62708333333333333</v>
      </c>
      <c r="H95" t="s">
        <v>3</v>
      </c>
    </row>
    <row r="96" spans="3:8" x14ac:dyDescent="0.25">
      <c r="C96" s="19">
        <v>42323</v>
      </c>
      <c r="D96" s="3">
        <f t="shared" si="2"/>
        <v>2.083333333333337E-2</v>
      </c>
      <c r="E96" s="3">
        <f t="shared" si="3"/>
        <v>6.9444444444444198E-3</v>
      </c>
      <c r="F96" s="6">
        <v>0.6875</v>
      </c>
      <c r="G96" s="6">
        <v>0.70833333333333337</v>
      </c>
      <c r="H96" t="s">
        <v>3</v>
      </c>
    </row>
    <row r="97" spans="3:8" x14ac:dyDescent="0.25">
      <c r="C97" s="19">
        <v>42323</v>
      </c>
      <c r="D97" s="3">
        <f t="shared" si="2"/>
        <v>2.777777777777779E-2</v>
      </c>
      <c r="E97" s="3">
        <f t="shared" si="3"/>
        <v>1.4583333333333393E-2</v>
      </c>
      <c r="F97" s="6">
        <v>0.75347222222222221</v>
      </c>
      <c r="G97" s="6">
        <v>0.78125</v>
      </c>
      <c r="H97" t="s">
        <v>3</v>
      </c>
    </row>
    <row r="98" spans="3:8" x14ac:dyDescent="0.25">
      <c r="C98" s="19">
        <v>42323</v>
      </c>
      <c r="D98" s="3">
        <f t="shared" si="2"/>
        <v>1.3194444444444398E-2</v>
      </c>
      <c r="E98" s="3">
        <f t="shared" si="3"/>
        <v>6.9444444444444198E-4</v>
      </c>
      <c r="F98" s="6">
        <v>0.80763888888888891</v>
      </c>
      <c r="G98" s="6">
        <v>0.8208333333333333</v>
      </c>
      <c r="H98" t="s">
        <v>3</v>
      </c>
    </row>
    <row r="99" spans="3:8" x14ac:dyDescent="0.25">
      <c r="C99" s="19">
        <v>42323</v>
      </c>
      <c r="D99" s="3">
        <f t="shared" si="2"/>
        <v>1.2499999999999956E-2</v>
      </c>
      <c r="E99" s="3">
        <f t="shared" si="3"/>
        <v>6.9444444444444198E-3</v>
      </c>
      <c r="F99" s="6">
        <v>0.65</v>
      </c>
      <c r="G99" s="6">
        <v>0.66249999999999998</v>
      </c>
      <c r="H99" t="s">
        <v>3</v>
      </c>
    </row>
    <row r="100" spans="3:8" x14ac:dyDescent="0.25">
      <c r="C100" s="19">
        <v>42323</v>
      </c>
      <c r="D100" s="3">
        <f t="shared" si="2"/>
        <v>5.5555555555555358E-3</v>
      </c>
      <c r="E100" s="3">
        <f t="shared" si="3"/>
        <v>6.9444444444444198E-4</v>
      </c>
      <c r="F100" s="6">
        <v>0.70833333333333337</v>
      </c>
      <c r="G100" s="6">
        <v>0.71388888888888891</v>
      </c>
      <c r="H100" t="s">
        <v>3</v>
      </c>
    </row>
    <row r="101" spans="3:8" x14ac:dyDescent="0.25">
      <c r="C101" s="19">
        <v>42323</v>
      </c>
      <c r="D101" s="3">
        <f t="shared" si="2"/>
        <v>6.2499999999999778E-3</v>
      </c>
      <c r="E101" s="3">
        <f t="shared" si="3"/>
        <v>2.7777777777776569E-3</v>
      </c>
      <c r="F101" s="6">
        <v>0.80625000000000002</v>
      </c>
      <c r="G101" s="6">
        <v>0.8125</v>
      </c>
      <c r="H101" t="s">
        <v>3</v>
      </c>
    </row>
    <row r="102" spans="3:8" x14ac:dyDescent="0.25">
      <c r="C102" s="19">
        <v>42323</v>
      </c>
      <c r="D102" s="3">
        <f t="shared" si="2"/>
        <v>3.4722222222223209E-3</v>
      </c>
      <c r="E102" s="3">
        <f t="shared" si="3"/>
        <v>2.4305555555555469E-2</v>
      </c>
      <c r="F102" s="6">
        <v>0.80555555555555547</v>
      </c>
      <c r="G102" s="6">
        <v>0.80902777777777779</v>
      </c>
      <c r="H102" t="s">
        <v>3</v>
      </c>
    </row>
    <row r="103" spans="3:8" x14ac:dyDescent="0.25">
      <c r="C103" s="19">
        <v>42323</v>
      </c>
      <c r="D103" s="3">
        <f t="shared" si="2"/>
        <v>2.777777777777779E-2</v>
      </c>
      <c r="E103" s="3">
        <f t="shared" si="3"/>
        <v>2.430555555555558E-2</v>
      </c>
      <c r="F103" s="6">
        <v>0.80208333333333337</v>
      </c>
      <c r="G103" s="6">
        <v>0.82986111111111116</v>
      </c>
      <c r="H103" t="s">
        <v>3</v>
      </c>
    </row>
    <row r="104" spans="3:8" x14ac:dyDescent="0.25">
      <c r="C104" s="19">
        <v>42323</v>
      </c>
      <c r="D104" s="3">
        <f t="shared" si="2"/>
        <v>3.4722222222222099E-3</v>
      </c>
      <c r="E104" s="3">
        <f t="shared" si="3"/>
        <v>1.5972222222222276E-2</v>
      </c>
      <c r="F104" s="6">
        <v>0.86111111111111116</v>
      </c>
      <c r="G104" s="6">
        <v>0.86458333333333337</v>
      </c>
      <c r="H104" t="s">
        <v>3</v>
      </c>
    </row>
    <row r="105" spans="3:8" x14ac:dyDescent="0.25">
      <c r="C105" s="19">
        <v>42323</v>
      </c>
      <c r="D105" s="3">
        <f t="shared" si="2"/>
        <v>1.9444444444444486E-2</v>
      </c>
      <c r="E105" s="3">
        <f t="shared" si="3"/>
        <v>1.1805555555555625E-2</v>
      </c>
      <c r="F105" s="6">
        <v>0.83888888888888891</v>
      </c>
      <c r="G105" s="6">
        <v>0.85833333333333339</v>
      </c>
      <c r="H105" t="s">
        <v>3</v>
      </c>
    </row>
    <row r="106" spans="3:8" x14ac:dyDescent="0.25">
      <c r="C106" s="19">
        <v>42323</v>
      </c>
      <c r="D106" s="3">
        <f t="shared" si="2"/>
        <v>7.6388888888888618E-3</v>
      </c>
      <c r="E106" s="3">
        <f t="shared" si="3"/>
        <v>2.0833333333333814E-3</v>
      </c>
      <c r="F106" s="6">
        <v>0.94166666666666676</v>
      </c>
      <c r="G106" s="6">
        <v>0.94930555555555562</v>
      </c>
      <c r="H106" t="s">
        <v>3</v>
      </c>
    </row>
    <row r="107" spans="3:8" x14ac:dyDescent="0.25">
      <c r="C107" s="19">
        <v>42323</v>
      </c>
      <c r="D107" s="3">
        <f t="shared" si="2"/>
        <v>9.7222222222222432E-3</v>
      </c>
      <c r="E107" s="3">
        <f t="shared" si="3"/>
        <v>2.7777777777778234E-3</v>
      </c>
      <c r="F107" s="6">
        <v>0.16319444444444445</v>
      </c>
      <c r="G107" s="6">
        <v>0.17291666666666669</v>
      </c>
      <c r="H107" t="s">
        <v>3</v>
      </c>
    </row>
    <row r="108" spans="3:8" x14ac:dyDescent="0.25">
      <c r="C108" s="19">
        <v>42323</v>
      </c>
      <c r="D108" s="3">
        <f t="shared" si="2"/>
        <v>6.9444444444444198E-3</v>
      </c>
      <c r="E108" s="3">
        <f t="shared" si="3"/>
        <v>2.0833333333333259E-3</v>
      </c>
      <c r="F108" s="6">
        <v>0.33333333333333331</v>
      </c>
      <c r="G108" s="6">
        <v>0.34027777777777773</v>
      </c>
      <c r="H108" t="s">
        <v>3</v>
      </c>
    </row>
    <row r="109" spans="3:8" x14ac:dyDescent="0.25">
      <c r="C109" s="19">
        <v>42323</v>
      </c>
      <c r="D109" s="3">
        <f t="shared" si="2"/>
        <v>4.8611111111110938E-3</v>
      </c>
      <c r="E109" s="3">
        <f t="shared" si="3"/>
        <v>5.5555555555556468E-3</v>
      </c>
      <c r="F109" s="6">
        <v>0.52500000000000002</v>
      </c>
      <c r="G109" s="6">
        <v>0.52986111111111112</v>
      </c>
      <c r="H109" t="s">
        <v>3</v>
      </c>
    </row>
    <row r="110" spans="3:8" x14ac:dyDescent="0.25">
      <c r="C110" s="19">
        <v>42323</v>
      </c>
      <c r="D110" s="3">
        <f t="shared" si="2"/>
        <v>1.0416666666666741E-2</v>
      </c>
      <c r="E110" s="3">
        <f t="shared" si="3"/>
        <v>2.7777777777776569E-3</v>
      </c>
      <c r="F110" s="6">
        <v>0.81736111111111109</v>
      </c>
      <c r="G110" s="6">
        <v>0.82777777777777783</v>
      </c>
      <c r="H110" t="s">
        <v>3</v>
      </c>
    </row>
    <row r="111" spans="3:8" x14ac:dyDescent="0.25">
      <c r="C111" s="19">
        <v>42323</v>
      </c>
      <c r="D111" s="3">
        <f t="shared" si="2"/>
        <v>1.3194444444444398E-2</v>
      </c>
      <c r="E111" s="3">
        <f t="shared" si="3"/>
        <v>4.8611111111110938E-3</v>
      </c>
      <c r="F111" s="6">
        <v>0.81597222222222221</v>
      </c>
      <c r="G111" s="6">
        <v>0.82916666666666661</v>
      </c>
      <c r="H111" t="s">
        <v>3</v>
      </c>
    </row>
    <row r="112" spans="3:8" x14ac:dyDescent="0.25">
      <c r="C112" s="19">
        <v>42323</v>
      </c>
      <c r="D112" s="3">
        <f t="shared" si="2"/>
        <v>8.3333333333333037E-3</v>
      </c>
      <c r="E112" s="3">
        <f t="shared" si="3"/>
        <v>2.0833333333333259E-3</v>
      </c>
      <c r="F112" s="6">
        <v>0.9243055555555556</v>
      </c>
      <c r="G112" s="6">
        <v>0.93263888888888891</v>
      </c>
      <c r="H112" t="s">
        <v>3</v>
      </c>
    </row>
    <row r="113" spans="3:8" x14ac:dyDescent="0.25">
      <c r="C113" s="19">
        <v>42323</v>
      </c>
      <c r="D113" s="3">
        <f t="shared" si="2"/>
        <v>6.2499999999999778E-3</v>
      </c>
      <c r="E113" s="3">
        <f t="shared" si="3"/>
        <v>2.7777777777776569E-3</v>
      </c>
      <c r="F113" s="6">
        <v>0.50347222222222221</v>
      </c>
      <c r="G113" s="6">
        <v>0.50972222222222219</v>
      </c>
      <c r="H113" t="s">
        <v>3</v>
      </c>
    </row>
    <row r="114" spans="3:8" x14ac:dyDescent="0.25">
      <c r="C114" s="19">
        <v>42323</v>
      </c>
      <c r="D114" s="3">
        <f t="shared" si="2"/>
        <v>9.0277777777776347E-3</v>
      </c>
      <c r="E114" s="3">
        <f t="shared" si="3"/>
        <v>4.1666666666664298E-3</v>
      </c>
      <c r="F114" s="6">
        <v>0.6972222222222223</v>
      </c>
      <c r="G114" s="6">
        <v>0.70624999999999993</v>
      </c>
      <c r="H114" t="s">
        <v>3</v>
      </c>
    </row>
    <row r="115" spans="3:8" x14ac:dyDescent="0.25">
      <c r="C115" s="19">
        <v>42323</v>
      </c>
      <c r="D115" s="3">
        <f t="shared" si="2"/>
        <v>4.8611111111112049E-3</v>
      </c>
      <c r="E115" s="3">
        <f t="shared" si="3"/>
        <v>1.388888888889106E-3</v>
      </c>
      <c r="F115" s="6">
        <v>0.80833333333333324</v>
      </c>
      <c r="G115" s="6">
        <v>0.81319444444444444</v>
      </c>
      <c r="H115" t="s">
        <v>3</v>
      </c>
    </row>
    <row r="116" spans="3:8" x14ac:dyDescent="0.25">
      <c r="C116" s="19">
        <v>42323</v>
      </c>
      <c r="D116" s="3">
        <f t="shared" si="2"/>
        <v>3.4722222222220989E-3</v>
      </c>
      <c r="E116" s="3">
        <f t="shared" si="3"/>
        <v>1.3888888888890227E-3</v>
      </c>
      <c r="F116" s="6">
        <v>0.95000000000000007</v>
      </c>
      <c r="G116" s="6">
        <v>0.95347222222222217</v>
      </c>
      <c r="H116" t="s">
        <v>3</v>
      </c>
    </row>
    <row r="117" spans="3:8" x14ac:dyDescent="0.25">
      <c r="C117" s="19">
        <v>42323</v>
      </c>
      <c r="D117" s="3">
        <f t="shared" si="2"/>
        <v>4.8611111111111216E-3</v>
      </c>
      <c r="E117" s="3">
        <f t="shared" si="3"/>
        <v>9.7222222222222154E-3</v>
      </c>
      <c r="F117" s="6">
        <v>0.15138888888888888</v>
      </c>
      <c r="G117" s="6">
        <v>0.15625</v>
      </c>
      <c r="H117" t="s">
        <v>3</v>
      </c>
    </row>
    <row r="118" spans="3:8" x14ac:dyDescent="0.25">
      <c r="C118" s="19">
        <v>42323</v>
      </c>
      <c r="D118" s="3">
        <f t="shared" si="2"/>
        <v>1.4583333333333337E-2</v>
      </c>
      <c r="E118" s="3">
        <f t="shared" si="3"/>
        <v>3.4722222222222099E-3</v>
      </c>
      <c r="F118" s="6">
        <v>0.30763888888888891</v>
      </c>
      <c r="G118" s="6">
        <v>0.32222222222222224</v>
      </c>
      <c r="H118" t="s">
        <v>3</v>
      </c>
    </row>
    <row r="119" spans="3:8" x14ac:dyDescent="0.25">
      <c r="C119" s="19">
        <v>42323</v>
      </c>
      <c r="D119" s="3">
        <f t="shared" si="2"/>
        <v>1.8055555555555547E-2</v>
      </c>
      <c r="E119" s="3">
        <f t="shared" si="3"/>
        <v>9.7222222222221877E-3</v>
      </c>
      <c r="F119" s="6">
        <v>0.34513888888888888</v>
      </c>
      <c r="G119" s="6">
        <v>0.36319444444444443</v>
      </c>
      <c r="H119" t="s">
        <v>3</v>
      </c>
    </row>
    <row r="120" spans="3:8" x14ac:dyDescent="0.25">
      <c r="C120" s="19">
        <v>42323</v>
      </c>
      <c r="D120" s="3">
        <f t="shared" si="2"/>
        <v>8.3333333333333592E-3</v>
      </c>
      <c r="E120" s="3">
        <f t="shared" si="3"/>
        <v>3.4722222222223209E-3</v>
      </c>
      <c r="F120" s="6">
        <v>0.35694444444444445</v>
      </c>
      <c r="G120" s="6">
        <v>0.36527777777777781</v>
      </c>
      <c r="H120" t="s">
        <v>3</v>
      </c>
    </row>
    <row r="121" spans="3:8" x14ac:dyDescent="0.25">
      <c r="C121" s="19">
        <v>42323</v>
      </c>
      <c r="D121" s="3">
        <f t="shared" si="2"/>
        <v>4.8611111111110383E-3</v>
      </c>
      <c r="E121" s="3">
        <f t="shared" si="3"/>
        <v>3.1944444444444609E-2</v>
      </c>
      <c r="F121" s="6">
        <v>0.39652777777777781</v>
      </c>
      <c r="G121" s="6">
        <v>0.40138888888888885</v>
      </c>
      <c r="H121" t="s">
        <v>3</v>
      </c>
    </row>
    <row r="122" spans="3:8" x14ac:dyDescent="0.25">
      <c r="C122" s="19">
        <v>42323</v>
      </c>
      <c r="D122" s="3">
        <f t="shared" si="2"/>
        <v>3.6805555555555647E-2</v>
      </c>
      <c r="E122" s="3">
        <f t="shared" si="3"/>
        <v>2.4305555555555691E-2</v>
      </c>
      <c r="F122" s="6">
        <v>0.47569444444444442</v>
      </c>
      <c r="G122" s="6">
        <v>0.51250000000000007</v>
      </c>
      <c r="H122" t="s">
        <v>3</v>
      </c>
    </row>
    <row r="123" spans="3:8" x14ac:dyDescent="0.25">
      <c r="C123" s="19">
        <v>42323</v>
      </c>
      <c r="D123" s="3">
        <f t="shared" si="2"/>
        <v>1.2499999999999956E-2</v>
      </c>
      <c r="E123" s="3">
        <f t="shared" si="3"/>
        <v>6.2499999999998668E-3</v>
      </c>
      <c r="F123" s="6">
        <v>0.51944444444444449</v>
      </c>
      <c r="G123" s="6">
        <v>0.53194444444444444</v>
      </c>
      <c r="H123" t="s">
        <v>3</v>
      </c>
    </row>
    <row r="124" spans="3:8" x14ac:dyDescent="0.25">
      <c r="C124" s="19">
        <v>42323</v>
      </c>
      <c r="D124" s="3">
        <f t="shared" si="2"/>
        <v>6.2500000000000888E-3</v>
      </c>
      <c r="E124" s="3">
        <f t="shared" si="3"/>
        <v>2.7777777777776569E-3</v>
      </c>
      <c r="F124" s="6">
        <v>0.55138888888888882</v>
      </c>
      <c r="G124" s="6">
        <v>0.55763888888888891</v>
      </c>
      <c r="H124" t="s">
        <v>3</v>
      </c>
    </row>
    <row r="125" spans="3:8" x14ac:dyDescent="0.25">
      <c r="C125" s="19">
        <v>42323</v>
      </c>
      <c r="D125" s="3">
        <f t="shared" si="2"/>
        <v>9.0277777777777457E-3</v>
      </c>
      <c r="E125" s="3">
        <f t="shared" si="3"/>
        <v>4.8611111111110938E-3</v>
      </c>
      <c r="F125" s="6">
        <v>0.59375</v>
      </c>
      <c r="G125" s="6">
        <v>0.60277777777777775</v>
      </c>
      <c r="H125" t="s">
        <v>3</v>
      </c>
    </row>
    <row r="126" spans="3:8" x14ac:dyDescent="0.25">
      <c r="C126" s="19">
        <v>42323</v>
      </c>
      <c r="D126" s="3">
        <f t="shared" si="2"/>
        <v>4.1666666666666519E-3</v>
      </c>
      <c r="E126" s="3">
        <f t="shared" si="3"/>
        <v>7.6388888888888618E-3</v>
      </c>
      <c r="F126" s="6">
        <v>0.63680555555555551</v>
      </c>
      <c r="G126" s="6">
        <v>0.64097222222222217</v>
      </c>
      <c r="H126" t="s">
        <v>3</v>
      </c>
    </row>
    <row r="127" spans="3:8" x14ac:dyDescent="0.25">
      <c r="C127" s="19">
        <v>42323</v>
      </c>
      <c r="D127" s="3">
        <f t="shared" si="2"/>
        <v>1.1805555555555514E-2</v>
      </c>
      <c r="E127" s="3">
        <f t="shared" si="3"/>
        <v>2.7777777777777679E-3</v>
      </c>
      <c r="F127" s="6">
        <v>0.62152777777777779</v>
      </c>
      <c r="G127" s="6">
        <v>0.6333333333333333</v>
      </c>
      <c r="H127" t="s">
        <v>3</v>
      </c>
    </row>
    <row r="128" spans="3:8" x14ac:dyDescent="0.25">
      <c r="C128" s="19">
        <v>42323</v>
      </c>
      <c r="D128" s="3">
        <f t="shared" si="2"/>
        <v>9.0277777777777457E-3</v>
      </c>
      <c r="E128" s="3">
        <f t="shared" si="3"/>
        <v>9.7222222222224097E-3</v>
      </c>
      <c r="F128" s="6">
        <v>0.65138888888888891</v>
      </c>
      <c r="G128" s="6">
        <v>0.66041666666666665</v>
      </c>
      <c r="H128" t="s">
        <v>3</v>
      </c>
    </row>
    <row r="129" spans="3:8" x14ac:dyDescent="0.25">
      <c r="C129" s="19">
        <v>42323</v>
      </c>
      <c r="D129" s="3">
        <f t="shared" si="2"/>
        <v>1.8750000000000155E-2</v>
      </c>
      <c r="E129" s="3">
        <f t="shared" si="3"/>
        <v>1.2499999999999845E-2</v>
      </c>
      <c r="F129" s="6">
        <v>0.76388888888888884</v>
      </c>
      <c r="G129" s="6">
        <v>0.78263888888888899</v>
      </c>
      <c r="H129" t="s">
        <v>3</v>
      </c>
    </row>
    <row r="130" spans="3:8" x14ac:dyDescent="0.25">
      <c r="C130" s="19">
        <v>42323</v>
      </c>
      <c r="D130" s="3">
        <f t="shared" ref="D130:D193" si="4">G130-F130</f>
        <v>3.125E-2</v>
      </c>
      <c r="E130" s="3">
        <f t="shared" si="3"/>
        <v>2.430555555555558E-2</v>
      </c>
      <c r="F130" s="6">
        <v>0.76527777777777783</v>
      </c>
      <c r="G130" s="6">
        <v>0.79652777777777783</v>
      </c>
      <c r="H130" t="s">
        <v>3</v>
      </c>
    </row>
    <row r="131" spans="3:8" x14ac:dyDescent="0.25">
      <c r="C131" s="19">
        <v>42323</v>
      </c>
      <c r="D131" s="3">
        <f t="shared" si="4"/>
        <v>6.9444444444444198E-3</v>
      </c>
      <c r="E131" s="3">
        <f t="shared" ref="E131:E194" si="5">ABS(D131-D132)</f>
        <v>1.1111111111111141E-2</v>
      </c>
      <c r="F131" s="6">
        <v>0.84444444444444444</v>
      </c>
      <c r="G131" s="6">
        <v>0.85138888888888886</v>
      </c>
      <c r="H131" t="s">
        <v>3</v>
      </c>
    </row>
    <row r="132" spans="3:8" x14ac:dyDescent="0.25">
      <c r="C132" s="19">
        <v>42323</v>
      </c>
      <c r="D132" s="3">
        <f t="shared" si="4"/>
        <v>1.8055555555555561E-2</v>
      </c>
      <c r="E132" s="3">
        <f t="shared" si="5"/>
        <v>1.3194444444444356E-2</v>
      </c>
      <c r="F132" s="6">
        <v>0.11319444444444444</v>
      </c>
      <c r="G132" s="6">
        <v>0.13125000000000001</v>
      </c>
      <c r="H132" t="s">
        <v>3</v>
      </c>
    </row>
    <row r="133" spans="3:8" x14ac:dyDescent="0.25">
      <c r="C133" s="19">
        <v>42323</v>
      </c>
      <c r="D133" s="3">
        <f t="shared" si="4"/>
        <v>4.8611111111112049E-3</v>
      </c>
      <c r="E133" s="3">
        <f t="shared" si="5"/>
        <v>6.9444444444449749E-4</v>
      </c>
      <c r="F133" s="6">
        <v>0.50763888888888886</v>
      </c>
      <c r="G133" s="6">
        <v>0.51250000000000007</v>
      </c>
      <c r="H133" t="s">
        <v>3</v>
      </c>
    </row>
    <row r="134" spans="3:8" x14ac:dyDescent="0.25">
      <c r="C134" s="19">
        <v>42323</v>
      </c>
      <c r="D134" s="3">
        <f t="shared" si="4"/>
        <v>4.1666666666667074E-3</v>
      </c>
      <c r="E134" s="3">
        <f t="shared" si="5"/>
        <v>5.1388888888888762E-2</v>
      </c>
      <c r="F134" s="6">
        <v>0.49791666666666662</v>
      </c>
      <c r="G134" s="6">
        <v>0.50208333333333333</v>
      </c>
      <c r="H134" t="s">
        <v>3</v>
      </c>
    </row>
    <row r="135" spans="3:8" x14ac:dyDescent="0.25">
      <c r="C135" s="19">
        <v>42323</v>
      </c>
      <c r="D135" s="3">
        <f t="shared" si="4"/>
        <v>5.5555555555555469E-2</v>
      </c>
      <c r="E135" s="3">
        <f t="shared" si="5"/>
        <v>4.8611111111111049E-2</v>
      </c>
      <c r="F135" s="6">
        <v>0.52152777777777781</v>
      </c>
      <c r="G135" s="6">
        <v>0.57708333333333328</v>
      </c>
      <c r="H135" t="s">
        <v>3</v>
      </c>
    </row>
    <row r="136" spans="3:8" x14ac:dyDescent="0.25">
      <c r="C136" s="19">
        <v>42323</v>
      </c>
      <c r="D136" s="3">
        <f t="shared" si="4"/>
        <v>6.9444444444444198E-3</v>
      </c>
      <c r="E136" s="3">
        <f t="shared" si="5"/>
        <v>4.1666666666666519E-3</v>
      </c>
      <c r="F136" s="6">
        <v>0.60416666666666663</v>
      </c>
      <c r="G136" s="6">
        <v>0.61111111111111105</v>
      </c>
      <c r="H136" t="s">
        <v>3</v>
      </c>
    </row>
    <row r="137" spans="3:8" x14ac:dyDescent="0.25">
      <c r="C137" s="19">
        <v>42323</v>
      </c>
      <c r="D137" s="3">
        <f t="shared" si="4"/>
        <v>2.7777777777777679E-3</v>
      </c>
      <c r="E137" s="3">
        <f t="shared" si="5"/>
        <v>1.388888888888884E-3</v>
      </c>
      <c r="F137" s="6">
        <v>0.60833333333333328</v>
      </c>
      <c r="G137" s="6">
        <v>0.61111111111111105</v>
      </c>
      <c r="H137" t="s">
        <v>3</v>
      </c>
    </row>
    <row r="138" spans="3:8" x14ac:dyDescent="0.25">
      <c r="C138" s="19">
        <v>42323</v>
      </c>
      <c r="D138" s="3">
        <f t="shared" si="4"/>
        <v>4.1666666666666519E-3</v>
      </c>
      <c r="E138" s="3">
        <f t="shared" si="5"/>
        <v>2.3611111111111138E-2</v>
      </c>
      <c r="F138" s="6">
        <v>0.63263888888888886</v>
      </c>
      <c r="G138" s="6">
        <v>0.63680555555555551</v>
      </c>
      <c r="H138" t="s">
        <v>3</v>
      </c>
    </row>
    <row r="139" spans="3:8" x14ac:dyDescent="0.25">
      <c r="C139" s="19">
        <v>42323</v>
      </c>
      <c r="D139" s="3">
        <f t="shared" si="4"/>
        <v>2.777777777777779E-2</v>
      </c>
      <c r="E139" s="3">
        <f t="shared" si="5"/>
        <v>1.9444444444444486E-2</v>
      </c>
      <c r="F139" s="6">
        <v>0.67152777777777783</v>
      </c>
      <c r="G139" s="6">
        <v>0.69930555555555562</v>
      </c>
      <c r="H139" t="s">
        <v>3</v>
      </c>
    </row>
    <row r="140" spans="3:8" x14ac:dyDescent="0.25">
      <c r="C140" s="19">
        <v>42323</v>
      </c>
      <c r="D140" s="3">
        <f t="shared" si="4"/>
        <v>8.3333333333333037E-3</v>
      </c>
      <c r="E140" s="3">
        <f t="shared" si="5"/>
        <v>1.388888888888884E-3</v>
      </c>
      <c r="F140" s="6">
        <v>0.69305555555555554</v>
      </c>
      <c r="G140" s="6">
        <v>0.70138888888888884</v>
      </c>
      <c r="H140" t="s">
        <v>3</v>
      </c>
    </row>
    <row r="141" spans="3:8" x14ac:dyDescent="0.25">
      <c r="C141" s="19">
        <v>42323</v>
      </c>
      <c r="D141" s="3">
        <f t="shared" si="4"/>
        <v>6.9444444444444198E-3</v>
      </c>
      <c r="E141" s="3">
        <f t="shared" si="5"/>
        <v>1.1102230246251565E-16</v>
      </c>
      <c r="F141" s="6">
        <v>0.70972222222222225</v>
      </c>
      <c r="G141" s="6">
        <v>0.71666666666666667</v>
      </c>
      <c r="H141" t="s">
        <v>3</v>
      </c>
    </row>
    <row r="142" spans="3:8" x14ac:dyDescent="0.25">
      <c r="C142" s="19">
        <v>42323</v>
      </c>
      <c r="D142" s="3">
        <f t="shared" si="4"/>
        <v>6.9444444444443088E-3</v>
      </c>
      <c r="E142" s="3">
        <f t="shared" si="5"/>
        <v>4.1666666666665408E-3</v>
      </c>
      <c r="F142" s="6">
        <v>0.76250000000000007</v>
      </c>
      <c r="G142" s="6">
        <v>0.76944444444444438</v>
      </c>
      <c r="H142" t="s">
        <v>3</v>
      </c>
    </row>
    <row r="143" spans="3:8" x14ac:dyDescent="0.25">
      <c r="C143" s="19">
        <v>42323</v>
      </c>
      <c r="D143" s="3">
        <f t="shared" si="4"/>
        <v>2.7777777777777679E-3</v>
      </c>
      <c r="E143" s="3">
        <f t="shared" si="5"/>
        <v>2.7777777777778789E-3</v>
      </c>
      <c r="F143" s="6">
        <v>0.76111111111111107</v>
      </c>
      <c r="G143" s="6">
        <v>0.76388888888888884</v>
      </c>
      <c r="H143" t="s">
        <v>3</v>
      </c>
    </row>
    <row r="144" spans="3:8" x14ac:dyDescent="0.25">
      <c r="C144" s="19">
        <v>42323</v>
      </c>
      <c r="D144" s="3">
        <f t="shared" si="4"/>
        <v>5.5555555555556468E-3</v>
      </c>
      <c r="E144" s="3">
        <f t="shared" si="5"/>
        <v>2.083333333333548E-3</v>
      </c>
      <c r="F144" s="6">
        <v>0.81874999999999998</v>
      </c>
      <c r="G144" s="6">
        <v>0.82430555555555562</v>
      </c>
      <c r="H144" t="s">
        <v>3</v>
      </c>
    </row>
    <row r="145" spans="3:8" x14ac:dyDescent="0.25">
      <c r="C145" s="19">
        <v>42323</v>
      </c>
      <c r="D145" s="3">
        <f t="shared" si="4"/>
        <v>3.4722222222220989E-3</v>
      </c>
      <c r="E145" s="3">
        <f t="shared" si="5"/>
        <v>2.083333333333437E-3</v>
      </c>
      <c r="F145" s="6">
        <v>1.0145833333333334</v>
      </c>
      <c r="G145" s="6">
        <v>1.0180555555555555</v>
      </c>
      <c r="H145" t="s">
        <v>3</v>
      </c>
    </row>
    <row r="146" spans="3:8" x14ac:dyDescent="0.25">
      <c r="C146" s="19">
        <v>42323</v>
      </c>
      <c r="D146" s="3">
        <f t="shared" si="4"/>
        <v>5.5555555555555358E-3</v>
      </c>
      <c r="E146" s="3">
        <f t="shared" si="5"/>
        <v>3.4722222222222654E-3</v>
      </c>
      <c r="F146" s="6">
        <v>0.32361111111111113</v>
      </c>
      <c r="G146" s="6">
        <v>0.32916666666666666</v>
      </c>
      <c r="H146" t="s">
        <v>3</v>
      </c>
    </row>
    <row r="147" spans="3:8" x14ac:dyDescent="0.25">
      <c r="C147" s="19">
        <v>42323</v>
      </c>
      <c r="D147" s="3">
        <f t="shared" si="4"/>
        <v>9.0277777777778012E-3</v>
      </c>
      <c r="E147" s="3">
        <f t="shared" si="5"/>
        <v>1.1805555555555569E-2</v>
      </c>
      <c r="F147" s="6">
        <v>0.33888888888888885</v>
      </c>
      <c r="G147" s="6">
        <v>0.34791666666666665</v>
      </c>
      <c r="H147" t="s">
        <v>3</v>
      </c>
    </row>
    <row r="148" spans="3:8" x14ac:dyDescent="0.25">
      <c r="C148" s="19">
        <v>42323</v>
      </c>
      <c r="D148" s="3">
        <f t="shared" si="4"/>
        <v>2.083333333333337E-2</v>
      </c>
      <c r="E148" s="3">
        <f t="shared" si="5"/>
        <v>1.5277777777777835E-2</v>
      </c>
      <c r="F148" s="6">
        <v>0.37013888888888885</v>
      </c>
      <c r="G148" s="6">
        <v>0.39097222222222222</v>
      </c>
      <c r="H148" t="s">
        <v>3</v>
      </c>
    </row>
    <row r="149" spans="3:8" x14ac:dyDescent="0.25">
      <c r="C149" s="19">
        <v>42323</v>
      </c>
      <c r="D149" s="3">
        <f t="shared" si="4"/>
        <v>5.5555555555555358E-3</v>
      </c>
      <c r="E149" s="3">
        <f t="shared" si="5"/>
        <v>1.388888888888884E-3</v>
      </c>
      <c r="F149" s="6">
        <v>0.39652777777777781</v>
      </c>
      <c r="G149" s="6">
        <v>0.40208333333333335</v>
      </c>
      <c r="H149" t="s">
        <v>3</v>
      </c>
    </row>
    <row r="150" spans="3:8" x14ac:dyDescent="0.25">
      <c r="C150" s="19">
        <v>42323</v>
      </c>
      <c r="D150" s="3">
        <f t="shared" si="4"/>
        <v>4.1666666666666519E-3</v>
      </c>
      <c r="E150" s="3">
        <f t="shared" si="5"/>
        <v>2.7777777777777679E-3</v>
      </c>
      <c r="F150" s="6">
        <v>0.49374999999999997</v>
      </c>
      <c r="G150" s="6">
        <v>0.49791666666666662</v>
      </c>
      <c r="H150" t="s">
        <v>3</v>
      </c>
    </row>
    <row r="151" spans="3:8" x14ac:dyDescent="0.25">
      <c r="C151" s="19">
        <v>42323</v>
      </c>
      <c r="D151" s="3">
        <f t="shared" si="4"/>
        <v>6.9444444444444198E-3</v>
      </c>
      <c r="E151" s="3">
        <f t="shared" si="5"/>
        <v>1.388888888888884E-3</v>
      </c>
      <c r="F151" s="6">
        <v>0.65208333333333335</v>
      </c>
      <c r="G151" s="6">
        <v>0.65902777777777777</v>
      </c>
      <c r="H151" t="s">
        <v>3</v>
      </c>
    </row>
    <row r="152" spans="3:8" x14ac:dyDescent="0.25">
      <c r="C152" s="19">
        <v>42323</v>
      </c>
      <c r="D152" s="3">
        <f t="shared" si="4"/>
        <v>8.3333333333333037E-3</v>
      </c>
      <c r="E152" s="3">
        <f t="shared" si="5"/>
        <v>1.388888888888884E-3</v>
      </c>
      <c r="F152" s="6">
        <v>0.71666666666666667</v>
      </c>
      <c r="G152" s="6">
        <v>0.72499999999999998</v>
      </c>
      <c r="H152" t="s">
        <v>3</v>
      </c>
    </row>
    <row r="153" spans="3:8" x14ac:dyDescent="0.25">
      <c r="C153" s="19">
        <v>42323</v>
      </c>
      <c r="D153" s="3">
        <f t="shared" si="4"/>
        <v>6.9444444444444198E-3</v>
      </c>
      <c r="E153" s="3">
        <f t="shared" si="5"/>
        <v>1.1102230246251565E-16</v>
      </c>
      <c r="F153" s="6">
        <v>0.64722222222222225</v>
      </c>
      <c r="G153" s="6">
        <v>0.65416666666666667</v>
      </c>
      <c r="H153" t="s">
        <v>3</v>
      </c>
    </row>
    <row r="154" spans="3:8" x14ac:dyDescent="0.25">
      <c r="C154" s="19">
        <v>42323</v>
      </c>
      <c r="D154" s="3">
        <f t="shared" si="4"/>
        <v>6.9444444444445308E-3</v>
      </c>
      <c r="E154" s="3">
        <f t="shared" si="5"/>
        <v>9.7222222222221877E-3</v>
      </c>
      <c r="F154" s="6">
        <v>0.8256944444444444</v>
      </c>
      <c r="G154" s="6">
        <v>0.83263888888888893</v>
      </c>
      <c r="H154" t="s">
        <v>3</v>
      </c>
    </row>
    <row r="155" spans="3:8" x14ac:dyDescent="0.25">
      <c r="C155" s="19">
        <v>42323</v>
      </c>
      <c r="D155" s="3">
        <f t="shared" si="4"/>
        <v>1.6666666666666718E-2</v>
      </c>
      <c r="E155" s="3">
        <f t="shared" si="5"/>
        <v>9.7222222222221877E-3</v>
      </c>
      <c r="F155" s="6">
        <v>0.84444444444444444</v>
      </c>
      <c r="G155" s="6">
        <v>0.86111111111111116</v>
      </c>
      <c r="H155" t="s">
        <v>3</v>
      </c>
    </row>
    <row r="156" spans="3:8" x14ac:dyDescent="0.25">
      <c r="C156" s="19">
        <v>42323</v>
      </c>
      <c r="D156" s="3">
        <f t="shared" si="4"/>
        <v>6.9444444444445308E-3</v>
      </c>
      <c r="E156" s="3">
        <f t="shared" si="5"/>
        <v>2.7777777777778651E-3</v>
      </c>
      <c r="F156" s="6">
        <v>0.96180555555555547</v>
      </c>
      <c r="G156" s="6">
        <v>0.96875</v>
      </c>
      <c r="H156" t="s">
        <v>3</v>
      </c>
    </row>
    <row r="157" spans="3:8" x14ac:dyDescent="0.25">
      <c r="C157" s="19">
        <v>42323</v>
      </c>
      <c r="D157" s="3">
        <f t="shared" si="4"/>
        <v>4.1666666666666657E-3</v>
      </c>
      <c r="E157" s="3">
        <f t="shared" si="5"/>
        <v>1.3877787807814457E-17</v>
      </c>
      <c r="F157" s="6">
        <v>9.5833333333333326E-2</v>
      </c>
      <c r="G157" s="6">
        <v>9.9999999999999992E-2</v>
      </c>
      <c r="H157" t="s">
        <v>3</v>
      </c>
    </row>
    <row r="158" spans="3:8" x14ac:dyDescent="0.25">
      <c r="C158" s="19">
        <v>42323</v>
      </c>
      <c r="D158" s="3">
        <f t="shared" si="4"/>
        <v>4.1666666666666519E-3</v>
      </c>
      <c r="E158" s="3">
        <f t="shared" si="5"/>
        <v>6.9444444444433095E-4</v>
      </c>
      <c r="F158" s="6">
        <v>0.49305555555555558</v>
      </c>
      <c r="G158" s="6">
        <v>0.49722222222222223</v>
      </c>
      <c r="H158" t="s">
        <v>3</v>
      </c>
    </row>
    <row r="159" spans="3:8" x14ac:dyDescent="0.25">
      <c r="C159" s="19">
        <v>42323</v>
      </c>
      <c r="D159" s="3">
        <f t="shared" si="4"/>
        <v>3.4722222222223209E-3</v>
      </c>
      <c r="E159" s="3">
        <f t="shared" si="5"/>
        <v>4.8611111111110938E-3</v>
      </c>
      <c r="F159" s="6">
        <v>0.51180555555555551</v>
      </c>
      <c r="G159" s="6">
        <v>0.51527777777777783</v>
      </c>
      <c r="H159" t="s">
        <v>3</v>
      </c>
    </row>
    <row r="160" spans="3:8" x14ac:dyDescent="0.25">
      <c r="C160" s="19">
        <v>42323</v>
      </c>
      <c r="D160" s="3">
        <f t="shared" si="4"/>
        <v>8.3333333333334147E-3</v>
      </c>
      <c r="E160" s="3">
        <f t="shared" si="5"/>
        <v>3.6111111111110983E-2</v>
      </c>
      <c r="F160" s="6">
        <v>0.53402777777777777</v>
      </c>
      <c r="G160" s="6">
        <v>0.54236111111111118</v>
      </c>
      <c r="H160" t="s">
        <v>3</v>
      </c>
    </row>
    <row r="161" spans="3:8" x14ac:dyDescent="0.25">
      <c r="C161" s="19">
        <v>42323</v>
      </c>
      <c r="D161" s="3">
        <f t="shared" si="4"/>
        <v>4.4444444444444398E-2</v>
      </c>
      <c r="E161" s="3">
        <f t="shared" si="5"/>
        <v>3.5416666666666624E-2</v>
      </c>
      <c r="F161" s="6">
        <v>0.52430555555555558</v>
      </c>
      <c r="G161" s="6">
        <v>0.56874999999999998</v>
      </c>
      <c r="H161" t="s">
        <v>3</v>
      </c>
    </row>
    <row r="162" spans="3:8" x14ac:dyDescent="0.25">
      <c r="C162" s="19">
        <v>42323</v>
      </c>
      <c r="D162" s="3">
        <f t="shared" si="4"/>
        <v>9.0277777777777735E-3</v>
      </c>
      <c r="E162" s="3">
        <f t="shared" si="5"/>
        <v>7.6388888888888895E-3</v>
      </c>
      <c r="F162" s="6">
        <v>0.21319444444444444</v>
      </c>
      <c r="G162" s="6">
        <v>0.22222222222222221</v>
      </c>
      <c r="H162" t="s">
        <v>3</v>
      </c>
    </row>
    <row r="163" spans="3:8" x14ac:dyDescent="0.25">
      <c r="C163" s="19">
        <v>42323</v>
      </c>
      <c r="D163" s="3">
        <f t="shared" si="4"/>
        <v>1.6666666666666663E-2</v>
      </c>
      <c r="E163" s="3">
        <f t="shared" si="5"/>
        <v>1.3888888888889395E-3</v>
      </c>
      <c r="F163" s="6">
        <v>0.21319444444444444</v>
      </c>
      <c r="G163" s="6">
        <v>0.2298611111111111</v>
      </c>
      <c r="H163" t="s">
        <v>3</v>
      </c>
    </row>
    <row r="164" spans="3:8" x14ac:dyDescent="0.25">
      <c r="C164" s="19">
        <v>42323</v>
      </c>
      <c r="D164" s="3">
        <f t="shared" si="4"/>
        <v>1.8055555555555602E-2</v>
      </c>
      <c r="E164" s="3">
        <f t="shared" si="5"/>
        <v>1.1111111111111183E-2</v>
      </c>
      <c r="F164" s="6">
        <v>0.88055555555555554</v>
      </c>
      <c r="G164" s="6">
        <v>0.89861111111111114</v>
      </c>
      <c r="H164" t="s">
        <v>3</v>
      </c>
    </row>
    <row r="165" spans="3:8" x14ac:dyDescent="0.25">
      <c r="C165" s="19">
        <v>42323</v>
      </c>
      <c r="D165" s="3">
        <f t="shared" si="4"/>
        <v>6.9444444444444198E-3</v>
      </c>
      <c r="E165" s="3">
        <f t="shared" si="5"/>
        <v>1.1111111111111183E-2</v>
      </c>
      <c r="F165" s="6">
        <v>0.96805555555555556</v>
      </c>
      <c r="G165" s="6">
        <v>0.97499999999999998</v>
      </c>
      <c r="H165" t="s">
        <v>3</v>
      </c>
    </row>
    <row r="166" spans="3:8" x14ac:dyDescent="0.25">
      <c r="C166" s="19">
        <v>42323</v>
      </c>
      <c r="D166" s="3">
        <f t="shared" si="4"/>
        <v>1.8055555555555602E-2</v>
      </c>
      <c r="E166" s="3">
        <f t="shared" si="5"/>
        <v>1.2499999999999956E-2</v>
      </c>
      <c r="F166" s="6">
        <v>0.97152777777777777</v>
      </c>
      <c r="G166" s="6">
        <v>0.98958333333333337</v>
      </c>
      <c r="H166" t="s">
        <v>3</v>
      </c>
    </row>
    <row r="167" spans="3:8" x14ac:dyDescent="0.25">
      <c r="C167" s="19">
        <v>42323</v>
      </c>
      <c r="D167" s="3">
        <f t="shared" si="4"/>
        <v>5.5555555555556468E-3</v>
      </c>
      <c r="E167" s="3">
        <f t="shared" si="5"/>
        <v>1.1111111111110961E-2</v>
      </c>
      <c r="F167" s="6">
        <v>0.57222222222222219</v>
      </c>
      <c r="G167" s="6">
        <v>0.57777777777777783</v>
      </c>
      <c r="H167" t="s">
        <v>3</v>
      </c>
    </row>
    <row r="168" spans="3:8" x14ac:dyDescent="0.25">
      <c r="C168" s="19">
        <v>42323</v>
      </c>
      <c r="D168" s="3">
        <f t="shared" si="4"/>
        <v>1.6666666666666607E-2</v>
      </c>
      <c r="E168" s="3">
        <f t="shared" si="5"/>
        <v>8.3333333333331927E-3</v>
      </c>
      <c r="F168" s="6">
        <v>0.55555555555555558</v>
      </c>
      <c r="G168" s="6">
        <v>0.57222222222222219</v>
      </c>
      <c r="H168" t="s">
        <v>3</v>
      </c>
    </row>
    <row r="169" spans="3:8" x14ac:dyDescent="0.25">
      <c r="C169" s="19">
        <v>42323</v>
      </c>
      <c r="D169" s="3">
        <f t="shared" si="4"/>
        <v>8.3333333333334147E-3</v>
      </c>
      <c r="E169" s="3">
        <f t="shared" si="5"/>
        <v>1.388888888888884E-3</v>
      </c>
      <c r="F169" s="6">
        <v>0.69652777777777775</v>
      </c>
      <c r="G169" s="6">
        <v>0.70486111111111116</v>
      </c>
      <c r="H169" t="s">
        <v>3</v>
      </c>
    </row>
    <row r="170" spans="3:8" x14ac:dyDescent="0.25">
      <c r="C170" s="19">
        <v>42323</v>
      </c>
      <c r="D170" s="3">
        <f t="shared" si="4"/>
        <v>6.9444444444445308E-3</v>
      </c>
      <c r="E170" s="3">
        <f t="shared" si="5"/>
        <v>4.1666666666667629E-3</v>
      </c>
      <c r="F170" s="6">
        <v>0.71736111111111101</v>
      </c>
      <c r="G170" s="6">
        <v>0.72430555555555554</v>
      </c>
      <c r="H170" t="s">
        <v>3</v>
      </c>
    </row>
    <row r="171" spans="3:8" x14ac:dyDescent="0.25">
      <c r="C171" s="19">
        <v>42323</v>
      </c>
      <c r="D171" s="3">
        <f t="shared" si="4"/>
        <v>2.7777777777777679E-3</v>
      </c>
      <c r="E171" s="3">
        <f t="shared" si="5"/>
        <v>2.0138888888888873E-2</v>
      </c>
      <c r="F171" s="6">
        <v>0.43611111111111112</v>
      </c>
      <c r="G171" s="6">
        <v>0.43888888888888888</v>
      </c>
      <c r="H171" t="s">
        <v>3</v>
      </c>
    </row>
    <row r="172" spans="3:8" x14ac:dyDescent="0.25">
      <c r="C172" s="19">
        <v>42323</v>
      </c>
      <c r="D172" s="3">
        <f t="shared" si="4"/>
        <v>2.2916666666666641E-2</v>
      </c>
      <c r="E172" s="3">
        <f t="shared" si="5"/>
        <v>1.8749999999999878E-2</v>
      </c>
      <c r="F172" s="6">
        <v>0.4604166666666667</v>
      </c>
      <c r="G172" s="6">
        <v>0.48333333333333334</v>
      </c>
      <c r="H172" t="s">
        <v>3</v>
      </c>
    </row>
    <row r="173" spans="3:8" x14ac:dyDescent="0.25">
      <c r="C173" s="19">
        <v>42323</v>
      </c>
      <c r="D173" s="3">
        <f t="shared" si="4"/>
        <v>4.1666666666667629E-3</v>
      </c>
      <c r="E173" s="3">
        <f t="shared" si="5"/>
        <v>2.0833333333332149E-3</v>
      </c>
      <c r="F173" s="6">
        <v>0.50694444444444442</v>
      </c>
      <c r="G173" s="6">
        <v>0.51111111111111118</v>
      </c>
      <c r="H173" t="s">
        <v>3</v>
      </c>
    </row>
    <row r="174" spans="3:8" x14ac:dyDescent="0.25">
      <c r="C174" s="19">
        <v>42323</v>
      </c>
      <c r="D174" s="3">
        <f t="shared" si="4"/>
        <v>6.2499999999999778E-3</v>
      </c>
      <c r="E174" s="3">
        <f t="shared" si="5"/>
        <v>6.9444444444444198E-4</v>
      </c>
      <c r="F174" s="6">
        <v>0.54097222222222219</v>
      </c>
      <c r="G174" s="6">
        <v>0.54722222222222217</v>
      </c>
      <c r="H174" t="s">
        <v>3</v>
      </c>
    </row>
    <row r="175" spans="3:8" x14ac:dyDescent="0.25">
      <c r="C175" s="19">
        <v>42323</v>
      </c>
      <c r="D175" s="3">
        <f t="shared" si="4"/>
        <v>6.9444444444444198E-3</v>
      </c>
      <c r="E175" s="3">
        <f t="shared" si="5"/>
        <v>1.3194444444444509E-2</v>
      </c>
      <c r="F175" s="6">
        <v>0.57361111111111118</v>
      </c>
      <c r="G175" s="6">
        <v>0.5805555555555556</v>
      </c>
      <c r="H175" t="s">
        <v>3</v>
      </c>
    </row>
    <row r="176" spans="3:8" x14ac:dyDescent="0.25">
      <c r="C176" s="19">
        <v>42323</v>
      </c>
      <c r="D176" s="3">
        <f t="shared" si="4"/>
        <v>2.0138888888888928E-2</v>
      </c>
      <c r="E176" s="3">
        <f t="shared" si="5"/>
        <v>1.5972222222222249E-2</v>
      </c>
      <c r="F176" s="6">
        <v>0.8041666666666667</v>
      </c>
      <c r="G176" s="6">
        <v>0.82430555555555562</v>
      </c>
      <c r="H176" t="s">
        <v>3</v>
      </c>
    </row>
    <row r="177" spans="3:8" x14ac:dyDescent="0.25">
      <c r="C177" s="19">
        <v>42323</v>
      </c>
      <c r="D177" s="3">
        <f t="shared" si="4"/>
        <v>4.1666666666666796E-3</v>
      </c>
      <c r="E177" s="3">
        <f t="shared" si="5"/>
        <v>2.0833333333333537E-3</v>
      </c>
      <c r="F177" s="6">
        <v>0.24236111111111111</v>
      </c>
      <c r="G177" s="6">
        <v>0.24652777777777779</v>
      </c>
      <c r="H177" t="s">
        <v>3</v>
      </c>
    </row>
    <row r="178" spans="3:8" x14ac:dyDescent="0.25">
      <c r="C178" s="19">
        <v>42323</v>
      </c>
      <c r="D178" s="3">
        <f t="shared" si="4"/>
        <v>6.2500000000000333E-3</v>
      </c>
      <c r="E178" s="3">
        <f t="shared" si="5"/>
        <v>2.7777777777777679E-3</v>
      </c>
      <c r="F178" s="6">
        <v>0.37222222222222223</v>
      </c>
      <c r="G178" s="6">
        <v>0.37847222222222227</v>
      </c>
      <c r="H178" t="s">
        <v>3</v>
      </c>
    </row>
    <row r="179" spans="3:8" x14ac:dyDescent="0.25">
      <c r="C179" s="19">
        <v>42323</v>
      </c>
      <c r="D179" s="3">
        <f t="shared" si="4"/>
        <v>3.4722222222222654E-3</v>
      </c>
      <c r="E179" s="3">
        <f t="shared" si="5"/>
        <v>6.9444444444438647E-4</v>
      </c>
      <c r="F179" s="6">
        <v>0.44027777777777777</v>
      </c>
      <c r="G179" s="6">
        <v>0.44375000000000003</v>
      </c>
      <c r="H179" t="s">
        <v>3</v>
      </c>
    </row>
    <row r="180" spans="3:8" x14ac:dyDescent="0.25">
      <c r="C180" s="19">
        <v>42323</v>
      </c>
      <c r="D180" s="3">
        <f t="shared" si="4"/>
        <v>4.1666666666666519E-3</v>
      </c>
      <c r="E180" s="3">
        <f t="shared" si="5"/>
        <v>4.8611111111110938E-3</v>
      </c>
      <c r="F180" s="6">
        <v>0.54513888888888895</v>
      </c>
      <c r="G180" s="6">
        <v>0.5493055555555556</v>
      </c>
      <c r="H180" t="s">
        <v>3</v>
      </c>
    </row>
    <row r="181" spans="3:8" x14ac:dyDescent="0.25">
      <c r="C181" s="19">
        <v>42323</v>
      </c>
      <c r="D181" s="3">
        <f t="shared" si="4"/>
        <v>9.0277777777777457E-3</v>
      </c>
      <c r="E181" s="3">
        <f t="shared" si="5"/>
        <v>2.7777777777776569E-3</v>
      </c>
      <c r="F181" s="6">
        <v>0.62291666666666667</v>
      </c>
      <c r="G181" s="6">
        <v>0.63194444444444442</v>
      </c>
      <c r="H181" t="s">
        <v>3</v>
      </c>
    </row>
    <row r="182" spans="3:8" x14ac:dyDescent="0.25">
      <c r="C182" s="19">
        <v>42323</v>
      </c>
      <c r="D182" s="3">
        <f t="shared" si="4"/>
        <v>6.2500000000000888E-3</v>
      </c>
      <c r="E182" s="3">
        <f t="shared" si="5"/>
        <v>1.3888888888887729E-3</v>
      </c>
      <c r="F182" s="6">
        <v>0.62986111111111109</v>
      </c>
      <c r="G182" s="6">
        <v>0.63611111111111118</v>
      </c>
      <c r="H182" t="s">
        <v>3</v>
      </c>
    </row>
    <row r="183" spans="3:8" x14ac:dyDescent="0.25">
      <c r="C183" s="19">
        <v>42323</v>
      </c>
      <c r="D183" s="3">
        <f t="shared" si="4"/>
        <v>7.6388888888888618E-3</v>
      </c>
      <c r="E183" s="3">
        <f t="shared" si="5"/>
        <v>2.7777777777777679E-3</v>
      </c>
      <c r="F183" s="6">
        <v>0.92291666666666661</v>
      </c>
      <c r="G183" s="6">
        <v>0.93055555555555547</v>
      </c>
      <c r="H183" t="s">
        <v>3</v>
      </c>
    </row>
    <row r="184" spans="3:8" x14ac:dyDescent="0.25">
      <c r="C184" s="19">
        <v>42323</v>
      </c>
      <c r="D184" s="3">
        <f t="shared" si="4"/>
        <v>4.8611111111110938E-3</v>
      </c>
      <c r="E184" s="3">
        <f t="shared" si="5"/>
        <v>6.9444444444444198E-4</v>
      </c>
      <c r="F184" s="6">
        <v>0.95486111111111116</v>
      </c>
      <c r="G184" s="6">
        <v>0.95972222222222225</v>
      </c>
      <c r="H184" t="s">
        <v>3</v>
      </c>
    </row>
    <row r="185" spans="3:8" x14ac:dyDescent="0.25">
      <c r="C185" s="19">
        <v>42323</v>
      </c>
      <c r="D185" s="3">
        <f t="shared" si="4"/>
        <v>4.1666666666666519E-3</v>
      </c>
      <c r="E185" s="3">
        <f t="shared" si="5"/>
        <v>9.0277777777777457E-3</v>
      </c>
      <c r="F185" s="6">
        <v>0.96805555555555556</v>
      </c>
      <c r="G185" s="6">
        <v>0.97222222222222221</v>
      </c>
      <c r="H185" t="s">
        <v>3</v>
      </c>
    </row>
    <row r="186" spans="3:8" x14ac:dyDescent="0.25">
      <c r="C186" s="19">
        <v>42323</v>
      </c>
      <c r="D186" s="3">
        <f t="shared" si="4"/>
        <v>1.3194444444444398E-2</v>
      </c>
      <c r="E186" s="3">
        <f t="shared" si="5"/>
        <v>2.0833333333332149E-3</v>
      </c>
      <c r="F186" s="6">
        <v>0.75</v>
      </c>
      <c r="G186" s="6">
        <v>0.7631944444444444</v>
      </c>
      <c r="H186" t="s">
        <v>3</v>
      </c>
    </row>
    <row r="187" spans="3:8" x14ac:dyDescent="0.25">
      <c r="C187" s="19">
        <v>42323</v>
      </c>
      <c r="D187" s="3">
        <f t="shared" si="4"/>
        <v>1.1111111111111183E-2</v>
      </c>
      <c r="E187" s="3">
        <f t="shared" si="5"/>
        <v>4.1666666666668739E-3</v>
      </c>
      <c r="F187" s="6">
        <v>0.85763888888888884</v>
      </c>
      <c r="G187" s="6">
        <v>0.86875000000000002</v>
      </c>
      <c r="H187" t="s">
        <v>3</v>
      </c>
    </row>
    <row r="188" spans="3:8" x14ac:dyDescent="0.25">
      <c r="C188" s="19">
        <v>42323</v>
      </c>
      <c r="D188" s="3">
        <f t="shared" si="4"/>
        <v>6.9444444444443088E-3</v>
      </c>
      <c r="E188" s="3">
        <f t="shared" si="5"/>
        <v>2.2204460492503131E-16</v>
      </c>
      <c r="F188" s="6">
        <v>0.81666666666666676</v>
      </c>
      <c r="G188" s="6">
        <v>0.82361111111111107</v>
      </c>
      <c r="H188" t="s">
        <v>3</v>
      </c>
    </row>
    <row r="189" spans="3:8" x14ac:dyDescent="0.25">
      <c r="C189" s="19">
        <v>42323</v>
      </c>
      <c r="D189" s="3">
        <f t="shared" si="4"/>
        <v>6.9444444444445308E-3</v>
      </c>
      <c r="E189" s="3">
        <f t="shared" si="5"/>
        <v>1.388888888888995E-3</v>
      </c>
      <c r="F189" s="6">
        <v>0.82916666666666661</v>
      </c>
      <c r="G189" s="6">
        <v>0.83611111111111114</v>
      </c>
      <c r="H189" t="s">
        <v>3</v>
      </c>
    </row>
    <row r="190" spans="3:8" x14ac:dyDescent="0.25">
      <c r="C190" s="19">
        <v>42323</v>
      </c>
      <c r="D190" s="3">
        <f t="shared" si="4"/>
        <v>5.5555555555555358E-3</v>
      </c>
      <c r="E190" s="3">
        <f t="shared" si="5"/>
        <v>2.0833333333332149E-3</v>
      </c>
      <c r="F190" s="6">
        <v>0.90138888888888891</v>
      </c>
      <c r="G190" s="6">
        <v>0.90694444444444444</v>
      </c>
      <c r="H190" t="s">
        <v>3</v>
      </c>
    </row>
    <row r="191" spans="3:8" x14ac:dyDescent="0.25">
      <c r="C191" s="19">
        <v>42323</v>
      </c>
      <c r="D191" s="3">
        <f t="shared" si="4"/>
        <v>3.4722222222223209E-3</v>
      </c>
      <c r="E191" s="3">
        <f t="shared" si="5"/>
        <v>2.0833333333332149E-3</v>
      </c>
      <c r="F191" s="6">
        <v>0.93541666666666667</v>
      </c>
      <c r="G191" s="6">
        <v>0.93888888888888899</v>
      </c>
      <c r="H191" t="s">
        <v>3</v>
      </c>
    </row>
    <row r="192" spans="3:8" x14ac:dyDescent="0.25">
      <c r="C192" s="19">
        <v>42323</v>
      </c>
      <c r="D192" s="3">
        <f t="shared" si="4"/>
        <v>5.5555555555555358E-3</v>
      </c>
      <c r="E192" s="3">
        <f t="shared" si="5"/>
        <v>6.9444444444444475E-3</v>
      </c>
      <c r="F192" s="6">
        <v>0.98888888888888893</v>
      </c>
      <c r="G192" s="6">
        <v>0.99444444444444446</v>
      </c>
      <c r="H192" t="s">
        <v>3</v>
      </c>
    </row>
    <row r="193" spans="3:8" x14ac:dyDescent="0.25">
      <c r="C193" s="19">
        <v>42323</v>
      </c>
      <c r="D193" s="3">
        <f t="shared" si="4"/>
        <v>1.2499999999999983E-2</v>
      </c>
      <c r="E193" s="3">
        <f t="shared" si="5"/>
        <v>2.7777777777777957E-3</v>
      </c>
      <c r="F193" s="6">
        <v>0.12430555555555556</v>
      </c>
      <c r="G193" s="6">
        <v>0.13680555555555554</v>
      </c>
      <c r="H193" t="s">
        <v>3</v>
      </c>
    </row>
    <row r="194" spans="3:8" x14ac:dyDescent="0.25">
      <c r="C194" s="19">
        <v>42323</v>
      </c>
      <c r="D194" s="3">
        <f t="shared" ref="D194:D257" si="6">G194-F194</f>
        <v>9.7222222222221877E-3</v>
      </c>
      <c r="E194" s="3">
        <f t="shared" si="5"/>
        <v>6.2500000000000333E-3</v>
      </c>
      <c r="F194" s="6">
        <v>0.16111111111111112</v>
      </c>
      <c r="G194" s="6">
        <v>0.17083333333333331</v>
      </c>
      <c r="H194" t="s">
        <v>3</v>
      </c>
    </row>
    <row r="195" spans="3:8" x14ac:dyDescent="0.25">
      <c r="C195" s="19">
        <v>42323</v>
      </c>
      <c r="D195" s="3">
        <f t="shared" si="6"/>
        <v>3.4722222222221544E-3</v>
      </c>
      <c r="E195" s="3">
        <f t="shared" ref="E195:E219" si="7">ABS(D195-D196)</f>
        <v>5.5555555555556468E-3</v>
      </c>
      <c r="F195" s="6">
        <v>0.3979166666666667</v>
      </c>
      <c r="G195" s="6">
        <v>0.40138888888888885</v>
      </c>
      <c r="H195" t="s">
        <v>3</v>
      </c>
    </row>
    <row r="196" spans="3:8" x14ac:dyDescent="0.25">
      <c r="C196" s="19">
        <v>42323</v>
      </c>
      <c r="D196" s="3">
        <f t="shared" si="6"/>
        <v>9.0277777777778012E-3</v>
      </c>
      <c r="E196" s="3">
        <f t="shared" si="7"/>
        <v>4.1666666666665964E-3</v>
      </c>
      <c r="F196" s="6">
        <v>0.40902777777777777</v>
      </c>
      <c r="G196" s="6">
        <v>0.41805555555555557</v>
      </c>
      <c r="H196" t="s">
        <v>3</v>
      </c>
    </row>
    <row r="197" spans="3:8" x14ac:dyDescent="0.25">
      <c r="C197" s="19">
        <v>42323</v>
      </c>
      <c r="D197" s="3">
        <f t="shared" si="6"/>
        <v>4.8611111111112049E-3</v>
      </c>
      <c r="E197" s="3">
        <f t="shared" si="7"/>
        <v>1.3888888888888729E-2</v>
      </c>
      <c r="F197" s="6">
        <v>0.60555555555555551</v>
      </c>
      <c r="G197" s="6">
        <v>0.61041666666666672</v>
      </c>
      <c r="H197" t="s">
        <v>3</v>
      </c>
    </row>
    <row r="198" spans="3:8" x14ac:dyDescent="0.25">
      <c r="C198" s="19">
        <v>42323</v>
      </c>
      <c r="D198" s="3">
        <f t="shared" si="6"/>
        <v>1.8749999999999933E-2</v>
      </c>
      <c r="E198" s="3">
        <f t="shared" si="7"/>
        <v>7.6388888888888618E-3</v>
      </c>
      <c r="F198" s="6">
        <v>0.61458333333333337</v>
      </c>
      <c r="G198" s="6">
        <v>0.6333333333333333</v>
      </c>
      <c r="H198" t="s">
        <v>3</v>
      </c>
    </row>
    <row r="199" spans="3:8" x14ac:dyDescent="0.25">
      <c r="C199" s="19">
        <v>42323</v>
      </c>
      <c r="D199" s="3">
        <f t="shared" si="6"/>
        <v>1.1111111111111072E-2</v>
      </c>
      <c r="E199" s="3">
        <f t="shared" si="7"/>
        <v>2.7777777777777679E-3</v>
      </c>
      <c r="F199" s="6">
        <v>0.7284722222222223</v>
      </c>
      <c r="G199" s="6">
        <v>0.73958333333333337</v>
      </c>
      <c r="H199" t="s">
        <v>3</v>
      </c>
    </row>
    <row r="200" spans="3:8" x14ac:dyDescent="0.25">
      <c r="C200" s="19">
        <v>42323</v>
      </c>
      <c r="D200" s="3">
        <f t="shared" si="6"/>
        <v>1.388888888888884E-2</v>
      </c>
      <c r="E200" s="3">
        <f t="shared" si="7"/>
        <v>8.3333333333333037E-3</v>
      </c>
      <c r="F200" s="6">
        <v>0.7729166666666667</v>
      </c>
      <c r="G200" s="6">
        <v>0.78680555555555554</v>
      </c>
      <c r="H200" t="s">
        <v>3</v>
      </c>
    </row>
    <row r="201" spans="3:8" x14ac:dyDescent="0.25">
      <c r="C201" s="19">
        <v>42323</v>
      </c>
      <c r="D201" s="3">
        <f t="shared" si="6"/>
        <v>5.5555555555555358E-3</v>
      </c>
      <c r="E201" s="3">
        <f t="shared" si="7"/>
        <v>1.388888888888884E-3</v>
      </c>
      <c r="F201" s="6">
        <v>0.78819444444444453</v>
      </c>
      <c r="G201" s="6">
        <v>0.79375000000000007</v>
      </c>
      <c r="H201" t="s">
        <v>3</v>
      </c>
    </row>
    <row r="202" spans="3:8" x14ac:dyDescent="0.25">
      <c r="C202" s="19">
        <v>42323</v>
      </c>
      <c r="D202" s="3">
        <f t="shared" si="6"/>
        <v>4.1666666666666519E-3</v>
      </c>
      <c r="E202" s="3">
        <f t="shared" si="7"/>
        <v>3.4722222222222654E-3</v>
      </c>
      <c r="F202" s="6">
        <v>0.36458333333333331</v>
      </c>
      <c r="G202" s="6">
        <v>0.36874999999999997</v>
      </c>
      <c r="H202" t="s">
        <v>3</v>
      </c>
    </row>
    <row r="203" spans="3:8" x14ac:dyDescent="0.25">
      <c r="C203" s="19">
        <v>42323</v>
      </c>
      <c r="D203" s="3">
        <f t="shared" si="6"/>
        <v>7.6388888888889173E-3</v>
      </c>
      <c r="E203" s="3">
        <f t="shared" si="7"/>
        <v>6.2500000000000333E-3</v>
      </c>
      <c r="F203" s="6">
        <v>0.49652777777777773</v>
      </c>
      <c r="G203" s="6">
        <v>0.50416666666666665</v>
      </c>
      <c r="H203" t="s">
        <v>3</v>
      </c>
    </row>
    <row r="204" spans="3:8" x14ac:dyDescent="0.25">
      <c r="C204" s="19">
        <v>42323</v>
      </c>
      <c r="D204" s="3">
        <f t="shared" si="6"/>
        <v>1.388888888888884E-3</v>
      </c>
      <c r="E204" s="3">
        <f t="shared" si="7"/>
        <v>6.9444444444444198E-3</v>
      </c>
      <c r="F204" s="6">
        <v>0.59027777777777779</v>
      </c>
      <c r="G204" s="6">
        <v>0.59166666666666667</v>
      </c>
      <c r="H204" t="s">
        <v>3</v>
      </c>
    </row>
    <row r="205" spans="3:8" x14ac:dyDescent="0.25">
      <c r="C205" s="19">
        <v>42323</v>
      </c>
      <c r="D205" s="3">
        <f t="shared" si="6"/>
        <v>8.3333333333333037E-3</v>
      </c>
      <c r="E205" s="3">
        <f t="shared" si="7"/>
        <v>1.1111111111111072E-2</v>
      </c>
      <c r="F205" s="6">
        <v>0.70624999999999993</v>
      </c>
      <c r="G205" s="6">
        <v>0.71458333333333324</v>
      </c>
      <c r="H205" t="s">
        <v>3</v>
      </c>
    </row>
    <row r="206" spans="3:8" x14ac:dyDescent="0.25">
      <c r="C206" s="19">
        <v>42323</v>
      </c>
      <c r="D206" s="3">
        <f t="shared" si="6"/>
        <v>1.9444444444444375E-2</v>
      </c>
      <c r="E206" s="3">
        <f t="shared" si="7"/>
        <v>1.0416666666666519E-2</v>
      </c>
      <c r="F206" s="6">
        <v>0.7368055555555556</v>
      </c>
      <c r="G206" s="6">
        <v>0.75624999999999998</v>
      </c>
      <c r="H206" t="s">
        <v>3</v>
      </c>
    </row>
    <row r="207" spans="3:8" x14ac:dyDescent="0.25">
      <c r="C207" s="19">
        <v>42323</v>
      </c>
      <c r="D207" s="3">
        <f t="shared" si="6"/>
        <v>9.0277777777778567E-3</v>
      </c>
      <c r="E207" s="3">
        <f t="shared" si="7"/>
        <v>2.77777777777799E-3</v>
      </c>
      <c r="F207" s="6">
        <v>0.86805555555555547</v>
      </c>
      <c r="G207" s="6">
        <v>0.87708333333333333</v>
      </c>
      <c r="H207" t="s">
        <v>3</v>
      </c>
    </row>
    <row r="208" spans="3:8" x14ac:dyDescent="0.25">
      <c r="C208" s="19">
        <v>42323</v>
      </c>
      <c r="D208" s="3">
        <f t="shared" si="6"/>
        <v>6.2499999999998668E-3</v>
      </c>
      <c r="E208" s="3">
        <f t="shared" si="7"/>
        <v>1.2500000000000178E-2</v>
      </c>
      <c r="F208" s="6">
        <v>0.91319444444444453</v>
      </c>
      <c r="G208" s="6">
        <v>0.9194444444444444</v>
      </c>
      <c r="H208" t="s">
        <v>3</v>
      </c>
    </row>
    <row r="209" spans="3:8" x14ac:dyDescent="0.25">
      <c r="C209" s="19">
        <v>42323</v>
      </c>
      <c r="D209" s="3">
        <f t="shared" si="6"/>
        <v>1.8750000000000044E-2</v>
      </c>
      <c r="E209" s="3">
        <f t="shared" si="7"/>
        <v>2.0833333333333814E-3</v>
      </c>
      <c r="F209" s="6">
        <v>0.68402777777777779</v>
      </c>
      <c r="G209" s="6">
        <v>0.70277777777777783</v>
      </c>
      <c r="H209" t="s">
        <v>3</v>
      </c>
    </row>
    <row r="210" spans="3:8" x14ac:dyDescent="0.25">
      <c r="C210" s="19">
        <v>42323</v>
      </c>
      <c r="D210" s="3">
        <f t="shared" si="6"/>
        <v>1.6666666666666663E-2</v>
      </c>
      <c r="E210" s="3">
        <f t="shared" si="7"/>
        <v>1.388888888888884E-3</v>
      </c>
      <c r="F210" s="6">
        <v>0.38541666666666669</v>
      </c>
      <c r="G210" s="6">
        <v>0.40208333333333335</v>
      </c>
      <c r="H210" t="s">
        <v>3</v>
      </c>
    </row>
    <row r="211" spans="3:8" x14ac:dyDescent="0.25">
      <c r="C211" s="19">
        <v>42323</v>
      </c>
      <c r="D211" s="3">
        <f t="shared" si="6"/>
        <v>1.5277777777777779E-2</v>
      </c>
      <c r="E211" s="3">
        <f t="shared" si="7"/>
        <v>9.0277777777777457E-3</v>
      </c>
      <c r="F211" s="6">
        <v>0.38680555555555557</v>
      </c>
      <c r="G211" s="6">
        <v>0.40208333333333335</v>
      </c>
      <c r="H211" t="s">
        <v>3</v>
      </c>
    </row>
    <row r="212" spans="3:8" x14ac:dyDescent="0.25">
      <c r="C212" s="19">
        <v>42323</v>
      </c>
      <c r="D212" s="3">
        <f t="shared" si="6"/>
        <v>6.2500000000000333E-3</v>
      </c>
      <c r="E212" s="3">
        <f t="shared" si="7"/>
        <v>1.8749999999999933E-2</v>
      </c>
      <c r="F212" s="6">
        <v>0.39861111111111108</v>
      </c>
      <c r="G212" s="6">
        <v>0.40486111111111112</v>
      </c>
      <c r="H212" t="s">
        <v>3</v>
      </c>
    </row>
    <row r="213" spans="3:8" x14ac:dyDescent="0.25">
      <c r="C213" s="19">
        <v>42323</v>
      </c>
      <c r="D213" s="3">
        <f t="shared" si="6"/>
        <v>2.4999999999999967E-2</v>
      </c>
      <c r="E213" s="3">
        <f t="shared" si="7"/>
        <v>1.5277777777777779E-2</v>
      </c>
      <c r="F213" s="6">
        <v>0.40833333333333338</v>
      </c>
      <c r="G213" s="6">
        <v>0.43333333333333335</v>
      </c>
      <c r="H213" t="s">
        <v>3</v>
      </c>
    </row>
    <row r="214" spans="3:8" x14ac:dyDescent="0.25">
      <c r="C214" s="19">
        <v>42323</v>
      </c>
      <c r="D214" s="3">
        <f t="shared" si="6"/>
        <v>9.7222222222221877E-3</v>
      </c>
      <c r="E214" s="3">
        <f t="shared" si="7"/>
        <v>1.388888888888995E-3</v>
      </c>
      <c r="F214" s="6">
        <v>0.55069444444444449</v>
      </c>
      <c r="G214" s="6">
        <v>0.56041666666666667</v>
      </c>
      <c r="H214" t="s">
        <v>3</v>
      </c>
    </row>
    <row r="215" spans="3:8" x14ac:dyDescent="0.25">
      <c r="C215" s="19">
        <v>42323</v>
      </c>
      <c r="D215" s="3">
        <f t="shared" si="6"/>
        <v>1.1111111111111183E-2</v>
      </c>
      <c r="E215" s="3">
        <f t="shared" si="7"/>
        <v>3.4722222222223209E-3</v>
      </c>
      <c r="F215" s="6">
        <v>0.60416666666666663</v>
      </c>
      <c r="G215" s="6">
        <v>0.61527777777777781</v>
      </c>
      <c r="H215" t="s">
        <v>3</v>
      </c>
    </row>
    <row r="216" spans="3:8" x14ac:dyDescent="0.25">
      <c r="C216" s="19">
        <v>42323</v>
      </c>
      <c r="D216" s="3">
        <f t="shared" si="6"/>
        <v>7.6388888888888618E-3</v>
      </c>
      <c r="E216" s="3">
        <f t="shared" si="7"/>
        <v>2.0833333333333259E-3</v>
      </c>
      <c r="F216" s="6">
        <v>0.76736111111111116</v>
      </c>
      <c r="G216" s="6">
        <v>0.77500000000000002</v>
      </c>
      <c r="H216" t="s">
        <v>3</v>
      </c>
    </row>
    <row r="217" spans="3:8" x14ac:dyDescent="0.25">
      <c r="C217" s="19">
        <v>42323</v>
      </c>
      <c r="D217" s="3">
        <f t="shared" si="6"/>
        <v>5.5555555555555358E-3</v>
      </c>
      <c r="E217" s="3">
        <f t="shared" si="7"/>
        <v>4.3055555555555514E-2</v>
      </c>
      <c r="F217" s="6">
        <v>0.91805555555555562</v>
      </c>
      <c r="G217" s="6">
        <v>0.92361111111111116</v>
      </c>
      <c r="H217" t="s">
        <v>3</v>
      </c>
    </row>
    <row r="218" spans="3:8" x14ac:dyDescent="0.25">
      <c r="C218" s="19">
        <v>42323</v>
      </c>
      <c r="D218" s="3">
        <f t="shared" si="6"/>
        <v>4.8611111111111049E-2</v>
      </c>
      <c r="E218" s="3">
        <f t="shared" si="7"/>
        <v>3.9583333333333193E-2</v>
      </c>
      <c r="F218" s="6">
        <v>0.71805555555555556</v>
      </c>
      <c r="G218" s="6">
        <v>0.76666666666666661</v>
      </c>
      <c r="H218" t="s">
        <v>3</v>
      </c>
    </row>
    <row r="219" spans="3:8" x14ac:dyDescent="0.25">
      <c r="C219" s="19">
        <v>42323</v>
      </c>
      <c r="D219" s="3">
        <f t="shared" si="6"/>
        <v>9.0277777777778567E-3</v>
      </c>
      <c r="E219" s="3">
        <f t="shared" si="7"/>
        <v>1.3888888888887729E-3</v>
      </c>
      <c r="F219" s="6">
        <v>0.85</v>
      </c>
      <c r="G219" s="6">
        <v>0.85902777777777783</v>
      </c>
      <c r="H219" t="s">
        <v>3</v>
      </c>
    </row>
    <row r="220" spans="3:8" x14ac:dyDescent="0.25">
      <c r="C220" s="19">
        <v>42323</v>
      </c>
      <c r="D220" s="3">
        <f t="shared" si="6"/>
        <v>1.041666666666663E-2</v>
      </c>
      <c r="F220" s="6">
        <v>0.88611111111111107</v>
      </c>
      <c r="G220" s="6">
        <v>0.8965277777777777</v>
      </c>
      <c r="H220" t="s">
        <v>3</v>
      </c>
    </row>
    <row r="221" spans="3:8" x14ac:dyDescent="0.25">
      <c r="C221" s="19">
        <v>42323</v>
      </c>
      <c r="D221" s="3">
        <f t="shared" si="6"/>
        <v>1.5972222222222221E-2</v>
      </c>
      <c r="E221" s="3">
        <f>ABS(D221-D222)</f>
        <v>1.388888888888884E-3</v>
      </c>
      <c r="F221" s="6">
        <v>0.39166666666666666</v>
      </c>
      <c r="G221" s="6">
        <v>0.40763888888888888</v>
      </c>
      <c r="H221" t="s">
        <v>9</v>
      </c>
    </row>
    <row r="222" spans="3:8" x14ac:dyDescent="0.25">
      <c r="C222" s="19">
        <v>42323</v>
      </c>
      <c r="D222" s="3">
        <f t="shared" si="6"/>
        <v>1.4583333333333337E-2</v>
      </c>
      <c r="E222" s="3">
        <f t="shared" ref="E222:E258" si="8">ABS(D222-D223)</f>
        <v>6.9444444444444198E-4</v>
      </c>
      <c r="F222" s="6">
        <v>0.43263888888888885</v>
      </c>
      <c r="G222" s="6">
        <v>0.44722222222222219</v>
      </c>
      <c r="H222" t="s">
        <v>9</v>
      </c>
    </row>
    <row r="223" spans="3:8" x14ac:dyDescent="0.25">
      <c r="C223" s="19">
        <v>42323</v>
      </c>
      <c r="D223" s="3">
        <f t="shared" si="6"/>
        <v>1.5277777777777779E-2</v>
      </c>
      <c r="E223" s="3">
        <f t="shared" si="8"/>
        <v>4.8611111111111494E-3</v>
      </c>
      <c r="F223" s="6">
        <v>0.49791666666666662</v>
      </c>
      <c r="G223" s="6">
        <v>0.5131944444444444</v>
      </c>
      <c r="H223" t="s">
        <v>9</v>
      </c>
    </row>
    <row r="224" spans="3:8" x14ac:dyDescent="0.25">
      <c r="C224" s="19">
        <v>42323</v>
      </c>
      <c r="D224" s="3">
        <f t="shared" si="6"/>
        <v>2.0138888888888928E-2</v>
      </c>
      <c r="E224" s="3">
        <f t="shared" si="8"/>
        <v>1.3888888888888284E-3</v>
      </c>
      <c r="F224" s="6">
        <v>0.6694444444444444</v>
      </c>
      <c r="G224" s="6">
        <v>0.68958333333333333</v>
      </c>
      <c r="H224" t="s">
        <v>9</v>
      </c>
    </row>
    <row r="225" spans="3:8" x14ac:dyDescent="0.25">
      <c r="C225" s="19">
        <v>42323</v>
      </c>
      <c r="D225" s="3">
        <f t="shared" si="6"/>
        <v>2.1527777777777757E-2</v>
      </c>
      <c r="E225" s="3">
        <f t="shared" si="8"/>
        <v>3.4722222222222654E-3</v>
      </c>
      <c r="F225" s="6">
        <v>0.41736111111111113</v>
      </c>
      <c r="G225" s="6">
        <v>0.43888888888888888</v>
      </c>
      <c r="H225" t="s">
        <v>9</v>
      </c>
    </row>
    <row r="226" spans="3:8" x14ac:dyDescent="0.25">
      <c r="C226" s="19">
        <v>42323</v>
      </c>
      <c r="D226" s="3">
        <f t="shared" si="6"/>
        <v>1.8055555555555491E-2</v>
      </c>
      <c r="E226" s="3">
        <f t="shared" si="8"/>
        <v>4.1666666666665408E-3</v>
      </c>
      <c r="F226" s="6">
        <v>0.55208333333333337</v>
      </c>
      <c r="G226" s="6">
        <v>0.57013888888888886</v>
      </c>
      <c r="H226" t="s">
        <v>9</v>
      </c>
    </row>
    <row r="227" spans="3:8" x14ac:dyDescent="0.25">
      <c r="C227" s="19">
        <v>42323</v>
      </c>
      <c r="D227" s="3">
        <f t="shared" si="6"/>
        <v>1.3888888888888951E-2</v>
      </c>
      <c r="E227" s="3">
        <f t="shared" si="8"/>
        <v>1.041666666666663E-2</v>
      </c>
      <c r="F227" s="6">
        <v>0.70138888888888884</v>
      </c>
      <c r="G227" s="6">
        <v>0.71527777777777779</v>
      </c>
      <c r="H227" t="s">
        <v>9</v>
      </c>
    </row>
    <row r="228" spans="3:8" x14ac:dyDescent="0.25">
      <c r="C228" s="19">
        <v>42323</v>
      </c>
      <c r="D228" s="3">
        <f t="shared" si="6"/>
        <v>2.430555555555558E-2</v>
      </c>
      <c r="E228" s="3">
        <f t="shared" si="8"/>
        <v>4.1666666666666519E-3</v>
      </c>
      <c r="F228" s="6">
        <v>0.45069444444444445</v>
      </c>
      <c r="G228" s="6">
        <v>0.47500000000000003</v>
      </c>
      <c r="H228" t="s">
        <v>9</v>
      </c>
    </row>
    <row r="229" spans="3:8" x14ac:dyDescent="0.25">
      <c r="C229" s="19">
        <v>42323</v>
      </c>
      <c r="D229" s="3">
        <f t="shared" si="6"/>
        <v>2.0138888888888928E-2</v>
      </c>
      <c r="E229" s="3">
        <f t="shared" si="8"/>
        <v>0</v>
      </c>
      <c r="F229" s="6">
        <v>0.42638888888888887</v>
      </c>
      <c r="G229" s="6">
        <v>0.4465277777777778</v>
      </c>
      <c r="H229" t="s">
        <v>9</v>
      </c>
    </row>
    <row r="230" spans="3:8" x14ac:dyDescent="0.25">
      <c r="C230" s="19">
        <v>42323</v>
      </c>
      <c r="D230" s="3">
        <f t="shared" si="6"/>
        <v>2.0138888888888928E-2</v>
      </c>
      <c r="E230" s="3">
        <f t="shared" si="8"/>
        <v>2.0833333333333814E-3</v>
      </c>
      <c r="F230" s="6">
        <v>0.6875</v>
      </c>
      <c r="G230" s="6">
        <v>0.70763888888888893</v>
      </c>
      <c r="H230" t="s">
        <v>9</v>
      </c>
    </row>
    <row r="231" spans="3:8" x14ac:dyDescent="0.25">
      <c r="C231" s="19">
        <v>42323</v>
      </c>
      <c r="D231" s="3">
        <f t="shared" si="6"/>
        <v>1.8055555555555547E-2</v>
      </c>
      <c r="E231" s="3">
        <f t="shared" si="8"/>
        <v>4.1666666666667074E-3</v>
      </c>
      <c r="F231" s="6">
        <v>0.40486111111111112</v>
      </c>
      <c r="G231" s="6">
        <v>0.42291666666666666</v>
      </c>
      <c r="H231" t="s">
        <v>9</v>
      </c>
    </row>
    <row r="232" spans="3:8" x14ac:dyDescent="0.25">
      <c r="C232" s="19">
        <v>42323</v>
      </c>
      <c r="D232" s="3">
        <f t="shared" si="6"/>
        <v>1.388888888888884E-2</v>
      </c>
      <c r="E232" s="3">
        <f t="shared" si="8"/>
        <v>1.388888888888995E-3</v>
      </c>
      <c r="F232" s="6">
        <v>0.47986111111111113</v>
      </c>
      <c r="G232" s="6">
        <v>0.49374999999999997</v>
      </c>
      <c r="H232" t="s">
        <v>9</v>
      </c>
    </row>
    <row r="233" spans="3:8" x14ac:dyDescent="0.25">
      <c r="C233" s="19">
        <v>42323</v>
      </c>
      <c r="D233" s="3">
        <f t="shared" si="6"/>
        <v>1.5277777777777835E-2</v>
      </c>
      <c r="E233" s="3">
        <f t="shared" si="8"/>
        <v>5.5555555555555913E-3</v>
      </c>
      <c r="F233" s="6">
        <v>0.80555555555555547</v>
      </c>
      <c r="G233" s="6">
        <v>0.8208333333333333</v>
      </c>
      <c r="H233" t="s">
        <v>9</v>
      </c>
    </row>
    <row r="234" spans="3:8" x14ac:dyDescent="0.25">
      <c r="C234" s="19">
        <v>42323</v>
      </c>
      <c r="D234" s="3">
        <f t="shared" si="6"/>
        <v>9.7222222222222432E-3</v>
      </c>
      <c r="E234" s="3">
        <f t="shared" si="8"/>
        <v>3.1944444444444497E-2</v>
      </c>
      <c r="F234" s="6">
        <v>0.16319444444444445</v>
      </c>
      <c r="G234" s="6">
        <v>0.17291666666666669</v>
      </c>
      <c r="H234" t="s">
        <v>9</v>
      </c>
    </row>
    <row r="235" spans="3:8" x14ac:dyDescent="0.25">
      <c r="C235" s="19">
        <v>42323</v>
      </c>
      <c r="D235" s="3">
        <f t="shared" si="6"/>
        <v>4.1666666666666741E-2</v>
      </c>
      <c r="E235" s="3">
        <f t="shared" si="8"/>
        <v>3.1944444444444553E-2</v>
      </c>
      <c r="F235" s="6">
        <v>0.30277777777777776</v>
      </c>
      <c r="G235" s="6">
        <v>0.3444444444444445</v>
      </c>
      <c r="H235" t="s">
        <v>9</v>
      </c>
    </row>
    <row r="236" spans="3:8" x14ac:dyDescent="0.25">
      <c r="C236" s="19">
        <v>42323</v>
      </c>
      <c r="D236" s="3">
        <f t="shared" si="6"/>
        <v>9.7222222222221877E-3</v>
      </c>
      <c r="E236" s="3">
        <f t="shared" si="8"/>
        <v>4.8611111111109828E-3</v>
      </c>
      <c r="F236" s="6">
        <v>0.50347222222222221</v>
      </c>
      <c r="G236" s="6">
        <v>0.5131944444444444</v>
      </c>
      <c r="H236" t="s">
        <v>9</v>
      </c>
    </row>
    <row r="237" spans="3:8" x14ac:dyDescent="0.25">
      <c r="C237" s="19">
        <v>42323</v>
      </c>
      <c r="D237" s="3">
        <f t="shared" si="6"/>
        <v>4.8611111111112049E-3</v>
      </c>
      <c r="E237" s="3">
        <f t="shared" si="8"/>
        <v>1.3888888888888784E-2</v>
      </c>
      <c r="F237" s="6">
        <v>0.80833333333333324</v>
      </c>
      <c r="G237" s="6">
        <v>0.81319444444444444</v>
      </c>
      <c r="H237" t="s">
        <v>9</v>
      </c>
    </row>
    <row r="238" spans="3:8" x14ac:dyDescent="0.25">
      <c r="C238" s="19">
        <v>42323</v>
      </c>
      <c r="D238" s="3">
        <f t="shared" si="6"/>
        <v>1.8749999999999989E-2</v>
      </c>
      <c r="E238" s="3">
        <f t="shared" si="8"/>
        <v>0</v>
      </c>
      <c r="F238" s="6">
        <v>0.30763888888888891</v>
      </c>
      <c r="G238" s="6">
        <v>0.3263888888888889</v>
      </c>
      <c r="H238" t="s">
        <v>9</v>
      </c>
    </row>
    <row r="239" spans="3:8" x14ac:dyDescent="0.25">
      <c r="C239" s="19">
        <v>42323</v>
      </c>
      <c r="D239" s="3">
        <f t="shared" si="6"/>
        <v>1.8749999999999989E-2</v>
      </c>
      <c r="E239" s="3">
        <f t="shared" si="8"/>
        <v>1.3194444444444231E-2</v>
      </c>
      <c r="F239" s="6">
        <v>0.34513888888888888</v>
      </c>
      <c r="G239" s="6">
        <v>0.36388888888888887</v>
      </c>
      <c r="H239" t="s">
        <v>9</v>
      </c>
    </row>
    <row r="240" spans="3:8" x14ac:dyDescent="0.25">
      <c r="C240" s="19">
        <v>42323</v>
      </c>
      <c r="D240" s="3">
        <f t="shared" si="6"/>
        <v>5.5555555555557579E-3</v>
      </c>
      <c r="E240" s="3">
        <f t="shared" si="8"/>
        <v>2.4305555555555358E-2</v>
      </c>
      <c r="F240" s="6">
        <v>0.71736111111111101</v>
      </c>
      <c r="G240" s="6">
        <v>0.72291666666666676</v>
      </c>
      <c r="H240" t="s">
        <v>9</v>
      </c>
    </row>
    <row r="241" spans="3:8" x14ac:dyDescent="0.25">
      <c r="C241" s="19">
        <v>42323</v>
      </c>
      <c r="D241" s="3">
        <f t="shared" si="6"/>
        <v>2.9861111111111116E-2</v>
      </c>
      <c r="E241" s="3">
        <f t="shared" si="8"/>
        <v>9.7222222222222432E-3</v>
      </c>
      <c r="F241" s="6">
        <v>0.50763888888888886</v>
      </c>
      <c r="G241" s="6">
        <v>0.53749999999999998</v>
      </c>
      <c r="H241" t="s">
        <v>9</v>
      </c>
    </row>
    <row r="242" spans="3:8" x14ac:dyDescent="0.25">
      <c r="C242" s="19">
        <v>42323</v>
      </c>
      <c r="D242" s="3">
        <f t="shared" si="6"/>
        <v>3.9583333333333359E-2</v>
      </c>
      <c r="E242" s="3">
        <f t="shared" si="8"/>
        <v>2.569444444444452E-2</v>
      </c>
      <c r="F242" s="6">
        <v>0.49791666666666662</v>
      </c>
      <c r="G242" s="6">
        <v>0.53749999999999998</v>
      </c>
      <c r="H242" t="s">
        <v>9</v>
      </c>
    </row>
    <row r="243" spans="3:8" x14ac:dyDescent="0.25">
      <c r="C243" s="19">
        <v>42323</v>
      </c>
      <c r="D243" s="3">
        <f t="shared" si="6"/>
        <v>1.388888888888884E-2</v>
      </c>
      <c r="E243" s="3">
        <f t="shared" si="8"/>
        <v>7.6388888888889173E-3</v>
      </c>
      <c r="F243" s="6">
        <v>0.70972222222222225</v>
      </c>
      <c r="G243" s="6">
        <v>0.72361111111111109</v>
      </c>
      <c r="H243" t="s">
        <v>9</v>
      </c>
    </row>
    <row r="244" spans="3:8" x14ac:dyDescent="0.25">
      <c r="C244" s="19">
        <v>42323</v>
      </c>
      <c r="D244" s="3">
        <f t="shared" si="6"/>
        <v>2.1527777777777757E-2</v>
      </c>
      <c r="E244" s="3">
        <f t="shared" si="8"/>
        <v>1.5277777777777779E-2</v>
      </c>
      <c r="F244" s="6">
        <v>0.31458333333333333</v>
      </c>
      <c r="G244" s="6">
        <v>0.33611111111111108</v>
      </c>
      <c r="H244" t="s">
        <v>9</v>
      </c>
    </row>
    <row r="245" spans="3:8" x14ac:dyDescent="0.25">
      <c r="C245" s="19">
        <v>42323</v>
      </c>
      <c r="D245" s="3">
        <f t="shared" si="6"/>
        <v>6.2499999999999778E-3</v>
      </c>
      <c r="E245" s="3">
        <f t="shared" si="8"/>
        <v>1.0416666666666741E-2</v>
      </c>
      <c r="F245" s="6">
        <v>0.32361111111111113</v>
      </c>
      <c r="G245" s="6">
        <v>0.3298611111111111</v>
      </c>
      <c r="H245" t="s">
        <v>9</v>
      </c>
    </row>
    <row r="246" spans="3:8" x14ac:dyDescent="0.25">
      <c r="C246" s="19">
        <v>42323</v>
      </c>
      <c r="D246" s="3">
        <f t="shared" si="6"/>
        <v>1.6666666666666718E-2</v>
      </c>
      <c r="E246" s="3">
        <f t="shared" si="8"/>
        <v>2.0833333333333814E-3</v>
      </c>
      <c r="F246" s="6">
        <v>0.33888888888888885</v>
      </c>
      <c r="G246" s="6">
        <v>0.35555555555555557</v>
      </c>
      <c r="H246" t="s">
        <v>9</v>
      </c>
    </row>
    <row r="247" spans="3:8" x14ac:dyDescent="0.25">
      <c r="C247" s="19">
        <v>42323</v>
      </c>
      <c r="D247" s="3">
        <f t="shared" si="6"/>
        <v>1.4583333333333337E-2</v>
      </c>
      <c r="E247" s="3">
        <f t="shared" si="8"/>
        <v>1.3888888888889395E-3</v>
      </c>
      <c r="F247" s="6">
        <v>0.49374999999999997</v>
      </c>
      <c r="G247" s="6">
        <v>0.5083333333333333</v>
      </c>
      <c r="H247" t="s">
        <v>9</v>
      </c>
    </row>
    <row r="248" spans="3:8" x14ac:dyDescent="0.25">
      <c r="C248" s="19">
        <v>42323</v>
      </c>
      <c r="D248" s="3">
        <f t="shared" si="6"/>
        <v>1.5972222222222276E-2</v>
      </c>
      <c r="E248" s="3">
        <f t="shared" si="8"/>
        <v>2.0833333333332704E-3</v>
      </c>
      <c r="F248" s="6">
        <v>0.65208333333333335</v>
      </c>
      <c r="G248" s="6">
        <v>0.66805555555555562</v>
      </c>
      <c r="H248" t="s">
        <v>9</v>
      </c>
    </row>
    <row r="249" spans="3:8" x14ac:dyDescent="0.25">
      <c r="C249" s="19">
        <v>42323</v>
      </c>
      <c r="D249" s="3">
        <f t="shared" si="6"/>
        <v>1.8055555555555547E-2</v>
      </c>
      <c r="E249" s="3">
        <f t="shared" si="8"/>
        <v>4.8611111111110383E-3</v>
      </c>
      <c r="F249" s="6">
        <v>0.3125</v>
      </c>
      <c r="G249" s="6">
        <v>0.33055555555555555</v>
      </c>
      <c r="H249" t="s">
        <v>9</v>
      </c>
    </row>
    <row r="250" spans="3:8" x14ac:dyDescent="0.25">
      <c r="C250" s="19">
        <v>42323</v>
      </c>
      <c r="D250" s="3">
        <f t="shared" si="6"/>
        <v>1.3194444444444509E-2</v>
      </c>
      <c r="E250" s="3">
        <f t="shared" si="8"/>
        <v>2.0833333333332704E-3</v>
      </c>
      <c r="F250" s="6">
        <v>0.61388888888888882</v>
      </c>
      <c r="G250" s="6">
        <v>0.62708333333333333</v>
      </c>
      <c r="H250" t="s">
        <v>9</v>
      </c>
    </row>
    <row r="251" spans="3:8" x14ac:dyDescent="0.25">
      <c r="C251" s="19">
        <v>42323</v>
      </c>
      <c r="D251" s="3">
        <f t="shared" si="6"/>
        <v>1.5277777777777779E-2</v>
      </c>
      <c r="E251" s="3">
        <f t="shared" si="8"/>
        <v>2.0833333333333259E-3</v>
      </c>
      <c r="F251" s="6">
        <v>0.12430555555555556</v>
      </c>
      <c r="G251" s="6">
        <v>0.13958333333333334</v>
      </c>
      <c r="H251" t="s">
        <v>9</v>
      </c>
    </row>
    <row r="252" spans="3:8" x14ac:dyDescent="0.25">
      <c r="C252" s="19">
        <v>42323</v>
      </c>
      <c r="D252" s="3">
        <f t="shared" si="6"/>
        <v>1.3194444444444453E-2</v>
      </c>
      <c r="E252" s="3">
        <f t="shared" si="8"/>
        <v>6.2500000000000333E-3</v>
      </c>
      <c r="F252" s="6">
        <v>0.16111111111111112</v>
      </c>
      <c r="G252" s="6">
        <v>0.17430555555555557</v>
      </c>
      <c r="H252" t="s">
        <v>9</v>
      </c>
    </row>
    <row r="253" spans="3:8" x14ac:dyDescent="0.25">
      <c r="C253" s="19">
        <v>42323</v>
      </c>
      <c r="D253" s="3">
        <f t="shared" si="6"/>
        <v>6.9444444444444198E-3</v>
      </c>
      <c r="E253" s="3">
        <f t="shared" si="8"/>
        <v>9.7222222222222987E-3</v>
      </c>
      <c r="F253" s="6">
        <v>0.35486111111111113</v>
      </c>
      <c r="G253" s="6">
        <v>0.36180555555555555</v>
      </c>
      <c r="H253" t="s">
        <v>9</v>
      </c>
    </row>
    <row r="254" spans="3:8" x14ac:dyDescent="0.25">
      <c r="C254" s="19">
        <v>42323</v>
      </c>
      <c r="D254" s="3">
        <f t="shared" si="6"/>
        <v>1.6666666666666718E-2</v>
      </c>
      <c r="E254" s="3">
        <f t="shared" si="8"/>
        <v>4.1666666666665408E-3</v>
      </c>
      <c r="F254" s="6">
        <v>0.53611111111111109</v>
      </c>
      <c r="G254" s="6">
        <v>0.55277777777777781</v>
      </c>
      <c r="H254" t="s">
        <v>9</v>
      </c>
    </row>
    <row r="255" spans="3:8" x14ac:dyDescent="0.25">
      <c r="C255" s="19">
        <v>42323</v>
      </c>
      <c r="D255" s="3">
        <f t="shared" si="6"/>
        <v>2.0833333333333259E-2</v>
      </c>
      <c r="E255" s="3">
        <f t="shared" si="8"/>
        <v>8.3333333333334147E-3</v>
      </c>
      <c r="F255" s="6">
        <v>0.78194444444444444</v>
      </c>
      <c r="G255" s="6">
        <v>0.8027777777777777</v>
      </c>
      <c r="H255" s="4" t="s">
        <v>9</v>
      </c>
    </row>
    <row r="256" spans="3:8" x14ac:dyDescent="0.25">
      <c r="C256" s="19">
        <v>42323</v>
      </c>
      <c r="D256" s="3">
        <f t="shared" si="6"/>
        <v>1.2499999999999845E-2</v>
      </c>
      <c r="E256" s="3">
        <f t="shared" si="8"/>
        <v>6.2500000000001998E-3</v>
      </c>
      <c r="F256" s="6">
        <v>0.91319444444444453</v>
      </c>
      <c r="G256" s="6">
        <v>0.92569444444444438</v>
      </c>
      <c r="H256" t="s">
        <v>9</v>
      </c>
    </row>
    <row r="257" spans="3:8" x14ac:dyDescent="0.25">
      <c r="C257" s="19">
        <v>42323</v>
      </c>
      <c r="D257" s="3">
        <f t="shared" si="6"/>
        <v>1.8750000000000044E-2</v>
      </c>
      <c r="E257" s="3">
        <f t="shared" si="8"/>
        <v>2.0833333333333814E-3</v>
      </c>
      <c r="F257" s="6">
        <v>0.68402777777777779</v>
      </c>
      <c r="G257" s="6">
        <v>0.70277777777777783</v>
      </c>
      <c r="H257" t="s">
        <v>9</v>
      </c>
    </row>
    <row r="258" spans="3:8" x14ac:dyDescent="0.25">
      <c r="C258" s="19">
        <v>42323</v>
      </c>
      <c r="D258" s="3">
        <f t="shared" ref="D258:D321" si="9">G258-F258</f>
        <v>1.6666666666666663E-2</v>
      </c>
      <c r="E258" s="3">
        <f t="shared" si="8"/>
        <v>1.1111111111111127E-2</v>
      </c>
      <c r="F258" s="6">
        <v>0.38541666666666669</v>
      </c>
      <c r="G258" s="6">
        <v>0.40208333333333335</v>
      </c>
      <c r="H258" t="s">
        <v>9</v>
      </c>
    </row>
    <row r="259" spans="3:8" x14ac:dyDescent="0.25">
      <c r="C259" s="19">
        <v>42323</v>
      </c>
      <c r="D259" s="3">
        <f t="shared" si="9"/>
        <v>5.5555555555555358E-3</v>
      </c>
      <c r="F259" s="6">
        <v>0.41388888888888892</v>
      </c>
      <c r="G259" s="6">
        <v>0.41944444444444445</v>
      </c>
      <c r="H259" t="s">
        <v>9</v>
      </c>
    </row>
    <row r="260" spans="3:8" x14ac:dyDescent="0.25">
      <c r="C260" s="19">
        <v>42323</v>
      </c>
      <c r="D260" s="3">
        <f t="shared" si="9"/>
        <v>1.7361111111111105E-2</v>
      </c>
      <c r="E260" s="3">
        <f>ABS(D260-D261)</f>
        <v>4.1666666666667074E-3</v>
      </c>
      <c r="F260" s="6">
        <v>6.458333333333334E-2</v>
      </c>
      <c r="G260" s="6">
        <v>8.1944444444444445E-2</v>
      </c>
      <c r="H260" t="s">
        <v>10</v>
      </c>
    </row>
    <row r="261" spans="3:8" x14ac:dyDescent="0.25">
      <c r="C261" s="19">
        <v>42323</v>
      </c>
      <c r="D261" s="3">
        <f t="shared" si="9"/>
        <v>2.1527777777777812E-2</v>
      </c>
      <c r="E261" s="3">
        <f t="shared" ref="E261:E324" si="10">ABS(D261-D262)</f>
        <v>3.4722222222223209E-3</v>
      </c>
      <c r="F261" s="6">
        <v>0.60138888888888886</v>
      </c>
      <c r="G261" s="6">
        <v>0.62291666666666667</v>
      </c>
      <c r="H261" t="s">
        <v>10</v>
      </c>
    </row>
    <row r="262" spans="3:8" x14ac:dyDescent="0.25">
      <c r="C262" s="19">
        <v>42323</v>
      </c>
      <c r="D262" s="3">
        <f t="shared" si="9"/>
        <v>1.8055555555555491E-2</v>
      </c>
      <c r="E262" s="3">
        <f t="shared" si="10"/>
        <v>1.3888888888887729E-3</v>
      </c>
      <c r="F262" s="6">
        <v>0.65694444444444444</v>
      </c>
      <c r="G262" s="6">
        <v>0.67499999999999993</v>
      </c>
      <c r="H262" t="s">
        <v>10</v>
      </c>
    </row>
    <row r="263" spans="3:8" x14ac:dyDescent="0.25">
      <c r="C263" s="19">
        <v>42323</v>
      </c>
      <c r="D263" s="3">
        <f t="shared" si="9"/>
        <v>1.6666666666666718E-2</v>
      </c>
      <c r="E263" s="3">
        <f t="shared" si="10"/>
        <v>0</v>
      </c>
      <c r="F263" s="6">
        <v>0.66527777777777775</v>
      </c>
      <c r="G263" s="6">
        <v>0.68194444444444446</v>
      </c>
      <c r="H263" t="s">
        <v>10</v>
      </c>
    </row>
    <row r="264" spans="3:8" x14ac:dyDescent="0.25">
      <c r="C264" s="19">
        <v>42323</v>
      </c>
      <c r="D264" s="3">
        <f t="shared" si="9"/>
        <v>1.6666666666666718E-2</v>
      </c>
      <c r="E264" s="3">
        <f t="shared" si="10"/>
        <v>4.8611111111111494E-3</v>
      </c>
      <c r="F264" s="6">
        <v>0.36458333333333331</v>
      </c>
      <c r="G264" s="6">
        <v>0.38125000000000003</v>
      </c>
      <c r="H264" t="s">
        <v>10</v>
      </c>
    </row>
    <row r="265" spans="3:8" x14ac:dyDescent="0.25">
      <c r="C265" s="19">
        <v>42323</v>
      </c>
      <c r="D265" s="3">
        <f t="shared" si="9"/>
        <v>1.1805555555555569E-2</v>
      </c>
      <c r="E265" s="3">
        <f t="shared" si="10"/>
        <v>6.9444444444444753E-3</v>
      </c>
      <c r="F265" s="6">
        <v>0.47291666666666665</v>
      </c>
      <c r="G265" s="6">
        <v>0.48472222222222222</v>
      </c>
      <c r="H265" t="s">
        <v>10</v>
      </c>
    </row>
    <row r="266" spans="3:8" x14ac:dyDescent="0.25">
      <c r="C266" s="19">
        <v>42323</v>
      </c>
      <c r="D266" s="3">
        <f t="shared" si="9"/>
        <v>1.8750000000000044E-2</v>
      </c>
      <c r="E266" s="3">
        <f t="shared" si="10"/>
        <v>2.0833333333333259E-3</v>
      </c>
      <c r="F266" s="6">
        <v>0.47291666666666665</v>
      </c>
      <c r="G266" s="6">
        <v>0.4916666666666667</v>
      </c>
      <c r="H266" t="s">
        <v>10</v>
      </c>
    </row>
    <row r="267" spans="3:8" x14ac:dyDescent="0.25">
      <c r="C267" s="19">
        <v>42323</v>
      </c>
      <c r="D267" s="3">
        <f t="shared" si="9"/>
        <v>1.6666666666666718E-2</v>
      </c>
      <c r="E267" s="3">
        <f t="shared" si="10"/>
        <v>8.3333333333333037E-3</v>
      </c>
      <c r="F267" s="6">
        <v>0.5395833333333333</v>
      </c>
      <c r="G267" s="6">
        <v>0.55625000000000002</v>
      </c>
      <c r="H267" t="s">
        <v>10</v>
      </c>
    </row>
    <row r="268" spans="3:8" x14ac:dyDescent="0.25">
      <c r="C268" s="19">
        <v>42323</v>
      </c>
      <c r="D268" s="3">
        <f t="shared" si="9"/>
        <v>2.5000000000000022E-2</v>
      </c>
      <c r="E268" s="3">
        <f t="shared" si="10"/>
        <v>9.0277777777778567E-3</v>
      </c>
      <c r="F268" s="6">
        <v>0.55833333333333335</v>
      </c>
      <c r="G268" s="6">
        <v>0.58333333333333337</v>
      </c>
      <c r="H268" t="s">
        <v>10</v>
      </c>
    </row>
    <row r="269" spans="3:8" x14ac:dyDescent="0.25">
      <c r="C269" s="19">
        <v>42323</v>
      </c>
      <c r="D269" s="3">
        <f t="shared" si="9"/>
        <v>1.5972222222222165E-2</v>
      </c>
      <c r="E269" s="3">
        <f t="shared" si="10"/>
        <v>1.1805555555555625E-2</v>
      </c>
      <c r="F269" s="6">
        <v>0.73611111111111116</v>
      </c>
      <c r="G269" s="6">
        <v>0.75208333333333333</v>
      </c>
      <c r="H269" t="s">
        <v>10</v>
      </c>
    </row>
    <row r="270" spans="3:8" x14ac:dyDescent="0.25">
      <c r="C270" s="19">
        <v>42323</v>
      </c>
      <c r="D270" s="3">
        <f t="shared" si="9"/>
        <v>2.777777777777779E-2</v>
      </c>
      <c r="E270" s="3">
        <f t="shared" si="10"/>
        <v>1.0416666666666685E-2</v>
      </c>
      <c r="F270" s="6">
        <v>0.2673611111111111</v>
      </c>
      <c r="G270" s="6">
        <v>0.2951388888888889</v>
      </c>
      <c r="H270" t="s">
        <v>10</v>
      </c>
    </row>
    <row r="271" spans="3:8" x14ac:dyDescent="0.25">
      <c r="C271" s="19">
        <v>42323</v>
      </c>
      <c r="D271" s="3">
        <f t="shared" si="9"/>
        <v>1.7361111111111105E-2</v>
      </c>
      <c r="E271" s="3">
        <f t="shared" si="10"/>
        <v>2.0833333333333814E-3</v>
      </c>
      <c r="F271" s="6">
        <v>0.29930555555555555</v>
      </c>
      <c r="G271" s="6">
        <v>0.31666666666666665</v>
      </c>
      <c r="H271" t="s">
        <v>10</v>
      </c>
    </row>
    <row r="272" spans="3:8" x14ac:dyDescent="0.25">
      <c r="C272" s="19">
        <v>42323</v>
      </c>
      <c r="D272" s="3">
        <f t="shared" si="9"/>
        <v>1.9444444444444486E-2</v>
      </c>
      <c r="E272" s="3">
        <f t="shared" si="10"/>
        <v>2.0833333333333814E-3</v>
      </c>
      <c r="F272" s="6">
        <v>0.36041666666666666</v>
      </c>
      <c r="G272" s="6">
        <v>0.37986111111111115</v>
      </c>
      <c r="H272" t="s">
        <v>10</v>
      </c>
    </row>
    <row r="273" spans="3:8" x14ac:dyDescent="0.25">
      <c r="C273" s="19">
        <v>42323</v>
      </c>
      <c r="D273" s="3">
        <f t="shared" si="9"/>
        <v>1.7361111111111105E-2</v>
      </c>
      <c r="E273" s="3">
        <f t="shared" si="10"/>
        <v>5.5555555555555913E-3</v>
      </c>
      <c r="F273" s="6">
        <v>0.3972222222222222</v>
      </c>
      <c r="G273" s="6">
        <v>0.4145833333333333</v>
      </c>
      <c r="H273" t="s">
        <v>10</v>
      </c>
    </row>
    <row r="274" spans="3:8" x14ac:dyDescent="0.25">
      <c r="C274" s="19">
        <v>42323</v>
      </c>
      <c r="D274" s="3">
        <f t="shared" si="9"/>
        <v>2.2916666666666696E-2</v>
      </c>
      <c r="E274" s="3">
        <f t="shared" si="10"/>
        <v>0</v>
      </c>
      <c r="F274" s="6">
        <v>0.56944444444444442</v>
      </c>
      <c r="G274" s="6">
        <v>0.59236111111111112</v>
      </c>
      <c r="H274" t="s">
        <v>10</v>
      </c>
    </row>
    <row r="275" spans="3:8" x14ac:dyDescent="0.25">
      <c r="C275" s="19">
        <v>42323</v>
      </c>
      <c r="D275" s="3">
        <f t="shared" si="9"/>
        <v>2.2916666666666696E-2</v>
      </c>
      <c r="E275" s="3">
        <f t="shared" si="10"/>
        <v>6.2500000000000888E-3</v>
      </c>
      <c r="F275" s="6">
        <v>0.56944444444444442</v>
      </c>
      <c r="G275" s="6">
        <v>0.59236111111111112</v>
      </c>
      <c r="H275" t="s">
        <v>10</v>
      </c>
    </row>
    <row r="276" spans="3:8" x14ac:dyDescent="0.25">
      <c r="C276" s="19">
        <v>42323</v>
      </c>
      <c r="D276" s="3">
        <f t="shared" si="9"/>
        <v>1.6666666666666607E-2</v>
      </c>
      <c r="E276" s="3">
        <f t="shared" si="10"/>
        <v>1.388888888888995E-3</v>
      </c>
      <c r="F276" s="6">
        <v>0.57500000000000007</v>
      </c>
      <c r="G276" s="6">
        <v>0.59166666666666667</v>
      </c>
      <c r="H276" t="s">
        <v>10</v>
      </c>
    </row>
    <row r="277" spans="3:8" x14ac:dyDescent="0.25">
      <c r="C277" s="19">
        <v>42323</v>
      </c>
      <c r="D277" s="3">
        <f t="shared" si="9"/>
        <v>1.8055555555555602E-2</v>
      </c>
      <c r="E277" s="3">
        <f t="shared" si="10"/>
        <v>6.9444444444466402E-4</v>
      </c>
      <c r="F277" s="6">
        <v>0.58263888888888882</v>
      </c>
      <c r="G277" s="6">
        <v>0.60069444444444442</v>
      </c>
      <c r="H277" t="s">
        <v>10</v>
      </c>
    </row>
    <row r="278" spans="3:8" x14ac:dyDescent="0.25">
      <c r="C278" s="19">
        <v>42323</v>
      </c>
      <c r="D278" s="3">
        <f t="shared" si="9"/>
        <v>1.7361111111110938E-2</v>
      </c>
      <c r="E278" s="3">
        <f t="shared" si="10"/>
        <v>9.7222222222224097E-3</v>
      </c>
      <c r="F278" s="6">
        <v>0.73125000000000007</v>
      </c>
      <c r="G278" s="6">
        <v>0.74861111111111101</v>
      </c>
      <c r="H278" t="s">
        <v>10</v>
      </c>
    </row>
    <row r="279" spans="3:8" x14ac:dyDescent="0.25">
      <c r="C279" s="19">
        <v>42323</v>
      </c>
      <c r="D279" s="3">
        <f t="shared" si="9"/>
        <v>2.7083333333333348E-2</v>
      </c>
      <c r="E279" s="3">
        <f t="shared" si="10"/>
        <v>6.2500000000000888E-3</v>
      </c>
      <c r="F279" s="6">
        <v>0.76041666666666663</v>
      </c>
      <c r="G279" s="6">
        <v>0.78749999999999998</v>
      </c>
      <c r="H279" t="s">
        <v>10</v>
      </c>
    </row>
    <row r="280" spans="3:8" x14ac:dyDescent="0.25">
      <c r="C280" s="19">
        <v>42323</v>
      </c>
      <c r="D280" s="3">
        <f t="shared" si="9"/>
        <v>2.0833333333333259E-2</v>
      </c>
      <c r="E280" s="3">
        <f t="shared" si="10"/>
        <v>6.2499999999999778E-3</v>
      </c>
      <c r="F280" s="6">
        <v>0.7909722222222223</v>
      </c>
      <c r="G280" s="6">
        <v>0.81180555555555556</v>
      </c>
      <c r="H280" t="s">
        <v>10</v>
      </c>
    </row>
    <row r="281" spans="3:8" x14ac:dyDescent="0.25">
      <c r="C281" s="19">
        <v>42323</v>
      </c>
      <c r="D281" s="3">
        <f t="shared" si="9"/>
        <v>1.4583333333333282E-2</v>
      </c>
      <c r="E281" s="3">
        <f t="shared" si="10"/>
        <v>1.388888888888884E-3</v>
      </c>
      <c r="F281" s="6">
        <v>0.96250000000000002</v>
      </c>
      <c r="G281" s="6">
        <v>0.9770833333333333</v>
      </c>
      <c r="H281" t="s">
        <v>10</v>
      </c>
    </row>
    <row r="282" spans="3:8" x14ac:dyDescent="0.25">
      <c r="C282" s="19">
        <v>42323</v>
      </c>
      <c r="D282" s="3">
        <f t="shared" si="9"/>
        <v>1.5972222222222165E-2</v>
      </c>
      <c r="E282" s="3">
        <f t="shared" si="10"/>
        <v>1.0416666666666741E-2</v>
      </c>
      <c r="F282" s="6">
        <v>0.9770833333333333</v>
      </c>
      <c r="G282" s="6">
        <v>0.99305555555555547</v>
      </c>
      <c r="H282" t="s">
        <v>10</v>
      </c>
    </row>
    <row r="283" spans="3:8" x14ac:dyDescent="0.25">
      <c r="C283" s="19">
        <v>42323</v>
      </c>
      <c r="D283" s="3">
        <f t="shared" si="9"/>
        <v>2.6388888888888906E-2</v>
      </c>
      <c r="E283" s="3">
        <f t="shared" si="10"/>
        <v>9.0277777777777457E-3</v>
      </c>
      <c r="F283" s="6">
        <v>0.27291666666666664</v>
      </c>
      <c r="G283" s="6">
        <v>0.29930555555555555</v>
      </c>
      <c r="H283" t="s">
        <v>10</v>
      </c>
    </row>
    <row r="284" spans="3:8" x14ac:dyDescent="0.25">
      <c r="C284" s="19">
        <v>42323</v>
      </c>
      <c r="D284" s="3">
        <f t="shared" si="9"/>
        <v>1.736111111111116E-2</v>
      </c>
      <c r="E284" s="3">
        <f t="shared" si="10"/>
        <v>6.9444444444444198E-4</v>
      </c>
      <c r="F284" s="6">
        <v>0.39513888888888887</v>
      </c>
      <c r="G284" s="6">
        <v>0.41250000000000003</v>
      </c>
      <c r="H284" t="s">
        <v>10</v>
      </c>
    </row>
    <row r="285" spans="3:8" x14ac:dyDescent="0.25">
      <c r="C285" s="19">
        <v>42323</v>
      </c>
      <c r="D285" s="3">
        <f t="shared" si="9"/>
        <v>1.6666666666666718E-2</v>
      </c>
      <c r="E285" s="3">
        <f t="shared" si="10"/>
        <v>2.7777777777778789E-3</v>
      </c>
      <c r="F285" s="6">
        <v>0.54305555555555551</v>
      </c>
      <c r="G285" s="6">
        <v>0.55972222222222223</v>
      </c>
      <c r="H285" t="s">
        <v>10</v>
      </c>
    </row>
    <row r="286" spans="3:8" x14ac:dyDescent="0.25">
      <c r="C286" s="19">
        <v>42323</v>
      </c>
      <c r="D286" s="3">
        <f t="shared" si="9"/>
        <v>1.388888888888884E-2</v>
      </c>
      <c r="E286" s="3">
        <f t="shared" si="10"/>
        <v>5.5555555555556468E-3</v>
      </c>
      <c r="F286" s="6">
        <v>0.59444444444444444</v>
      </c>
      <c r="G286" s="6">
        <v>0.60833333333333328</v>
      </c>
      <c r="H286" t="s">
        <v>10</v>
      </c>
    </row>
    <row r="287" spans="3:8" x14ac:dyDescent="0.25">
      <c r="C287" s="19">
        <v>42323</v>
      </c>
      <c r="D287" s="3">
        <f t="shared" si="9"/>
        <v>1.9444444444444486E-2</v>
      </c>
      <c r="E287" s="3">
        <f t="shared" si="10"/>
        <v>6.944444444444442E-2</v>
      </c>
      <c r="F287" s="6">
        <v>0.68263888888888891</v>
      </c>
      <c r="G287" s="6">
        <v>0.70208333333333339</v>
      </c>
      <c r="H287" t="s">
        <v>10</v>
      </c>
    </row>
    <row r="288" spans="3:8" x14ac:dyDescent="0.25">
      <c r="C288" s="19">
        <v>42323</v>
      </c>
      <c r="D288" s="3">
        <f t="shared" si="9"/>
        <v>8.8888888888888906E-2</v>
      </c>
      <c r="E288" s="3">
        <f t="shared" si="10"/>
        <v>7.1527777777777746E-2</v>
      </c>
      <c r="F288" s="6">
        <v>0.74097222222222225</v>
      </c>
      <c r="G288" s="6">
        <v>0.82986111111111116</v>
      </c>
      <c r="H288" t="s">
        <v>10</v>
      </c>
    </row>
    <row r="289" spans="3:8" x14ac:dyDescent="0.25">
      <c r="C289" s="19">
        <v>42323</v>
      </c>
      <c r="D289" s="3">
        <f t="shared" si="9"/>
        <v>1.736111111111116E-2</v>
      </c>
      <c r="E289" s="3">
        <f t="shared" si="10"/>
        <v>3.4722222222223209E-3</v>
      </c>
      <c r="F289" s="6">
        <v>0.76597222222222217</v>
      </c>
      <c r="G289" s="6">
        <v>0.78333333333333333</v>
      </c>
      <c r="H289" t="s">
        <v>10</v>
      </c>
    </row>
    <row r="290" spans="3:8" x14ac:dyDescent="0.25">
      <c r="C290" s="19">
        <v>42323</v>
      </c>
      <c r="D290" s="3">
        <f t="shared" si="9"/>
        <v>1.388888888888884E-2</v>
      </c>
      <c r="E290" s="3">
        <f t="shared" si="10"/>
        <v>2.0833333333333259E-3</v>
      </c>
      <c r="F290" s="6">
        <v>0.78333333333333333</v>
      </c>
      <c r="G290" s="6">
        <v>0.79722222222222217</v>
      </c>
      <c r="H290" t="s">
        <v>10</v>
      </c>
    </row>
    <row r="291" spans="3:8" x14ac:dyDescent="0.25">
      <c r="C291" s="19">
        <v>42323</v>
      </c>
      <c r="D291" s="3">
        <f t="shared" si="9"/>
        <v>1.5972222222222165E-2</v>
      </c>
      <c r="E291" s="3">
        <f t="shared" si="10"/>
        <v>6.9444444444444198E-4</v>
      </c>
      <c r="F291" s="6">
        <v>0.81666666666666676</v>
      </c>
      <c r="G291" s="6">
        <v>0.83263888888888893</v>
      </c>
      <c r="H291" t="s">
        <v>10</v>
      </c>
    </row>
    <row r="292" spans="3:8" x14ac:dyDescent="0.25">
      <c r="C292" s="19">
        <v>42323</v>
      </c>
      <c r="D292" s="3">
        <f t="shared" si="9"/>
        <v>1.6666666666666607E-2</v>
      </c>
      <c r="E292" s="3">
        <f t="shared" si="10"/>
        <v>2.7777777777777679E-3</v>
      </c>
      <c r="F292" s="6">
        <v>0.83472222222222225</v>
      </c>
      <c r="G292" s="6">
        <v>0.85138888888888886</v>
      </c>
      <c r="H292" t="s">
        <v>10</v>
      </c>
    </row>
    <row r="293" spans="3:8" x14ac:dyDescent="0.25">
      <c r="C293" s="19">
        <v>42323</v>
      </c>
      <c r="D293" s="3">
        <f t="shared" si="9"/>
        <v>1.9444444444444375E-2</v>
      </c>
      <c r="E293" s="3">
        <f t="shared" si="10"/>
        <v>4.1666666666666519E-3</v>
      </c>
      <c r="F293" s="6">
        <v>0.90555555555555556</v>
      </c>
      <c r="G293" s="6">
        <v>0.92499999999999993</v>
      </c>
      <c r="H293" t="s">
        <v>10</v>
      </c>
    </row>
    <row r="294" spans="3:8" x14ac:dyDescent="0.25">
      <c r="C294" s="19">
        <v>42323</v>
      </c>
      <c r="D294" s="3">
        <f t="shared" si="9"/>
        <v>1.5277777777777724E-2</v>
      </c>
      <c r="E294" s="3">
        <f t="shared" si="10"/>
        <v>2.083333333333437E-3</v>
      </c>
      <c r="F294" s="6">
        <v>0.94097222222222221</v>
      </c>
      <c r="G294" s="6">
        <v>0.95624999999999993</v>
      </c>
      <c r="H294" t="s">
        <v>10</v>
      </c>
    </row>
    <row r="295" spans="3:8" x14ac:dyDescent="0.25">
      <c r="C295" s="19">
        <v>42323</v>
      </c>
      <c r="D295" s="3">
        <f t="shared" si="9"/>
        <v>1.736111111111116E-2</v>
      </c>
      <c r="E295" s="3">
        <f t="shared" si="10"/>
        <v>1.388888888888884E-3</v>
      </c>
      <c r="F295" s="6">
        <v>0.96458333333333324</v>
      </c>
      <c r="G295" s="6">
        <v>0.9819444444444444</v>
      </c>
      <c r="H295" t="s">
        <v>10</v>
      </c>
    </row>
    <row r="296" spans="3:8" x14ac:dyDescent="0.25">
      <c r="C296" s="19">
        <v>42323</v>
      </c>
      <c r="D296" s="3">
        <f t="shared" si="9"/>
        <v>1.5972222222222276E-2</v>
      </c>
      <c r="E296" s="3">
        <f t="shared" si="10"/>
        <v>2.7777777777777124E-3</v>
      </c>
      <c r="F296" s="6">
        <v>1.0194444444444444</v>
      </c>
      <c r="G296" s="6">
        <v>1.0354166666666667</v>
      </c>
      <c r="H296" t="s">
        <v>10</v>
      </c>
    </row>
    <row r="297" spans="3:8" x14ac:dyDescent="0.25">
      <c r="C297" s="19">
        <v>42323</v>
      </c>
      <c r="D297" s="3">
        <f t="shared" si="9"/>
        <v>1.8749999999999989E-2</v>
      </c>
      <c r="E297" s="3">
        <f t="shared" si="10"/>
        <v>6.9444444444444753E-3</v>
      </c>
      <c r="F297" s="6">
        <v>0.10277777777777779</v>
      </c>
      <c r="G297" s="6">
        <v>0.12152777777777778</v>
      </c>
      <c r="H297" t="s">
        <v>10</v>
      </c>
    </row>
    <row r="298" spans="3:8" x14ac:dyDescent="0.25">
      <c r="C298" s="19">
        <v>42323</v>
      </c>
      <c r="D298" s="3">
        <f t="shared" si="9"/>
        <v>2.5694444444444464E-2</v>
      </c>
      <c r="E298" s="3">
        <f t="shared" si="10"/>
        <v>4.8611111111110938E-3</v>
      </c>
      <c r="F298" s="6">
        <v>0.49861111111111112</v>
      </c>
      <c r="G298" s="6">
        <v>0.52430555555555558</v>
      </c>
      <c r="H298" t="s">
        <v>10</v>
      </c>
    </row>
    <row r="299" spans="3:8" x14ac:dyDescent="0.25">
      <c r="C299" s="19">
        <v>42323</v>
      </c>
      <c r="D299" s="3">
        <f t="shared" si="9"/>
        <v>2.083333333333337E-2</v>
      </c>
      <c r="E299" s="3">
        <f t="shared" si="10"/>
        <v>1.388888888888995E-3</v>
      </c>
      <c r="F299" s="6">
        <v>0.60347222222222219</v>
      </c>
      <c r="G299" s="6">
        <v>0.62430555555555556</v>
      </c>
      <c r="H299" t="s">
        <v>10</v>
      </c>
    </row>
    <row r="300" spans="3:8" x14ac:dyDescent="0.25">
      <c r="C300" s="19">
        <v>42323</v>
      </c>
      <c r="D300" s="3">
        <f t="shared" si="9"/>
        <v>1.9444444444444375E-2</v>
      </c>
      <c r="E300" s="3">
        <f t="shared" si="10"/>
        <v>0</v>
      </c>
      <c r="F300" s="6">
        <v>0.6791666666666667</v>
      </c>
      <c r="G300" s="6">
        <v>0.69861111111111107</v>
      </c>
      <c r="H300" t="s">
        <v>10</v>
      </c>
    </row>
    <row r="301" spans="3:8" x14ac:dyDescent="0.25">
      <c r="C301" s="19">
        <v>42323</v>
      </c>
      <c r="D301" s="3">
        <f t="shared" si="9"/>
        <v>1.9444444444444375E-2</v>
      </c>
      <c r="E301" s="3">
        <f t="shared" si="10"/>
        <v>6.2499999999999778E-3</v>
      </c>
      <c r="F301" s="6">
        <v>0.75416666666666676</v>
      </c>
      <c r="G301" s="6">
        <v>0.77361111111111114</v>
      </c>
      <c r="H301" t="s">
        <v>10</v>
      </c>
    </row>
    <row r="302" spans="3:8" x14ac:dyDescent="0.25">
      <c r="C302" s="19">
        <v>42323</v>
      </c>
      <c r="D302" s="3">
        <f t="shared" si="9"/>
        <v>1.3194444444444398E-2</v>
      </c>
      <c r="E302" s="3">
        <f t="shared" si="10"/>
        <v>6.94444444444553E-4</v>
      </c>
      <c r="F302" s="6">
        <v>0.92361111111111116</v>
      </c>
      <c r="G302" s="6">
        <v>0.93680555555555556</v>
      </c>
      <c r="H302" t="s">
        <v>10</v>
      </c>
    </row>
    <row r="303" spans="3:8" x14ac:dyDescent="0.25">
      <c r="C303" s="19">
        <v>42323</v>
      </c>
      <c r="D303" s="3">
        <f t="shared" si="9"/>
        <v>1.3888888888888951E-2</v>
      </c>
      <c r="E303" s="3">
        <f t="shared" si="10"/>
        <v>2.0833333333332149E-3</v>
      </c>
      <c r="F303" s="6">
        <v>0.81041666666666667</v>
      </c>
      <c r="G303" s="6">
        <v>0.82430555555555562</v>
      </c>
      <c r="H303" t="s">
        <v>10</v>
      </c>
    </row>
    <row r="304" spans="3:8" x14ac:dyDescent="0.25">
      <c r="C304" s="19">
        <v>42323</v>
      </c>
      <c r="D304" s="3">
        <f t="shared" si="9"/>
        <v>1.5972222222222165E-2</v>
      </c>
      <c r="E304" s="3">
        <f t="shared" si="10"/>
        <v>2.7777777777777679E-3</v>
      </c>
      <c r="F304" s="6">
        <v>0.84513888888888899</v>
      </c>
      <c r="G304" s="6">
        <v>0.86111111111111116</v>
      </c>
      <c r="H304" t="s">
        <v>10</v>
      </c>
    </row>
    <row r="305" spans="3:8" x14ac:dyDescent="0.25">
      <c r="C305" s="19">
        <v>42323</v>
      </c>
      <c r="D305" s="3">
        <f t="shared" si="9"/>
        <v>1.8749999999999933E-2</v>
      </c>
      <c r="E305" s="3">
        <f t="shared" si="10"/>
        <v>3.4722222222222099E-3</v>
      </c>
      <c r="F305" s="6">
        <v>0.87916666666666676</v>
      </c>
      <c r="G305" s="6">
        <v>0.8979166666666667</v>
      </c>
      <c r="H305" t="s">
        <v>10</v>
      </c>
    </row>
    <row r="306" spans="3:8" x14ac:dyDescent="0.25">
      <c r="C306" s="19">
        <v>42323</v>
      </c>
      <c r="D306" s="3">
        <f t="shared" si="9"/>
        <v>2.2222222222222143E-2</v>
      </c>
      <c r="E306" s="3">
        <f t="shared" si="10"/>
        <v>9.7222222222221599E-3</v>
      </c>
      <c r="F306" s="6">
        <v>0.87986111111111109</v>
      </c>
      <c r="G306" s="6">
        <v>0.90208333333333324</v>
      </c>
      <c r="H306" t="s">
        <v>10</v>
      </c>
    </row>
    <row r="307" spans="3:8" x14ac:dyDescent="0.25">
      <c r="C307" s="19">
        <v>42323</v>
      </c>
      <c r="D307" s="3">
        <f t="shared" si="9"/>
        <v>1.2499999999999983E-2</v>
      </c>
      <c r="E307" s="3">
        <f t="shared" si="10"/>
        <v>8.3266726846886741E-17</v>
      </c>
      <c r="F307" s="6">
        <v>0.20694444444444446</v>
      </c>
      <c r="G307" s="6">
        <v>0.21944444444444444</v>
      </c>
      <c r="H307" t="s">
        <v>10</v>
      </c>
    </row>
    <row r="308" spans="3:8" x14ac:dyDescent="0.25">
      <c r="C308" s="19">
        <v>42323</v>
      </c>
      <c r="D308" s="3">
        <f t="shared" si="9"/>
        <v>1.2500000000000067E-2</v>
      </c>
      <c r="E308" s="3">
        <f t="shared" si="10"/>
        <v>2.7777777777776569E-3</v>
      </c>
      <c r="F308" s="6">
        <v>0.57847222222222217</v>
      </c>
      <c r="G308" s="6">
        <v>0.59097222222222223</v>
      </c>
      <c r="H308" t="s">
        <v>10</v>
      </c>
    </row>
    <row r="309" spans="3:8" x14ac:dyDescent="0.25">
      <c r="C309" s="19">
        <v>42323</v>
      </c>
      <c r="D309" s="3">
        <f t="shared" si="9"/>
        <v>1.5277777777777724E-2</v>
      </c>
      <c r="E309" s="3">
        <f t="shared" si="10"/>
        <v>4.8611111111110938E-3</v>
      </c>
      <c r="F309" s="6">
        <v>0.61041666666666672</v>
      </c>
      <c r="G309" s="6">
        <v>0.62569444444444444</v>
      </c>
      <c r="H309" t="s">
        <v>10</v>
      </c>
    </row>
    <row r="310" spans="3:8" x14ac:dyDescent="0.25">
      <c r="C310" s="19">
        <v>42323</v>
      </c>
      <c r="D310" s="3">
        <f t="shared" si="9"/>
        <v>2.0138888888888817E-2</v>
      </c>
      <c r="E310" s="3">
        <f t="shared" si="10"/>
        <v>3.5416666666666652E-2</v>
      </c>
      <c r="F310" s="6">
        <v>0.67638888888888893</v>
      </c>
      <c r="G310" s="6">
        <v>0.69652777777777775</v>
      </c>
      <c r="H310" t="s">
        <v>10</v>
      </c>
    </row>
    <row r="311" spans="3:8" x14ac:dyDescent="0.25">
      <c r="C311" s="19">
        <v>42323</v>
      </c>
      <c r="D311" s="3">
        <f t="shared" si="9"/>
        <v>5.5555555555555469E-2</v>
      </c>
      <c r="E311" s="3">
        <f t="shared" si="10"/>
        <v>3.8888888888888862E-2</v>
      </c>
      <c r="F311" s="6">
        <v>0.73125000000000007</v>
      </c>
      <c r="G311" s="6">
        <v>0.78680555555555554</v>
      </c>
      <c r="H311" t="s">
        <v>10</v>
      </c>
    </row>
    <row r="312" spans="3:8" x14ac:dyDescent="0.25">
      <c r="C312" s="19">
        <v>42323</v>
      </c>
      <c r="D312" s="3">
        <f t="shared" si="9"/>
        <v>1.6666666666666607E-2</v>
      </c>
      <c r="E312" s="3">
        <f t="shared" si="10"/>
        <v>1.3194444444444398E-2</v>
      </c>
      <c r="F312" s="6">
        <v>0.8041666666666667</v>
      </c>
      <c r="G312" s="6">
        <v>0.8208333333333333</v>
      </c>
      <c r="H312" t="s">
        <v>10</v>
      </c>
    </row>
    <row r="313" spans="3:8" x14ac:dyDescent="0.25">
      <c r="C313" s="19">
        <v>42323</v>
      </c>
      <c r="D313" s="3">
        <f t="shared" si="9"/>
        <v>2.9861111111111005E-2</v>
      </c>
      <c r="E313" s="3">
        <f t="shared" si="10"/>
        <v>1.5277777777777612E-2</v>
      </c>
      <c r="F313" s="6">
        <v>0.92361111111111116</v>
      </c>
      <c r="G313" s="6">
        <v>0.95347222222222217</v>
      </c>
      <c r="H313" t="s">
        <v>10</v>
      </c>
    </row>
    <row r="314" spans="3:8" x14ac:dyDescent="0.25">
      <c r="C314" s="19">
        <v>42323</v>
      </c>
      <c r="D314" s="3">
        <f t="shared" si="9"/>
        <v>1.4583333333333393E-2</v>
      </c>
      <c r="E314" s="3">
        <f t="shared" si="10"/>
        <v>2.0833333333332704E-3</v>
      </c>
      <c r="F314" s="6">
        <v>0.94374999999999998</v>
      </c>
      <c r="G314" s="6">
        <v>0.95833333333333337</v>
      </c>
      <c r="H314" t="s">
        <v>10</v>
      </c>
    </row>
    <row r="315" spans="3:8" x14ac:dyDescent="0.25">
      <c r="C315" s="19">
        <v>42323</v>
      </c>
      <c r="D315" s="3">
        <f t="shared" si="9"/>
        <v>1.6666666666666663E-2</v>
      </c>
      <c r="E315" s="3">
        <f t="shared" si="10"/>
        <v>6.2499999999999223E-3</v>
      </c>
      <c r="F315" s="6">
        <v>0.10347222222222223</v>
      </c>
      <c r="G315" s="6">
        <v>0.12013888888888889</v>
      </c>
      <c r="H315" t="s">
        <v>10</v>
      </c>
    </row>
    <row r="316" spans="3:8" x14ac:dyDescent="0.25">
      <c r="C316" s="19">
        <v>42323</v>
      </c>
      <c r="D316" s="3">
        <f t="shared" si="9"/>
        <v>2.2916666666666585E-2</v>
      </c>
      <c r="E316" s="3">
        <f t="shared" si="10"/>
        <v>3.4722222222222099E-3</v>
      </c>
      <c r="F316" s="6">
        <v>0.6118055555555556</v>
      </c>
      <c r="G316" s="6">
        <v>0.63472222222222219</v>
      </c>
      <c r="H316" t="s">
        <v>10</v>
      </c>
    </row>
    <row r="317" spans="3:8" x14ac:dyDescent="0.25">
      <c r="C317" s="19">
        <v>42323</v>
      </c>
      <c r="D317" s="3">
        <f t="shared" si="9"/>
        <v>1.9444444444444375E-2</v>
      </c>
      <c r="E317" s="3">
        <f t="shared" si="10"/>
        <v>6.2499999999999778E-3</v>
      </c>
      <c r="F317" s="6">
        <v>0.91319444444444453</v>
      </c>
      <c r="G317" s="6">
        <v>0.93263888888888891</v>
      </c>
      <c r="H317" t="s">
        <v>10</v>
      </c>
    </row>
    <row r="318" spans="3:8" x14ac:dyDescent="0.25">
      <c r="C318" s="19">
        <v>42323</v>
      </c>
      <c r="D318" s="3">
        <f t="shared" si="9"/>
        <v>1.3194444444444398E-2</v>
      </c>
      <c r="E318" s="3">
        <f t="shared" si="10"/>
        <v>4.1666666666667629E-3</v>
      </c>
      <c r="F318" s="6">
        <v>0.98958333333333337</v>
      </c>
      <c r="G318" s="6">
        <v>1.0027777777777778</v>
      </c>
      <c r="H318" t="s">
        <v>10</v>
      </c>
    </row>
    <row r="319" spans="3:8" x14ac:dyDescent="0.25">
      <c r="C319" s="19">
        <v>42323</v>
      </c>
      <c r="D319" s="3">
        <f t="shared" si="9"/>
        <v>1.736111111111116E-2</v>
      </c>
      <c r="E319" s="3">
        <f t="shared" si="10"/>
        <v>4.1666666666665408E-3</v>
      </c>
      <c r="F319" s="6">
        <v>0.3833333333333333</v>
      </c>
      <c r="G319" s="6">
        <v>0.40069444444444446</v>
      </c>
      <c r="H319" t="s">
        <v>10</v>
      </c>
    </row>
    <row r="320" spans="3:8" x14ac:dyDescent="0.25">
      <c r="C320" s="19">
        <v>42323</v>
      </c>
      <c r="D320" s="3">
        <f t="shared" si="9"/>
        <v>2.1527777777777701E-2</v>
      </c>
      <c r="E320" s="3">
        <f t="shared" si="10"/>
        <v>1.3888888888887729E-3</v>
      </c>
      <c r="F320" s="6">
        <v>0.47361111111111115</v>
      </c>
      <c r="G320" s="6">
        <v>0.49513888888888885</v>
      </c>
      <c r="H320" t="s">
        <v>10</v>
      </c>
    </row>
    <row r="321" spans="3:8" x14ac:dyDescent="0.25">
      <c r="C321" s="19">
        <v>42323</v>
      </c>
      <c r="D321" s="3">
        <f t="shared" si="9"/>
        <v>2.0138888888888928E-2</v>
      </c>
      <c r="E321" s="3">
        <f t="shared" si="10"/>
        <v>1.1111111111111072E-2</v>
      </c>
      <c r="F321" s="6">
        <v>0.52222222222222225</v>
      </c>
      <c r="G321" s="6">
        <v>0.54236111111111118</v>
      </c>
      <c r="H321" t="s">
        <v>10</v>
      </c>
    </row>
    <row r="322" spans="3:8" x14ac:dyDescent="0.25">
      <c r="C322" s="19">
        <v>42323</v>
      </c>
      <c r="D322" s="3">
        <f t="shared" ref="D322:D385" si="11">G322-F322</f>
        <v>3.125E-2</v>
      </c>
      <c r="E322" s="3">
        <f t="shared" si="10"/>
        <v>1.1805555555555514E-2</v>
      </c>
      <c r="F322" s="6">
        <v>0.60347222222222219</v>
      </c>
      <c r="G322" s="6">
        <v>0.63472222222222219</v>
      </c>
      <c r="H322" t="s">
        <v>10</v>
      </c>
    </row>
    <row r="323" spans="3:8" x14ac:dyDescent="0.25">
      <c r="C323" s="19">
        <v>42323</v>
      </c>
      <c r="D323" s="3">
        <f t="shared" si="11"/>
        <v>1.9444444444444486E-2</v>
      </c>
      <c r="E323" s="3">
        <f t="shared" si="10"/>
        <v>6.9444444444444198E-3</v>
      </c>
      <c r="F323" s="6">
        <v>0.82638888888888884</v>
      </c>
      <c r="G323" s="6">
        <v>0.84583333333333333</v>
      </c>
      <c r="H323" t="s">
        <v>10</v>
      </c>
    </row>
    <row r="324" spans="3:8" x14ac:dyDescent="0.25">
      <c r="C324" s="19">
        <v>42323</v>
      </c>
      <c r="D324" s="3">
        <f t="shared" si="11"/>
        <v>2.6388888888888906E-2</v>
      </c>
      <c r="E324" s="3">
        <f t="shared" si="10"/>
        <v>1.1805555555555514E-2</v>
      </c>
      <c r="F324" s="6">
        <v>0.92361111111111116</v>
      </c>
      <c r="G324" s="6">
        <v>0.95000000000000007</v>
      </c>
      <c r="H324" t="s">
        <v>10</v>
      </c>
    </row>
    <row r="325" spans="3:8" x14ac:dyDescent="0.25">
      <c r="C325" s="19">
        <v>42323</v>
      </c>
      <c r="D325" s="3">
        <f t="shared" si="11"/>
        <v>1.4583333333333393E-2</v>
      </c>
      <c r="E325" s="3">
        <f t="shared" ref="E325:E388" si="12">ABS(D325-D326)</f>
        <v>2.7777777777777124E-3</v>
      </c>
      <c r="F325" s="6">
        <v>0.94305555555555554</v>
      </c>
      <c r="G325" s="6">
        <v>0.95763888888888893</v>
      </c>
      <c r="H325" t="s">
        <v>10</v>
      </c>
    </row>
    <row r="326" spans="3:8" x14ac:dyDescent="0.25">
      <c r="C326" s="19">
        <v>42323</v>
      </c>
      <c r="D326" s="3">
        <f t="shared" si="11"/>
        <v>1.7361111111111105E-2</v>
      </c>
      <c r="E326" s="3">
        <f t="shared" si="12"/>
        <v>1.388888888888884E-3</v>
      </c>
      <c r="F326" s="6">
        <v>0.14791666666666667</v>
      </c>
      <c r="G326" s="6">
        <v>0.16527777777777777</v>
      </c>
      <c r="H326" t="s">
        <v>10</v>
      </c>
    </row>
    <row r="327" spans="3:8" x14ac:dyDescent="0.25">
      <c r="C327" s="19">
        <v>42323</v>
      </c>
      <c r="D327" s="3">
        <f t="shared" si="11"/>
        <v>1.8749999999999989E-2</v>
      </c>
      <c r="E327" s="3">
        <f t="shared" si="12"/>
        <v>2.0833333333333814E-3</v>
      </c>
      <c r="F327" s="6">
        <v>0.15138888888888888</v>
      </c>
      <c r="G327" s="6">
        <v>0.17013888888888887</v>
      </c>
      <c r="H327" t="s">
        <v>10</v>
      </c>
    </row>
    <row r="328" spans="3:8" x14ac:dyDescent="0.25">
      <c r="C328" s="19">
        <v>42323</v>
      </c>
      <c r="D328" s="3">
        <f t="shared" si="11"/>
        <v>1.6666666666666607E-2</v>
      </c>
      <c r="E328" s="3">
        <f t="shared" si="12"/>
        <v>1.2500000000000122E-2</v>
      </c>
      <c r="F328" s="6">
        <v>0.3666666666666667</v>
      </c>
      <c r="G328" s="6">
        <v>0.3833333333333333</v>
      </c>
      <c r="H328" t="s">
        <v>10</v>
      </c>
    </row>
    <row r="329" spans="3:8" x14ac:dyDescent="0.25">
      <c r="C329" s="19">
        <v>42323</v>
      </c>
      <c r="D329" s="3">
        <f t="shared" si="11"/>
        <v>2.916666666666673E-2</v>
      </c>
      <c r="E329" s="3">
        <f t="shared" si="12"/>
        <v>6.9444444444438647E-4</v>
      </c>
      <c r="F329" s="6">
        <v>0.4458333333333333</v>
      </c>
      <c r="G329" s="6">
        <v>0.47500000000000003</v>
      </c>
      <c r="H329" t="s">
        <v>10</v>
      </c>
    </row>
    <row r="330" spans="3:8" x14ac:dyDescent="0.25">
      <c r="C330" s="19">
        <v>42323</v>
      </c>
      <c r="D330" s="3">
        <f t="shared" si="11"/>
        <v>2.9861111111111116E-2</v>
      </c>
      <c r="E330" s="3">
        <f t="shared" si="12"/>
        <v>5.5555555555555358E-3</v>
      </c>
      <c r="F330" s="6">
        <v>0.46736111111111112</v>
      </c>
      <c r="G330" s="6">
        <v>0.49722222222222223</v>
      </c>
      <c r="H330" t="s">
        <v>10</v>
      </c>
    </row>
    <row r="331" spans="3:8" x14ac:dyDescent="0.25">
      <c r="C331" s="19">
        <v>42323</v>
      </c>
      <c r="D331" s="3">
        <f t="shared" si="11"/>
        <v>2.430555555555558E-2</v>
      </c>
      <c r="E331" s="3">
        <f t="shared" si="12"/>
        <v>1.388888888888995E-3</v>
      </c>
      <c r="F331" s="6">
        <v>0.47291666666666665</v>
      </c>
      <c r="G331" s="6">
        <v>0.49722222222222223</v>
      </c>
      <c r="H331" t="s">
        <v>10</v>
      </c>
    </row>
    <row r="332" spans="3:8" x14ac:dyDescent="0.25">
      <c r="C332" s="19">
        <v>42323</v>
      </c>
      <c r="D332" s="3">
        <f t="shared" si="11"/>
        <v>2.2916666666666585E-2</v>
      </c>
      <c r="E332" s="3">
        <f t="shared" si="12"/>
        <v>4.1666666666666519E-3</v>
      </c>
      <c r="F332" s="6">
        <v>0.6166666666666667</v>
      </c>
      <c r="G332" s="6">
        <v>0.63958333333333328</v>
      </c>
      <c r="H332" t="s">
        <v>10</v>
      </c>
    </row>
    <row r="333" spans="3:8" x14ac:dyDescent="0.25">
      <c r="C333" s="19">
        <v>42323</v>
      </c>
      <c r="D333" s="3">
        <f t="shared" si="11"/>
        <v>1.8749999999999933E-2</v>
      </c>
      <c r="E333" s="3">
        <f t="shared" si="12"/>
        <v>4.8611111111110938E-3</v>
      </c>
      <c r="F333" s="6">
        <v>0.70277777777777783</v>
      </c>
      <c r="G333" s="6">
        <v>0.72152777777777777</v>
      </c>
      <c r="H333" t="s">
        <v>10</v>
      </c>
    </row>
    <row r="334" spans="3:8" x14ac:dyDescent="0.25">
      <c r="C334" s="19">
        <v>42323</v>
      </c>
      <c r="D334" s="3">
        <f t="shared" si="11"/>
        <v>1.388888888888884E-2</v>
      </c>
      <c r="E334" s="3">
        <f t="shared" si="12"/>
        <v>4.8611111111110938E-3</v>
      </c>
      <c r="F334" s="6">
        <v>0.79166666666666663</v>
      </c>
      <c r="G334" s="6">
        <v>0.80555555555555547</v>
      </c>
      <c r="H334" t="s">
        <v>10</v>
      </c>
    </row>
    <row r="335" spans="3:8" x14ac:dyDescent="0.25">
      <c r="C335" s="19">
        <v>42323</v>
      </c>
      <c r="D335" s="3">
        <f t="shared" si="11"/>
        <v>1.8749999999999933E-2</v>
      </c>
      <c r="E335" s="3">
        <f t="shared" si="12"/>
        <v>2.0833333333332565E-3</v>
      </c>
      <c r="F335" s="6">
        <v>0.85902777777777783</v>
      </c>
      <c r="G335" s="6">
        <v>0.87777777777777777</v>
      </c>
      <c r="H335" t="s">
        <v>10</v>
      </c>
    </row>
    <row r="336" spans="3:8" x14ac:dyDescent="0.25">
      <c r="C336" s="19">
        <v>42323</v>
      </c>
      <c r="D336" s="3">
        <f t="shared" si="11"/>
        <v>1.6666666666666677E-2</v>
      </c>
      <c r="E336" s="3">
        <f t="shared" si="12"/>
        <v>2.0833333333332565E-3</v>
      </c>
      <c r="F336" s="6">
        <v>0.1173611111111111</v>
      </c>
      <c r="G336" s="6">
        <v>0.13402777777777777</v>
      </c>
      <c r="H336" t="s">
        <v>10</v>
      </c>
    </row>
    <row r="337" spans="3:8" x14ac:dyDescent="0.25">
      <c r="C337" s="19">
        <v>42323</v>
      </c>
      <c r="D337" s="3">
        <f t="shared" si="11"/>
        <v>1.8749999999999933E-2</v>
      </c>
      <c r="E337" s="3">
        <f t="shared" si="12"/>
        <v>1.3888888888887729E-3</v>
      </c>
      <c r="F337" s="6">
        <v>0.43958333333333338</v>
      </c>
      <c r="G337" s="6">
        <v>0.45833333333333331</v>
      </c>
      <c r="H337" t="s">
        <v>10</v>
      </c>
    </row>
    <row r="338" spans="3:8" x14ac:dyDescent="0.25">
      <c r="C338" s="19">
        <v>42323</v>
      </c>
      <c r="D338" s="3">
        <f t="shared" si="11"/>
        <v>1.736111111111116E-2</v>
      </c>
      <c r="E338" s="3">
        <f t="shared" si="12"/>
        <v>9.0277777777778567E-3</v>
      </c>
      <c r="F338" s="6">
        <v>0.56666666666666665</v>
      </c>
      <c r="G338" s="6">
        <v>0.58402777777777781</v>
      </c>
      <c r="H338" t="s">
        <v>10</v>
      </c>
    </row>
    <row r="339" spans="3:8" x14ac:dyDescent="0.25">
      <c r="C339" s="19">
        <v>42323</v>
      </c>
      <c r="D339" s="3">
        <f t="shared" si="11"/>
        <v>8.3333333333333037E-3</v>
      </c>
      <c r="E339" s="3">
        <f t="shared" si="12"/>
        <v>6.9444444444444198E-3</v>
      </c>
      <c r="F339" s="6">
        <v>0.60625000000000007</v>
      </c>
      <c r="G339" s="6">
        <v>0.61458333333333337</v>
      </c>
      <c r="H339" t="s">
        <v>10</v>
      </c>
    </row>
    <row r="340" spans="3:8" x14ac:dyDescent="0.25">
      <c r="C340" s="19">
        <v>42323</v>
      </c>
      <c r="D340" s="3">
        <f t="shared" si="11"/>
        <v>1.5277777777777724E-2</v>
      </c>
      <c r="E340" s="3">
        <f t="shared" si="12"/>
        <v>1.0416666666666741E-2</v>
      </c>
      <c r="F340" s="6">
        <v>0.62013888888888891</v>
      </c>
      <c r="G340" s="6">
        <v>0.63541666666666663</v>
      </c>
      <c r="H340" t="s">
        <v>10</v>
      </c>
    </row>
    <row r="341" spans="3:8" x14ac:dyDescent="0.25">
      <c r="C341" s="19">
        <v>42323</v>
      </c>
      <c r="D341" s="3">
        <f t="shared" si="11"/>
        <v>2.5694444444444464E-2</v>
      </c>
      <c r="E341" s="3">
        <f t="shared" si="12"/>
        <v>1.0416666666666741E-2</v>
      </c>
      <c r="F341" s="6">
        <v>0.75347222222222221</v>
      </c>
      <c r="G341" s="6">
        <v>0.77916666666666667</v>
      </c>
      <c r="H341" t="s">
        <v>10</v>
      </c>
    </row>
    <row r="342" spans="3:8" x14ac:dyDescent="0.25">
      <c r="C342" s="19">
        <v>42323</v>
      </c>
      <c r="D342" s="3">
        <f t="shared" si="11"/>
        <v>1.5277777777777724E-2</v>
      </c>
      <c r="E342" s="3">
        <f t="shared" si="12"/>
        <v>6.9444444444444198E-4</v>
      </c>
      <c r="F342" s="6">
        <v>0.80763888888888891</v>
      </c>
      <c r="G342" s="6">
        <v>0.82291666666666663</v>
      </c>
      <c r="H342" t="s">
        <v>10</v>
      </c>
    </row>
    <row r="343" spans="3:8" x14ac:dyDescent="0.25">
      <c r="C343" s="19">
        <v>42323</v>
      </c>
      <c r="D343" s="3">
        <f t="shared" si="11"/>
        <v>1.5972222222222165E-2</v>
      </c>
      <c r="E343" s="3">
        <f t="shared" si="12"/>
        <v>6.9444444444444198E-4</v>
      </c>
      <c r="F343" s="6">
        <v>0.65</v>
      </c>
      <c r="G343" s="6">
        <v>0.66597222222222219</v>
      </c>
      <c r="H343" t="s">
        <v>10</v>
      </c>
    </row>
    <row r="344" spans="3:8" x14ac:dyDescent="0.25">
      <c r="C344" s="19">
        <v>42323</v>
      </c>
      <c r="D344" s="3">
        <f t="shared" si="11"/>
        <v>1.5277777777777724E-2</v>
      </c>
      <c r="E344" s="3">
        <f t="shared" si="12"/>
        <v>6.94444444444553E-4</v>
      </c>
      <c r="F344" s="6">
        <v>0.70833333333333337</v>
      </c>
      <c r="G344" s="6">
        <v>0.72361111111111109</v>
      </c>
      <c r="H344" t="s">
        <v>10</v>
      </c>
    </row>
    <row r="345" spans="3:8" x14ac:dyDescent="0.25">
      <c r="C345" s="19">
        <v>42323</v>
      </c>
      <c r="D345" s="3">
        <f t="shared" si="11"/>
        <v>1.5972222222222276E-2</v>
      </c>
      <c r="E345" s="3">
        <f t="shared" si="12"/>
        <v>1.8055555555555491E-2</v>
      </c>
      <c r="F345" s="6">
        <v>0.80625000000000002</v>
      </c>
      <c r="G345" s="6">
        <v>0.8222222222222223</v>
      </c>
      <c r="H345" t="s">
        <v>10</v>
      </c>
    </row>
    <row r="346" spans="3:8" x14ac:dyDescent="0.25">
      <c r="C346" s="19">
        <v>42323</v>
      </c>
      <c r="D346" s="3">
        <f t="shared" si="11"/>
        <v>3.4027777777777768E-2</v>
      </c>
      <c r="E346" s="3">
        <f t="shared" si="12"/>
        <v>1.8055555555555602E-2</v>
      </c>
      <c r="F346" s="6">
        <v>0.80208333333333337</v>
      </c>
      <c r="G346" s="6">
        <v>0.83611111111111114</v>
      </c>
      <c r="H346" t="s">
        <v>10</v>
      </c>
    </row>
    <row r="347" spans="3:8" x14ac:dyDescent="0.25">
      <c r="C347" s="19">
        <v>42323</v>
      </c>
      <c r="D347" s="3">
        <f t="shared" si="11"/>
        <v>1.5972222222222165E-2</v>
      </c>
      <c r="E347" s="3">
        <f t="shared" si="12"/>
        <v>3.4722222222223209E-3</v>
      </c>
      <c r="F347" s="6">
        <v>0.86111111111111116</v>
      </c>
      <c r="G347" s="6">
        <v>0.87708333333333333</v>
      </c>
      <c r="H347" t="s">
        <v>10</v>
      </c>
    </row>
    <row r="348" spans="3:8" x14ac:dyDescent="0.25">
      <c r="C348" s="19">
        <v>42323</v>
      </c>
      <c r="D348" s="3">
        <f t="shared" si="11"/>
        <v>1.9444444444444486E-2</v>
      </c>
      <c r="E348" s="3">
        <f t="shared" si="12"/>
        <v>4.1666666666668739E-3</v>
      </c>
      <c r="F348" s="6">
        <v>0.83888888888888891</v>
      </c>
      <c r="G348" s="6">
        <v>0.85833333333333339</v>
      </c>
      <c r="H348" t="s">
        <v>10</v>
      </c>
    </row>
    <row r="349" spans="3:8" x14ac:dyDescent="0.25">
      <c r="C349" s="19">
        <v>42323</v>
      </c>
      <c r="D349" s="3">
        <f t="shared" si="11"/>
        <v>1.5277777777777612E-2</v>
      </c>
      <c r="E349" s="3">
        <f t="shared" si="12"/>
        <v>3.4722222222223764E-3</v>
      </c>
      <c r="F349" s="6">
        <v>0.94166666666666676</v>
      </c>
      <c r="G349" s="6">
        <v>0.95694444444444438</v>
      </c>
      <c r="H349" t="s">
        <v>10</v>
      </c>
    </row>
    <row r="350" spans="3:8" x14ac:dyDescent="0.25">
      <c r="C350" s="19">
        <v>42323</v>
      </c>
      <c r="D350" s="3">
        <f t="shared" si="11"/>
        <v>1.8749999999999989E-2</v>
      </c>
      <c r="E350" s="3">
        <f t="shared" si="12"/>
        <v>4.1666666666667074E-3</v>
      </c>
      <c r="F350" s="6">
        <v>0.33333333333333331</v>
      </c>
      <c r="G350" s="6">
        <v>0.3520833333333333</v>
      </c>
      <c r="H350" t="s">
        <v>10</v>
      </c>
    </row>
    <row r="351" spans="3:8" x14ac:dyDescent="0.25">
      <c r="C351" s="19">
        <v>42323</v>
      </c>
      <c r="D351" s="3">
        <f t="shared" si="11"/>
        <v>1.4583333333333282E-2</v>
      </c>
      <c r="E351" s="3">
        <f t="shared" si="12"/>
        <v>6.9444444444444198E-4</v>
      </c>
      <c r="F351" s="6">
        <v>0.52500000000000002</v>
      </c>
      <c r="G351" s="6">
        <v>0.5395833333333333</v>
      </c>
      <c r="H351" t="s">
        <v>10</v>
      </c>
    </row>
    <row r="352" spans="3:8" x14ac:dyDescent="0.25">
      <c r="C352" s="19">
        <v>42323</v>
      </c>
      <c r="D352" s="3">
        <f t="shared" si="11"/>
        <v>1.388888888888884E-2</v>
      </c>
      <c r="E352" s="3">
        <f t="shared" si="12"/>
        <v>6.94444444444553E-4</v>
      </c>
      <c r="F352" s="6">
        <v>0.81736111111111109</v>
      </c>
      <c r="G352" s="6">
        <v>0.83124999999999993</v>
      </c>
      <c r="H352" t="s">
        <v>10</v>
      </c>
    </row>
    <row r="353" spans="3:8" x14ac:dyDescent="0.25">
      <c r="C353" s="19">
        <v>42323</v>
      </c>
      <c r="D353" s="3">
        <f t="shared" si="11"/>
        <v>1.4583333333333393E-2</v>
      </c>
      <c r="E353" s="3">
        <f t="shared" si="12"/>
        <v>2.7777777777777679E-3</v>
      </c>
      <c r="F353" s="6">
        <v>0.81597222222222221</v>
      </c>
      <c r="G353" s="6">
        <v>0.8305555555555556</v>
      </c>
      <c r="H353" t="s">
        <v>10</v>
      </c>
    </row>
    <row r="354" spans="3:8" x14ac:dyDescent="0.25">
      <c r="C354" s="19">
        <v>42323</v>
      </c>
      <c r="D354" s="3">
        <f t="shared" si="11"/>
        <v>1.736111111111116E-2</v>
      </c>
      <c r="E354" s="3">
        <f t="shared" si="12"/>
        <v>4.1666666666667629E-3</v>
      </c>
      <c r="F354" s="6">
        <v>0.9243055555555556</v>
      </c>
      <c r="G354" s="6">
        <v>0.94166666666666676</v>
      </c>
      <c r="H354" t="s">
        <v>10</v>
      </c>
    </row>
    <row r="355" spans="3:8" x14ac:dyDescent="0.25">
      <c r="C355" s="19">
        <v>42323</v>
      </c>
      <c r="D355" s="3">
        <f t="shared" si="11"/>
        <v>1.3194444444444398E-2</v>
      </c>
      <c r="E355" s="3">
        <f t="shared" si="12"/>
        <v>2.7777777777777679E-3</v>
      </c>
      <c r="F355" s="6">
        <v>0.6972222222222223</v>
      </c>
      <c r="G355" s="6">
        <v>0.7104166666666667</v>
      </c>
      <c r="H355" t="s">
        <v>10</v>
      </c>
    </row>
    <row r="356" spans="3:8" x14ac:dyDescent="0.25">
      <c r="C356" s="19">
        <v>42323</v>
      </c>
      <c r="D356" s="3">
        <f t="shared" si="11"/>
        <v>1.5972222222222165E-2</v>
      </c>
      <c r="E356" s="3">
        <f t="shared" si="12"/>
        <v>1.0416666666666741E-2</v>
      </c>
      <c r="F356" s="6">
        <v>0.95000000000000007</v>
      </c>
      <c r="G356" s="6">
        <v>0.96597222222222223</v>
      </c>
      <c r="H356" t="s">
        <v>10</v>
      </c>
    </row>
    <row r="357" spans="3:8" x14ac:dyDescent="0.25">
      <c r="C357" s="19">
        <v>42323</v>
      </c>
      <c r="D357" s="3">
        <f t="shared" si="11"/>
        <v>2.6388888888888906E-2</v>
      </c>
      <c r="E357" s="3">
        <f t="shared" si="12"/>
        <v>8.3333333333333592E-3</v>
      </c>
      <c r="F357" s="6">
        <v>0.15138888888888888</v>
      </c>
      <c r="G357" s="6">
        <v>0.17777777777777778</v>
      </c>
      <c r="H357" t="s">
        <v>10</v>
      </c>
    </row>
    <row r="358" spans="3:8" x14ac:dyDescent="0.25">
      <c r="C358" s="19">
        <v>42323</v>
      </c>
      <c r="D358" s="3">
        <f t="shared" si="11"/>
        <v>1.8055555555555547E-2</v>
      </c>
      <c r="E358" s="3">
        <f t="shared" si="12"/>
        <v>1.3194444444444453E-2</v>
      </c>
      <c r="F358" s="6">
        <v>0.35694444444444445</v>
      </c>
      <c r="G358" s="6">
        <v>0.375</v>
      </c>
      <c r="H358" t="s">
        <v>10</v>
      </c>
    </row>
    <row r="359" spans="3:8" x14ac:dyDescent="0.25">
      <c r="C359" s="19">
        <v>42323</v>
      </c>
      <c r="D359" s="3">
        <f t="shared" si="11"/>
        <v>3.125E-2</v>
      </c>
      <c r="E359" s="3">
        <f t="shared" si="12"/>
        <v>1.3888888888888951E-2</v>
      </c>
      <c r="F359" s="6">
        <v>0.39652777777777781</v>
      </c>
      <c r="G359" s="6">
        <v>0.42777777777777781</v>
      </c>
      <c r="H359" t="s">
        <v>10</v>
      </c>
    </row>
    <row r="360" spans="3:8" x14ac:dyDescent="0.25">
      <c r="C360" s="19">
        <v>42323</v>
      </c>
      <c r="D360" s="3">
        <f t="shared" si="11"/>
        <v>1.7361111111111049E-2</v>
      </c>
      <c r="E360" s="3">
        <f t="shared" si="12"/>
        <v>1.3888888888887729E-3</v>
      </c>
      <c r="F360" s="6">
        <v>0.51944444444444449</v>
      </c>
      <c r="G360" s="6">
        <v>0.53680555555555554</v>
      </c>
      <c r="H360" t="s">
        <v>10</v>
      </c>
    </row>
    <row r="361" spans="3:8" x14ac:dyDescent="0.25">
      <c r="C361" s="19">
        <v>42323</v>
      </c>
      <c r="D361" s="3">
        <f t="shared" si="11"/>
        <v>1.5972222222222276E-2</v>
      </c>
      <c r="E361" s="3">
        <f t="shared" si="12"/>
        <v>3.4722222222222099E-3</v>
      </c>
      <c r="F361" s="6">
        <v>0.55138888888888882</v>
      </c>
      <c r="G361" s="6">
        <v>0.56736111111111109</v>
      </c>
      <c r="H361" t="s">
        <v>10</v>
      </c>
    </row>
    <row r="362" spans="3:8" x14ac:dyDescent="0.25">
      <c r="C362" s="19">
        <v>42323</v>
      </c>
      <c r="D362" s="3">
        <f t="shared" si="11"/>
        <v>1.9444444444444486E-2</v>
      </c>
      <c r="E362" s="3">
        <f t="shared" si="12"/>
        <v>2.0833333333333259E-3</v>
      </c>
      <c r="F362" s="6">
        <v>0.59375</v>
      </c>
      <c r="G362" s="6">
        <v>0.61319444444444449</v>
      </c>
      <c r="H362" t="s">
        <v>10</v>
      </c>
    </row>
    <row r="363" spans="3:8" x14ac:dyDescent="0.25">
      <c r="C363" s="19">
        <v>42323</v>
      </c>
      <c r="D363" s="3">
        <f t="shared" si="11"/>
        <v>1.736111111111116E-2</v>
      </c>
      <c r="E363" s="3">
        <f t="shared" si="12"/>
        <v>1.388888888888884E-3</v>
      </c>
      <c r="F363" s="6">
        <v>0.63680555555555551</v>
      </c>
      <c r="G363" s="6">
        <v>0.65416666666666667</v>
      </c>
      <c r="H363" t="s">
        <v>10</v>
      </c>
    </row>
    <row r="364" spans="3:8" x14ac:dyDescent="0.25">
      <c r="C364" s="19">
        <v>42323</v>
      </c>
      <c r="D364" s="3">
        <f t="shared" si="11"/>
        <v>1.8750000000000044E-2</v>
      </c>
      <c r="E364" s="3">
        <f t="shared" si="12"/>
        <v>2.0833333333333259E-3</v>
      </c>
      <c r="F364" s="6">
        <v>0.62152777777777779</v>
      </c>
      <c r="G364" s="6">
        <v>0.64027777777777783</v>
      </c>
      <c r="H364" t="s">
        <v>10</v>
      </c>
    </row>
    <row r="365" spans="3:8" x14ac:dyDescent="0.25">
      <c r="C365" s="19">
        <v>42323</v>
      </c>
      <c r="D365" s="3">
        <f t="shared" si="11"/>
        <v>1.6666666666666718E-2</v>
      </c>
      <c r="E365" s="3">
        <f t="shared" si="12"/>
        <v>1.5277777777777835E-2</v>
      </c>
      <c r="F365" s="6">
        <v>0.65138888888888891</v>
      </c>
      <c r="G365" s="6">
        <v>0.66805555555555562</v>
      </c>
      <c r="H365" t="s">
        <v>10</v>
      </c>
    </row>
    <row r="366" spans="3:8" x14ac:dyDescent="0.25">
      <c r="C366" s="19">
        <v>42323</v>
      </c>
      <c r="D366" s="3">
        <f t="shared" si="11"/>
        <v>3.1944444444444553E-2</v>
      </c>
      <c r="E366" s="3">
        <f t="shared" si="12"/>
        <v>9.0277777777776347E-3</v>
      </c>
      <c r="F366" s="6">
        <v>0.76388888888888884</v>
      </c>
      <c r="G366" s="6">
        <v>0.79583333333333339</v>
      </c>
      <c r="H366" t="s">
        <v>10</v>
      </c>
    </row>
    <row r="367" spans="3:8" x14ac:dyDescent="0.25">
      <c r="C367" s="19">
        <v>42323</v>
      </c>
      <c r="D367" s="3">
        <f t="shared" si="11"/>
        <v>4.0972222222222188E-2</v>
      </c>
      <c r="E367" s="3">
        <f t="shared" si="12"/>
        <v>2.5694444444444575E-2</v>
      </c>
      <c r="F367" s="6">
        <v>0.76527777777777783</v>
      </c>
      <c r="G367" s="6">
        <v>0.80625000000000002</v>
      </c>
      <c r="H367" t="s">
        <v>10</v>
      </c>
    </row>
    <row r="368" spans="3:8" x14ac:dyDescent="0.25">
      <c r="C368" s="19">
        <v>42323</v>
      </c>
      <c r="D368" s="3">
        <f t="shared" si="11"/>
        <v>1.5277777777777612E-2</v>
      </c>
      <c r="E368" s="3">
        <f t="shared" si="12"/>
        <v>2.083333333333548E-3</v>
      </c>
      <c r="F368" s="6">
        <v>0.76458333333333339</v>
      </c>
      <c r="G368" s="6">
        <v>0.77986111111111101</v>
      </c>
      <c r="H368" t="s">
        <v>10</v>
      </c>
    </row>
    <row r="369" spans="3:8" x14ac:dyDescent="0.25">
      <c r="C369" s="19">
        <v>42323</v>
      </c>
      <c r="D369" s="3">
        <f t="shared" si="11"/>
        <v>1.736111111111116E-2</v>
      </c>
      <c r="E369" s="3">
        <f t="shared" si="12"/>
        <v>2.7777777777777263E-3</v>
      </c>
      <c r="F369" s="6">
        <v>0.84444444444444444</v>
      </c>
      <c r="G369" s="6">
        <v>0.8618055555555556</v>
      </c>
      <c r="H369" t="s">
        <v>10</v>
      </c>
    </row>
    <row r="370" spans="3:8" x14ac:dyDescent="0.25">
      <c r="C370" s="19">
        <v>42323</v>
      </c>
      <c r="D370" s="3">
        <f t="shared" si="11"/>
        <v>2.0138888888888887E-2</v>
      </c>
      <c r="E370" s="3">
        <f t="shared" si="12"/>
        <v>2.7083333333333279E-2</v>
      </c>
      <c r="F370" s="6">
        <v>0.11527777777777777</v>
      </c>
      <c r="G370" s="6">
        <v>0.13541666666666666</v>
      </c>
      <c r="H370" t="s">
        <v>10</v>
      </c>
    </row>
    <row r="371" spans="3:8" x14ac:dyDescent="0.25">
      <c r="C371" s="19">
        <v>42323</v>
      </c>
      <c r="D371" s="3">
        <f t="shared" si="11"/>
        <v>4.7222222222222165E-2</v>
      </c>
      <c r="E371" s="3">
        <f t="shared" si="12"/>
        <v>2.4305555555555469E-2</v>
      </c>
      <c r="F371" s="6">
        <v>0.52152777777777781</v>
      </c>
      <c r="G371" s="6">
        <v>0.56874999999999998</v>
      </c>
      <c r="H371" t="s">
        <v>10</v>
      </c>
    </row>
    <row r="372" spans="3:8" x14ac:dyDescent="0.25">
      <c r="C372" s="19">
        <v>42323</v>
      </c>
      <c r="D372" s="3">
        <f t="shared" si="11"/>
        <v>2.2916666666666696E-2</v>
      </c>
      <c r="E372" s="3">
        <f t="shared" si="12"/>
        <v>4.8611111111112049E-3</v>
      </c>
      <c r="F372" s="6">
        <v>0.60416666666666663</v>
      </c>
      <c r="G372" s="6">
        <v>0.62708333333333333</v>
      </c>
      <c r="H372" t="s">
        <v>10</v>
      </c>
    </row>
    <row r="373" spans="3:8" x14ac:dyDescent="0.25">
      <c r="C373" s="19">
        <v>42323</v>
      </c>
      <c r="D373" s="3">
        <f t="shared" si="11"/>
        <v>1.8055555555555491E-2</v>
      </c>
      <c r="E373" s="3">
        <f t="shared" si="12"/>
        <v>2.0833333333332149E-3</v>
      </c>
      <c r="F373" s="6">
        <v>0.60902777777777783</v>
      </c>
      <c r="G373" s="6">
        <v>0.62708333333333333</v>
      </c>
      <c r="H373" t="s">
        <v>10</v>
      </c>
    </row>
    <row r="374" spans="3:8" x14ac:dyDescent="0.25">
      <c r="C374" s="19">
        <v>42323</v>
      </c>
      <c r="D374" s="3">
        <f t="shared" si="11"/>
        <v>1.5972222222222276E-2</v>
      </c>
      <c r="E374" s="3">
        <f t="shared" si="12"/>
        <v>6.9444444444444198E-3</v>
      </c>
      <c r="F374" s="6">
        <v>0.63263888888888886</v>
      </c>
      <c r="G374" s="6">
        <v>0.64861111111111114</v>
      </c>
      <c r="H374" t="s">
        <v>10</v>
      </c>
    </row>
    <row r="375" spans="3:8" x14ac:dyDescent="0.25">
      <c r="C375" s="19">
        <v>42323</v>
      </c>
      <c r="D375" s="3">
        <f t="shared" si="11"/>
        <v>2.2916666666666696E-2</v>
      </c>
      <c r="E375" s="3">
        <f t="shared" si="12"/>
        <v>2.7777777777777679E-3</v>
      </c>
      <c r="F375" s="6">
        <v>0.67152777777777783</v>
      </c>
      <c r="G375" s="6">
        <v>0.69444444444444453</v>
      </c>
      <c r="H375" t="s">
        <v>10</v>
      </c>
    </row>
    <row r="376" spans="3:8" x14ac:dyDescent="0.25">
      <c r="C376" s="19">
        <v>42323</v>
      </c>
      <c r="D376" s="3">
        <f t="shared" si="11"/>
        <v>2.0138888888888928E-2</v>
      </c>
      <c r="E376" s="3">
        <f t="shared" si="12"/>
        <v>1.5972222222222165E-2</v>
      </c>
      <c r="F376" s="6">
        <v>0.69305555555555554</v>
      </c>
      <c r="G376" s="6">
        <v>0.71319444444444446</v>
      </c>
      <c r="H376" t="s">
        <v>10</v>
      </c>
    </row>
    <row r="377" spans="3:8" x14ac:dyDescent="0.25">
      <c r="C377" s="19">
        <v>42323</v>
      </c>
      <c r="D377" s="3">
        <f t="shared" si="11"/>
        <v>3.6111111111111094E-2</v>
      </c>
      <c r="E377" s="3">
        <f t="shared" si="12"/>
        <v>1.4583333333333171E-2</v>
      </c>
      <c r="F377" s="6">
        <v>0.76250000000000007</v>
      </c>
      <c r="G377" s="6">
        <v>0.79861111111111116</v>
      </c>
      <c r="H377" t="s">
        <v>10</v>
      </c>
    </row>
    <row r="378" spans="3:8" x14ac:dyDescent="0.25">
      <c r="C378" s="19">
        <v>42323</v>
      </c>
      <c r="D378" s="3">
        <f t="shared" si="11"/>
        <v>2.1527777777777923E-2</v>
      </c>
      <c r="E378" s="3">
        <f t="shared" si="12"/>
        <v>5.5555555555556468E-3</v>
      </c>
      <c r="F378" s="6">
        <v>0.76111111111111107</v>
      </c>
      <c r="G378" s="6">
        <v>0.78263888888888899</v>
      </c>
      <c r="H378" t="s">
        <v>10</v>
      </c>
    </row>
    <row r="379" spans="3:8" x14ac:dyDescent="0.25">
      <c r="C379" s="19">
        <v>42323</v>
      </c>
      <c r="D379" s="3">
        <f t="shared" si="11"/>
        <v>1.5972222222222276E-2</v>
      </c>
      <c r="E379" s="3">
        <f t="shared" si="12"/>
        <v>3.4722222222222099E-3</v>
      </c>
      <c r="F379" s="6">
        <v>0.81874999999999998</v>
      </c>
      <c r="G379" s="6">
        <v>0.83472222222222225</v>
      </c>
      <c r="H379" t="s">
        <v>10</v>
      </c>
    </row>
    <row r="380" spans="3:8" x14ac:dyDescent="0.25">
      <c r="C380" s="19">
        <v>42323</v>
      </c>
      <c r="D380" s="3">
        <f t="shared" si="11"/>
        <v>1.9444444444444486E-2</v>
      </c>
      <c r="E380" s="3">
        <f t="shared" si="12"/>
        <v>5.5555555555556468E-3</v>
      </c>
      <c r="F380" s="6">
        <v>0.91180555555555554</v>
      </c>
      <c r="G380" s="6">
        <v>0.93125000000000002</v>
      </c>
      <c r="H380" t="s">
        <v>10</v>
      </c>
    </row>
    <row r="381" spans="3:8" x14ac:dyDescent="0.25">
      <c r="C381" s="19">
        <v>42323</v>
      </c>
      <c r="D381" s="3">
        <f t="shared" si="11"/>
        <v>1.388888888888884E-2</v>
      </c>
      <c r="E381" s="3">
        <f t="shared" si="12"/>
        <v>3.4027777777777879E-2</v>
      </c>
      <c r="F381" s="6">
        <v>1.0145833333333334</v>
      </c>
      <c r="G381" s="6">
        <v>1.0284722222222222</v>
      </c>
      <c r="H381" t="s">
        <v>10</v>
      </c>
    </row>
    <row r="382" spans="3:8" x14ac:dyDescent="0.25">
      <c r="C382" s="19">
        <v>42323</v>
      </c>
      <c r="D382" s="3">
        <f t="shared" si="11"/>
        <v>4.7916666666666718E-2</v>
      </c>
      <c r="E382" s="3">
        <f t="shared" si="12"/>
        <v>3.0555555555555669E-2</v>
      </c>
      <c r="F382" s="6">
        <v>0.37013888888888885</v>
      </c>
      <c r="G382" s="6">
        <v>0.41805555555555557</v>
      </c>
      <c r="H382" t="s">
        <v>10</v>
      </c>
    </row>
    <row r="383" spans="3:8" x14ac:dyDescent="0.25">
      <c r="C383" s="19">
        <v>42323</v>
      </c>
      <c r="D383" s="3">
        <f t="shared" si="11"/>
        <v>1.7361111111111049E-2</v>
      </c>
      <c r="E383" s="3">
        <f t="shared" si="12"/>
        <v>1.388888888888995E-3</v>
      </c>
      <c r="F383" s="6">
        <v>0.64722222222222225</v>
      </c>
      <c r="G383" s="6">
        <v>0.6645833333333333</v>
      </c>
      <c r="H383" t="s">
        <v>10</v>
      </c>
    </row>
    <row r="384" spans="3:8" x14ac:dyDescent="0.25">
      <c r="C384" s="19">
        <v>42323</v>
      </c>
      <c r="D384" s="3">
        <f t="shared" si="11"/>
        <v>1.8750000000000044E-2</v>
      </c>
      <c r="E384" s="3">
        <f t="shared" si="12"/>
        <v>2.0833333333333259E-3</v>
      </c>
      <c r="F384" s="6">
        <v>0.8256944444444444</v>
      </c>
      <c r="G384" s="6">
        <v>0.84444444444444444</v>
      </c>
      <c r="H384" t="s">
        <v>10</v>
      </c>
    </row>
    <row r="385" spans="3:8" x14ac:dyDescent="0.25">
      <c r="C385" s="19">
        <v>42323</v>
      </c>
      <c r="D385" s="3">
        <f t="shared" si="11"/>
        <v>1.6666666666666718E-2</v>
      </c>
      <c r="E385" s="3">
        <f t="shared" si="12"/>
        <v>6.2499999999999778E-3</v>
      </c>
      <c r="F385" s="6">
        <v>0.84444444444444444</v>
      </c>
      <c r="G385" s="6">
        <v>0.86111111111111116</v>
      </c>
      <c r="H385" t="s">
        <v>10</v>
      </c>
    </row>
    <row r="386" spans="3:8" x14ac:dyDescent="0.25">
      <c r="C386" s="19">
        <v>42323</v>
      </c>
      <c r="D386" s="3">
        <f t="shared" ref="D386:D449" si="13">G386-F386</f>
        <v>1.0416666666666741E-2</v>
      </c>
      <c r="E386" s="3">
        <f t="shared" si="12"/>
        <v>7.6388888888888201E-3</v>
      </c>
      <c r="F386" s="6">
        <v>0.96180555555555547</v>
      </c>
      <c r="G386" s="6">
        <v>0.97222222222222221</v>
      </c>
      <c r="H386" t="s">
        <v>10</v>
      </c>
    </row>
    <row r="387" spans="3:8" x14ac:dyDescent="0.25">
      <c r="C387" s="19">
        <v>42323</v>
      </c>
      <c r="D387" s="3">
        <f t="shared" si="13"/>
        <v>1.8055555555555561E-2</v>
      </c>
      <c r="E387" s="3">
        <f t="shared" si="12"/>
        <v>6.9444444444437259E-4</v>
      </c>
      <c r="F387" s="6">
        <v>9.5833333333333326E-2</v>
      </c>
      <c r="G387" s="6">
        <v>0.11388888888888889</v>
      </c>
      <c r="H387" t="s">
        <v>10</v>
      </c>
    </row>
    <row r="388" spans="3:8" x14ac:dyDescent="0.25">
      <c r="C388" s="19">
        <v>42323</v>
      </c>
      <c r="D388" s="3">
        <f t="shared" si="13"/>
        <v>1.8749999999999933E-2</v>
      </c>
      <c r="E388" s="3">
        <f t="shared" si="12"/>
        <v>5.5555555555554248E-3</v>
      </c>
      <c r="F388" s="6">
        <v>0.49305555555555558</v>
      </c>
      <c r="G388" s="6">
        <v>0.51180555555555551</v>
      </c>
      <c r="H388" t="s">
        <v>10</v>
      </c>
    </row>
    <row r="389" spans="3:8" x14ac:dyDescent="0.25">
      <c r="C389" s="19">
        <v>42323</v>
      </c>
      <c r="D389" s="3">
        <f t="shared" si="13"/>
        <v>1.3194444444444509E-2</v>
      </c>
      <c r="E389" s="3">
        <f t="shared" ref="E389:E439" si="14">ABS(D389-D390)</f>
        <v>2.0833333333333259E-3</v>
      </c>
      <c r="F389" s="6">
        <v>0.51180555555555551</v>
      </c>
      <c r="G389" s="6">
        <v>0.52500000000000002</v>
      </c>
      <c r="H389" t="s">
        <v>10</v>
      </c>
    </row>
    <row r="390" spans="3:8" x14ac:dyDescent="0.25">
      <c r="C390" s="19">
        <v>42323</v>
      </c>
      <c r="D390" s="3">
        <f t="shared" si="13"/>
        <v>1.5277777777777835E-2</v>
      </c>
      <c r="E390" s="3">
        <f t="shared" si="14"/>
        <v>1.2499999999999956E-2</v>
      </c>
      <c r="F390" s="6">
        <v>0.53402777777777777</v>
      </c>
      <c r="G390" s="6">
        <v>0.5493055555555556</v>
      </c>
      <c r="H390" t="s">
        <v>10</v>
      </c>
    </row>
    <row r="391" spans="3:8" x14ac:dyDescent="0.25">
      <c r="C391" s="19">
        <v>42323</v>
      </c>
      <c r="D391" s="3">
        <f t="shared" si="13"/>
        <v>2.777777777777779E-2</v>
      </c>
      <c r="E391" s="3">
        <f t="shared" si="14"/>
        <v>1.1111111111111127E-2</v>
      </c>
      <c r="F391" s="6">
        <v>0.56597222222222221</v>
      </c>
      <c r="G391" s="6">
        <v>0.59375</v>
      </c>
      <c r="H391" t="s">
        <v>10</v>
      </c>
    </row>
    <row r="392" spans="3:8" x14ac:dyDescent="0.25">
      <c r="C392" s="19">
        <v>42323</v>
      </c>
      <c r="D392" s="3">
        <f t="shared" si="13"/>
        <v>1.6666666666666663E-2</v>
      </c>
      <c r="E392" s="3">
        <f t="shared" si="14"/>
        <v>0</v>
      </c>
      <c r="F392" s="6">
        <v>0.21319444444444444</v>
      </c>
      <c r="G392" s="6">
        <v>0.2298611111111111</v>
      </c>
      <c r="H392" t="s">
        <v>10</v>
      </c>
    </row>
    <row r="393" spans="3:8" x14ac:dyDescent="0.25">
      <c r="C393" s="19">
        <v>42323</v>
      </c>
      <c r="D393" s="3">
        <f t="shared" si="13"/>
        <v>1.6666666666666663E-2</v>
      </c>
      <c r="E393" s="3">
        <f t="shared" si="14"/>
        <v>7.6388888888888062E-3</v>
      </c>
      <c r="F393" s="6">
        <v>0.21319444444444444</v>
      </c>
      <c r="G393" s="6">
        <v>0.2298611111111111</v>
      </c>
      <c r="H393" t="s">
        <v>10</v>
      </c>
    </row>
    <row r="394" spans="3:8" x14ac:dyDescent="0.25">
      <c r="C394" s="19">
        <v>42323</v>
      </c>
      <c r="D394" s="3">
        <f t="shared" si="13"/>
        <v>2.4305555555555469E-2</v>
      </c>
      <c r="E394" s="3">
        <f t="shared" si="14"/>
        <v>7.6388888888888618E-3</v>
      </c>
      <c r="F394" s="6">
        <v>0.88055555555555554</v>
      </c>
      <c r="G394" s="6">
        <v>0.90486111111111101</v>
      </c>
      <c r="H394" t="s">
        <v>10</v>
      </c>
    </row>
    <row r="395" spans="3:8" x14ac:dyDescent="0.25">
      <c r="C395" s="19">
        <v>42323</v>
      </c>
      <c r="D395" s="3">
        <f t="shared" si="13"/>
        <v>1.6666666666666607E-2</v>
      </c>
      <c r="E395" s="3">
        <f t="shared" si="14"/>
        <v>6.94444444444553E-4</v>
      </c>
      <c r="F395" s="6">
        <v>0.96805555555555556</v>
      </c>
      <c r="G395" s="6">
        <v>0.98472222222222217</v>
      </c>
      <c r="H395" t="s">
        <v>10</v>
      </c>
    </row>
    <row r="396" spans="3:8" x14ac:dyDescent="0.25">
      <c r="C396" s="19">
        <v>42323</v>
      </c>
      <c r="D396" s="3">
        <f t="shared" si="13"/>
        <v>1.736111111111116E-2</v>
      </c>
      <c r="E396" s="3">
        <f t="shared" si="14"/>
        <v>0</v>
      </c>
      <c r="F396" s="6">
        <v>0.97152777777777777</v>
      </c>
      <c r="G396" s="6">
        <v>0.98888888888888893</v>
      </c>
      <c r="H396" t="s">
        <v>10</v>
      </c>
    </row>
    <row r="397" spans="3:8" x14ac:dyDescent="0.25">
      <c r="C397" s="19">
        <v>42323</v>
      </c>
      <c r="D397" s="3">
        <f t="shared" si="13"/>
        <v>1.736111111111116E-2</v>
      </c>
      <c r="E397" s="3">
        <f t="shared" si="14"/>
        <v>6.9444444444443088E-3</v>
      </c>
      <c r="F397" s="6">
        <v>0.57222222222222219</v>
      </c>
      <c r="G397" s="6">
        <v>0.58958333333333335</v>
      </c>
      <c r="H397" t="s">
        <v>10</v>
      </c>
    </row>
    <row r="398" spans="3:8" x14ac:dyDescent="0.25">
      <c r="C398" s="19">
        <v>42323</v>
      </c>
      <c r="D398" s="3">
        <f t="shared" si="13"/>
        <v>2.4305555555555469E-2</v>
      </c>
      <c r="E398" s="3">
        <f t="shared" si="14"/>
        <v>6.9444444444443088E-3</v>
      </c>
      <c r="F398" s="6">
        <v>0.55555555555555558</v>
      </c>
      <c r="G398" s="6">
        <v>0.57986111111111105</v>
      </c>
      <c r="H398" t="s">
        <v>10</v>
      </c>
    </row>
    <row r="399" spans="3:8" x14ac:dyDescent="0.25">
      <c r="C399" s="19">
        <v>42323</v>
      </c>
      <c r="D399" s="3">
        <f t="shared" si="13"/>
        <v>1.736111111111116E-2</v>
      </c>
      <c r="E399" s="3">
        <f t="shared" si="14"/>
        <v>6.9444444444444198E-4</v>
      </c>
      <c r="F399" s="6">
        <v>0.69652777777777775</v>
      </c>
      <c r="G399" s="6">
        <v>0.71388888888888891</v>
      </c>
      <c r="H399" t="s">
        <v>10</v>
      </c>
    </row>
    <row r="400" spans="3:8" x14ac:dyDescent="0.25">
      <c r="C400" s="19">
        <v>42323</v>
      </c>
      <c r="D400" s="3">
        <f t="shared" si="13"/>
        <v>1.8055555555555602E-2</v>
      </c>
      <c r="E400" s="3">
        <f t="shared" si="14"/>
        <v>2.7777777777778234E-3</v>
      </c>
      <c r="F400" s="6">
        <v>0.71736111111111101</v>
      </c>
      <c r="G400" s="6">
        <v>0.73541666666666661</v>
      </c>
      <c r="H400" t="s">
        <v>10</v>
      </c>
    </row>
    <row r="401" spans="3:8" x14ac:dyDescent="0.25">
      <c r="C401" s="19">
        <v>42323</v>
      </c>
      <c r="D401" s="3">
        <f t="shared" si="13"/>
        <v>1.5277777777777779E-2</v>
      </c>
      <c r="E401" s="3">
        <f t="shared" si="14"/>
        <v>6.2499999999999778E-3</v>
      </c>
      <c r="F401" s="6">
        <v>0.43611111111111112</v>
      </c>
      <c r="G401" s="6">
        <v>0.4513888888888889</v>
      </c>
      <c r="H401" t="s">
        <v>10</v>
      </c>
    </row>
    <row r="402" spans="3:8" x14ac:dyDescent="0.25">
      <c r="C402" s="19">
        <v>42323</v>
      </c>
      <c r="D402" s="3">
        <f t="shared" si="13"/>
        <v>2.1527777777777757E-2</v>
      </c>
      <c r="E402" s="3">
        <f t="shared" si="14"/>
        <v>3.4722222222221544E-3</v>
      </c>
      <c r="F402" s="6">
        <v>0.4604166666666667</v>
      </c>
      <c r="G402" s="6">
        <v>0.48194444444444445</v>
      </c>
      <c r="H402" t="s">
        <v>10</v>
      </c>
    </row>
    <row r="403" spans="3:8" x14ac:dyDescent="0.25">
      <c r="C403" s="19">
        <v>42323</v>
      </c>
      <c r="D403" s="3">
        <f t="shared" si="13"/>
        <v>1.8055555555555602E-2</v>
      </c>
      <c r="E403" s="3">
        <f t="shared" si="14"/>
        <v>1.388888888888884E-3</v>
      </c>
      <c r="F403" s="6">
        <v>0.50694444444444442</v>
      </c>
      <c r="G403" s="6">
        <v>0.52500000000000002</v>
      </c>
      <c r="H403" t="s">
        <v>10</v>
      </c>
    </row>
    <row r="404" spans="3:8" x14ac:dyDescent="0.25">
      <c r="C404" s="19">
        <v>42323</v>
      </c>
      <c r="D404" s="3">
        <f t="shared" si="13"/>
        <v>1.9444444444444486E-2</v>
      </c>
      <c r="E404" s="3">
        <f t="shared" si="14"/>
        <v>1.1102230246251565E-16</v>
      </c>
      <c r="F404" s="6">
        <v>0.54097222222222219</v>
      </c>
      <c r="G404" s="6">
        <v>0.56041666666666667</v>
      </c>
      <c r="H404" t="s">
        <v>10</v>
      </c>
    </row>
    <row r="405" spans="3:8" x14ac:dyDescent="0.25">
      <c r="C405" s="19">
        <v>42323</v>
      </c>
      <c r="D405" s="3">
        <f t="shared" si="13"/>
        <v>1.9444444444444375E-2</v>
      </c>
      <c r="E405" s="3">
        <f t="shared" si="14"/>
        <v>7.6388888888888618E-3</v>
      </c>
      <c r="F405" s="6">
        <v>0.57361111111111118</v>
      </c>
      <c r="G405" s="6">
        <v>0.59305555555555556</v>
      </c>
      <c r="H405" t="s">
        <v>10</v>
      </c>
    </row>
    <row r="406" spans="3:8" x14ac:dyDescent="0.25">
      <c r="C406" s="19">
        <v>42323</v>
      </c>
      <c r="D406" s="3">
        <f t="shared" si="13"/>
        <v>2.7083333333333237E-2</v>
      </c>
      <c r="E406" s="3">
        <f t="shared" si="14"/>
        <v>4.8611111111110106E-3</v>
      </c>
      <c r="F406" s="6">
        <v>0.8041666666666667</v>
      </c>
      <c r="G406" s="6">
        <v>0.83124999999999993</v>
      </c>
      <c r="H406" t="s">
        <v>10</v>
      </c>
    </row>
    <row r="407" spans="3:8" x14ac:dyDescent="0.25">
      <c r="C407" s="19">
        <v>42323</v>
      </c>
      <c r="D407" s="3">
        <f t="shared" si="13"/>
        <v>2.2222222222222227E-2</v>
      </c>
      <c r="E407" s="3">
        <f t="shared" si="14"/>
        <v>9.7222222222222709E-3</v>
      </c>
      <c r="F407" s="6">
        <v>0.24236111111111111</v>
      </c>
      <c r="G407" s="6">
        <v>0.26458333333333334</v>
      </c>
      <c r="H407" t="s">
        <v>10</v>
      </c>
    </row>
    <row r="408" spans="3:8" x14ac:dyDescent="0.25">
      <c r="C408" s="19">
        <v>42323</v>
      </c>
      <c r="D408" s="3">
        <f t="shared" si="13"/>
        <v>1.2499999999999956E-2</v>
      </c>
      <c r="E408" s="3">
        <f t="shared" si="14"/>
        <v>4.8611111111111494E-3</v>
      </c>
      <c r="F408" s="6">
        <v>0.37222222222222223</v>
      </c>
      <c r="G408" s="6">
        <v>0.38472222222222219</v>
      </c>
      <c r="H408" t="s">
        <v>10</v>
      </c>
    </row>
    <row r="409" spans="3:8" x14ac:dyDescent="0.25">
      <c r="C409" s="19">
        <v>42323</v>
      </c>
      <c r="D409" s="3">
        <f t="shared" si="13"/>
        <v>1.7361111111111105E-2</v>
      </c>
      <c r="E409" s="3">
        <f t="shared" si="14"/>
        <v>6.9444444444449749E-4</v>
      </c>
      <c r="F409" s="6">
        <v>0.44027777777777777</v>
      </c>
      <c r="G409" s="6">
        <v>0.45763888888888887</v>
      </c>
      <c r="H409" t="s">
        <v>10</v>
      </c>
    </row>
    <row r="410" spans="3:8" x14ac:dyDescent="0.25">
      <c r="C410" s="19">
        <v>42323</v>
      </c>
      <c r="D410" s="3">
        <f t="shared" si="13"/>
        <v>1.6666666666666607E-2</v>
      </c>
      <c r="E410" s="3">
        <f t="shared" si="14"/>
        <v>1.1102230246251565E-16</v>
      </c>
      <c r="F410" s="6">
        <v>0.54513888888888895</v>
      </c>
      <c r="G410" s="6">
        <v>0.56180555555555556</v>
      </c>
      <c r="H410" t="s">
        <v>10</v>
      </c>
    </row>
    <row r="411" spans="3:8" x14ac:dyDescent="0.25">
      <c r="C411" s="19">
        <v>42323</v>
      </c>
      <c r="D411" s="3">
        <f t="shared" si="13"/>
        <v>1.6666666666666718E-2</v>
      </c>
      <c r="E411" s="3">
        <f t="shared" si="14"/>
        <v>2.7777777777777679E-3</v>
      </c>
      <c r="F411" s="6">
        <v>0.62986111111111109</v>
      </c>
      <c r="G411" s="6">
        <v>0.64652777777777781</v>
      </c>
      <c r="H411" t="s">
        <v>10</v>
      </c>
    </row>
    <row r="412" spans="3:8" x14ac:dyDescent="0.25">
      <c r="C412" s="19">
        <v>42323</v>
      </c>
      <c r="D412" s="3">
        <f t="shared" si="13"/>
        <v>1.3888888888888951E-2</v>
      </c>
      <c r="E412" s="3">
        <f t="shared" si="14"/>
        <v>6.9444444444433095E-4</v>
      </c>
      <c r="F412" s="6">
        <v>0.92291666666666661</v>
      </c>
      <c r="G412" s="6">
        <v>0.93680555555555556</v>
      </c>
      <c r="H412" t="s">
        <v>10</v>
      </c>
    </row>
    <row r="413" spans="3:8" x14ac:dyDescent="0.25">
      <c r="C413" s="19">
        <v>42323</v>
      </c>
      <c r="D413" s="3">
        <f t="shared" si="13"/>
        <v>1.4583333333333282E-2</v>
      </c>
      <c r="E413" s="3">
        <f t="shared" si="14"/>
        <v>0</v>
      </c>
      <c r="F413" s="6">
        <v>0.95486111111111116</v>
      </c>
      <c r="G413" s="6">
        <v>0.96944444444444444</v>
      </c>
      <c r="H413" t="s">
        <v>10</v>
      </c>
    </row>
    <row r="414" spans="3:8" x14ac:dyDescent="0.25">
      <c r="C414" s="19">
        <v>42323</v>
      </c>
      <c r="D414" s="3">
        <f t="shared" si="13"/>
        <v>1.4583333333333282E-2</v>
      </c>
      <c r="E414" s="3">
        <f t="shared" si="14"/>
        <v>4.1666666666666519E-3</v>
      </c>
      <c r="F414" s="6">
        <v>0.96805555555555556</v>
      </c>
      <c r="G414" s="6">
        <v>0.98263888888888884</v>
      </c>
      <c r="H414" t="s">
        <v>10</v>
      </c>
    </row>
    <row r="415" spans="3:8" x14ac:dyDescent="0.25">
      <c r="C415" s="19">
        <v>42323</v>
      </c>
      <c r="D415" s="3">
        <f t="shared" si="13"/>
        <v>1.041666666666663E-2</v>
      </c>
      <c r="E415" s="3">
        <f t="shared" si="14"/>
        <v>4.1666666666667629E-3</v>
      </c>
      <c r="F415" s="6">
        <v>0.75</v>
      </c>
      <c r="G415" s="6">
        <v>0.76041666666666663</v>
      </c>
      <c r="H415" t="s">
        <v>10</v>
      </c>
    </row>
    <row r="416" spans="3:8" x14ac:dyDescent="0.25">
      <c r="C416" s="19">
        <v>42323</v>
      </c>
      <c r="D416" s="3">
        <f t="shared" si="13"/>
        <v>1.4583333333333393E-2</v>
      </c>
      <c r="E416" s="3">
        <f t="shared" si="14"/>
        <v>6.9444444444421993E-4</v>
      </c>
      <c r="F416" s="6">
        <v>0.85763888888888884</v>
      </c>
      <c r="G416" s="6">
        <v>0.87222222222222223</v>
      </c>
      <c r="H416" t="s">
        <v>10</v>
      </c>
    </row>
    <row r="417" spans="3:8" x14ac:dyDescent="0.25">
      <c r="C417" s="19">
        <v>42323</v>
      </c>
      <c r="D417" s="3">
        <f t="shared" si="13"/>
        <v>1.5277777777777612E-2</v>
      </c>
      <c r="E417" s="3">
        <f t="shared" si="14"/>
        <v>2.2204460492503131E-16</v>
      </c>
      <c r="F417" s="6">
        <v>0.81666666666666676</v>
      </c>
      <c r="G417" s="6">
        <v>0.83194444444444438</v>
      </c>
      <c r="H417" t="s">
        <v>10</v>
      </c>
    </row>
    <row r="418" spans="3:8" x14ac:dyDescent="0.25">
      <c r="C418" s="19">
        <v>42323</v>
      </c>
      <c r="D418" s="3">
        <f t="shared" si="13"/>
        <v>1.5277777777777835E-2</v>
      </c>
      <c r="E418" s="3">
        <f t="shared" si="14"/>
        <v>1.1102230246251565E-16</v>
      </c>
      <c r="F418" s="6">
        <v>0.82916666666666661</v>
      </c>
      <c r="G418" s="6">
        <v>0.84444444444444444</v>
      </c>
      <c r="H418" t="s">
        <v>10</v>
      </c>
    </row>
    <row r="419" spans="3:8" x14ac:dyDescent="0.25">
      <c r="C419" s="19">
        <v>42323</v>
      </c>
      <c r="D419" s="3">
        <f t="shared" si="13"/>
        <v>1.5277777777777724E-2</v>
      </c>
      <c r="E419" s="3">
        <f t="shared" si="14"/>
        <v>1.388888888888884E-3</v>
      </c>
      <c r="F419" s="6">
        <v>0.90138888888888891</v>
      </c>
      <c r="G419" s="6">
        <v>0.91666666666666663</v>
      </c>
      <c r="H419" t="s">
        <v>10</v>
      </c>
    </row>
    <row r="420" spans="3:8" x14ac:dyDescent="0.25">
      <c r="C420" s="19">
        <v>42323</v>
      </c>
      <c r="D420" s="3">
        <f t="shared" si="13"/>
        <v>1.6666666666666607E-2</v>
      </c>
      <c r="E420" s="3">
        <f t="shared" si="14"/>
        <v>6.9444444444438647E-4</v>
      </c>
      <c r="F420" s="6">
        <v>0.3979166666666667</v>
      </c>
      <c r="G420" s="6">
        <v>0.4145833333333333</v>
      </c>
      <c r="H420" t="s">
        <v>10</v>
      </c>
    </row>
    <row r="421" spans="3:8" x14ac:dyDescent="0.25">
      <c r="C421" s="19">
        <v>42323</v>
      </c>
      <c r="D421" s="3">
        <f t="shared" si="13"/>
        <v>1.5972222222222221E-2</v>
      </c>
      <c r="E421" s="3">
        <f t="shared" si="14"/>
        <v>5.5555555555555913E-3</v>
      </c>
      <c r="F421" s="6">
        <v>0.40902777777777777</v>
      </c>
      <c r="G421" s="6">
        <v>0.42499999999999999</v>
      </c>
      <c r="H421" t="s">
        <v>10</v>
      </c>
    </row>
    <row r="422" spans="3:8" x14ac:dyDescent="0.25">
      <c r="C422" s="19">
        <v>42323</v>
      </c>
      <c r="D422" s="3">
        <f t="shared" si="13"/>
        <v>2.1527777777777812E-2</v>
      </c>
      <c r="E422" s="3">
        <f t="shared" si="14"/>
        <v>1.5277777777777724E-2</v>
      </c>
      <c r="F422" s="6">
        <v>0.60555555555555551</v>
      </c>
      <c r="G422" s="6">
        <v>0.62708333333333333</v>
      </c>
      <c r="H422" t="s">
        <v>10</v>
      </c>
    </row>
    <row r="423" spans="3:8" x14ac:dyDescent="0.25">
      <c r="C423" s="19">
        <v>42323</v>
      </c>
      <c r="D423" s="3">
        <f t="shared" si="13"/>
        <v>3.6805555555555536E-2</v>
      </c>
      <c r="E423" s="3">
        <f t="shared" si="14"/>
        <v>1.3194444444444509E-2</v>
      </c>
      <c r="F423" s="6">
        <v>0.61458333333333337</v>
      </c>
      <c r="G423" s="6">
        <v>0.65138888888888891</v>
      </c>
      <c r="H423" t="s">
        <v>10</v>
      </c>
    </row>
    <row r="424" spans="3:8" x14ac:dyDescent="0.25">
      <c r="C424" s="19">
        <v>42323</v>
      </c>
      <c r="D424" s="3">
        <f t="shared" si="13"/>
        <v>2.3611111111111027E-2</v>
      </c>
      <c r="E424" s="3">
        <f t="shared" si="14"/>
        <v>6.9444444444444198E-3</v>
      </c>
      <c r="F424" s="6">
        <v>0.7284722222222223</v>
      </c>
      <c r="G424" s="6">
        <v>0.75208333333333333</v>
      </c>
      <c r="H424" t="s">
        <v>10</v>
      </c>
    </row>
    <row r="425" spans="3:8" x14ac:dyDescent="0.25">
      <c r="C425" s="19">
        <v>42323</v>
      </c>
      <c r="D425" s="3">
        <f t="shared" si="13"/>
        <v>1.6666666666666607E-2</v>
      </c>
      <c r="E425" s="3">
        <f t="shared" si="14"/>
        <v>1.1111111111111072E-2</v>
      </c>
      <c r="F425" s="6">
        <v>0.7729166666666667</v>
      </c>
      <c r="G425" s="6">
        <v>0.7895833333333333</v>
      </c>
      <c r="H425" t="s">
        <v>10</v>
      </c>
    </row>
    <row r="426" spans="3:8" x14ac:dyDescent="0.25">
      <c r="C426" s="19">
        <v>42323</v>
      </c>
      <c r="D426" s="3">
        <f t="shared" si="13"/>
        <v>2.7777777777777679E-2</v>
      </c>
      <c r="E426" s="3">
        <f t="shared" si="14"/>
        <v>7.6388888888888062E-3</v>
      </c>
      <c r="F426" s="6">
        <v>0.78819444444444453</v>
      </c>
      <c r="G426" s="6">
        <v>0.81597222222222221</v>
      </c>
      <c r="H426" t="s">
        <v>10</v>
      </c>
    </row>
    <row r="427" spans="3:8" x14ac:dyDescent="0.25">
      <c r="C427" s="19">
        <v>42323</v>
      </c>
      <c r="D427" s="3">
        <f t="shared" si="13"/>
        <v>2.0138888888888873E-2</v>
      </c>
      <c r="E427" s="3">
        <f t="shared" si="14"/>
        <v>6.2500000000000888E-3</v>
      </c>
      <c r="F427" s="6">
        <v>0.36458333333333331</v>
      </c>
      <c r="G427" s="6">
        <v>0.38472222222222219</v>
      </c>
      <c r="H427" t="s">
        <v>10</v>
      </c>
    </row>
    <row r="428" spans="3:8" x14ac:dyDescent="0.25">
      <c r="C428" s="19">
        <v>42323</v>
      </c>
      <c r="D428" s="3">
        <f t="shared" si="13"/>
        <v>2.6388888888888962E-2</v>
      </c>
      <c r="E428" s="3">
        <f t="shared" si="14"/>
        <v>2.0833333333332704E-3</v>
      </c>
      <c r="F428" s="6">
        <v>0.49652777777777773</v>
      </c>
      <c r="G428" s="6">
        <v>0.5229166666666667</v>
      </c>
      <c r="H428" t="s">
        <v>10</v>
      </c>
    </row>
    <row r="429" spans="3:8" x14ac:dyDescent="0.25">
      <c r="C429" s="19">
        <v>42323</v>
      </c>
      <c r="D429" s="3">
        <f t="shared" si="13"/>
        <v>2.4305555555555691E-2</v>
      </c>
      <c r="E429" s="3">
        <f t="shared" si="14"/>
        <v>4.1666666666667629E-3</v>
      </c>
      <c r="F429" s="6">
        <v>0.70624999999999993</v>
      </c>
      <c r="G429" s="6">
        <v>0.73055555555555562</v>
      </c>
      <c r="H429" t="s">
        <v>10</v>
      </c>
    </row>
    <row r="430" spans="3:8" x14ac:dyDescent="0.25">
      <c r="C430" s="19">
        <v>42323</v>
      </c>
      <c r="D430" s="3">
        <f t="shared" si="13"/>
        <v>2.0138888888888928E-2</v>
      </c>
      <c r="E430" s="3">
        <f t="shared" si="14"/>
        <v>2.0833333333333259E-3</v>
      </c>
      <c r="F430" s="6">
        <v>0.7368055555555556</v>
      </c>
      <c r="G430" s="6">
        <v>0.75694444444444453</v>
      </c>
      <c r="H430" t="s">
        <v>10</v>
      </c>
    </row>
    <row r="431" spans="3:8" x14ac:dyDescent="0.25">
      <c r="C431" s="19">
        <v>42323</v>
      </c>
      <c r="D431" s="3">
        <f t="shared" si="13"/>
        <v>1.8055555555555602E-2</v>
      </c>
      <c r="E431" s="3">
        <f t="shared" si="14"/>
        <v>5.5555555555554803E-3</v>
      </c>
      <c r="F431" s="6">
        <v>0.86805555555555547</v>
      </c>
      <c r="G431" s="6">
        <v>0.88611111111111107</v>
      </c>
      <c r="H431" t="s">
        <v>10</v>
      </c>
    </row>
    <row r="432" spans="3:8" x14ac:dyDescent="0.25">
      <c r="C432" s="19">
        <v>42323</v>
      </c>
      <c r="D432" s="3">
        <f t="shared" si="13"/>
        <v>2.3611111111111083E-2</v>
      </c>
      <c r="E432" s="3">
        <f t="shared" si="14"/>
        <v>8.3333333333332482E-3</v>
      </c>
      <c r="F432" s="6">
        <v>0.38680555555555557</v>
      </c>
      <c r="G432" s="6">
        <v>0.41041666666666665</v>
      </c>
      <c r="H432" t="s">
        <v>10</v>
      </c>
    </row>
    <row r="433" spans="3:8" x14ac:dyDescent="0.25">
      <c r="C433" s="19">
        <v>42323</v>
      </c>
      <c r="D433" s="3">
        <f t="shared" si="13"/>
        <v>1.5277777777777835E-2</v>
      </c>
      <c r="E433" s="3">
        <f t="shared" si="14"/>
        <v>6.2499999999998668E-3</v>
      </c>
      <c r="F433" s="6">
        <v>0.39861111111111108</v>
      </c>
      <c r="G433" s="6">
        <v>0.41388888888888892</v>
      </c>
      <c r="H433" t="s">
        <v>10</v>
      </c>
    </row>
    <row r="434" spans="3:8" x14ac:dyDescent="0.25">
      <c r="C434" s="19">
        <v>42323</v>
      </c>
      <c r="D434" s="3">
        <f t="shared" si="13"/>
        <v>2.1527777777777701E-2</v>
      </c>
      <c r="E434" s="3">
        <f t="shared" si="14"/>
        <v>1.388888888888884E-3</v>
      </c>
      <c r="F434" s="6">
        <v>0.40833333333333338</v>
      </c>
      <c r="G434" s="6">
        <v>0.42986111111111108</v>
      </c>
      <c r="H434" t="s">
        <v>10</v>
      </c>
    </row>
    <row r="435" spans="3:8" x14ac:dyDescent="0.25">
      <c r="C435" s="19">
        <v>42323</v>
      </c>
      <c r="D435" s="3">
        <f t="shared" si="13"/>
        <v>2.0138888888888817E-2</v>
      </c>
      <c r="E435" s="3">
        <f t="shared" si="14"/>
        <v>2.0833333333332149E-3</v>
      </c>
      <c r="F435" s="6">
        <v>0.55069444444444449</v>
      </c>
      <c r="G435" s="6">
        <v>0.5708333333333333</v>
      </c>
      <c r="H435" t="s">
        <v>10</v>
      </c>
    </row>
    <row r="436" spans="3:8" x14ac:dyDescent="0.25">
      <c r="C436" s="19">
        <v>42323</v>
      </c>
      <c r="D436" s="3">
        <f t="shared" si="13"/>
        <v>1.8055555555555602E-2</v>
      </c>
      <c r="E436" s="3">
        <f t="shared" si="14"/>
        <v>6.94444444444553E-4</v>
      </c>
      <c r="F436" s="6">
        <v>0.60416666666666663</v>
      </c>
      <c r="G436" s="6">
        <v>0.62222222222222223</v>
      </c>
      <c r="H436" t="s">
        <v>10</v>
      </c>
    </row>
    <row r="437" spans="3:8" x14ac:dyDescent="0.25">
      <c r="C437" s="19">
        <v>42323</v>
      </c>
      <c r="D437" s="3">
        <f t="shared" si="13"/>
        <v>1.7361111111111049E-2</v>
      </c>
      <c r="E437" s="3">
        <f t="shared" si="14"/>
        <v>2.7777777777777679E-3</v>
      </c>
      <c r="F437" s="6">
        <v>0.76736111111111116</v>
      </c>
      <c r="G437" s="6">
        <v>0.78472222222222221</v>
      </c>
      <c r="H437" t="s">
        <v>10</v>
      </c>
    </row>
    <row r="438" spans="3:8" x14ac:dyDescent="0.25">
      <c r="C438" s="19">
        <v>42323</v>
      </c>
      <c r="D438" s="3">
        <f t="shared" si="13"/>
        <v>1.4583333333333282E-2</v>
      </c>
      <c r="E438" s="3">
        <f t="shared" si="14"/>
        <v>4.2361111111111183E-2</v>
      </c>
      <c r="F438" s="6">
        <v>0.91805555555555562</v>
      </c>
      <c r="G438" s="6">
        <v>0.93263888888888891</v>
      </c>
      <c r="H438" t="s">
        <v>10</v>
      </c>
    </row>
    <row r="439" spans="3:8" x14ac:dyDescent="0.25">
      <c r="C439" s="19">
        <v>42323</v>
      </c>
      <c r="D439" s="3">
        <f t="shared" si="13"/>
        <v>5.6944444444444464E-2</v>
      </c>
      <c r="E439" s="3">
        <f t="shared" si="14"/>
        <v>3.5416666666666541E-2</v>
      </c>
      <c r="F439" s="6">
        <v>0.71805555555555556</v>
      </c>
      <c r="G439" s="6">
        <v>0.77500000000000002</v>
      </c>
      <c r="H439" t="s">
        <v>10</v>
      </c>
    </row>
    <row r="440" spans="3:8" x14ac:dyDescent="0.25">
      <c r="C440" s="19">
        <v>42323</v>
      </c>
      <c r="D440" s="3">
        <f t="shared" si="13"/>
        <v>2.1527777777777923E-2</v>
      </c>
      <c r="F440" s="6">
        <v>0.88611111111111107</v>
      </c>
      <c r="G440" s="6">
        <v>0.90763888888888899</v>
      </c>
      <c r="H440" t="s">
        <v>10</v>
      </c>
    </row>
    <row r="441" spans="3:8" x14ac:dyDescent="0.25">
      <c r="C441" s="19">
        <v>42323</v>
      </c>
      <c r="D441" s="3">
        <f t="shared" si="13"/>
        <v>2.0138888888888984E-2</v>
      </c>
      <c r="E441" s="3">
        <f>ABS(D442-D441)</f>
        <v>6.2499999999999223E-3</v>
      </c>
      <c r="F441" s="6">
        <v>0.49791666666666662</v>
      </c>
      <c r="G441" s="6">
        <v>0.5180555555555556</v>
      </c>
      <c r="H441" t="s">
        <v>11</v>
      </c>
    </row>
    <row r="442" spans="3:8" x14ac:dyDescent="0.25">
      <c r="C442" s="19">
        <v>42323</v>
      </c>
      <c r="D442" s="3">
        <f t="shared" si="13"/>
        <v>2.6388888888888906E-2</v>
      </c>
      <c r="E442" s="3">
        <f t="shared" ref="E442:E505" si="15">ABS(D443-D442)</f>
        <v>6.9444444444444198E-4</v>
      </c>
      <c r="F442" s="6">
        <v>0.6694444444444444</v>
      </c>
      <c r="G442" s="6">
        <v>0.6958333333333333</v>
      </c>
      <c r="H442" t="s">
        <v>11</v>
      </c>
    </row>
    <row r="443" spans="3:8" x14ac:dyDescent="0.25">
      <c r="C443" s="19">
        <v>42323</v>
      </c>
      <c r="D443" s="3">
        <f t="shared" si="13"/>
        <v>2.5694444444444464E-2</v>
      </c>
      <c r="E443" s="3">
        <f t="shared" si="15"/>
        <v>2.0833333333333814E-3</v>
      </c>
      <c r="F443" s="6">
        <v>0.66527777777777775</v>
      </c>
      <c r="G443" s="6">
        <v>0.69097222222222221</v>
      </c>
      <c r="H443" t="s">
        <v>11</v>
      </c>
    </row>
    <row r="444" spans="3:8" x14ac:dyDescent="0.25">
      <c r="C444" s="19">
        <v>42323</v>
      </c>
      <c r="D444" s="3">
        <f t="shared" si="13"/>
        <v>2.3611111111111083E-2</v>
      </c>
      <c r="E444" s="3">
        <f t="shared" si="15"/>
        <v>5.5555555555555913E-3</v>
      </c>
      <c r="F444" s="6">
        <v>0.47291666666666665</v>
      </c>
      <c r="G444" s="6">
        <v>0.49652777777777773</v>
      </c>
      <c r="H444" t="s">
        <v>11</v>
      </c>
    </row>
    <row r="445" spans="3:8" x14ac:dyDescent="0.25">
      <c r="C445" s="19">
        <v>42323</v>
      </c>
      <c r="D445" s="3">
        <f t="shared" si="13"/>
        <v>2.9166666666666674E-2</v>
      </c>
      <c r="E445" s="3">
        <f t="shared" si="15"/>
        <v>7.6388888888888618E-3</v>
      </c>
      <c r="F445" s="6">
        <v>0.5395833333333333</v>
      </c>
      <c r="G445" s="6">
        <v>0.56874999999999998</v>
      </c>
      <c r="H445" t="s">
        <v>11</v>
      </c>
    </row>
    <row r="446" spans="3:8" x14ac:dyDescent="0.25">
      <c r="C446" s="19">
        <v>42323</v>
      </c>
      <c r="D446" s="3">
        <f t="shared" si="13"/>
        <v>2.1527777777777812E-2</v>
      </c>
      <c r="E446" s="3">
        <f t="shared" si="15"/>
        <v>6.9444444444444198E-4</v>
      </c>
      <c r="F446" s="6">
        <v>0.29930555555555555</v>
      </c>
      <c r="G446" s="6">
        <v>0.32083333333333336</v>
      </c>
      <c r="H446" t="s">
        <v>11</v>
      </c>
    </row>
    <row r="447" spans="3:8" x14ac:dyDescent="0.25">
      <c r="C447" s="19">
        <v>42323</v>
      </c>
      <c r="D447" s="3">
        <f t="shared" si="13"/>
        <v>2.083333333333337E-2</v>
      </c>
      <c r="E447" s="3">
        <f t="shared" si="15"/>
        <v>3.4722222222222099E-3</v>
      </c>
      <c r="F447" s="6">
        <v>0.36041666666666666</v>
      </c>
      <c r="G447" s="6">
        <v>0.38125000000000003</v>
      </c>
      <c r="H447" t="s">
        <v>11</v>
      </c>
    </row>
    <row r="448" spans="3:8" x14ac:dyDescent="0.25">
      <c r="C448" s="19">
        <v>42323</v>
      </c>
      <c r="D448" s="3">
        <f t="shared" si="13"/>
        <v>2.430555555555558E-2</v>
      </c>
      <c r="E448" s="3">
        <f t="shared" si="15"/>
        <v>4.1666666666666519E-3</v>
      </c>
      <c r="F448" s="6">
        <v>0.42569444444444443</v>
      </c>
      <c r="G448" s="6">
        <v>0.45</v>
      </c>
      <c r="H448" t="s">
        <v>11</v>
      </c>
    </row>
    <row r="449" spans="3:8" x14ac:dyDescent="0.25">
      <c r="C449" s="19">
        <v>42323</v>
      </c>
      <c r="D449" s="3">
        <f t="shared" si="13"/>
        <v>2.0138888888888928E-2</v>
      </c>
      <c r="E449" s="3">
        <f t="shared" si="15"/>
        <v>6.9444444444444198E-3</v>
      </c>
      <c r="F449" s="6">
        <v>0.3972222222222222</v>
      </c>
      <c r="G449" s="6">
        <v>0.41736111111111113</v>
      </c>
      <c r="H449" t="s">
        <v>11</v>
      </c>
    </row>
    <row r="450" spans="3:8" x14ac:dyDescent="0.25">
      <c r="C450" s="19">
        <v>42323</v>
      </c>
      <c r="D450" s="3">
        <f t="shared" ref="D450:D513" si="16">G450-F450</f>
        <v>2.7083333333333348E-2</v>
      </c>
      <c r="E450" s="3">
        <f t="shared" si="15"/>
        <v>6.9444444444444198E-3</v>
      </c>
      <c r="F450" s="6">
        <v>0.56944444444444442</v>
      </c>
      <c r="G450" s="6">
        <v>0.59652777777777777</v>
      </c>
      <c r="H450" t="s">
        <v>11</v>
      </c>
    </row>
    <row r="451" spans="3:8" x14ac:dyDescent="0.25">
      <c r="C451" s="19">
        <v>42323</v>
      </c>
      <c r="D451" s="3">
        <f t="shared" si="16"/>
        <v>2.0138888888888928E-2</v>
      </c>
      <c r="E451" s="3">
        <f t="shared" si="15"/>
        <v>6.9444444444444198E-3</v>
      </c>
      <c r="F451" s="6">
        <v>0.63124999999999998</v>
      </c>
      <c r="G451" s="6">
        <v>0.65138888888888891</v>
      </c>
      <c r="H451" t="s">
        <v>11</v>
      </c>
    </row>
    <row r="452" spans="3:8" x14ac:dyDescent="0.25">
      <c r="C452" s="19">
        <v>42323</v>
      </c>
      <c r="D452" s="3">
        <f t="shared" si="16"/>
        <v>2.7083333333333348E-2</v>
      </c>
      <c r="E452" s="3">
        <f t="shared" si="15"/>
        <v>6.2500000000000888E-3</v>
      </c>
      <c r="F452" s="6">
        <v>0.76041666666666663</v>
      </c>
      <c r="G452" s="6">
        <v>0.78749999999999998</v>
      </c>
      <c r="H452" t="s">
        <v>11</v>
      </c>
    </row>
    <row r="453" spans="3:8" x14ac:dyDescent="0.25">
      <c r="C453" s="19">
        <v>42323</v>
      </c>
      <c r="D453" s="3">
        <f t="shared" si="16"/>
        <v>2.0833333333333259E-2</v>
      </c>
      <c r="E453" s="3">
        <f t="shared" si="15"/>
        <v>9.7222222222224097E-3</v>
      </c>
      <c r="F453" s="6">
        <v>0.7909722222222223</v>
      </c>
      <c r="G453" s="6">
        <v>0.81180555555555556</v>
      </c>
      <c r="H453" t="s">
        <v>11</v>
      </c>
    </row>
    <row r="454" spans="3:8" x14ac:dyDescent="0.25">
      <c r="C454" s="19">
        <v>42323</v>
      </c>
      <c r="D454" s="3">
        <f t="shared" si="16"/>
        <v>3.0555555555555669E-2</v>
      </c>
      <c r="E454" s="3">
        <f t="shared" si="15"/>
        <v>4.1666666666667629E-3</v>
      </c>
      <c r="F454" s="6">
        <v>0.87361111111111101</v>
      </c>
      <c r="G454" s="6">
        <v>0.90416666666666667</v>
      </c>
      <c r="H454" t="s">
        <v>11</v>
      </c>
    </row>
    <row r="455" spans="3:8" x14ac:dyDescent="0.25">
      <c r="C455" s="19">
        <v>42323</v>
      </c>
      <c r="D455" s="3">
        <f t="shared" si="16"/>
        <v>2.6388888888888906E-2</v>
      </c>
      <c r="E455" s="3">
        <f t="shared" si="15"/>
        <v>1.3888888888888951E-2</v>
      </c>
      <c r="F455" s="6">
        <v>0.15763888888888888</v>
      </c>
      <c r="G455" s="6">
        <v>0.18402777777777779</v>
      </c>
      <c r="H455" t="s">
        <v>11</v>
      </c>
    </row>
    <row r="456" spans="3:8" x14ac:dyDescent="0.25">
      <c r="C456" s="19">
        <v>42323</v>
      </c>
      <c r="D456" s="3">
        <f t="shared" si="16"/>
        <v>1.2499999999999956E-2</v>
      </c>
      <c r="E456" s="3">
        <f t="shared" si="15"/>
        <v>2.9166666666666674E-2</v>
      </c>
      <c r="F456" s="6">
        <v>0.56874999999999998</v>
      </c>
      <c r="G456" s="6">
        <v>0.58124999999999993</v>
      </c>
      <c r="H456" t="s">
        <v>11</v>
      </c>
    </row>
    <row r="457" spans="3:8" x14ac:dyDescent="0.25">
      <c r="C457" s="19">
        <v>42323</v>
      </c>
      <c r="D457" s="3">
        <f t="shared" si="16"/>
        <v>4.166666666666663E-2</v>
      </c>
      <c r="E457" s="3">
        <f t="shared" si="15"/>
        <v>2.6388888888888795E-2</v>
      </c>
      <c r="F457" s="6">
        <v>0.49861111111111112</v>
      </c>
      <c r="G457" s="6">
        <v>0.54027777777777775</v>
      </c>
      <c r="H457" t="s">
        <v>11</v>
      </c>
    </row>
    <row r="458" spans="3:8" x14ac:dyDescent="0.25">
      <c r="C458" s="19">
        <v>42323</v>
      </c>
      <c r="D458" s="3">
        <f t="shared" si="16"/>
        <v>1.5277777777777835E-2</v>
      </c>
      <c r="E458" s="3">
        <f t="shared" si="15"/>
        <v>1.0416666666666408E-2</v>
      </c>
      <c r="F458" s="6">
        <v>0.6791666666666667</v>
      </c>
      <c r="G458" s="6">
        <v>0.69444444444444453</v>
      </c>
      <c r="H458" t="s">
        <v>11</v>
      </c>
    </row>
    <row r="459" spans="3:8" x14ac:dyDescent="0.25">
      <c r="C459" s="19">
        <v>42323</v>
      </c>
      <c r="D459" s="3">
        <f t="shared" si="16"/>
        <v>2.5694444444444242E-2</v>
      </c>
      <c r="E459" s="3">
        <f t="shared" si="15"/>
        <v>2.0833333333336035E-3</v>
      </c>
      <c r="F459" s="6">
        <v>0.75416666666666676</v>
      </c>
      <c r="G459" s="6">
        <v>0.77986111111111101</v>
      </c>
      <c r="H459" t="s">
        <v>11</v>
      </c>
    </row>
    <row r="460" spans="3:8" x14ac:dyDescent="0.25">
      <c r="C460" s="19">
        <v>42323</v>
      </c>
      <c r="D460" s="3">
        <f t="shared" si="16"/>
        <v>2.7777777777777846E-2</v>
      </c>
      <c r="E460" s="3">
        <f t="shared" si="15"/>
        <v>4.8611111111113714E-3</v>
      </c>
      <c r="F460" s="6">
        <v>0.40277777777777773</v>
      </c>
      <c r="G460" s="6">
        <v>0.43055555555555558</v>
      </c>
      <c r="H460" t="s">
        <v>11</v>
      </c>
    </row>
    <row r="461" spans="3:8" x14ac:dyDescent="0.25">
      <c r="C461" s="19">
        <v>42323</v>
      </c>
      <c r="D461" s="3">
        <f t="shared" si="16"/>
        <v>2.2916666666666474E-2</v>
      </c>
      <c r="E461" s="3">
        <f t="shared" si="15"/>
        <v>2.0833333333331594E-3</v>
      </c>
      <c r="F461" s="6">
        <v>0.87916666666666676</v>
      </c>
      <c r="G461" s="6">
        <v>0.90208333333333324</v>
      </c>
      <c r="H461" t="s">
        <v>11</v>
      </c>
    </row>
    <row r="462" spans="3:8" x14ac:dyDescent="0.25">
      <c r="C462" s="19">
        <v>42323</v>
      </c>
      <c r="D462" s="3">
        <f t="shared" si="16"/>
        <v>2.0833333333333315E-2</v>
      </c>
      <c r="E462" s="3">
        <f t="shared" si="15"/>
        <v>2.0833333333333814E-3</v>
      </c>
      <c r="F462" s="6">
        <v>0.45069444444444445</v>
      </c>
      <c r="G462" s="6">
        <v>0.47152777777777777</v>
      </c>
      <c r="H462" t="s">
        <v>11</v>
      </c>
    </row>
    <row r="463" spans="3:8" x14ac:dyDescent="0.25">
      <c r="C463" s="19">
        <v>42323</v>
      </c>
      <c r="D463" s="3">
        <f t="shared" si="16"/>
        <v>2.2916666666666696E-2</v>
      </c>
      <c r="E463" s="3">
        <f t="shared" si="15"/>
        <v>0</v>
      </c>
      <c r="F463" s="6">
        <v>0.57847222222222217</v>
      </c>
      <c r="G463" s="6">
        <v>0.60138888888888886</v>
      </c>
      <c r="H463" t="s">
        <v>11</v>
      </c>
    </row>
    <row r="464" spans="3:8" x14ac:dyDescent="0.25">
      <c r="C464" s="19">
        <v>42323</v>
      </c>
      <c r="D464" s="3">
        <f t="shared" si="16"/>
        <v>2.2916666666666696E-2</v>
      </c>
      <c r="E464" s="3">
        <f t="shared" si="15"/>
        <v>2.0833333333333259E-3</v>
      </c>
      <c r="F464" s="6">
        <v>0.8041666666666667</v>
      </c>
      <c r="G464" s="6">
        <v>0.82708333333333339</v>
      </c>
      <c r="H464" t="s">
        <v>11</v>
      </c>
    </row>
    <row r="465" spans="3:8" x14ac:dyDescent="0.25">
      <c r="C465" s="19">
        <v>42323</v>
      </c>
      <c r="D465" s="3">
        <f t="shared" si="16"/>
        <v>2.083333333333337E-2</v>
      </c>
      <c r="E465" s="3">
        <f t="shared" si="15"/>
        <v>6.9444444444444198E-4</v>
      </c>
      <c r="F465" s="6">
        <v>0.86319444444444438</v>
      </c>
      <c r="G465" s="6">
        <v>0.88402777777777775</v>
      </c>
      <c r="H465" t="s">
        <v>11</v>
      </c>
    </row>
    <row r="466" spans="3:8" x14ac:dyDescent="0.25">
      <c r="C466" s="19">
        <v>42323</v>
      </c>
      <c r="D466" s="3">
        <f t="shared" si="16"/>
        <v>2.0138888888888928E-2</v>
      </c>
      <c r="E466" s="3">
        <f t="shared" si="15"/>
        <v>6.94444444444553E-4</v>
      </c>
      <c r="F466" s="6">
        <v>0.94374999999999998</v>
      </c>
      <c r="G466" s="6">
        <v>0.96388888888888891</v>
      </c>
      <c r="H466" t="s">
        <v>11</v>
      </c>
    </row>
    <row r="467" spans="3:8" x14ac:dyDescent="0.25">
      <c r="C467" s="19">
        <v>42323</v>
      </c>
      <c r="D467" s="3">
        <f t="shared" si="16"/>
        <v>2.0833333333333481E-2</v>
      </c>
      <c r="E467" s="3">
        <f t="shared" si="15"/>
        <v>6.9444444444433095E-4</v>
      </c>
      <c r="F467" s="6">
        <v>1.0069444444444444</v>
      </c>
      <c r="G467" s="6">
        <v>1.0277777777777779</v>
      </c>
      <c r="H467" t="s">
        <v>11</v>
      </c>
    </row>
    <row r="468" spans="3:8" x14ac:dyDescent="0.25">
      <c r="C468" s="19">
        <v>42323</v>
      </c>
      <c r="D468" s="3">
        <f t="shared" si="16"/>
        <v>2.1527777777777812E-2</v>
      </c>
      <c r="E468" s="3">
        <f t="shared" si="15"/>
        <v>2.0833333333333259E-3</v>
      </c>
      <c r="F468" s="6">
        <v>0.61249999999999993</v>
      </c>
      <c r="G468" s="6">
        <v>0.63402777777777775</v>
      </c>
      <c r="H468" t="s">
        <v>11</v>
      </c>
    </row>
    <row r="469" spans="3:8" x14ac:dyDescent="0.25">
      <c r="C469" s="19">
        <v>42323</v>
      </c>
      <c r="D469" s="3">
        <f t="shared" si="16"/>
        <v>2.3611111111111138E-2</v>
      </c>
      <c r="E469" s="3">
        <f t="shared" si="15"/>
        <v>2.7777777777778234E-3</v>
      </c>
      <c r="F469" s="6">
        <v>0.98958333333333337</v>
      </c>
      <c r="G469" s="6">
        <v>1.0131944444444445</v>
      </c>
      <c r="H469" t="s">
        <v>11</v>
      </c>
    </row>
    <row r="470" spans="3:8" x14ac:dyDescent="0.25">
      <c r="C470" s="19">
        <v>42323</v>
      </c>
      <c r="D470" s="3">
        <f t="shared" si="16"/>
        <v>2.0833333333333315E-2</v>
      </c>
      <c r="E470" s="3">
        <f t="shared" si="15"/>
        <v>1.1111111111111072E-2</v>
      </c>
      <c r="F470" s="6">
        <v>0.3833333333333333</v>
      </c>
      <c r="G470" s="6">
        <v>0.40416666666666662</v>
      </c>
      <c r="H470" t="s">
        <v>11</v>
      </c>
    </row>
    <row r="471" spans="3:8" x14ac:dyDescent="0.25">
      <c r="C471" s="19">
        <v>42323</v>
      </c>
      <c r="D471" s="3">
        <f t="shared" si="16"/>
        <v>3.1944444444444386E-2</v>
      </c>
      <c r="E471" s="3">
        <f t="shared" si="15"/>
        <v>2.7777777777777124E-3</v>
      </c>
      <c r="F471" s="6">
        <v>0.47361111111111115</v>
      </c>
      <c r="G471" s="6">
        <v>0.50555555555555554</v>
      </c>
      <c r="H471" t="s">
        <v>11</v>
      </c>
    </row>
    <row r="472" spans="3:8" x14ac:dyDescent="0.25">
      <c r="C472" s="19">
        <v>42323</v>
      </c>
      <c r="D472" s="3">
        <f t="shared" si="16"/>
        <v>2.9166666666666674E-2</v>
      </c>
      <c r="E472" s="3">
        <f t="shared" si="15"/>
        <v>9.0277777777777457E-3</v>
      </c>
      <c r="F472" s="6">
        <v>0.52847222222222223</v>
      </c>
      <c r="G472" s="6">
        <v>0.55763888888888891</v>
      </c>
      <c r="H472" t="s">
        <v>11</v>
      </c>
    </row>
    <row r="473" spans="3:8" x14ac:dyDescent="0.25">
      <c r="C473" s="19">
        <v>42323</v>
      </c>
      <c r="D473" s="3">
        <f t="shared" si="16"/>
        <v>2.0138888888888928E-2</v>
      </c>
      <c r="E473" s="3">
        <f t="shared" si="15"/>
        <v>9.7222222222220767E-3</v>
      </c>
      <c r="F473" s="6">
        <v>0.77638888888888891</v>
      </c>
      <c r="G473" s="6">
        <v>0.79652777777777783</v>
      </c>
      <c r="H473" t="s">
        <v>11</v>
      </c>
    </row>
    <row r="474" spans="3:8" x14ac:dyDescent="0.25">
      <c r="C474" s="19">
        <v>42323</v>
      </c>
      <c r="D474" s="3">
        <f t="shared" si="16"/>
        <v>2.9861111111111005E-2</v>
      </c>
      <c r="E474" s="3">
        <f t="shared" si="15"/>
        <v>1.0416666666666574E-2</v>
      </c>
      <c r="F474" s="6">
        <v>0.92361111111111116</v>
      </c>
      <c r="G474" s="6">
        <v>0.95347222222222217</v>
      </c>
      <c r="H474" t="s">
        <v>11</v>
      </c>
    </row>
    <row r="475" spans="3:8" x14ac:dyDescent="0.25">
      <c r="C475" s="19">
        <v>42323</v>
      </c>
      <c r="D475" s="3">
        <f t="shared" si="16"/>
        <v>1.9444444444444431E-2</v>
      </c>
      <c r="E475" s="3">
        <f t="shared" si="15"/>
        <v>5.5555555555555913E-3</v>
      </c>
      <c r="F475" s="6">
        <v>0.14791666666666667</v>
      </c>
      <c r="G475" s="6">
        <v>0.1673611111111111</v>
      </c>
      <c r="H475" t="s">
        <v>11</v>
      </c>
    </row>
    <row r="476" spans="3:8" x14ac:dyDescent="0.25">
      <c r="C476" s="19">
        <v>42323</v>
      </c>
      <c r="D476" s="3">
        <f t="shared" si="16"/>
        <v>2.5000000000000022E-2</v>
      </c>
      <c r="E476" s="3">
        <f t="shared" si="15"/>
        <v>2.7777777777777679E-3</v>
      </c>
      <c r="F476" s="6">
        <v>0.15138888888888888</v>
      </c>
      <c r="G476" s="6">
        <v>0.1763888888888889</v>
      </c>
      <c r="H476" t="s">
        <v>11</v>
      </c>
    </row>
    <row r="477" spans="3:8" x14ac:dyDescent="0.25">
      <c r="C477" s="19">
        <v>42323</v>
      </c>
      <c r="D477" s="3">
        <f t="shared" si="16"/>
        <v>2.777777777777779E-2</v>
      </c>
      <c r="E477" s="3">
        <f t="shared" si="15"/>
        <v>2.083333333333437E-3</v>
      </c>
      <c r="F477" s="6">
        <v>0.39027777777777778</v>
      </c>
      <c r="G477" s="6">
        <v>0.41805555555555557</v>
      </c>
      <c r="H477" t="s">
        <v>11</v>
      </c>
    </row>
    <row r="478" spans="3:8" x14ac:dyDescent="0.25">
      <c r="C478" s="19">
        <v>42323</v>
      </c>
      <c r="D478" s="3">
        <f t="shared" si="16"/>
        <v>2.5694444444444353E-2</v>
      </c>
      <c r="E478" s="3">
        <f t="shared" si="15"/>
        <v>6.2500000000000333E-3</v>
      </c>
      <c r="F478" s="6">
        <v>0.64444444444444449</v>
      </c>
      <c r="G478" s="6">
        <v>0.67013888888888884</v>
      </c>
      <c r="H478" t="s">
        <v>11</v>
      </c>
    </row>
    <row r="479" spans="3:8" x14ac:dyDescent="0.25">
      <c r="C479" s="19">
        <v>42323</v>
      </c>
      <c r="D479" s="3">
        <f t="shared" si="16"/>
        <v>3.1944444444444386E-2</v>
      </c>
      <c r="E479" s="3">
        <f t="shared" si="15"/>
        <v>4.8611111111110383E-3</v>
      </c>
      <c r="F479" s="6">
        <v>0.38125000000000003</v>
      </c>
      <c r="G479" s="6">
        <v>0.41319444444444442</v>
      </c>
      <c r="H479" t="s">
        <v>11</v>
      </c>
    </row>
    <row r="480" spans="3:8" x14ac:dyDescent="0.25">
      <c r="C480" s="19">
        <v>42323</v>
      </c>
      <c r="D480" s="3">
        <f t="shared" si="16"/>
        <v>2.7083333333333348E-2</v>
      </c>
      <c r="E480" s="3">
        <f t="shared" si="15"/>
        <v>8.3333333333333592E-3</v>
      </c>
      <c r="F480" s="6">
        <v>0.625</v>
      </c>
      <c r="G480" s="6">
        <v>0.65208333333333335</v>
      </c>
      <c r="H480" t="s">
        <v>11</v>
      </c>
    </row>
    <row r="481" spans="3:8" x14ac:dyDescent="0.25">
      <c r="C481" s="19">
        <v>42323</v>
      </c>
      <c r="D481" s="3">
        <f t="shared" si="16"/>
        <v>1.8749999999999989E-2</v>
      </c>
      <c r="E481" s="3">
        <f t="shared" si="15"/>
        <v>1.1111111111111127E-2</v>
      </c>
      <c r="F481" s="6">
        <v>0.3666666666666667</v>
      </c>
      <c r="G481" s="6">
        <v>0.38541666666666669</v>
      </c>
      <c r="H481" t="s">
        <v>11</v>
      </c>
    </row>
    <row r="482" spans="3:8" x14ac:dyDescent="0.25">
      <c r="C482" s="19">
        <v>42323</v>
      </c>
      <c r="D482" s="3">
        <f t="shared" si="16"/>
        <v>2.9861111111111116E-2</v>
      </c>
      <c r="E482" s="3">
        <f t="shared" si="15"/>
        <v>5.5555555555555358E-3</v>
      </c>
      <c r="F482" s="6">
        <v>0.46736111111111112</v>
      </c>
      <c r="G482" s="6">
        <v>0.49722222222222223</v>
      </c>
      <c r="H482" t="s">
        <v>11</v>
      </c>
    </row>
    <row r="483" spans="3:8" x14ac:dyDescent="0.25">
      <c r="C483" s="19">
        <v>42323</v>
      </c>
      <c r="D483" s="3">
        <f t="shared" si="16"/>
        <v>2.430555555555558E-2</v>
      </c>
      <c r="E483" s="3">
        <f t="shared" si="15"/>
        <v>4.1666666666667629E-3</v>
      </c>
      <c r="F483" s="6">
        <v>0.47291666666666665</v>
      </c>
      <c r="G483" s="6">
        <v>0.49722222222222223</v>
      </c>
      <c r="H483" t="s">
        <v>11</v>
      </c>
    </row>
    <row r="484" spans="3:8" x14ac:dyDescent="0.25">
      <c r="C484" s="19">
        <v>42323</v>
      </c>
      <c r="D484" s="3">
        <f t="shared" si="16"/>
        <v>2.0138888888888817E-2</v>
      </c>
      <c r="E484" s="3">
        <f t="shared" si="15"/>
        <v>1.388888888888884E-3</v>
      </c>
      <c r="F484" s="6">
        <v>0.54236111111111118</v>
      </c>
      <c r="G484" s="6">
        <v>0.5625</v>
      </c>
      <c r="H484" t="s">
        <v>11</v>
      </c>
    </row>
    <row r="485" spans="3:8" x14ac:dyDescent="0.25">
      <c r="C485" s="19">
        <v>42323</v>
      </c>
      <c r="D485" s="3">
        <f t="shared" si="16"/>
        <v>2.1527777777777701E-2</v>
      </c>
      <c r="E485" s="3">
        <f t="shared" si="15"/>
        <v>6.9444444444444198E-4</v>
      </c>
      <c r="F485" s="6">
        <v>0.6166666666666667</v>
      </c>
      <c r="G485" s="6">
        <v>0.6381944444444444</v>
      </c>
      <c r="H485" t="s">
        <v>11</v>
      </c>
    </row>
    <row r="486" spans="3:8" x14ac:dyDescent="0.25">
      <c r="C486" s="19">
        <v>42323</v>
      </c>
      <c r="D486" s="3">
        <f t="shared" si="16"/>
        <v>2.0833333333333259E-2</v>
      </c>
      <c r="E486" s="3">
        <f t="shared" si="15"/>
        <v>6.9444444444444198E-3</v>
      </c>
      <c r="F486" s="6">
        <v>0.78472222222222221</v>
      </c>
      <c r="G486" s="6">
        <v>0.80555555555555547</v>
      </c>
      <c r="H486" t="s">
        <v>11</v>
      </c>
    </row>
    <row r="487" spans="3:8" x14ac:dyDescent="0.25">
      <c r="C487" s="19">
        <v>42323</v>
      </c>
      <c r="D487" s="3">
        <f t="shared" si="16"/>
        <v>1.388888888888884E-2</v>
      </c>
      <c r="E487" s="3">
        <f t="shared" si="15"/>
        <v>7.6388888888889728E-3</v>
      </c>
      <c r="F487" s="6">
        <v>0.79166666666666663</v>
      </c>
      <c r="G487" s="6">
        <v>0.80555555555555547</v>
      </c>
      <c r="H487" t="s">
        <v>11</v>
      </c>
    </row>
    <row r="488" spans="3:8" x14ac:dyDescent="0.25">
      <c r="C488" s="19">
        <v>42323</v>
      </c>
      <c r="D488" s="3">
        <f t="shared" si="16"/>
        <v>2.1527777777777812E-2</v>
      </c>
      <c r="E488" s="3">
        <f t="shared" si="15"/>
        <v>6.9444444444433095E-4</v>
      </c>
      <c r="F488" s="6">
        <v>0.85972222222222217</v>
      </c>
      <c r="G488" s="6">
        <v>0.88124999999999998</v>
      </c>
      <c r="H488" t="s">
        <v>11</v>
      </c>
    </row>
    <row r="489" spans="3:8" x14ac:dyDescent="0.25">
      <c r="C489" s="19">
        <v>42323</v>
      </c>
      <c r="D489" s="3">
        <f t="shared" si="16"/>
        <v>2.2222222222222143E-2</v>
      </c>
      <c r="E489" s="3">
        <f t="shared" si="15"/>
        <v>2.7777777777775459E-3</v>
      </c>
      <c r="F489" s="6">
        <v>0.85902777777777783</v>
      </c>
      <c r="G489" s="6">
        <v>0.88124999999999998</v>
      </c>
      <c r="H489" t="s">
        <v>11</v>
      </c>
    </row>
    <row r="490" spans="3:8" x14ac:dyDescent="0.25">
      <c r="C490" s="19">
        <v>42323</v>
      </c>
      <c r="D490" s="3">
        <f t="shared" si="16"/>
        <v>1.9444444444444597E-2</v>
      </c>
      <c r="E490" s="3">
        <f t="shared" si="15"/>
        <v>1.3888888888887729E-3</v>
      </c>
      <c r="F490" s="6">
        <v>0.9277777777777777</v>
      </c>
      <c r="G490" s="6">
        <v>0.9472222222222223</v>
      </c>
      <c r="H490" t="s">
        <v>11</v>
      </c>
    </row>
    <row r="491" spans="3:8" x14ac:dyDescent="0.25">
      <c r="C491" s="19">
        <v>42323</v>
      </c>
      <c r="D491" s="3">
        <f t="shared" si="16"/>
        <v>2.083333333333337E-2</v>
      </c>
      <c r="E491" s="3">
        <f t="shared" si="15"/>
        <v>6.9444444444444198E-4</v>
      </c>
      <c r="F491" s="6">
        <v>0.62083333333333335</v>
      </c>
      <c r="G491" s="6">
        <v>0.64166666666666672</v>
      </c>
      <c r="H491" t="s">
        <v>11</v>
      </c>
    </row>
    <row r="492" spans="3:8" x14ac:dyDescent="0.25">
      <c r="C492" s="19">
        <v>42323</v>
      </c>
      <c r="D492" s="3">
        <f t="shared" si="16"/>
        <v>2.0138888888888928E-2</v>
      </c>
      <c r="E492" s="3">
        <f t="shared" si="15"/>
        <v>2.7777777777776569E-3</v>
      </c>
      <c r="F492" s="6">
        <v>0.80763888888888891</v>
      </c>
      <c r="G492" s="6">
        <v>0.82777777777777783</v>
      </c>
      <c r="H492" t="s">
        <v>11</v>
      </c>
    </row>
    <row r="493" spans="3:8" x14ac:dyDescent="0.25">
      <c r="C493" s="19">
        <v>42323</v>
      </c>
      <c r="D493" s="3">
        <f t="shared" si="16"/>
        <v>2.2916666666666585E-2</v>
      </c>
      <c r="E493" s="3">
        <f t="shared" si="15"/>
        <v>1.3194444444444509E-2</v>
      </c>
      <c r="F493" s="6">
        <v>0.86111111111111116</v>
      </c>
      <c r="G493" s="6">
        <v>0.88402777777777775</v>
      </c>
      <c r="H493" t="s">
        <v>11</v>
      </c>
    </row>
    <row r="494" spans="3:8" x14ac:dyDescent="0.25">
      <c r="C494" s="19">
        <v>42323</v>
      </c>
      <c r="D494" s="3">
        <f t="shared" si="16"/>
        <v>3.6111111111111094E-2</v>
      </c>
      <c r="E494" s="3">
        <f t="shared" si="15"/>
        <v>2.0138888888888706E-2</v>
      </c>
      <c r="F494" s="6">
        <v>0.83888888888888891</v>
      </c>
      <c r="G494" s="6">
        <v>0.875</v>
      </c>
      <c r="H494" t="s">
        <v>11</v>
      </c>
    </row>
    <row r="495" spans="3:8" x14ac:dyDescent="0.25">
      <c r="C495" s="19">
        <v>42323</v>
      </c>
      <c r="D495" s="3">
        <f t="shared" si="16"/>
        <v>1.5972222222222388E-2</v>
      </c>
      <c r="E495" s="3">
        <f t="shared" si="15"/>
        <v>2.7777777777776014E-3</v>
      </c>
      <c r="F495" s="6">
        <v>0.92291666666666661</v>
      </c>
      <c r="G495" s="6">
        <v>0.93888888888888899</v>
      </c>
      <c r="H495" t="s">
        <v>11</v>
      </c>
    </row>
    <row r="496" spans="3:8" x14ac:dyDescent="0.25">
      <c r="C496" s="19">
        <v>42323</v>
      </c>
      <c r="D496" s="3">
        <f t="shared" si="16"/>
        <v>1.8749999999999989E-2</v>
      </c>
      <c r="E496" s="3">
        <f t="shared" si="15"/>
        <v>2.0833333333332704E-3</v>
      </c>
      <c r="F496" s="6">
        <v>0.33333333333333331</v>
      </c>
      <c r="G496" s="6">
        <v>0.3520833333333333</v>
      </c>
      <c r="H496" t="s">
        <v>11</v>
      </c>
    </row>
    <row r="497" spans="3:8" x14ac:dyDescent="0.25">
      <c r="C497" s="19">
        <v>42323</v>
      </c>
      <c r="D497" s="3">
        <f t="shared" si="16"/>
        <v>2.0833333333333259E-2</v>
      </c>
      <c r="E497" s="3">
        <f t="shared" si="15"/>
        <v>2.083333333333437E-3</v>
      </c>
      <c r="F497" s="6">
        <v>0.52500000000000002</v>
      </c>
      <c r="G497" s="6">
        <v>0.54583333333333328</v>
      </c>
      <c r="H497" t="s">
        <v>11</v>
      </c>
    </row>
    <row r="498" spans="3:8" x14ac:dyDescent="0.25">
      <c r="C498" s="19">
        <v>42323</v>
      </c>
      <c r="D498" s="3">
        <f t="shared" si="16"/>
        <v>2.2916666666666696E-2</v>
      </c>
      <c r="E498" s="3">
        <f t="shared" si="15"/>
        <v>4.1666666666667629E-3</v>
      </c>
      <c r="F498" s="6">
        <v>0.15138888888888888</v>
      </c>
      <c r="G498" s="6">
        <v>0.17430555555555557</v>
      </c>
      <c r="H498" t="s">
        <v>11</v>
      </c>
    </row>
    <row r="499" spans="3:8" x14ac:dyDescent="0.25">
      <c r="C499" s="19">
        <v>42323</v>
      </c>
      <c r="D499" s="3">
        <f t="shared" si="16"/>
        <v>1.8749999999999933E-2</v>
      </c>
      <c r="E499" s="3">
        <f t="shared" si="15"/>
        <v>1.1805555555555625E-2</v>
      </c>
      <c r="F499" s="6">
        <v>0.51944444444444449</v>
      </c>
      <c r="G499" s="6">
        <v>0.53819444444444442</v>
      </c>
      <c r="H499" t="s">
        <v>11</v>
      </c>
    </row>
    <row r="500" spans="3:8" x14ac:dyDescent="0.25">
      <c r="C500" s="19">
        <v>42323</v>
      </c>
      <c r="D500" s="3">
        <f t="shared" si="16"/>
        <v>3.0555555555555558E-2</v>
      </c>
      <c r="E500" s="3">
        <f t="shared" si="15"/>
        <v>4.1666666666666519E-3</v>
      </c>
      <c r="F500" s="6">
        <v>0.76527777777777783</v>
      </c>
      <c r="G500" s="6">
        <v>0.79583333333333339</v>
      </c>
      <c r="H500" t="s">
        <v>11</v>
      </c>
    </row>
    <row r="501" spans="3:8" x14ac:dyDescent="0.25">
      <c r="C501" s="19">
        <v>42323</v>
      </c>
      <c r="D501" s="3">
        <f t="shared" si="16"/>
        <v>2.6388888888888906E-2</v>
      </c>
      <c r="E501" s="3">
        <f t="shared" si="15"/>
        <v>4.1666666666667629E-3</v>
      </c>
      <c r="F501" s="6">
        <v>0.60416666666666663</v>
      </c>
      <c r="G501" s="6">
        <v>0.63055555555555554</v>
      </c>
      <c r="H501" t="s">
        <v>11</v>
      </c>
    </row>
    <row r="502" spans="3:8" x14ac:dyDescent="0.25">
      <c r="C502" s="19">
        <v>42323</v>
      </c>
      <c r="D502" s="3">
        <f t="shared" si="16"/>
        <v>2.2222222222222143E-2</v>
      </c>
      <c r="E502" s="3">
        <f t="shared" si="15"/>
        <v>6.9444444444433095E-4</v>
      </c>
      <c r="F502" s="6">
        <v>0.66388888888888886</v>
      </c>
      <c r="G502" s="6">
        <v>0.68611111111111101</v>
      </c>
      <c r="H502" t="s">
        <v>11</v>
      </c>
    </row>
    <row r="503" spans="3:8" x14ac:dyDescent="0.25">
      <c r="C503" s="19">
        <v>42323</v>
      </c>
      <c r="D503" s="3">
        <f t="shared" si="16"/>
        <v>2.1527777777777812E-2</v>
      </c>
      <c r="E503" s="3">
        <f t="shared" si="15"/>
        <v>2.7777777777777679E-3</v>
      </c>
      <c r="F503" s="6">
        <v>0.60833333333333328</v>
      </c>
      <c r="G503" s="6">
        <v>0.62986111111111109</v>
      </c>
      <c r="H503" t="s">
        <v>11</v>
      </c>
    </row>
    <row r="504" spans="3:8" x14ac:dyDescent="0.25">
      <c r="C504" s="19">
        <v>42323</v>
      </c>
      <c r="D504" s="3">
        <f t="shared" si="16"/>
        <v>1.8750000000000044E-2</v>
      </c>
      <c r="E504" s="3">
        <f t="shared" si="15"/>
        <v>2.7777777777776569E-3</v>
      </c>
      <c r="F504" s="6">
        <v>0.63263888888888886</v>
      </c>
      <c r="G504" s="6">
        <v>0.65138888888888891</v>
      </c>
      <c r="H504" t="s">
        <v>11</v>
      </c>
    </row>
    <row r="505" spans="3:8" x14ac:dyDescent="0.25">
      <c r="C505" s="19">
        <v>42323</v>
      </c>
      <c r="D505" s="3">
        <f t="shared" si="16"/>
        <v>2.1527777777777701E-2</v>
      </c>
      <c r="E505" s="3">
        <f t="shared" si="15"/>
        <v>1.3888888888887729E-3</v>
      </c>
      <c r="F505" s="6">
        <v>0.69305555555555554</v>
      </c>
      <c r="G505" s="6">
        <v>0.71458333333333324</v>
      </c>
      <c r="H505" t="s">
        <v>11</v>
      </c>
    </row>
    <row r="506" spans="3:8" x14ac:dyDescent="0.25">
      <c r="C506" s="19">
        <v>42323</v>
      </c>
      <c r="D506" s="3">
        <f t="shared" si="16"/>
        <v>2.0138888888888928E-2</v>
      </c>
      <c r="E506" s="3">
        <f t="shared" ref="E506:E536" si="17">ABS(D507-D506)</f>
        <v>4.8611111111110938E-3</v>
      </c>
      <c r="F506" s="6">
        <v>0.7583333333333333</v>
      </c>
      <c r="G506" s="6">
        <v>0.77847222222222223</v>
      </c>
      <c r="H506" t="s">
        <v>11</v>
      </c>
    </row>
    <row r="507" spans="3:8" x14ac:dyDescent="0.25">
      <c r="C507" s="19">
        <v>42323</v>
      </c>
      <c r="D507" s="3">
        <f t="shared" si="16"/>
        <v>2.5000000000000022E-2</v>
      </c>
      <c r="E507" s="3">
        <f t="shared" si="17"/>
        <v>7.6388888888888618E-3</v>
      </c>
      <c r="F507" s="6">
        <v>0.76111111111111107</v>
      </c>
      <c r="G507" s="6">
        <v>0.78611111111111109</v>
      </c>
      <c r="H507" t="s">
        <v>11</v>
      </c>
    </row>
    <row r="508" spans="3:8" x14ac:dyDescent="0.25">
      <c r="C508" s="19">
        <v>42323</v>
      </c>
      <c r="D508" s="3">
        <f t="shared" si="16"/>
        <v>1.736111111111116E-2</v>
      </c>
      <c r="E508" s="3">
        <f t="shared" si="17"/>
        <v>4.1666666666667629E-3</v>
      </c>
      <c r="F508" s="6">
        <v>1.0125</v>
      </c>
      <c r="G508" s="6">
        <v>1.0298611111111111</v>
      </c>
      <c r="H508" t="s">
        <v>11</v>
      </c>
    </row>
    <row r="509" spans="3:8" x14ac:dyDescent="0.25">
      <c r="C509" s="19">
        <v>42323</v>
      </c>
      <c r="D509" s="3">
        <f t="shared" si="16"/>
        <v>1.3194444444444398E-2</v>
      </c>
      <c r="E509" s="3">
        <f t="shared" si="17"/>
        <v>1.3888888888887729E-3</v>
      </c>
      <c r="F509" s="6">
        <v>0.94930555555555562</v>
      </c>
      <c r="G509" s="6">
        <v>0.96250000000000002</v>
      </c>
      <c r="H509" t="s">
        <v>11</v>
      </c>
    </row>
    <row r="510" spans="3:8" x14ac:dyDescent="0.25">
      <c r="C510" s="19">
        <v>42323</v>
      </c>
      <c r="D510" s="3">
        <f t="shared" si="16"/>
        <v>1.4583333333333171E-2</v>
      </c>
      <c r="E510" s="3">
        <f t="shared" si="17"/>
        <v>4.1666666666668739E-3</v>
      </c>
      <c r="F510" s="6">
        <v>1.0145833333333334</v>
      </c>
      <c r="G510" s="6">
        <v>1.0291666666666666</v>
      </c>
      <c r="H510" t="s">
        <v>11</v>
      </c>
    </row>
    <row r="511" spans="3:8" x14ac:dyDescent="0.25">
      <c r="C511" s="19">
        <v>42323</v>
      </c>
      <c r="D511" s="3">
        <f t="shared" si="16"/>
        <v>1.8750000000000044E-2</v>
      </c>
      <c r="E511" s="3">
        <f t="shared" si="17"/>
        <v>3.4722222222222099E-3</v>
      </c>
      <c r="F511" s="6">
        <v>0.8256944444444444</v>
      </c>
      <c r="G511" s="6">
        <v>0.84444444444444444</v>
      </c>
      <c r="H511" t="s">
        <v>11</v>
      </c>
    </row>
    <row r="512" spans="3:8" x14ac:dyDescent="0.25">
      <c r="C512" s="19">
        <v>42323</v>
      </c>
      <c r="D512" s="3">
        <f t="shared" si="16"/>
        <v>1.5277777777777835E-2</v>
      </c>
      <c r="E512" s="3">
        <f t="shared" si="17"/>
        <v>6.2499999999999778E-3</v>
      </c>
      <c r="F512" s="6">
        <v>0.51180555555555551</v>
      </c>
      <c r="G512" s="6">
        <v>0.52708333333333335</v>
      </c>
      <c r="H512" t="s">
        <v>11</v>
      </c>
    </row>
    <row r="513" spans="3:8" x14ac:dyDescent="0.25">
      <c r="C513" s="19">
        <v>42323</v>
      </c>
      <c r="D513" s="3">
        <f t="shared" si="16"/>
        <v>2.1527777777777812E-2</v>
      </c>
      <c r="E513" s="3">
        <f t="shared" si="17"/>
        <v>3.4722222222222654E-3</v>
      </c>
      <c r="F513" s="6">
        <v>0.56805555555555554</v>
      </c>
      <c r="G513" s="6">
        <v>0.58958333333333335</v>
      </c>
      <c r="H513" t="s">
        <v>11</v>
      </c>
    </row>
    <row r="514" spans="3:8" x14ac:dyDescent="0.25">
      <c r="C514" s="19">
        <v>42323</v>
      </c>
      <c r="D514" s="3">
        <f t="shared" ref="D514:D566" si="18">G514-F514</f>
        <v>1.8055555555555547E-2</v>
      </c>
      <c r="E514" s="3">
        <f t="shared" si="17"/>
        <v>2.0833333333333259E-3</v>
      </c>
      <c r="F514" s="6">
        <v>0.43611111111111112</v>
      </c>
      <c r="G514" s="6">
        <v>0.45416666666666666</v>
      </c>
      <c r="H514" t="s">
        <v>11</v>
      </c>
    </row>
    <row r="515" spans="3:8" x14ac:dyDescent="0.25">
      <c r="C515" s="19">
        <v>42323</v>
      </c>
      <c r="D515" s="3">
        <f t="shared" si="18"/>
        <v>2.0138888888888873E-2</v>
      </c>
      <c r="E515" s="3">
        <f t="shared" si="17"/>
        <v>8.3333333333333592E-3</v>
      </c>
      <c r="F515" s="6">
        <v>0.37222222222222223</v>
      </c>
      <c r="G515" s="6">
        <v>0.3923611111111111</v>
      </c>
      <c r="H515" t="s">
        <v>11</v>
      </c>
    </row>
    <row r="516" spans="3:8" x14ac:dyDescent="0.25">
      <c r="C516" s="19">
        <v>42323</v>
      </c>
      <c r="D516" s="3">
        <f t="shared" si="18"/>
        <v>2.8472222222222232E-2</v>
      </c>
      <c r="E516" s="3">
        <f t="shared" si="17"/>
        <v>7.6388888888888618E-3</v>
      </c>
      <c r="F516" s="6">
        <v>0.44027777777777777</v>
      </c>
      <c r="G516" s="6">
        <v>0.46875</v>
      </c>
      <c r="H516" t="s">
        <v>11</v>
      </c>
    </row>
    <row r="517" spans="3:8" x14ac:dyDescent="0.25">
      <c r="C517" s="19">
        <v>42323</v>
      </c>
      <c r="D517" s="3">
        <f t="shared" si="18"/>
        <v>2.083333333333337E-2</v>
      </c>
      <c r="E517" s="3">
        <f t="shared" si="17"/>
        <v>7.6388888888889728E-3</v>
      </c>
      <c r="F517" s="6">
        <v>0.95486111111111116</v>
      </c>
      <c r="G517" s="6">
        <v>0.97569444444444453</v>
      </c>
      <c r="H517" t="s">
        <v>11</v>
      </c>
    </row>
    <row r="518" spans="3:8" x14ac:dyDescent="0.25">
      <c r="C518" s="19">
        <v>42323</v>
      </c>
      <c r="D518" s="3">
        <f t="shared" si="18"/>
        <v>1.3194444444444398E-2</v>
      </c>
      <c r="E518" s="3">
        <f t="shared" si="17"/>
        <v>6.2500000000000888E-3</v>
      </c>
      <c r="F518" s="6">
        <v>0.75</v>
      </c>
      <c r="G518" s="6">
        <v>0.7631944444444444</v>
      </c>
      <c r="H518" t="s">
        <v>11</v>
      </c>
    </row>
    <row r="519" spans="3:8" x14ac:dyDescent="0.25">
      <c r="C519" s="19">
        <v>42323</v>
      </c>
      <c r="D519" s="3">
        <f t="shared" si="18"/>
        <v>1.9444444444444486E-2</v>
      </c>
      <c r="E519" s="3">
        <f t="shared" si="17"/>
        <v>4.1666666666667074E-3</v>
      </c>
      <c r="F519" s="6">
        <v>0.93541666666666667</v>
      </c>
      <c r="G519" s="6">
        <v>0.95486111111111116</v>
      </c>
      <c r="H519" t="s">
        <v>11</v>
      </c>
    </row>
    <row r="520" spans="3:8" x14ac:dyDescent="0.25">
      <c r="C520" s="19">
        <v>42323</v>
      </c>
      <c r="D520" s="3">
        <f t="shared" si="18"/>
        <v>1.5277777777777779E-2</v>
      </c>
      <c r="E520" s="3">
        <f t="shared" si="17"/>
        <v>9.0277777777778012E-3</v>
      </c>
      <c r="F520" s="6">
        <v>0.12430555555555556</v>
      </c>
      <c r="G520" s="6">
        <v>0.13958333333333334</v>
      </c>
      <c r="H520" t="s">
        <v>11</v>
      </c>
    </row>
    <row r="521" spans="3:8" x14ac:dyDescent="0.25">
      <c r="C521" s="19">
        <v>42323</v>
      </c>
      <c r="D521" s="3">
        <f t="shared" si="18"/>
        <v>2.430555555555558E-2</v>
      </c>
      <c r="E521" s="3">
        <f t="shared" si="17"/>
        <v>6.9444444444444198E-4</v>
      </c>
      <c r="F521" s="6">
        <v>0.18055555555555555</v>
      </c>
      <c r="G521" s="6">
        <v>0.20486111111111113</v>
      </c>
      <c r="H521" t="s">
        <v>11</v>
      </c>
    </row>
    <row r="522" spans="3:8" x14ac:dyDescent="0.25">
      <c r="C522" s="19">
        <v>42323</v>
      </c>
      <c r="D522" s="3">
        <f t="shared" si="18"/>
        <v>2.3611111111111138E-2</v>
      </c>
      <c r="E522" s="3">
        <f t="shared" si="17"/>
        <v>2.7777777777777679E-3</v>
      </c>
      <c r="F522" s="6">
        <v>0.60555555555555551</v>
      </c>
      <c r="G522" s="6">
        <v>0.62916666666666665</v>
      </c>
      <c r="H522" t="s">
        <v>11</v>
      </c>
    </row>
    <row r="523" spans="3:8" x14ac:dyDescent="0.25">
      <c r="C523" s="19">
        <v>42323</v>
      </c>
      <c r="D523" s="3">
        <f t="shared" si="18"/>
        <v>2.083333333333337E-2</v>
      </c>
      <c r="E523" s="3">
        <f t="shared" si="17"/>
        <v>9.0277777777776347E-3</v>
      </c>
      <c r="F523" s="6">
        <v>0.7729166666666667</v>
      </c>
      <c r="G523" s="6">
        <v>0.79375000000000007</v>
      </c>
      <c r="H523" t="s">
        <v>11</v>
      </c>
    </row>
    <row r="524" spans="3:8" x14ac:dyDescent="0.25">
      <c r="C524" s="19">
        <v>42323</v>
      </c>
      <c r="D524" s="3">
        <f t="shared" si="18"/>
        <v>2.9861111111111005E-2</v>
      </c>
      <c r="E524" s="3">
        <f t="shared" si="17"/>
        <v>9.7222222222220767E-3</v>
      </c>
      <c r="F524" s="6">
        <v>0.67152777777777783</v>
      </c>
      <c r="G524" s="6">
        <v>0.70138888888888884</v>
      </c>
      <c r="H524" t="s">
        <v>11</v>
      </c>
    </row>
    <row r="525" spans="3:8" x14ac:dyDescent="0.25">
      <c r="C525" s="19">
        <v>42323</v>
      </c>
      <c r="D525" s="3">
        <f t="shared" si="18"/>
        <v>2.0138888888888928E-2</v>
      </c>
      <c r="E525" s="3">
        <f t="shared" si="17"/>
        <v>2.7777777777777402E-3</v>
      </c>
      <c r="F525" s="6">
        <v>0.92499999999999993</v>
      </c>
      <c r="G525" s="6">
        <v>0.94513888888888886</v>
      </c>
      <c r="H525" t="s">
        <v>11</v>
      </c>
    </row>
    <row r="526" spans="3:8" x14ac:dyDescent="0.25">
      <c r="C526" s="19">
        <v>42323</v>
      </c>
      <c r="D526" s="3">
        <f t="shared" si="18"/>
        <v>2.2916666666666669E-2</v>
      </c>
      <c r="E526" s="3">
        <f t="shared" si="17"/>
        <v>1.3888888888888007E-3</v>
      </c>
      <c r="F526" s="6">
        <v>0.18472222222222223</v>
      </c>
      <c r="G526" s="6">
        <v>0.2076388888888889</v>
      </c>
      <c r="H526" t="s">
        <v>11</v>
      </c>
    </row>
    <row r="527" spans="3:8" x14ac:dyDescent="0.25">
      <c r="C527" s="19">
        <v>42323</v>
      </c>
      <c r="D527" s="3">
        <f t="shared" si="18"/>
        <v>2.4305555555555469E-2</v>
      </c>
      <c r="E527" s="3">
        <f t="shared" si="17"/>
        <v>6.2499999999998668E-3</v>
      </c>
      <c r="F527" s="6">
        <v>0.7368055555555556</v>
      </c>
      <c r="G527" s="6">
        <v>0.76111111111111107</v>
      </c>
      <c r="H527" t="s">
        <v>11</v>
      </c>
    </row>
    <row r="528" spans="3:8" x14ac:dyDescent="0.25">
      <c r="C528" s="19">
        <v>42323</v>
      </c>
      <c r="D528" s="3">
        <f t="shared" si="18"/>
        <v>1.8055555555555602E-2</v>
      </c>
      <c r="E528" s="3">
        <f t="shared" si="17"/>
        <v>1.1805555555555514E-2</v>
      </c>
      <c r="F528" s="6">
        <v>0.86805555555555547</v>
      </c>
      <c r="G528" s="6">
        <v>0.88611111111111107</v>
      </c>
      <c r="H528" t="s">
        <v>11</v>
      </c>
    </row>
    <row r="529" spans="3:8" x14ac:dyDescent="0.25">
      <c r="C529" s="19">
        <v>42323</v>
      </c>
      <c r="D529" s="3">
        <f t="shared" si="18"/>
        <v>2.9861111111111116E-2</v>
      </c>
      <c r="E529" s="3">
        <f t="shared" si="17"/>
        <v>8.3333333333334147E-3</v>
      </c>
      <c r="F529" s="6">
        <v>0.98819444444444438</v>
      </c>
      <c r="G529" s="6">
        <v>1.0180555555555555</v>
      </c>
      <c r="H529" t="s">
        <v>11</v>
      </c>
    </row>
    <row r="530" spans="3:8" x14ac:dyDescent="0.25">
      <c r="C530" s="19">
        <v>42323</v>
      </c>
      <c r="D530" s="3">
        <f t="shared" si="18"/>
        <v>2.1527777777777701E-2</v>
      </c>
      <c r="E530" s="3">
        <f t="shared" si="17"/>
        <v>2.083333333333437E-3</v>
      </c>
      <c r="F530" s="6">
        <v>0.91319444444444453</v>
      </c>
      <c r="G530" s="6">
        <v>0.93472222222222223</v>
      </c>
      <c r="H530" t="s">
        <v>11</v>
      </c>
    </row>
    <row r="531" spans="3:8" x14ac:dyDescent="0.25">
      <c r="C531" s="19">
        <v>42323</v>
      </c>
      <c r="D531" s="3">
        <f t="shared" si="18"/>
        <v>2.3611111111111138E-2</v>
      </c>
      <c r="E531" s="3">
        <f t="shared" si="17"/>
        <v>1.388888888888884E-3</v>
      </c>
      <c r="F531" s="6">
        <v>0.68402777777777779</v>
      </c>
      <c r="G531" s="6">
        <v>0.70763888888888893</v>
      </c>
      <c r="H531" t="s">
        <v>11</v>
      </c>
    </row>
    <row r="532" spans="3:8" x14ac:dyDescent="0.25">
      <c r="C532" s="19">
        <v>42323</v>
      </c>
      <c r="D532" s="3">
        <f t="shared" si="18"/>
        <v>2.2222222222222254E-2</v>
      </c>
      <c r="E532" s="3">
        <f t="shared" si="17"/>
        <v>6.9444444444433095E-4</v>
      </c>
      <c r="F532" s="6">
        <v>0.39861111111111108</v>
      </c>
      <c r="G532" s="6">
        <v>0.42083333333333334</v>
      </c>
      <c r="H532" t="s">
        <v>11</v>
      </c>
    </row>
    <row r="533" spans="3:8" x14ac:dyDescent="0.25">
      <c r="C533" s="19">
        <v>42323</v>
      </c>
      <c r="D533" s="3">
        <f t="shared" si="18"/>
        <v>2.2916666666666585E-2</v>
      </c>
      <c r="E533" s="3">
        <f t="shared" si="17"/>
        <v>6.2499999999998668E-3</v>
      </c>
      <c r="F533" s="6">
        <v>0.40833333333333338</v>
      </c>
      <c r="G533" s="6">
        <v>0.43124999999999997</v>
      </c>
      <c r="H533" t="s">
        <v>11</v>
      </c>
    </row>
    <row r="534" spans="3:8" x14ac:dyDescent="0.25">
      <c r="C534" s="19">
        <v>42323</v>
      </c>
      <c r="D534" s="3">
        <f t="shared" si="18"/>
        <v>1.6666666666666718E-2</v>
      </c>
      <c r="E534" s="3">
        <f t="shared" si="17"/>
        <v>4.2361111111110961E-2</v>
      </c>
      <c r="F534" s="6">
        <v>0.50138888888888888</v>
      </c>
      <c r="G534" s="6">
        <v>0.5180555555555556</v>
      </c>
      <c r="H534" t="s">
        <v>11</v>
      </c>
    </row>
    <row r="535" spans="3:8" x14ac:dyDescent="0.25">
      <c r="C535" s="19">
        <v>42323</v>
      </c>
      <c r="D535" s="3">
        <f t="shared" si="18"/>
        <v>5.9027777777777679E-2</v>
      </c>
      <c r="E535" s="3">
        <f t="shared" si="17"/>
        <v>3.8194444444444309E-2</v>
      </c>
      <c r="F535" s="6">
        <v>0.71805555555555556</v>
      </c>
      <c r="G535" s="6">
        <v>0.77708333333333324</v>
      </c>
      <c r="H535" t="s">
        <v>11</v>
      </c>
    </row>
    <row r="536" spans="3:8" x14ac:dyDescent="0.25">
      <c r="C536" s="19">
        <v>42323</v>
      </c>
      <c r="D536" s="3">
        <f t="shared" si="18"/>
        <v>2.083333333333337E-2</v>
      </c>
      <c r="E536" s="3">
        <f t="shared" si="17"/>
        <v>1.4583333333333393E-2</v>
      </c>
      <c r="F536" s="6">
        <v>0.88611111111111107</v>
      </c>
      <c r="G536" s="6">
        <v>0.90694444444444444</v>
      </c>
      <c r="H536" t="s">
        <v>11</v>
      </c>
    </row>
    <row r="537" spans="3:8" x14ac:dyDescent="0.25">
      <c r="C537" s="19">
        <v>42323</v>
      </c>
      <c r="D537" s="3">
        <f t="shared" si="18"/>
        <v>3.5416666666666763E-2</v>
      </c>
      <c r="F537" s="6">
        <v>0.9590277777777777</v>
      </c>
      <c r="G537" s="6">
        <v>0.99444444444444446</v>
      </c>
      <c r="H537" t="s">
        <v>11</v>
      </c>
    </row>
    <row r="538" spans="3:8" x14ac:dyDescent="0.25">
      <c r="C538" s="19">
        <v>42323</v>
      </c>
      <c r="D538" s="3">
        <f t="shared" si="18"/>
        <v>1.1111111111111099E-2</v>
      </c>
      <c r="E538" s="3">
        <f>ABS(D538-D539)</f>
        <v>9.027777777777829E-3</v>
      </c>
      <c r="F538" s="6">
        <v>6.458333333333334E-2</v>
      </c>
      <c r="G538" s="6">
        <v>7.5694444444444439E-2</v>
      </c>
      <c r="H538" t="s">
        <v>8</v>
      </c>
    </row>
    <row r="539" spans="3:8" x14ac:dyDescent="0.25">
      <c r="C539" s="19">
        <v>42323</v>
      </c>
      <c r="D539" s="3">
        <f t="shared" si="18"/>
        <v>2.0138888888888928E-2</v>
      </c>
      <c r="E539" s="3">
        <f t="shared" ref="E539:E565" si="19">ABS(D539-D540)</f>
        <v>2.1527777777777812E-2</v>
      </c>
      <c r="F539" s="6">
        <v>0.3972222222222222</v>
      </c>
      <c r="G539" s="6">
        <v>0.41736111111111113</v>
      </c>
      <c r="H539" t="s">
        <v>8</v>
      </c>
    </row>
    <row r="540" spans="3:8" x14ac:dyDescent="0.25">
      <c r="C540" s="19">
        <v>42323</v>
      </c>
      <c r="D540" s="3">
        <f t="shared" si="18"/>
        <v>4.1666666666666741E-2</v>
      </c>
      <c r="E540" s="3">
        <f t="shared" si="19"/>
        <v>3.1944444444444553E-2</v>
      </c>
      <c r="F540" s="6">
        <v>0.76041666666666663</v>
      </c>
      <c r="G540" s="6">
        <v>0.80208333333333337</v>
      </c>
      <c r="H540" t="s">
        <v>8</v>
      </c>
    </row>
    <row r="541" spans="3:8" x14ac:dyDescent="0.25">
      <c r="C541" s="19">
        <v>42323</v>
      </c>
      <c r="D541" s="3">
        <f t="shared" si="18"/>
        <v>9.7222222222221877E-3</v>
      </c>
      <c r="E541" s="3">
        <f t="shared" si="19"/>
        <v>1.8055555555555602E-2</v>
      </c>
      <c r="F541" s="6">
        <v>0.96250000000000002</v>
      </c>
      <c r="G541" s="6">
        <v>0.97222222222222221</v>
      </c>
      <c r="H541" t="s">
        <v>8</v>
      </c>
    </row>
    <row r="542" spans="3:8" x14ac:dyDescent="0.25">
      <c r="C542" s="19">
        <v>42323</v>
      </c>
      <c r="D542" s="3">
        <f t="shared" si="18"/>
        <v>2.777777777777779E-2</v>
      </c>
      <c r="E542" s="3">
        <f t="shared" si="19"/>
        <v>1.1111111111111183E-2</v>
      </c>
      <c r="F542" s="6">
        <v>0.39513888888888887</v>
      </c>
      <c r="G542" s="6">
        <v>0.42291666666666666</v>
      </c>
      <c r="H542" t="s">
        <v>8</v>
      </c>
    </row>
    <row r="543" spans="3:8" x14ac:dyDescent="0.25">
      <c r="C543" s="19">
        <v>42323</v>
      </c>
      <c r="D543" s="3">
        <f t="shared" si="18"/>
        <v>1.6666666666666607E-2</v>
      </c>
      <c r="E543" s="3">
        <f t="shared" si="19"/>
        <v>2.7777777777777402E-3</v>
      </c>
      <c r="F543" s="6">
        <v>0.59444444444444444</v>
      </c>
      <c r="G543" s="6">
        <v>0.61111111111111105</v>
      </c>
      <c r="H543" t="s">
        <v>8</v>
      </c>
    </row>
    <row r="544" spans="3:8" x14ac:dyDescent="0.25">
      <c r="C544" s="19">
        <v>42323</v>
      </c>
      <c r="D544" s="3">
        <f t="shared" si="18"/>
        <v>1.3888888888888867E-2</v>
      </c>
      <c r="E544" s="3">
        <f t="shared" si="19"/>
        <v>6.944444444444503E-3</v>
      </c>
      <c r="F544" s="6">
        <v>0.10277777777777779</v>
      </c>
      <c r="G544" s="6">
        <v>0.11666666666666665</v>
      </c>
      <c r="H544" t="s">
        <v>8</v>
      </c>
    </row>
    <row r="545" spans="3:8" x14ac:dyDescent="0.25">
      <c r="C545" s="19">
        <v>42323</v>
      </c>
      <c r="D545" s="3">
        <f t="shared" si="18"/>
        <v>2.083333333333337E-2</v>
      </c>
      <c r="E545" s="3">
        <f t="shared" si="19"/>
        <v>9.7222222222220767E-3</v>
      </c>
      <c r="F545" s="6">
        <v>0.6791666666666667</v>
      </c>
      <c r="G545" s="6">
        <v>0.70000000000000007</v>
      </c>
      <c r="H545" t="s">
        <v>8</v>
      </c>
    </row>
    <row r="546" spans="3:8" x14ac:dyDescent="0.25">
      <c r="C546" s="19">
        <v>42323</v>
      </c>
      <c r="D546" s="3">
        <f t="shared" si="18"/>
        <v>3.0555555555555447E-2</v>
      </c>
      <c r="E546" s="3">
        <f t="shared" si="19"/>
        <v>1.8749999999999933E-2</v>
      </c>
      <c r="F546" s="6">
        <v>0.61041666666666672</v>
      </c>
      <c r="G546" s="6">
        <v>0.64097222222222217</v>
      </c>
      <c r="H546" t="s">
        <v>8</v>
      </c>
    </row>
    <row r="547" spans="3:8" x14ac:dyDescent="0.25">
      <c r="C547" s="19">
        <v>42323</v>
      </c>
      <c r="D547" s="3">
        <f t="shared" si="18"/>
        <v>1.1805555555555514E-2</v>
      </c>
      <c r="E547" s="3">
        <f t="shared" si="19"/>
        <v>2.7777777777777679E-3</v>
      </c>
      <c r="F547" s="6">
        <v>0.78055555555555556</v>
      </c>
      <c r="G547" s="6">
        <v>0.79236111111111107</v>
      </c>
      <c r="H547" t="s">
        <v>8</v>
      </c>
    </row>
    <row r="548" spans="3:8" x14ac:dyDescent="0.25">
      <c r="C548" s="19">
        <v>42323</v>
      </c>
      <c r="D548" s="3">
        <f t="shared" si="18"/>
        <v>1.4583333333333282E-2</v>
      </c>
      <c r="E548" s="3">
        <f t="shared" si="19"/>
        <v>2.0833333333333814E-3</v>
      </c>
      <c r="F548" s="6">
        <v>0.6118055555555556</v>
      </c>
      <c r="G548" s="6">
        <v>0.62638888888888888</v>
      </c>
      <c r="H548" t="s">
        <v>8</v>
      </c>
    </row>
    <row r="549" spans="3:8" x14ac:dyDescent="0.25">
      <c r="C549" s="19">
        <v>42323</v>
      </c>
      <c r="D549" s="3">
        <f t="shared" si="18"/>
        <v>1.6666666666666663E-2</v>
      </c>
      <c r="E549" s="3">
        <f t="shared" si="19"/>
        <v>4.8611111111110383E-3</v>
      </c>
      <c r="F549" s="6">
        <v>0.45624999999999999</v>
      </c>
      <c r="G549" s="6">
        <v>0.47291666666666665</v>
      </c>
      <c r="H549" t="s">
        <v>8</v>
      </c>
    </row>
    <row r="550" spans="3:8" x14ac:dyDescent="0.25">
      <c r="C550" s="19">
        <v>42323</v>
      </c>
      <c r="D550" s="3">
        <f t="shared" si="18"/>
        <v>2.1527777777777701E-2</v>
      </c>
      <c r="E550" s="3">
        <f t="shared" si="19"/>
        <v>5.5555555555554248E-3</v>
      </c>
      <c r="F550" s="6">
        <v>0.55277777777777781</v>
      </c>
      <c r="G550" s="6">
        <v>0.57430555555555551</v>
      </c>
      <c r="H550" t="s">
        <v>8</v>
      </c>
    </row>
    <row r="551" spans="3:8" x14ac:dyDescent="0.25">
      <c r="C551" s="19">
        <v>42323</v>
      </c>
      <c r="D551" s="3">
        <f t="shared" si="18"/>
        <v>1.5972222222222276E-2</v>
      </c>
      <c r="E551" s="3">
        <f t="shared" si="19"/>
        <v>3.4722222222222099E-3</v>
      </c>
      <c r="F551" s="6">
        <v>0.4458333333333333</v>
      </c>
      <c r="G551" s="6">
        <v>0.46180555555555558</v>
      </c>
      <c r="H551" t="s">
        <v>8</v>
      </c>
    </row>
    <row r="552" spans="3:8" x14ac:dyDescent="0.25">
      <c r="C552" s="19">
        <v>42323</v>
      </c>
      <c r="D552" s="3">
        <f t="shared" si="18"/>
        <v>1.9444444444444486E-2</v>
      </c>
      <c r="E552" s="3">
        <f t="shared" si="19"/>
        <v>9.0277777777778567E-3</v>
      </c>
      <c r="F552" s="6">
        <v>0.60277777777777775</v>
      </c>
      <c r="G552" s="6">
        <v>0.62222222222222223</v>
      </c>
      <c r="H552" t="s">
        <v>8</v>
      </c>
    </row>
    <row r="553" spans="3:8" x14ac:dyDescent="0.25">
      <c r="C553" s="19">
        <v>42323</v>
      </c>
      <c r="D553" s="3">
        <f t="shared" si="18"/>
        <v>1.041666666666663E-2</v>
      </c>
      <c r="E553" s="3">
        <f t="shared" si="19"/>
        <v>5.0694444444444486E-2</v>
      </c>
      <c r="F553" s="6">
        <v>0.92986111111111114</v>
      </c>
      <c r="G553" s="6">
        <v>0.94027777777777777</v>
      </c>
      <c r="H553" t="s">
        <v>8</v>
      </c>
    </row>
    <row r="554" spans="3:8" x14ac:dyDescent="0.25">
      <c r="C554" s="19">
        <v>42323</v>
      </c>
      <c r="D554" s="3">
        <f t="shared" si="18"/>
        <v>6.1111111111111116E-2</v>
      </c>
      <c r="E554" s="3">
        <f t="shared" si="19"/>
        <v>4.6527777777777724E-2</v>
      </c>
      <c r="F554" s="6">
        <v>0.52430555555555558</v>
      </c>
      <c r="G554" s="6">
        <v>0.5854166666666667</v>
      </c>
      <c r="H554" t="s">
        <v>8</v>
      </c>
    </row>
    <row r="555" spans="3:8" x14ac:dyDescent="0.25">
      <c r="C555" s="19">
        <v>42323</v>
      </c>
      <c r="D555" s="3">
        <f t="shared" si="18"/>
        <v>1.4583333333333393E-2</v>
      </c>
      <c r="E555" s="3">
        <f t="shared" si="19"/>
        <v>2.7777777777778234E-3</v>
      </c>
      <c r="F555" s="6">
        <v>0.57222222222222219</v>
      </c>
      <c r="G555" s="6">
        <v>0.58680555555555558</v>
      </c>
      <c r="H555" t="s">
        <v>8</v>
      </c>
    </row>
    <row r="556" spans="3:8" x14ac:dyDescent="0.25">
      <c r="C556" s="19">
        <v>42323</v>
      </c>
      <c r="D556" s="3">
        <f t="shared" si="18"/>
        <v>1.1805555555555569E-2</v>
      </c>
      <c r="E556" s="3">
        <f t="shared" si="19"/>
        <v>8.3333333333333592E-3</v>
      </c>
      <c r="F556" s="6">
        <v>0.43611111111111112</v>
      </c>
      <c r="G556" s="6">
        <v>0.44791666666666669</v>
      </c>
      <c r="H556" t="s">
        <v>8</v>
      </c>
    </row>
    <row r="557" spans="3:8" x14ac:dyDescent="0.25">
      <c r="C557" s="19">
        <v>42323</v>
      </c>
      <c r="D557" s="3">
        <f t="shared" si="18"/>
        <v>2.0138888888888928E-2</v>
      </c>
      <c r="E557" s="3">
        <f t="shared" si="19"/>
        <v>2.7083333333333237E-2</v>
      </c>
      <c r="F557" s="6">
        <v>0.8041666666666667</v>
      </c>
      <c r="G557" s="6">
        <v>0.82430555555555562</v>
      </c>
      <c r="H557" t="s">
        <v>8</v>
      </c>
    </row>
    <row r="558" spans="3:8" x14ac:dyDescent="0.25">
      <c r="C558" s="19">
        <v>42323</v>
      </c>
      <c r="D558" s="3">
        <f t="shared" si="18"/>
        <v>4.7222222222222165E-2</v>
      </c>
      <c r="E558" s="3">
        <f t="shared" si="19"/>
        <v>2.8472222222222177E-2</v>
      </c>
      <c r="F558" s="6">
        <v>0.61458333333333337</v>
      </c>
      <c r="G558" s="6">
        <v>0.66180555555555554</v>
      </c>
      <c r="H558" t="s">
        <v>8</v>
      </c>
    </row>
    <row r="559" spans="3:8" x14ac:dyDescent="0.25">
      <c r="C559" s="19">
        <v>42323</v>
      </c>
      <c r="D559" s="3">
        <f t="shared" si="18"/>
        <v>1.8749999999999989E-2</v>
      </c>
      <c r="E559" s="3">
        <f t="shared" si="19"/>
        <v>6.2500000000000333E-3</v>
      </c>
      <c r="F559" s="6">
        <v>0.36458333333333331</v>
      </c>
      <c r="G559" s="6">
        <v>0.3833333333333333</v>
      </c>
      <c r="H559" t="s">
        <v>8</v>
      </c>
    </row>
    <row r="560" spans="3:8" x14ac:dyDescent="0.25">
      <c r="C560" s="19">
        <v>42323</v>
      </c>
      <c r="D560" s="3">
        <f t="shared" si="18"/>
        <v>2.5000000000000022E-2</v>
      </c>
      <c r="E560" s="3">
        <f t="shared" si="19"/>
        <v>1.1111111111111183E-2</v>
      </c>
      <c r="F560" s="6">
        <v>0.59027777777777779</v>
      </c>
      <c r="G560" s="6">
        <v>0.61527777777777781</v>
      </c>
      <c r="H560" t="s">
        <v>8</v>
      </c>
    </row>
    <row r="561" spans="3:8" x14ac:dyDescent="0.25">
      <c r="C561" s="19">
        <v>42323</v>
      </c>
      <c r="D561" s="3">
        <f t="shared" si="18"/>
        <v>1.388888888888884E-2</v>
      </c>
      <c r="E561" s="3">
        <f t="shared" si="19"/>
        <v>4.8611111111112049E-3</v>
      </c>
      <c r="F561" s="6">
        <v>0.62013888888888891</v>
      </c>
      <c r="G561" s="6">
        <v>0.63402777777777775</v>
      </c>
      <c r="H561" t="s">
        <v>8</v>
      </c>
    </row>
    <row r="562" spans="3:8" x14ac:dyDescent="0.25">
      <c r="C562" s="19">
        <v>42323</v>
      </c>
      <c r="D562" s="3">
        <f t="shared" si="18"/>
        <v>9.0277777777776347E-3</v>
      </c>
      <c r="E562" s="3">
        <f t="shared" si="19"/>
        <v>1.1805555555555625E-2</v>
      </c>
      <c r="F562" s="6">
        <v>0.70833333333333337</v>
      </c>
      <c r="G562" s="6">
        <v>0.71736111111111101</v>
      </c>
      <c r="H562" t="s">
        <v>8</v>
      </c>
    </row>
    <row r="563" spans="3:8" x14ac:dyDescent="0.25">
      <c r="C563" s="19">
        <v>42323</v>
      </c>
      <c r="D563" s="3">
        <f t="shared" si="18"/>
        <v>2.0833333333333259E-2</v>
      </c>
      <c r="E563" s="3">
        <f t="shared" si="19"/>
        <v>1.388888888888884E-3</v>
      </c>
      <c r="F563" s="6">
        <v>0.76527777777777783</v>
      </c>
      <c r="G563" s="6">
        <v>0.78611111111111109</v>
      </c>
      <c r="H563" t="s">
        <v>8</v>
      </c>
    </row>
    <row r="564" spans="3:8" x14ac:dyDescent="0.25">
      <c r="C564" s="19">
        <v>42323</v>
      </c>
      <c r="D564" s="3">
        <f t="shared" si="18"/>
        <v>1.9444444444444375E-2</v>
      </c>
      <c r="E564" s="3">
        <f t="shared" si="19"/>
        <v>6.9444444444443088E-3</v>
      </c>
      <c r="F564" s="6">
        <v>0.73888888888888893</v>
      </c>
      <c r="G564" s="6">
        <v>0.7583333333333333</v>
      </c>
      <c r="H564" t="s">
        <v>8</v>
      </c>
    </row>
    <row r="565" spans="3:8" x14ac:dyDescent="0.25">
      <c r="C565" s="19">
        <v>42323</v>
      </c>
      <c r="D565" s="3">
        <f t="shared" si="18"/>
        <v>1.2500000000000067E-2</v>
      </c>
      <c r="E565" s="3">
        <f t="shared" si="19"/>
        <v>1.1102230246251565E-16</v>
      </c>
      <c r="F565" s="6">
        <v>0.91180555555555554</v>
      </c>
      <c r="G565" s="6">
        <v>0.9243055555555556</v>
      </c>
      <c r="H565" t="s">
        <v>8</v>
      </c>
    </row>
    <row r="566" spans="3:8" x14ac:dyDescent="0.25">
      <c r="C566" s="19">
        <v>42323</v>
      </c>
      <c r="D566" s="3">
        <f t="shared" si="18"/>
        <v>1.2499999999999956E-2</v>
      </c>
      <c r="F566" s="6">
        <v>0.40833333333333338</v>
      </c>
      <c r="G566" s="6">
        <v>0.42083333333333334</v>
      </c>
      <c r="H566" t="s">
        <v>8</v>
      </c>
    </row>
  </sheetData>
  <sortState ref="C2:H567">
    <sortCondition ref="H2:H567" customList="CBC,BMPNL,CMPNL,TROPI,PROTIM,HDIMER,CSF GRST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903"/>
  <sheetViews>
    <sheetView topLeftCell="C1" workbookViewId="0">
      <selection activeCell="M7" sqref="M7"/>
    </sheetView>
  </sheetViews>
  <sheetFormatPr defaultRowHeight="15" x14ac:dyDescent="0.25"/>
  <cols>
    <col min="1" max="2" width="0" hidden="1" customWidth="1"/>
    <col min="4" max="5" width="13.140625" style="6" customWidth="1"/>
  </cols>
  <sheetData>
    <row r="1" spans="1:15" x14ac:dyDescent="0.25">
      <c r="A1" s="21" t="s">
        <v>24</v>
      </c>
      <c r="B1" s="8" t="s">
        <v>25</v>
      </c>
      <c r="C1" s="8" t="s">
        <v>12</v>
      </c>
      <c r="D1" s="8" t="s">
        <v>4</v>
      </c>
      <c r="E1" s="8" t="s">
        <v>5</v>
      </c>
      <c r="F1" s="8" t="s">
        <v>13</v>
      </c>
      <c r="G1" s="8" t="s">
        <v>18</v>
      </c>
      <c r="H1" s="9" t="s">
        <v>2</v>
      </c>
      <c r="I1" s="1"/>
      <c r="J1" s="1"/>
      <c r="M1" t="s">
        <v>26</v>
      </c>
      <c r="N1" t="s">
        <v>13</v>
      </c>
      <c r="O1" t="s">
        <v>18</v>
      </c>
    </row>
    <row r="2" spans="1:15" x14ac:dyDescent="0.25">
      <c r="C2" s="12">
        <v>42353</v>
      </c>
      <c r="D2" s="6">
        <v>0.52013888888888882</v>
      </c>
      <c r="E2" s="6">
        <v>0.52708333333333335</v>
      </c>
      <c r="F2" s="6">
        <f>E2-D2</f>
        <v>6.9444444444445308E-3</v>
      </c>
      <c r="G2" s="3">
        <f>ABS(F3-F2)</f>
        <v>2.0833333333332149E-3</v>
      </c>
      <c r="H2" t="s">
        <v>3</v>
      </c>
      <c r="J2" s="12">
        <v>42353</v>
      </c>
      <c r="K2" t="s">
        <v>19</v>
      </c>
      <c r="L2" t="s">
        <v>3</v>
      </c>
      <c r="M2">
        <f>COUNTA(H2:H273)</f>
        <v>272</v>
      </c>
      <c r="N2" s="6">
        <f>AVERAGE(F2:F273)</f>
        <v>9.660947712418308E-3</v>
      </c>
      <c r="O2" s="3">
        <f>AVERAGE(G2:G272)</f>
        <v>6.470377203772042E-3</v>
      </c>
    </row>
    <row r="3" spans="1:15" x14ac:dyDescent="0.25">
      <c r="A3" s="12">
        <v>42353</v>
      </c>
      <c r="B3" s="12">
        <v>42353</v>
      </c>
      <c r="C3" s="12">
        <v>42353</v>
      </c>
      <c r="D3" s="6">
        <v>0.59791666666666665</v>
      </c>
      <c r="E3" s="6">
        <v>0.6069444444444444</v>
      </c>
      <c r="F3" s="6">
        <f t="shared" ref="F3:F66" si="0">E3-D3</f>
        <v>9.0277777777777457E-3</v>
      </c>
      <c r="G3" s="3">
        <f t="shared" ref="G3:G66" si="1">ABS(F4-F3)</f>
        <v>3.4722222222222099E-3</v>
      </c>
      <c r="H3" t="s">
        <v>3</v>
      </c>
      <c r="J3" s="12">
        <v>42353</v>
      </c>
      <c r="K3" t="s">
        <v>19</v>
      </c>
      <c r="L3" t="s">
        <v>9</v>
      </c>
      <c r="M3">
        <f>COUNTA(H274:H329)</f>
        <v>56</v>
      </c>
      <c r="N3" s="6">
        <f>AVERAGE(F274:F329)</f>
        <v>1.6034226190476186E-2</v>
      </c>
      <c r="O3" s="3">
        <f>AVERAGE(G274:G328)</f>
        <v>5.3030303030303138E-3</v>
      </c>
    </row>
    <row r="4" spans="1:15" x14ac:dyDescent="0.25">
      <c r="A4" s="12">
        <v>42353</v>
      </c>
      <c r="B4" s="12">
        <v>42353</v>
      </c>
      <c r="C4" s="12">
        <v>42353</v>
      </c>
      <c r="D4" s="6">
        <v>0.61875000000000002</v>
      </c>
      <c r="E4" s="6">
        <v>0.62430555555555556</v>
      </c>
      <c r="F4" s="6">
        <f t="shared" si="0"/>
        <v>5.5555555555555358E-3</v>
      </c>
      <c r="G4" s="3">
        <f t="shared" si="1"/>
        <v>3.4722222222220989E-3</v>
      </c>
      <c r="H4" t="s">
        <v>3</v>
      </c>
      <c r="J4" s="12">
        <v>42353</v>
      </c>
      <c r="K4" t="s">
        <v>19</v>
      </c>
      <c r="L4" t="s">
        <v>10</v>
      </c>
      <c r="M4">
        <f>COUNTIF(H2:H688,L4)</f>
        <v>217</v>
      </c>
      <c r="N4" s="6">
        <f>AVERAGE(F330:F546)</f>
        <v>1.8586789554531493E-2</v>
      </c>
      <c r="O4" s="3">
        <f>AVERAGE(G330:G545)</f>
        <v>4.7646604938271601E-3</v>
      </c>
    </row>
    <row r="5" spans="1:15" x14ac:dyDescent="0.25">
      <c r="A5" s="12">
        <v>42353</v>
      </c>
      <c r="B5" s="12">
        <v>42353</v>
      </c>
      <c r="C5" s="12">
        <v>42353</v>
      </c>
      <c r="D5" s="6">
        <v>0.87916666666666676</v>
      </c>
      <c r="E5" s="6">
        <v>0.8881944444444444</v>
      </c>
      <c r="F5" s="6">
        <f t="shared" si="0"/>
        <v>9.0277777777776347E-3</v>
      </c>
      <c r="G5" s="3">
        <f t="shared" si="1"/>
        <v>1.3888888888887729E-3</v>
      </c>
      <c r="H5" t="s">
        <v>3</v>
      </c>
      <c r="J5" s="12">
        <v>42353</v>
      </c>
      <c r="K5" t="s">
        <v>19</v>
      </c>
      <c r="L5" t="s">
        <v>11</v>
      </c>
      <c r="M5">
        <f>COUNTIF(H2:H688,L5)</f>
        <v>119</v>
      </c>
      <c r="N5" s="6">
        <f>AVERAGE(F547:F665)</f>
        <v>2.2840802987861814E-2</v>
      </c>
      <c r="O5" s="3">
        <f>AVERAGE(G547:G664)</f>
        <v>7.1033427495291873E-3</v>
      </c>
    </row>
    <row r="6" spans="1:15" x14ac:dyDescent="0.25">
      <c r="A6" s="12">
        <v>42353</v>
      </c>
      <c r="B6" s="12">
        <v>42353</v>
      </c>
      <c r="C6" s="12">
        <v>42353</v>
      </c>
      <c r="D6" s="6">
        <v>0.97291666666666676</v>
      </c>
      <c r="E6" s="6">
        <v>0.98055555555555562</v>
      </c>
      <c r="F6" s="6">
        <f t="shared" si="0"/>
        <v>7.6388888888888618E-3</v>
      </c>
      <c r="G6" s="3">
        <f t="shared" si="1"/>
        <v>2.7777777777776569E-3</v>
      </c>
      <c r="H6" t="s">
        <v>3</v>
      </c>
      <c r="J6" s="12">
        <v>42353</v>
      </c>
      <c r="K6" t="s">
        <v>19</v>
      </c>
      <c r="L6" t="s">
        <v>8</v>
      </c>
      <c r="M6">
        <f>COUNTIF(H2:H688,L6)</f>
        <v>23</v>
      </c>
      <c r="N6" s="6">
        <f>AVERAGE(F666:F688)</f>
        <v>1.6002415458937193E-2</v>
      </c>
      <c r="O6" s="3">
        <f>AVERAGE(G666:G687)</f>
        <v>8.5227272727272669E-3</v>
      </c>
    </row>
    <row r="7" spans="1:15" x14ac:dyDescent="0.25">
      <c r="A7" s="12">
        <v>42353</v>
      </c>
      <c r="B7" s="12">
        <v>42353</v>
      </c>
      <c r="C7" s="12">
        <v>42353</v>
      </c>
      <c r="D7" s="6">
        <v>0.87708333333333333</v>
      </c>
      <c r="E7" s="6">
        <v>0.88194444444444453</v>
      </c>
      <c r="F7" s="6">
        <f t="shared" si="0"/>
        <v>4.8611111111112049E-3</v>
      </c>
      <c r="G7" s="3">
        <f t="shared" si="1"/>
        <v>6.9444444444438647E-4</v>
      </c>
      <c r="H7" t="s">
        <v>3</v>
      </c>
    </row>
    <row r="8" spans="1:15" x14ac:dyDescent="0.25">
      <c r="A8" s="12">
        <v>42353</v>
      </c>
      <c r="B8" s="12">
        <v>42353</v>
      </c>
      <c r="C8" s="12">
        <v>42353</v>
      </c>
      <c r="D8" s="6">
        <v>0.42222222222222222</v>
      </c>
      <c r="E8" s="6">
        <v>0.42777777777777781</v>
      </c>
      <c r="F8" s="6">
        <f t="shared" si="0"/>
        <v>5.5555555555555913E-3</v>
      </c>
      <c r="G8" s="3">
        <f t="shared" si="1"/>
        <v>2.7777777777778234E-3</v>
      </c>
      <c r="H8" t="s">
        <v>3</v>
      </c>
    </row>
    <row r="9" spans="1:15" x14ac:dyDescent="0.25">
      <c r="A9" s="12">
        <v>42353</v>
      </c>
      <c r="B9" s="12">
        <v>42353</v>
      </c>
      <c r="C9" s="12">
        <v>42353</v>
      </c>
      <c r="D9" s="6">
        <v>0.58750000000000002</v>
      </c>
      <c r="E9" s="6">
        <v>0.59027777777777779</v>
      </c>
      <c r="F9" s="6">
        <f t="shared" si="0"/>
        <v>2.7777777777777679E-3</v>
      </c>
      <c r="G9" s="3">
        <f t="shared" si="1"/>
        <v>6.9444444444433095E-4</v>
      </c>
      <c r="H9" t="s">
        <v>3</v>
      </c>
    </row>
    <row r="10" spans="1:15" x14ac:dyDescent="0.25">
      <c r="A10" s="12">
        <v>42353</v>
      </c>
      <c r="B10" s="12">
        <v>42353</v>
      </c>
      <c r="C10" s="12">
        <v>42353</v>
      </c>
      <c r="D10" s="6">
        <v>0.6381944444444444</v>
      </c>
      <c r="E10" s="6">
        <v>0.64027777777777783</v>
      </c>
      <c r="F10" s="6">
        <f t="shared" si="0"/>
        <v>2.083333333333437E-3</v>
      </c>
      <c r="G10" s="3">
        <f t="shared" si="1"/>
        <v>1.7361111111110994E-2</v>
      </c>
      <c r="H10" t="s">
        <v>3</v>
      </c>
    </row>
    <row r="11" spans="1:15" x14ac:dyDescent="0.25">
      <c r="A11" s="12">
        <v>42353</v>
      </c>
      <c r="B11" s="12">
        <v>42353</v>
      </c>
      <c r="C11" s="12">
        <v>42353</v>
      </c>
      <c r="D11" s="6">
        <v>0.4291666666666667</v>
      </c>
      <c r="E11" s="6">
        <v>0.44861111111111113</v>
      </c>
      <c r="F11" s="6">
        <f t="shared" si="0"/>
        <v>1.9444444444444431E-2</v>
      </c>
      <c r="G11" s="3">
        <f t="shared" si="1"/>
        <v>2.0833333333333814E-3</v>
      </c>
      <c r="H11" t="s">
        <v>3</v>
      </c>
    </row>
    <row r="12" spans="1:15" x14ac:dyDescent="0.25">
      <c r="A12" s="12">
        <v>42353</v>
      </c>
      <c r="B12" s="12">
        <v>42353</v>
      </c>
      <c r="C12" s="12">
        <v>42353</v>
      </c>
      <c r="D12" s="6">
        <v>0.40625</v>
      </c>
      <c r="E12" s="6">
        <v>0.42777777777777781</v>
      </c>
      <c r="F12" s="6">
        <f t="shared" si="0"/>
        <v>2.1527777777777812E-2</v>
      </c>
      <c r="G12" s="3">
        <f t="shared" si="1"/>
        <v>1.4583333333333393E-2</v>
      </c>
      <c r="H12" t="s">
        <v>3</v>
      </c>
    </row>
    <row r="13" spans="1:15" x14ac:dyDescent="0.25">
      <c r="A13" s="12">
        <v>42353</v>
      </c>
      <c r="B13" s="12">
        <v>42353</v>
      </c>
      <c r="C13" s="12">
        <v>42353</v>
      </c>
      <c r="D13" s="6">
        <v>0.50486111111111109</v>
      </c>
      <c r="E13" s="6">
        <v>0.51180555555555551</v>
      </c>
      <c r="F13" s="6">
        <f t="shared" si="0"/>
        <v>6.9444444444444198E-3</v>
      </c>
      <c r="G13" s="3">
        <f t="shared" si="1"/>
        <v>6.9444444444444198E-4</v>
      </c>
      <c r="H13" t="s">
        <v>3</v>
      </c>
    </row>
    <row r="14" spans="1:15" x14ac:dyDescent="0.25">
      <c r="A14" s="12">
        <v>42353</v>
      </c>
      <c r="B14" s="12">
        <v>42353</v>
      </c>
      <c r="C14" s="12">
        <v>42353</v>
      </c>
      <c r="D14" s="6">
        <v>0.59722222222222221</v>
      </c>
      <c r="E14" s="6">
        <v>0.60347222222222219</v>
      </c>
      <c r="F14" s="6">
        <f t="shared" si="0"/>
        <v>6.2499999999999778E-3</v>
      </c>
      <c r="G14" s="3">
        <f t="shared" si="1"/>
        <v>7.6388888888889728E-3</v>
      </c>
      <c r="H14" t="s">
        <v>3</v>
      </c>
    </row>
    <row r="15" spans="1:15" x14ac:dyDescent="0.25">
      <c r="A15" s="12">
        <v>42353</v>
      </c>
      <c r="B15" s="12">
        <v>42353</v>
      </c>
      <c r="C15" s="12">
        <v>42353</v>
      </c>
      <c r="D15" s="6">
        <v>0.59652777777777777</v>
      </c>
      <c r="E15" s="6">
        <v>0.61041666666666672</v>
      </c>
      <c r="F15" s="6">
        <f t="shared" si="0"/>
        <v>1.3888888888888951E-2</v>
      </c>
      <c r="G15" s="3">
        <f t="shared" si="1"/>
        <v>1.388888888888884E-3</v>
      </c>
      <c r="H15" t="s">
        <v>3</v>
      </c>
    </row>
    <row r="16" spans="1:15" x14ac:dyDescent="0.25">
      <c r="A16" s="12">
        <v>42353</v>
      </c>
      <c r="B16" s="12">
        <v>42353</v>
      </c>
      <c r="C16" s="12">
        <v>42353</v>
      </c>
      <c r="D16" s="6">
        <v>0.7319444444444444</v>
      </c>
      <c r="E16" s="6">
        <v>0.74444444444444446</v>
      </c>
      <c r="F16" s="6">
        <f t="shared" si="0"/>
        <v>1.2500000000000067E-2</v>
      </c>
      <c r="G16" s="3">
        <f t="shared" si="1"/>
        <v>1.0416666666666852E-2</v>
      </c>
      <c r="H16" t="s">
        <v>3</v>
      </c>
    </row>
    <row r="17" spans="1:8" x14ac:dyDescent="0.25">
      <c r="A17" s="12">
        <v>42353</v>
      </c>
      <c r="B17" s="12">
        <v>42353</v>
      </c>
      <c r="C17" s="12">
        <v>42353</v>
      </c>
      <c r="D17" s="6">
        <v>0.75416666666666676</v>
      </c>
      <c r="E17" s="6">
        <v>0.75624999999999998</v>
      </c>
      <c r="F17" s="6">
        <f t="shared" si="0"/>
        <v>2.0833333333332149E-3</v>
      </c>
      <c r="G17" s="3">
        <f t="shared" si="1"/>
        <v>7.6388888888889728E-3</v>
      </c>
      <c r="H17" t="s">
        <v>3</v>
      </c>
    </row>
    <row r="18" spans="1:8" x14ac:dyDescent="0.25">
      <c r="A18" s="12">
        <v>42353</v>
      </c>
      <c r="B18" s="12">
        <v>42353</v>
      </c>
      <c r="C18" s="12">
        <v>42353</v>
      </c>
      <c r="D18" s="6">
        <v>0.76527777777777783</v>
      </c>
      <c r="E18" s="6">
        <v>0.77500000000000002</v>
      </c>
      <c r="F18" s="6">
        <f t="shared" si="0"/>
        <v>9.7222222222221877E-3</v>
      </c>
      <c r="G18" s="3">
        <f t="shared" si="1"/>
        <v>6.9444444444444198E-4</v>
      </c>
      <c r="H18" t="s">
        <v>3</v>
      </c>
    </row>
    <row r="19" spans="1:8" x14ac:dyDescent="0.25">
      <c r="A19" s="12">
        <v>42353</v>
      </c>
      <c r="B19" s="12">
        <v>42353</v>
      </c>
      <c r="C19" s="12">
        <v>42353</v>
      </c>
      <c r="D19" s="6">
        <v>0.8666666666666667</v>
      </c>
      <c r="E19" s="6">
        <v>0.87708333333333333</v>
      </c>
      <c r="F19" s="6">
        <f t="shared" si="0"/>
        <v>1.041666666666663E-2</v>
      </c>
      <c r="G19" s="3">
        <f t="shared" si="1"/>
        <v>1.3888888888887729E-3</v>
      </c>
      <c r="H19" t="s">
        <v>3</v>
      </c>
    </row>
    <row r="20" spans="1:8" x14ac:dyDescent="0.25">
      <c r="A20" s="12">
        <v>42353</v>
      </c>
      <c r="B20" s="12">
        <v>42353</v>
      </c>
      <c r="C20" s="12">
        <v>42353</v>
      </c>
      <c r="D20" s="6">
        <v>0.8965277777777777</v>
      </c>
      <c r="E20" s="6">
        <v>0.90555555555555556</v>
      </c>
      <c r="F20" s="6">
        <f t="shared" si="0"/>
        <v>9.0277777777778567E-3</v>
      </c>
      <c r="G20" s="3">
        <f t="shared" si="1"/>
        <v>2.7777777777777679E-3</v>
      </c>
      <c r="H20" t="s">
        <v>3</v>
      </c>
    </row>
    <row r="21" spans="1:8" x14ac:dyDescent="0.25">
      <c r="A21" s="12">
        <v>42353</v>
      </c>
      <c r="B21" s="12">
        <v>42353</v>
      </c>
      <c r="C21" s="12">
        <v>42353</v>
      </c>
      <c r="D21" s="6">
        <v>1.0006944444444443</v>
      </c>
      <c r="E21" s="6">
        <v>1.0125</v>
      </c>
      <c r="F21" s="6">
        <f t="shared" si="0"/>
        <v>1.1805555555555625E-2</v>
      </c>
      <c r="G21" s="3">
        <f t="shared" si="1"/>
        <v>2.7777777777778512E-3</v>
      </c>
      <c r="H21" t="s">
        <v>3</v>
      </c>
    </row>
    <row r="22" spans="1:8" x14ac:dyDescent="0.25">
      <c r="A22" s="12">
        <v>42353</v>
      </c>
      <c r="B22" s="12">
        <v>42353</v>
      </c>
      <c r="C22" s="12">
        <v>42353</v>
      </c>
      <c r="D22" s="6">
        <v>4.3750000000000004E-2</v>
      </c>
      <c r="E22" s="6">
        <v>5.2777777777777778E-2</v>
      </c>
      <c r="F22" s="6">
        <f t="shared" si="0"/>
        <v>9.0277777777777735E-3</v>
      </c>
      <c r="G22" s="3">
        <f t="shared" si="1"/>
        <v>2.7777777777777957E-3</v>
      </c>
      <c r="H22" t="s">
        <v>3</v>
      </c>
    </row>
    <row r="23" spans="1:8" x14ac:dyDescent="0.25">
      <c r="A23" s="12">
        <v>42353</v>
      </c>
      <c r="B23" s="12">
        <v>42353</v>
      </c>
      <c r="C23" s="12">
        <v>42353</v>
      </c>
      <c r="D23" s="6">
        <v>0.33958333333333335</v>
      </c>
      <c r="E23" s="6">
        <v>0.35138888888888892</v>
      </c>
      <c r="F23" s="6">
        <f t="shared" si="0"/>
        <v>1.1805555555555569E-2</v>
      </c>
      <c r="G23" s="3">
        <f t="shared" si="1"/>
        <v>3.4722222222222654E-3</v>
      </c>
      <c r="H23" t="s">
        <v>3</v>
      </c>
    </row>
    <row r="24" spans="1:8" x14ac:dyDescent="0.25">
      <c r="A24" s="12">
        <v>42353</v>
      </c>
      <c r="B24" s="12">
        <v>42353</v>
      </c>
      <c r="C24" s="12">
        <v>42353</v>
      </c>
      <c r="D24" s="6">
        <v>0.43194444444444446</v>
      </c>
      <c r="E24" s="6">
        <v>0.44027777777777777</v>
      </c>
      <c r="F24" s="6">
        <f t="shared" si="0"/>
        <v>8.3333333333333037E-3</v>
      </c>
      <c r="G24" s="3">
        <f t="shared" si="1"/>
        <v>3.6805555555555536E-2</v>
      </c>
      <c r="H24" t="s">
        <v>3</v>
      </c>
    </row>
    <row r="25" spans="1:8" x14ac:dyDescent="0.25">
      <c r="A25" s="12">
        <v>42353</v>
      </c>
      <c r="B25" s="12">
        <v>42353</v>
      </c>
      <c r="C25" s="12">
        <v>42353</v>
      </c>
      <c r="D25" s="6">
        <v>0.65555555555555556</v>
      </c>
      <c r="E25" s="6">
        <v>0.7006944444444444</v>
      </c>
      <c r="F25" s="6">
        <f t="shared" si="0"/>
        <v>4.513888888888884E-2</v>
      </c>
      <c r="G25" s="3">
        <f t="shared" si="1"/>
        <v>3.472222222222221E-2</v>
      </c>
      <c r="H25" t="s">
        <v>3</v>
      </c>
    </row>
    <row r="26" spans="1:8" x14ac:dyDescent="0.25">
      <c r="A26" s="12">
        <v>42353</v>
      </c>
      <c r="B26" s="12">
        <v>42353</v>
      </c>
      <c r="C26" s="12">
        <v>42353</v>
      </c>
      <c r="D26" s="6">
        <v>0.8666666666666667</v>
      </c>
      <c r="E26" s="6">
        <v>0.87708333333333333</v>
      </c>
      <c r="F26" s="6">
        <f t="shared" si="0"/>
        <v>1.041666666666663E-2</v>
      </c>
      <c r="G26" s="3">
        <f t="shared" si="1"/>
        <v>4.1666666666665964E-3</v>
      </c>
      <c r="H26" t="s">
        <v>3</v>
      </c>
    </row>
    <row r="27" spans="1:8" x14ac:dyDescent="0.25">
      <c r="A27" s="12">
        <v>42353</v>
      </c>
      <c r="B27" s="12">
        <v>42353</v>
      </c>
      <c r="C27" s="12">
        <v>42353</v>
      </c>
      <c r="D27" s="6">
        <v>0.40416666666666662</v>
      </c>
      <c r="E27" s="6">
        <v>0.41041666666666665</v>
      </c>
      <c r="F27" s="6">
        <f t="shared" si="0"/>
        <v>6.2500000000000333E-3</v>
      </c>
      <c r="G27" s="3">
        <f t="shared" si="1"/>
        <v>6.9444444444438647E-4</v>
      </c>
      <c r="H27" t="s">
        <v>3</v>
      </c>
    </row>
    <row r="28" spans="1:8" x14ac:dyDescent="0.25">
      <c r="A28" s="12">
        <v>42353</v>
      </c>
      <c r="B28" s="12">
        <v>42353</v>
      </c>
      <c r="C28" s="12">
        <v>42353</v>
      </c>
      <c r="D28" s="6">
        <v>0.5493055555555556</v>
      </c>
      <c r="E28" s="6">
        <v>0.55625000000000002</v>
      </c>
      <c r="F28" s="6">
        <f t="shared" si="0"/>
        <v>6.9444444444444198E-3</v>
      </c>
      <c r="G28" s="3">
        <f t="shared" si="1"/>
        <v>6.9444444444433095E-4</v>
      </c>
      <c r="H28" t="s">
        <v>3</v>
      </c>
    </row>
    <row r="29" spans="1:8" x14ac:dyDescent="0.25">
      <c r="A29" s="12">
        <v>42353</v>
      </c>
      <c r="B29" s="12">
        <v>42353</v>
      </c>
      <c r="C29" s="12">
        <v>42353</v>
      </c>
      <c r="D29" s="6">
        <v>0.58124999999999993</v>
      </c>
      <c r="E29" s="6">
        <v>0.58750000000000002</v>
      </c>
      <c r="F29" s="6">
        <f t="shared" si="0"/>
        <v>6.2500000000000888E-3</v>
      </c>
      <c r="G29" s="3">
        <f t="shared" si="1"/>
        <v>1.388888888888884E-3</v>
      </c>
      <c r="H29" t="s">
        <v>3</v>
      </c>
    </row>
    <row r="30" spans="1:8" x14ac:dyDescent="0.25">
      <c r="A30" s="12">
        <v>42353</v>
      </c>
      <c r="B30" s="12">
        <v>42353</v>
      </c>
      <c r="C30" s="12">
        <v>42353</v>
      </c>
      <c r="D30" s="6">
        <v>0.57986111111111105</v>
      </c>
      <c r="E30" s="6">
        <v>0.58750000000000002</v>
      </c>
      <c r="F30" s="6">
        <f t="shared" si="0"/>
        <v>7.6388888888889728E-3</v>
      </c>
      <c r="G30" s="3">
        <f t="shared" si="1"/>
        <v>3.3333333333333326E-2</v>
      </c>
      <c r="H30" t="s">
        <v>3</v>
      </c>
    </row>
    <row r="31" spans="1:8" x14ac:dyDescent="0.25">
      <c r="A31" s="12">
        <v>42353</v>
      </c>
      <c r="B31" s="12">
        <v>42353</v>
      </c>
      <c r="C31" s="12">
        <v>42353</v>
      </c>
      <c r="D31" s="6">
        <v>0.71597222222222223</v>
      </c>
      <c r="E31" s="6">
        <v>0.75694444444444453</v>
      </c>
      <c r="F31" s="6">
        <f t="shared" si="0"/>
        <v>4.0972222222222299E-2</v>
      </c>
      <c r="G31" s="3">
        <f t="shared" si="1"/>
        <v>3.4722222222222321E-2</v>
      </c>
      <c r="H31" t="s">
        <v>3</v>
      </c>
    </row>
    <row r="32" spans="1:8" x14ac:dyDescent="0.25">
      <c r="A32" s="12">
        <v>42353</v>
      </c>
      <c r="B32" s="12">
        <v>42353</v>
      </c>
      <c r="C32" s="12">
        <v>42353</v>
      </c>
      <c r="D32" s="6">
        <v>0.76180555555555562</v>
      </c>
      <c r="E32" s="6">
        <v>0.7680555555555556</v>
      </c>
      <c r="F32" s="6">
        <f t="shared" si="0"/>
        <v>6.2499999999999778E-3</v>
      </c>
      <c r="G32" s="3">
        <f t="shared" si="1"/>
        <v>2.0833333333333259E-3</v>
      </c>
      <c r="H32" t="s">
        <v>3</v>
      </c>
    </row>
    <row r="33" spans="1:8" x14ac:dyDescent="0.25">
      <c r="A33" s="12">
        <v>42353</v>
      </c>
      <c r="B33" s="12">
        <v>42353</v>
      </c>
      <c r="C33" s="12">
        <v>42353</v>
      </c>
      <c r="D33" s="6">
        <v>0.75208333333333333</v>
      </c>
      <c r="E33" s="6">
        <v>0.75624999999999998</v>
      </c>
      <c r="F33" s="6">
        <f t="shared" si="0"/>
        <v>4.1666666666666519E-3</v>
      </c>
      <c r="G33" s="3">
        <f t="shared" si="1"/>
        <v>1.5972222222222276E-2</v>
      </c>
      <c r="H33" t="s">
        <v>3</v>
      </c>
    </row>
    <row r="34" spans="1:8" x14ac:dyDescent="0.25">
      <c r="A34" s="12">
        <v>42353</v>
      </c>
      <c r="B34" s="12">
        <v>42353</v>
      </c>
      <c r="C34" s="12">
        <v>42353</v>
      </c>
      <c r="D34" s="6">
        <v>0.7715277777777777</v>
      </c>
      <c r="E34" s="6">
        <v>0.79166666666666663</v>
      </c>
      <c r="F34" s="6">
        <f t="shared" si="0"/>
        <v>2.0138888888888928E-2</v>
      </c>
      <c r="G34" s="3">
        <f t="shared" si="1"/>
        <v>1.6666666666666607E-2</v>
      </c>
      <c r="H34" t="s">
        <v>3</v>
      </c>
    </row>
    <row r="35" spans="1:8" x14ac:dyDescent="0.25">
      <c r="A35" s="12">
        <v>42353</v>
      </c>
      <c r="B35" s="12">
        <v>42353</v>
      </c>
      <c r="C35" s="12">
        <v>42353</v>
      </c>
      <c r="D35" s="6">
        <v>0.89166666666666661</v>
      </c>
      <c r="E35" s="6">
        <v>0.89513888888888893</v>
      </c>
      <c r="F35" s="6">
        <f t="shared" si="0"/>
        <v>3.4722222222223209E-3</v>
      </c>
      <c r="G35" s="3">
        <f t="shared" si="1"/>
        <v>6.9444444444444198E-4</v>
      </c>
      <c r="H35" t="s">
        <v>3</v>
      </c>
    </row>
    <row r="36" spans="1:8" x14ac:dyDescent="0.25">
      <c r="A36" s="12">
        <v>42353</v>
      </c>
      <c r="B36" s="12">
        <v>42353</v>
      </c>
      <c r="C36" s="12">
        <v>42353</v>
      </c>
      <c r="D36" s="6">
        <v>0.89930555555555547</v>
      </c>
      <c r="E36" s="6">
        <v>0.90347222222222223</v>
      </c>
      <c r="F36" s="6">
        <f t="shared" si="0"/>
        <v>4.1666666666667629E-3</v>
      </c>
      <c r="G36" s="3">
        <f t="shared" si="1"/>
        <v>0</v>
      </c>
      <c r="H36" t="s">
        <v>3</v>
      </c>
    </row>
    <row r="37" spans="1:8" x14ac:dyDescent="0.25">
      <c r="A37" s="12">
        <v>42353</v>
      </c>
      <c r="B37" s="12">
        <v>42353</v>
      </c>
      <c r="C37" s="12">
        <v>42353</v>
      </c>
      <c r="D37" s="6">
        <v>0.91736111111111107</v>
      </c>
      <c r="E37" s="6">
        <v>0.92152777777777783</v>
      </c>
      <c r="F37" s="6">
        <f t="shared" si="0"/>
        <v>4.1666666666667629E-3</v>
      </c>
      <c r="G37" s="3">
        <f t="shared" si="1"/>
        <v>7.6388888888887507E-3</v>
      </c>
      <c r="H37" t="s">
        <v>3</v>
      </c>
    </row>
    <row r="38" spans="1:8" x14ac:dyDescent="0.25">
      <c r="A38" s="12">
        <v>42353</v>
      </c>
      <c r="B38" s="12">
        <v>42353</v>
      </c>
      <c r="C38" s="12">
        <v>42353</v>
      </c>
      <c r="D38" s="6">
        <v>0.35416666666666669</v>
      </c>
      <c r="E38" s="6">
        <v>0.3659722222222222</v>
      </c>
      <c r="F38" s="6">
        <f t="shared" si="0"/>
        <v>1.1805555555555514E-2</v>
      </c>
      <c r="G38" s="3">
        <f t="shared" si="1"/>
        <v>7.6388888888889173E-3</v>
      </c>
      <c r="H38" t="s">
        <v>3</v>
      </c>
    </row>
    <row r="39" spans="1:8" x14ac:dyDescent="0.25">
      <c r="A39" s="12">
        <v>42353</v>
      </c>
      <c r="B39" s="12">
        <v>42353</v>
      </c>
      <c r="C39" s="12">
        <v>42353</v>
      </c>
      <c r="D39" s="6">
        <v>0.4291666666666667</v>
      </c>
      <c r="E39" s="6">
        <v>0.44861111111111113</v>
      </c>
      <c r="F39" s="6">
        <f t="shared" si="0"/>
        <v>1.9444444444444431E-2</v>
      </c>
      <c r="G39" s="3">
        <f t="shared" si="1"/>
        <v>2.0833333333333814E-3</v>
      </c>
      <c r="H39" t="s">
        <v>3</v>
      </c>
    </row>
    <row r="40" spans="1:8" x14ac:dyDescent="0.25">
      <c r="A40" s="12">
        <v>42353</v>
      </c>
      <c r="B40" s="12">
        <v>42353</v>
      </c>
      <c r="C40" s="12">
        <v>42353</v>
      </c>
      <c r="D40" s="6">
        <v>0.40625</v>
      </c>
      <c r="E40" s="6">
        <v>0.42777777777777781</v>
      </c>
      <c r="F40" s="6">
        <f t="shared" si="0"/>
        <v>2.1527777777777812E-2</v>
      </c>
      <c r="G40" s="3">
        <f t="shared" si="1"/>
        <v>1.4583333333333393E-2</v>
      </c>
      <c r="H40" t="s">
        <v>3</v>
      </c>
    </row>
    <row r="41" spans="1:8" x14ac:dyDescent="0.25">
      <c r="A41" s="12">
        <v>42353</v>
      </c>
      <c r="B41" s="12">
        <v>42353</v>
      </c>
      <c r="C41" s="12">
        <v>42353</v>
      </c>
      <c r="D41" s="6">
        <v>0.50486111111111109</v>
      </c>
      <c r="E41" s="6">
        <v>0.51180555555555551</v>
      </c>
      <c r="F41" s="6">
        <f t="shared" si="0"/>
        <v>6.9444444444444198E-3</v>
      </c>
      <c r="G41" s="3">
        <f t="shared" si="1"/>
        <v>6.9444444444444198E-4</v>
      </c>
      <c r="H41" t="s">
        <v>3</v>
      </c>
    </row>
    <row r="42" spans="1:8" x14ac:dyDescent="0.25">
      <c r="A42" s="12">
        <v>42353</v>
      </c>
      <c r="B42" s="12">
        <v>42353</v>
      </c>
      <c r="C42" s="12">
        <v>42353</v>
      </c>
      <c r="D42" s="6">
        <v>0.59722222222222221</v>
      </c>
      <c r="E42" s="6">
        <v>0.60347222222222219</v>
      </c>
      <c r="F42" s="6">
        <f t="shared" si="0"/>
        <v>6.2499999999999778E-3</v>
      </c>
      <c r="G42" s="3">
        <f t="shared" si="1"/>
        <v>7.6388888888889728E-3</v>
      </c>
      <c r="H42" t="s">
        <v>3</v>
      </c>
    </row>
    <row r="43" spans="1:8" x14ac:dyDescent="0.25">
      <c r="A43" s="12">
        <v>42353</v>
      </c>
      <c r="B43" s="12">
        <v>42353</v>
      </c>
      <c r="C43" s="12">
        <v>42353</v>
      </c>
      <c r="D43" s="6">
        <v>0.59652777777777777</v>
      </c>
      <c r="E43" s="6">
        <v>0.61041666666666672</v>
      </c>
      <c r="F43" s="6">
        <f t="shared" si="0"/>
        <v>1.3888888888888951E-2</v>
      </c>
      <c r="G43" s="3">
        <f t="shared" si="1"/>
        <v>1.388888888888884E-3</v>
      </c>
      <c r="H43" t="s">
        <v>3</v>
      </c>
    </row>
    <row r="44" spans="1:8" x14ac:dyDescent="0.25">
      <c r="A44" s="12">
        <v>42353</v>
      </c>
      <c r="B44" s="12">
        <v>42353</v>
      </c>
      <c r="C44" s="12">
        <v>42353</v>
      </c>
      <c r="D44" s="6">
        <v>0.7319444444444444</v>
      </c>
      <c r="E44" s="6">
        <v>0.74444444444444446</v>
      </c>
      <c r="F44" s="6">
        <f t="shared" si="0"/>
        <v>1.2500000000000067E-2</v>
      </c>
      <c r="G44" s="3">
        <f t="shared" si="1"/>
        <v>1.0416666666666852E-2</v>
      </c>
      <c r="H44" t="s">
        <v>3</v>
      </c>
    </row>
    <row r="45" spans="1:8" x14ac:dyDescent="0.25">
      <c r="A45" s="12">
        <v>42353</v>
      </c>
      <c r="B45" s="12">
        <v>42353</v>
      </c>
      <c r="C45" s="12">
        <v>42353</v>
      </c>
      <c r="D45" s="6">
        <v>0.75416666666666676</v>
      </c>
      <c r="E45" s="6">
        <v>0.75624999999999998</v>
      </c>
      <c r="F45" s="6">
        <f t="shared" si="0"/>
        <v>2.0833333333332149E-3</v>
      </c>
      <c r="G45" s="3">
        <f t="shared" si="1"/>
        <v>7.6388888888889728E-3</v>
      </c>
      <c r="H45" t="s">
        <v>3</v>
      </c>
    </row>
    <row r="46" spans="1:8" x14ac:dyDescent="0.25">
      <c r="A46" s="12">
        <v>42353</v>
      </c>
      <c r="B46" s="12">
        <v>42353</v>
      </c>
      <c r="C46" s="12">
        <v>42353</v>
      </c>
      <c r="D46" s="6">
        <v>0.76527777777777783</v>
      </c>
      <c r="E46" s="6">
        <v>0.77500000000000002</v>
      </c>
      <c r="F46" s="6">
        <f t="shared" si="0"/>
        <v>9.7222222222221877E-3</v>
      </c>
      <c r="G46" s="3">
        <f t="shared" si="1"/>
        <v>1.1805555555555514E-2</v>
      </c>
      <c r="H46" t="s">
        <v>3</v>
      </c>
    </row>
    <row r="47" spans="1:8" x14ac:dyDescent="0.25">
      <c r="A47" s="12">
        <v>42353</v>
      </c>
      <c r="B47" s="12">
        <v>42353</v>
      </c>
      <c r="C47" s="12">
        <v>42353</v>
      </c>
      <c r="D47" s="6">
        <v>0.76527777777777783</v>
      </c>
      <c r="E47" s="6">
        <v>0.78680555555555554</v>
      </c>
      <c r="F47" s="6">
        <f t="shared" si="0"/>
        <v>2.1527777777777701E-2</v>
      </c>
      <c r="G47" s="3">
        <f t="shared" si="1"/>
        <v>1.1111111111111072E-2</v>
      </c>
      <c r="H47" t="s">
        <v>3</v>
      </c>
    </row>
    <row r="48" spans="1:8" x14ac:dyDescent="0.25">
      <c r="A48" s="12">
        <v>42353</v>
      </c>
      <c r="B48" s="12">
        <v>42353</v>
      </c>
      <c r="C48" s="12">
        <v>42353</v>
      </c>
      <c r="D48" s="6">
        <v>0.8666666666666667</v>
      </c>
      <c r="E48" s="6">
        <v>0.87708333333333333</v>
      </c>
      <c r="F48" s="6">
        <f t="shared" si="0"/>
        <v>1.041666666666663E-2</v>
      </c>
      <c r="G48" s="3">
        <f t="shared" si="1"/>
        <v>1.3888888888887729E-3</v>
      </c>
      <c r="H48" t="s">
        <v>3</v>
      </c>
    </row>
    <row r="49" spans="1:8" x14ac:dyDescent="0.25">
      <c r="A49" s="12">
        <v>42353</v>
      </c>
      <c r="B49" s="12">
        <v>42353</v>
      </c>
      <c r="C49" s="12">
        <v>42353</v>
      </c>
      <c r="D49" s="6">
        <v>0.8965277777777777</v>
      </c>
      <c r="E49" s="6">
        <v>0.90555555555555556</v>
      </c>
      <c r="F49" s="6">
        <f t="shared" si="0"/>
        <v>9.0277777777778567E-3</v>
      </c>
      <c r="G49" s="3">
        <f t="shared" si="1"/>
        <v>2.7777777777777679E-3</v>
      </c>
      <c r="H49" t="s">
        <v>3</v>
      </c>
    </row>
    <row r="50" spans="1:8" x14ac:dyDescent="0.25">
      <c r="A50" s="12">
        <v>42353</v>
      </c>
      <c r="B50" s="12">
        <v>42353</v>
      </c>
      <c r="C50" s="12">
        <v>42353</v>
      </c>
      <c r="D50" s="6">
        <v>1.0006944444444443</v>
      </c>
      <c r="E50" s="6">
        <v>1.0125</v>
      </c>
      <c r="F50" s="6">
        <f t="shared" si="0"/>
        <v>1.1805555555555625E-2</v>
      </c>
      <c r="G50" s="3">
        <f t="shared" si="1"/>
        <v>2.7777777777778512E-3</v>
      </c>
      <c r="H50" t="s">
        <v>3</v>
      </c>
    </row>
    <row r="51" spans="1:8" x14ac:dyDescent="0.25">
      <c r="A51" s="12">
        <v>42353</v>
      </c>
      <c r="B51" s="12">
        <v>42353</v>
      </c>
      <c r="C51" s="12">
        <v>42353</v>
      </c>
      <c r="D51" s="6">
        <v>4.3750000000000004E-2</v>
      </c>
      <c r="E51" s="6">
        <v>5.2777777777777778E-2</v>
      </c>
      <c r="F51" s="6">
        <f t="shared" si="0"/>
        <v>9.0277777777777735E-3</v>
      </c>
      <c r="G51" s="3">
        <f t="shared" si="1"/>
        <v>2.7777777777777957E-3</v>
      </c>
      <c r="H51" t="s">
        <v>3</v>
      </c>
    </row>
    <row r="52" spans="1:8" x14ac:dyDescent="0.25">
      <c r="A52" s="12">
        <v>42353</v>
      </c>
      <c r="B52" s="12">
        <v>42353</v>
      </c>
      <c r="C52" s="12">
        <v>42353</v>
      </c>
      <c r="D52" s="6">
        <v>0.33958333333333335</v>
      </c>
      <c r="E52" s="6">
        <v>0.35138888888888892</v>
      </c>
      <c r="F52" s="6">
        <f t="shared" si="0"/>
        <v>1.1805555555555569E-2</v>
      </c>
      <c r="G52" s="3">
        <f t="shared" si="1"/>
        <v>3.4722222222222654E-3</v>
      </c>
      <c r="H52" t="s">
        <v>3</v>
      </c>
    </row>
    <row r="53" spans="1:8" x14ac:dyDescent="0.25">
      <c r="A53" s="12">
        <v>42353</v>
      </c>
      <c r="B53" s="12">
        <v>42353</v>
      </c>
      <c r="C53" s="12">
        <v>42353</v>
      </c>
      <c r="D53" s="6">
        <v>0.43194444444444446</v>
      </c>
      <c r="E53" s="6">
        <v>0.44027777777777777</v>
      </c>
      <c r="F53" s="6">
        <f t="shared" si="0"/>
        <v>8.3333333333333037E-3</v>
      </c>
      <c r="G53" s="3">
        <f t="shared" si="1"/>
        <v>4.8611111111110938E-3</v>
      </c>
      <c r="H53" t="s">
        <v>3</v>
      </c>
    </row>
    <row r="54" spans="1:8" x14ac:dyDescent="0.25">
      <c r="A54" s="12">
        <v>42353</v>
      </c>
      <c r="B54" s="12">
        <v>42353</v>
      </c>
      <c r="C54" s="12">
        <v>42353</v>
      </c>
      <c r="D54" s="6">
        <v>0.49305555555555558</v>
      </c>
      <c r="E54" s="6">
        <v>0.50624999999999998</v>
      </c>
      <c r="F54" s="6">
        <f t="shared" si="0"/>
        <v>1.3194444444444398E-2</v>
      </c>
      <c r="G54" s="3">
        <f t="shared" si="1"/>
        <v>2.7777777777777679E-3</v>
      </c>
      <c r="H54" t="s">
        <v>3</v>
      </c>
    </row>
    <row r="55" spans="1:8" x14ac:dyDescent="0.25">
      <c r="A55" s="12">
        <v>42353</v>
      </c>
      <c r="B55" s="12">
        <v>42353</v>
      </c>
      <c r="C55" s="12">
        <v>42353</v>
      </c>
      <c r="D55" s="6">
        <v>0.52708333333333335</v>
      </c>
      <c r="E55" s="6">
        <v>0.53749999999999998</v>
      </c>
      <c r="F55" s="6">
        <f t="shared" si="0"/>
        <v>1.041666666666663E-2</v>
      </c>
      <c r="G55" s="3">
        <f t="shared" si="1"/>
        <v>5.5555555555555358E-3</v>
      </c>
      <c r="H55" t="s">
        <v>3</v>
      </c>
    </row>
    <row r="56" spans="1:8" x14ac:dyDescent="0.25">
      <c r="A56" s="12">
        <v>42353</v>
      </c>
      <c r="B56" s="12">
        <v>42353</v>
      </c>
      <c r="C56" s="12">
        <v>42353</v>
      </c>
      <c r="D56" s="6">
        <v>0.72152777777777777</v>
      </c>
      <c r="E56" s="6">
        <v>0.72638888888888886</v>
      </c>
      <c r="F56" s="6">
        <f t="shared" si="0"/>
        <v>4.8611111111110938E-3</v>
      </c>
      <c r="G56" s="3">
        <f t="shared" si="1"/>
        <v>5.5555555555555358E-3</v>
      </c>
      <c r="H56" t="s">
        <v>3</v>
      </c>
    </row>
    <row r="57" spans="1:8" x14ac:dyDescent="0.25">
      <c r="A57" s="12">
        <v>42353</v>
      </c>
      <c r="B57" s="12">
        <v>42353</v>
      </c>
      <c r="C57" s="12">
        <v>42353</v>
      </c>
      <c r="D57" s="6">
        <v>0.79236111111111107</v>
      </c>
      <c r="E57" s="6">
        <v>0.8027777777777777</v>
      </c>
      <c r="F57" s="6">
        <f t="shared" si="0"/>
        <v>1.041666666666663E-2</v>
      </c>
      <c r="G57" s="3">
        <f t="shared" si="1"/>
        <v>6.9444444444444198E-4</v>
      </c>
      <c r="H57" t="s">
        <v>3</v>
      </c>
    </row>
    <row r="58" spans="1:8" x14ac:dyDescent="0.25">
      <c r="A58" s="12">
        <v>42353</v>
      </c>
      <c r="B58" s="12">
        <v>42353</v>
      </c>
      <c r="C58" s="12">
        <v>42353</v>
      </c>
      <c r="D58" s="6">
        <v>0.85833333333333339</v>
      </c>
      <c r="E58" s="6">
        <v>0.86944444444444446</v>
      </c>
      <c r="F58" s="6">
        <f t="shared" si="0"/>
        <v>1.1111111111111072E-2</v>
      </c>
      <c r="G58" s="3">
        <f t="shared" si="1"/>
        <v>3.4722222222222099E-3</v>
      </c>
      <c r="H58" t="s">
        <v>3</v>
      </c>
    </row>
    <row r="59" spans="1:8" x14ac:dyDescent="0.25">
      <c r="A59" s="12">
        <v>42353</v>
      </c>
      <c r="B59" s="12">
        <v>42353</v>
      </c>
      <c r="C59" s="12">
        <v>42353</v>
      </c>
      <c r="D59" s="6">
        <v>0.91041666666666676</v>
      </c>
      <c r="E59" s="6">
        <v>0.91805555555555562</v>
      </c>
      <c r="F59" s="6">
        <f t="shared" si="0"/>
        <v>7.6388888888888618E-3</v>
      </c>
      <c r="G59" s="3">
        <f t="shared" si="1"/>
        <v>5.5511151231257827E-17</v>
      </c>
      <c r="H59" t="s">
        <v>3</v>
      </c>
    </row>
    <row r="60" spans="1:8" x14ac:dyDescent="0.25">
      <c r="A60" s="12">
        <v>42353</v>
      </c>
      <c r="B60" s="12">
        <v>42353</v>
      </c>
      <c r="C60" s="12">
        <v>42353</v>
      </c>
      <c r="D60" s="6">
        <v>0.39652777777777781</v>
      </c>
      <c r="E60" s="6">
        <v>0.40416666666666662</v>
      </c>
      <c r="F60" s="6">
        <f t="shared" si="0"/>
        <v>7.6388888888888062E-3</v>
      </c>
      <c r="G60" s="3">
        <f t="shared" si="1"/>
        <v>3.4722222222220989E-3</v>
      </c>
      <c r="H60" t="s">
        <v>3</v>
      </c>
    </row>
    <row r="61" spans="1:8" x14ac:dyDescent="0.25">
      <c r="A61" s="12">
        <v>42353</v>
      </c>
      <c r="B61" s="12">
        <v>42353</v>
      </c>
      <c r="C61" s="12">
        <v>42353</v>
      </c>
      <c r="D61" s="6">
        <v>0.3923611111111111</v>
      </c>
      <c r="E61" s="6">
        <v>0.39652777777777781</v>
      </c>
      <c r="F61" s="6">
        <f t="shared" si="0"/>
        <v>4.1666666666667074E-3</v>
      </c>
      <c r="G61" s="3">
        <f t="shared" si="1"/>
        <v>1.388888888888884E-3</v>
      </c>
      <c r="H61" t="s">
        <v>3</v>
      </c>
    </row>
    <row r="62" spans="1:8" x14ac:dyDescent="0.25">
      <c r="A62" s="12">
        <v>42353</v>
      </c>
      <c r="B62" s="12">
        <v>42353</v>
      </c>
      <c r="C62" s="12">
        <v>42353</v>
      </c>
      <c r="D62" s="6">
        <v>0.4861111111111111</v>
      </c>
      <c r="E62" s="6">
        <v>0.4916666666666667</v>
      </c>
      <c r="F62" s="6">
        <f t="shared" si="0"/>
        <v>5.5555555555555913E-3</v>
      </c>
      <c r="G62" s="3">
        <f t="shared" si="1"/>
        <v>2.7777777777778234E-3</v>
      </c>
      <c r="H62" t="s">
        <v>3</v>
      </c>
    </row>
    <row r="63" spans="1:8" x14ac:dyDescent="0.25">
      <c r="A63" s="12">
        <v>42353</v>
      </c>
      <c r="B63" s="12">
        <v>42353</v>
      </c>
      <c r="C63" s="12">
        <v>42353</v>
      </c>
      <c r="D63" s="6">
        <v>0.55138888888888882</v>
      </c>
      <c r="E63" s="6">
        <v>0.55972222222222223</v>
      </c>
      <c r="F63" s="6">
        <f t="shared" si="0"/>
        <v>8.3333333333334147E-3</v>
      </c>
      <c r="G63" s="3">
        <f t="shared" si="1"/>
        <v>2.2222222222222143E-2</v>
      </c>
      <c r="H63" t="s">
        <v>3</v>
      </c>
    </row>
    <row r="64" spans="1:8" x14ac:dyDescent="0.25">
      <c r="A64" s="12">
        <v>42353</v>
      </c>
      <c r="B64" s="12">
        <v>42353</v>
      </c>
      <c r="C64" s="12">
        <v>42353</v>
      </c>
      <c r="D64" s="6">
        <v>0.59166666666666667</v>
      </c>
      <c r="E64" s="6">
        <v>0.62222222222222223</v>
      </c>
      <c r="F64" s="6">
        <f t="shared" si="0"/>
        <v>3.0555555555555558E-2</v>
      </c>
      <c r="G64" s="3">
        <f t="shared" si="1"/>
        <v>1.4583333333333282E-2</v>
      </c>
      <c r="H64" t="s">
        <v>3</v>
      </c>
    </row>
    <row r="65" spans="1:8" x14ac:dyDescent="0.25">
      <c r="A65" s="12">
        <v>42353</v>
      </c>
      <c r="B65" s="12">
        <v>42353</v>
      </c>
      <c r="C65" s="12">
        <v>42353</v>
      </c>
      <c r="D65" s="6">
        <v>0.63680555555555551</v>
      </c>
      <c r="E65" s="6">
        <v>0.65277777777777779</v>
      </c>
      <c r="F65" s="6">
        <f t="shared" si="0"/>
        <v>1.5972222222222276E-2</v>
      </c>
      <c r="G65" s="3">
        <f t="shared" si="1"/>
        <v>8.3333333333334147E-3</v>
      </c>
      <c r="H65" t="s">
        <v>3</v>
      </c>
    </row>
    <row r="66" spans="1:8" x14ac:dyDescent="0.25">
      <c r="A66" s="12">
        <v>42353</v>
      </c>
      <c r="B66" s="12">
        <v>42353</v>
      </c>
      <c r="C66" s="12">
        <v>42353</v>
      </c>
      <c r="D66" s="6">
        <v>0.72569444444444453</v>
      </c>
      <c r="E66" s="6">
        <v>0.73333333333333339</v>
      </c>
      <c r="F66" s="6">
        <f t="shared" si="0"/>
        <v>7.6388888888888618E-3</v>
      </c>
      <c r="G66" s="3">
        <f t="shared" si="1"/>
        <v>2.083333333333437E-3</v>
      </c>
      <c r="H66" t="s">
        <v>3</v>
      </c>
    </row>
    <row r="67" spans="1:8" x14ac:dyDescent="0.25">
      <c r="A67" s="12">
        <v>42353</v>
      </c>
      <c r="B67" s="12">
        <v>42353</v>
      </c>
      <c r="C67" s="12">
        <v>42353</v>
      </c>
      <c r="D67" s="6">
        <v>0.88541666666666663</v>
      </c>
      <c r="E67" s="6">
        <v>0.89513888888888893</v>
      </c>
      <c r="F67" s="6">
        <f t="shared" ref="F67:F129" si="2">E67-D67</f>
        <v>9.7222222222222987E-3</v>
      </c>
      <c r="G67" s="3">
        <f t="shared" ref="G67:G130" si="3">ABS(F68-F67)</f>
        <v>6.2500000000001998E-3</v>
      </c>
      <c r="H67" t="s">
        <v>3</v>
      </c>
    </row>
    <row r="68" spans="1:8" x14ac:dyDescent="0.25">
      <c r="A68" s="12">
        <v>42353</v>
      </c>
      <c r="B68" s="12">
        <v>42353</v>
      </c>
      <c r="C68" s="12">
        <v>42353</v>
      </c>
      <c r="D68" s="6">
        <v>0.9784722222222223</v>
      </c>
      <c r="E68" s="6">
        <v>0.9819444444444444</v>
      </c>
      <c r="F68" s="6">
        <f t="shared" si="2"/>
        <v>3.4722222222220989E-3</v>
      </c>
      <c r="G68" s="3">
        <f t="shared" si="3"/>
        <v>2.083333333333337E-2</v>
      </c>
      <c r="H68" t="s">
        <v>3</v>
      </c>
    </row>
    <row r="69" spans="1:8" x14ac:dyDescent="0.25">
      <c r="A69" s="12">
        <v>42353</v>
      </c>
      <c r="B69" s="12">
        <v>42353</v>
      </c>
      <c r="C69" s="12">
        <v>42353</v>
      </c>
      <c r="D69" s="6">
        <v>0.65625</v>
      </c>
      <c r="E69" s="6">
        <v>0.68055555555555547</v>
      </c>
      <c r="F69" s="6">
        <f t="shared" si="2"/>
        <v>2.4305555555555469E-2</v>
      </c>
      <c r="G69" s="3">
        <f t="shared" si="3"/>
        <v>1.3194444444444398E-2</v>
      </c>
      <c r="H69" t="s">
        <v>3</v>
      </c>
    </row>
    <row r="70" spans="1:8" x14ac:dyDescent="0.25">
      <c r="A70" s="12">
        <v>42353</v>
      </c>
      <c r="B70" s="12">
        <v>42353</v>
      </c>
      <c r="C70" s="12">
        <v>42353</v>
      </c>
      <c r="D70" s="6">
        <v>0.75486111111111109</v>
      </c>
      <c r="E70" s="6">
        <v>0.76597222222222217</v>
      </c>
      <c r="F70" s="6">
        <f t="shared" si="2"/>
        <v>1.1111111111111072E-2</v>
      </c>
      <c r="G70" s="3">
        <f t="shared" si="3"/>
        <v>2.0833333333333259E-3</v>
      </c>
      <c r="H70" t="s">
        <v>3</v>
      </c>
    </row>
    <row r="71" spans="1:8" x14ac:dyDescent="0.25">
      <c r="A71" s="12">
        <v>42353</v>
      </c>
      <c r="B71" s="12">
        <v>42353</v>
      </c>
      <c r="C71" s="12">
        <v>42353</v>
      </c>
      <c r="D71" s="6">
        <v>0.80763888888888891</v>
      </c>
      <c r="E71" s="6">
        <v>0.8208333333333333</v>
      </c>
      <c r="F71" s="6">
        <f t="shared" si="2"/>
        <v>1.3194444444444398E-2</v>
      </c>
      <c r="G71" s="3">
        <f t="shared" si="3"/>
        <v>8.3333333333333037E-3</v>
      </c>
      <c r="H71" t="s">
        <v>3</v>
      </c>
    </row>
    <row r="72" spans="1:8" x14ac:dyDescent="0.25">
      <c r="A72" s="12">
        <v>42353</v>
      </c>
      <c r="B72" s="12">
        <v>42353</v>
      </c>
      <c r="C72" s="12">
        <v>42353</v>
      </c>
      <c r="D72" s="6">
        <v>0.87013888888888891</v>
      </c>
      <c r="E72" s="6">
        <v>0.875</v>
      </c>
      <c r="F72" s="6">
        <f t="shared" si="2"/>
        <v>4.8611111111110938E-3</v>
      </c>
      <c r="G72" s="3">
        <f t="shared" si="3"/>
        <v>1.3888888888887729E-3</v>
      </c>
      <c r="H72" t="s">
        <v>3</v>
      </c>
    </row>
    <row r="73" spans="1:8" x14ac:dyDescent="0.25">
      <c r="A73" s="12">
        <v>42353</v>
      </c>
      <c r="B73" s="12">
        <v>42353</v>
      </c>
      <c r="C73" s="12">
        <v>42353</v>
      </c>
      <c r="D73" s="6">
        <v>0.88194444444444453</v>
      </c>
      <c r="E73" s="6">
        <v>0.8881944444444444</v>
      </c>
      <c r="F73" s="6">
        <f t="shared" si="2"/>
        <v>6.2499999999998668E-3</v>
      </c>
      <c r="G73" s="3">
        <f t="shared" si="3"/>
        <v>5.5555555555556468E-3</v>
      </c>
      <c r="H73" t="s">
        <v>3</v>
      </c>
    </row>
    <row r="74" spans="1:8" x14ac:dyDescent="0.25">
      <c r="A74" s="12">
        <v>42353</v>
      </c>
      <c r="B74" s="12">
        <v>42353</v>
      </c>
      <c r="C74" s="12">
        <v>42353</v>
      </c>
      <c r="D74" s="6">
        <v>0.92361111111111116</v>
      </c>
      <c r="E74" s="6">
        <v>0.93541666666666667</v>
      </c>
      <c r="F74" s="6">
        <f t="shared" si="2"/>
        <v>1.1805555555555514E-2</v>
      </c>
      <c r="G74" s="3">
        <f t="shared" si="3"/>
        <v>4.8611111111110938E-3</v>
      </c>
      <c r="H74" t="s">
        <v>3</v>
      </c>
    </row>
    <row r="75" spans="1:8" x14ac:dyDescent="0.25">
      <c r="A75" s="12">
        <v>42353</v>
      </c>
      <c r="B75" s="12">
        <v>42353</v>
      </c>
      <c r="C75" s="12">
        <v>42353</v>
      </c>
      <c r="D75" s="6">
        <v>0.96527777777777779</v>
      </c>
      <c r="E75" s="6">
        <v>0.97222222222222221</v>
      </c>
      <c r="F75" s="6">
        <f t="shared" si="2"/>
        <v>6.9444444444444198E-3</v>
      </c>
      <c r="G75" s="3">
        <f t="shared" si="3"/>
        <v>1.4583333333333393E-2</v>
      </c>
      <c r="H75" t="s">
        <v>3</v>
      </c>
    </row>
    <row r="76" spans="1:8" x14ac:dyDescent="0.25">
      <c r="A76" s="12">
        <v>42353</v>
      </c>
      <c r="B76" s="12">
        <v>42353</v>
      </c>
      <c r="C76" s="12">
        <v>42353</v>
      </c>
      <c r="D76" s="6">
        <v>0.42708333333333331</v>
      </c>
      <c r="E76" s="6">
        <v>0.44861111111111113</v>
      </c>
      <c r="F76" s="6">
        <f t="shared" si="2"/>
        <v>2.1527777777777812E-2</v>
      </c>
      <c r="G76" s="3">
        <f t="shared" si="3"/>
        <v>1.9444444444444375E-2</v>
      </c>
      <c r="H76" t="s">
        <v>3</v>
      </c>
    </row>
    <row r="77" spans="1:8" x14ac:dyDescent="0.25">
      <c r="A77" s="12">
        <v>42353</v>
      </c>
      <c r="B77" s="12">
        <v>42353</v>
      </c>
      <c r="C77" s="12">
        <v>42353</v>
      </c>
      <c r="D77" s="6">
        <v>0.76874999999999993</v>
      </c>
      <c r="E77" s="6">
        <v>0.77083333333333337</v>
      </c>
      <c r="F77" s="6">
        <f t="shared" si="2"/>
        <v>2.083333333333437E-3</v>
      </c>
      <c r="G77" s="3">
        <f t="shared" si="3"/>
        <v>5.5555555555554248E-3</v>
      </c>
      <c r="H77" t="s">
        <v>3</v>
      </c>
    </row>
    <row r="78" spans="1:8" x14ac:dyDescent="0.25">
      <c r="A78" s="12">
        <v>42353</v>
      </c>
      <c r="B78" s="12">
        <v>42353</v>
      </c>
      <c r="C78" s="12">
        <v>42353</v>
      </c>
      <c r="D78" s="6">
        <v>0.81597222222222221</v>
      </c>
      <c r="E78" s="6">
        <v>0.82361111111111107</v>
      </c>
      <c r="F78" s="6">
        <f t="shared" si="2"/>
        <v>7.6388888888888618E-3</v>
      </c>
      <c r="G78" s="3">
        <f t="shared" si="3"/>
        <v>9.0277777777778567E-3</v>
      </c>
      <c r="H78" t="s">
        <v>3</v>
      </c>
    </row>
    <row r="79" spans="1:8" x14ac:dyDescent="0.25">
      <c r="A79" s="12">
        <v>42353</v>
      </c>
      <c r="B79" s="12">
        <v>42353</v>
      </c>
      <c r="C79" s="12">
        <v>42353</v>
      </c>
      <c r="D79" s="6">
        <v>0.98749999999999993</v>
      </c>
      <c r="E79" s="6">
        <v>1.0041666666666667</v>
      </c>
      <c r="F79" s="6">
        <f t="shared" si="2"/>
        <v>1.6666666666666718E-2</v>
      </c>
      <c r="G79" s="3">
        <f t="shared" si="3"/>
        <v>5.5555555555555358E-3</v>
      </c>
      <c r="H79" t="s">
        <v>3</v>
      </c>
    </row>
    <row r="80" spans="1:8" x14ac:dyDescent="0.25">
      <c r="A80" s="12">
        <v>42353</v>
      </c>
      <c r="B80" s="12">
        <v>42353</v>
      </c>
      <c r="C80" s="12">
        <v>42353</v>
      </c>
      <c r="D80" s="6">
        <v>0.33749999999999997</v>
      </c>
      <c r="E80" s="6">
        <v>0.34861111111111115</v>
      </c>
      <c r="F80" s="6">
        <f t="shared" si="2"/>
        <v>1.1111111111111183E-2</v>
      </c>
      <c r="G80" s="3">
        <f t="shared" si="3"/>
        <v>6.2499999999999778E-3</v>
      </c>
      <c r="H80" t="s">
        <v>3</v>
      </c>
    </row>
    <row r="81" spans="1:8" x14ac:dyDescent="0.25">
      <c r="A81" s="12">
        <v>42353</v>
      </c>
      <c r="B81" s="12">
        <v>42353</v>
      </c>
      <c r="C81" s="12">
        <v>42353</v>
      </c>
      <c r="D81" s="6">
        <v>0.55138888888888882</v>
      </c>
      <c r="E81" s="6">
        <v>0.56874999999999998</v>
      </c>
      <c r="F81" s="6">
        <f t="shared" si="2"/>
        <v>1.736111111111116E-2</v>
      </c>
      <c r="G81" s="3">
        <f t="shared" si="3"/>
        <v>9.7222222222221877E-3</v>
      </c>
      <c r="H81" t="s">
        <v>3</v>
      </c>
    </row>
    <row r="82" spans="1:8" x14ac:dyDescent="0.25">
      <c r="A82" s="12">
        <v>42353</v>
      </c>
      <c r="B82" s="12">
        <v>42353</v>
      </c>
      <c r="C82" s="12">
        <v>42353</v>
      </c>
      <c r="D82" s="6">
        <v>0.77986111111111101</v>
      </c>
      <c r="E82" s="6">
        <v>0.78749999999999998</v>
      </c>
      <c r="F82" s="6">
        <f t="shared" si="2"/>
        <v>7.6388888888889728E-3</v>
      </c>
      <c r="G82" s="3">
        <f t="shared" si="3"/>
        <v>1.388888888888995E-3</v>
      </c>
      <c r="H82" t="s">
        <v>3</v>
      </c>
    </row>
    <row r="83" spans="1:8" x14ac:dyDescent="0.25">
      <c r="A83" s="12">
        <v>42353</v>
      </c>
      <c r="B83" s="12">
        <v>42353</v>
      </c>
      <c r="C83" s="12">
        <v>42353</v>
      </c>
      <c r="D83" s="6">
        <v>0.84027777777777779</v>
      </c>
      <c r="E83" s="6">
        <v>0.84652777777777777</v>
      </c>
      <c r="F83" s="6">
        <f t="shared" si="2"/>
        <v>6.2499999999999778E-3</v>
      </c>
      <c r="G83" s="3">
        <f t="shared" si="3"/>
        <v>2.8472222222222121E-2</v>
      </c>
      <c r="H83" t="s">
        <v>3</v>
      </c>
    </row>
    <row r="84" spans="1:8" x14ac:dyDescent="0.25">
      <c r="A84" s="12">
        <v>42353</v>
      </c>
      <c r="B84" s="12">
        <v>42353</v>
      </c>
      <c r="C84" s="12">
        <v>42353</v>
      </c>
      <c r="D84" s="6">
        <v>0.9243055555555556</v>
      </c>
      <c r="E84" s="6">
        <v>0.9590277777777777</v>
      </c>
      <c r="F84" s="6">
        <f t="shared" si="2"/>
        <v>3.4722222222222099E-2</v>
      </c>
      <c r="G84" s="3">
        <f t="shared" si="3"/>
        <v>2.7083333333333237E-2</v>
      </c>
      <c r="H84" t="s">
        <v>3</v>
      </c>
    </row>
    <row r="85" spans="1:8" x14ac:dyDescent="0.25">
      <c r="A85" s="12">
        <v>42353</v>
      </c>
      <c r="B85" s="12">
        <v>42353</v>
      </c>
      <c r="C85" s="12">
        <v>42353</v>
      </c>
      <c r="D85" s="6">
        <v>0.83194444444444438</v>
      </c>
      <c r="E85" s="6">
        <v>0.83958333333333324</v>
      </c>
      <c r="F85" s="6">
        <f t="shared" si="2"/>
        <v>7.6388888888888618E-3</v>
      </c>
      <c r="G85" s="3">
        <f t="shared" si="3"/>
        <v>1.3194444444444509E-2</v>
      </c>
      <c r="H85" t="s">
        <v>3</v>
      </c>
    </row>
    <row r="86" spans="1:8" x14ac:dyDescent="0.25">
      <c r="A86" s="12">
        <v>42353</v>
      </c>
      <c r="B86" s="12">
        <v>42353</v>
      </c>
      <c r="C86" s="12">
        <v>42353</v>
      </c>
      <c r="D86" s="6">
        <v>0.46527777777777773</v>
      </c>
      <c r="E86" s="6">
        <v>0.4861111111111111</v>
      </c>
      <c r="F86" s="6">
        <f t="shared" si="2"/>
        <v>2.083333333333337E-2</v>
      </c>
      <c r="G86" s="3">
        <f t="shared" si="3"/>
        <v>1.0416666666666741E-2</v>
      </c>
      <c r="H86" t="s">
        <v>3</v>
      </c>
    </row>
    <row r="87" spans="1:8" x14ac:dyDescent="0.25">
      <c r="A87" s="12">
        <v>42353</v>
      </c>
      <c r="B87" s="12">
        <v>42353</v>
      </c>
      <c r="C87" s="12">
        <v>42353</v>
      </c>
      <c r="D87" s="6">
        <v>0.73541666666666661</v>
      </c>
      <c r="E87" s="6">
        <v>0.74583333333333324</v>
      </c>
      <c r="F87" s="6">
        <f t="shared" si="2"/>
        <v>1.041666666666663E-2</v>
      </c>
      <c r="G87" s="3">
        <f t="shared" si="3"/>
        <v>4.1666666666667629E-3</v>
      </c>
      <c r="H87" t="s">
        <v>3</v>
      </c>
    </row>
    <row r="88" spans="1:8" x14ac:dyDescent="0.25">
      <c r="A88" s="12">
        <v>42353</v>
      </c>
      <c r="B88" s="12">
        <v>42353</v>
      </c>
      <c r="C88" s="12">
        <v>42353</v>
      </c>
      <c r="D88" s="6">
        <v>0.78402777777777777</v>
      </c>
      <c r="E88" s="6">
        <v>0.79861111111111116</v>
      </c>
      <c r="F88" s="6">
        <f t="shared" si="2"/>
        <v>1.4583333333333393E-2</v>
      </c>
      <c r="G88" s="3">
        <f t="shared" si="3"/>
        <v>8.3333333333333037E-3</v>
      </c>
      <c r="H88" t="s">
        <v>3</v>
      </c>
    </row>
    <row r="89" spans="1:8" x14ac:dyDescent="0.25">
      <c r="A89" s="12">
        <v>42353</v>
      </c>
      <c r="B89" s="12">
        <v>42353</v>
      </c>
      <c r="C89" s="12">
        <v>42353</v>
      </c>
      <c r="D89" s="6">
        <v>0.7895833333333333</v>
      </c>
      <c r="E89" s="6">
        <v>0.79583333333333339</v>
      </c>
      <c r="F89" s="6">
        <f t="shared" si="2"/>
        <v>6.2500000000000888E-3</v>
      </c>
      <c r="G89" s="3">
        <f t="shared" si="3"/>
        <v>3.4722222222221544E-3</v>
      </c>
      <c r="H89" s="4" t="s">
        <v>3</v>
      </c>
    </row>
    <row r="90" spans="1:8" x14ac:dyDescent="0.25">
      <c r="A90" s="12">
        <v>42353</v>
      </c>
      <c r="B90" s="12">
        <v>42353</v>
      </c>
      <c r="C90" s="12">
        <v>42353</v>
      </c>
      <c r="D90" s="6">
        <v>0.2673611111111111</v>
      </c>
      <c r="E90" s="6">
        <v>0.27708333333333335</v>
      </c>
      <c r="F90" s="6">
        <f t="shared" si="2"/>
        <v>9.7222222222222432E-3</v>
      </c>
      <c r="G90" s="3">
        <f t="shared" si="3"/>
        <v>1.4583333333333282E-2</v>
      </c>
      <c r="H90" t="s">
        <v>3</v>
      </c>
    </row>
    <row r="91" spans="1:8" x14ac:dyDescent="0.25">
      <c r="A91" s="12">
        <v>42353</v>
      </c>
      <c r="B91" s="12">
        <v>42353</v>
      </c>
      <c r="C91" s="12">
        <v>42353</v>
      </c>
      <c r="D91" s="6">
        <v>0.28263888888888888</v>
      </c>
      <c r="E91" s="6">
        <v>0.30694444444444441</v>
      </c>
      <c r="F91" s="6">
        <f t="shared" si="2"/>
        <v>2.4305555555555525E-2</v>
      </c>
      <c r="G91" s="3">
        <f t="shared" si="3"/>
        <v>9.0277777777778012E-3</v>
      </c>
      <c r="H91" t="s">
        <v>3</v>
      </c>
    </row>
    <row r="92" spans="1:8" x14ac:dyDescent="0.25">
      <c r="A92" s="12">
        <v>42353</v>
      </c>
      <c r="B92" s="12">
        <v>42353</v>
      </c>
      <c r="C92" s="12">
        <v>42353</v>
      </c>
      <c r="D92" s="6">
        <v>0.35486111111111113</v>
      </c>
      <c r="E92" s="6">
        <v>0.37013888888888885</v>
      </c>
      <c r="F92" s="6">
        <f t="shared" si="2"/>
        <v>1.5277777777777724E-2</v>
      </c>
      <c r="G92" s="3">
        <f t="shared" si="3"/>
        <v>6.2499999999999223E-3</v>
      </c>
      <c r="H92" t="s">
        <v>3</v>
      </c>
    </row>
    <row r="93" spans="1:8" x14ac:dyDescent="0.25">
      <c r="A93" s="12">
        <v>42353</v>
      </c>
      <c r="B93" s="12">
        <v>42353</v>
      </c>
      <c r="C93" s="12">
        <v>42353</v>
      </c>
      <c r="D93" s="6">
        <v>0.42291666666666666</v>
      </c>
      <c r="E93" s="6">
        <v>0.43194444444444446</v>
      </c>
      <c r="F93" s="6">
        <f t="shared" si="2"/>
        <v>9.0277777777778012E-3</v>
      </c>
      <c r="G93" s="3">
        <f t="shared" si="3"/>
        <v>5.5555555555555358E-3</v>
      </c>
      <c r="H93" t="s">
        <v>3</v>
      </c>
    </row>
    <row r="94" spans="1:8" x14ac:dyDescent="0.25">
      <c r="A94" s="12">
        <v>42353</v>
      </c>
      <c r="B94" s="12">
        <v>42353</v>
      </c>
      <c r="C94" s="12">
        <v>42353</v>
      </c>
      <c r="D94" s="6">
        <v>0.49236111111111108</v>
      </c>
      <c r="E94" s="6">
        <v>0.49583333333333335</v>
      </c>
      <c r="F94" s="6">
        <f t="shared" si="2"/>
        <v>3.4722222222222654E-3</v>
      </c>
      <c r="G94" s="3">
        <f t="shared" si="3"/>
        <v>1.3194444444444342E-2</v>
      </c>
      <c r="H94" t="s">
        <v>3</v>
      </c>
    </row>
    <row r="95" spans="1:8" x14ac:dyDescent="0.25">
      <c r="A95" s="12">
        <v>42353</v>
      </c>
      <c r="B95" s="12">
        <v>42353</v>
      </c>
      <c r="C95" s="12">
        <v>42353</v>
      </c>
      <c r="D95" s="6">
        <v>0.77222222222222225</v>
      </c>
      <c r="E95" s="6">
        <v>0.78888888888888886</v>
      </c>
      <c r="F95" s="6">
        <f t="shared" si="2"/>
        <v>1.6666666666666607E-2</v>
      </c>
      <c r="G95" s="3">
        <f t="shared" si="3"/>
        <v>1.1805555555555514E-2</v>
      </c>
      <c r="H95" t="s">
        <v>3</v>
      </c>
    </row>
    <row r="96" spans="1:8" x14ac:dyDescent="0.25">
      <c r="A96" s="12">
        <v>42353</v>
      </c>
      <c r="B96" s="12">
        <v>42353</v>
      </c>
      <c r="C96" s="12">
        <v>42353</v>
      </c>
      <c r="D96" s="6">
        <v>0.92569444444444438</v>
      </c>
      <c r="E96" s="6">
        <v>0.93055555555555547</v>
      </c>
      <c r="F96" s="6">
        <f t="shared" si="2"/>
        <v>4.8611111111110938E-3</v>
      </c>
      <c r="G96" s="3">
        <f t="shared" si="3"/>
        <v>2.0833333333333259E-3</v>
      </c>
      <c r="H96" t="s">
        <v>3</v>
      </c>
    </row>
    <row r="97" spans="1:8" x14ac:dyDescent="0.25">
      <c r="A97" s="12">
        <v>42353</v>
      </c>
      <c r="B97" s="12">
        <v>42353</v>
      </c>
      <c r="C97" s="12">
        <v>42353</v>
      </c>
      <c r="D97" s="6">
        <v>0.17430555555555557</v>
      </c>
      <c r="E97" s="6">
        <v>0.18124999999999999</v>
      </c>
      <c r="F97" s="6">
        <f t="shared" si="2"/>
        <v>6.9444444444444198E-3</v>
      </c>
      <c r="G97" s="3">
        <f t="shared" si="3"/>
        <v>2.7777777777777679E-3</v>
      </c>
      <c r="H97" t="s">
        <v>3</v>
      </c>
    </row>
    <row r="98" spans="1:8" x14ac:dyDescent="0.25">
      <c r="A98" s="12">
        <v>42353</v>
      </c>
      <c r="B98" s="12">
        <v>42353</v>
      </c>
      <c r="C98" s="12">
        <v>42353</v>
      </c>
      <c r="D98" s="6">
        <v>0.40625</v>
      </c>
      <c r="E98" s="6">
        <v>0.41041666666666665</v>
      </c>
      <c r="F98" s="6">
        <f t="shared" si="2"/>
        <v>4.1666666666666519E-3</v>
      </c>
      <c r="G98" s="3">
        <f t="shared" si="3"/>
        <v>6.9444444444445308E-3</v>
      </c>
      <c r="H98" t="s">
        <v>3</v>
      </c>
    </row>
    <row r="99" spans="1:8" x14ac:dyDescent="0.25">
      <c r="A99" s="12">
        <v>42353</v>
      </c>
      <c r="B99" s="12">
        <v>42353</v>
      </c>
      <c r="C99" s="12">
        <v>42353</v>
      </c>
      <c r="D99" s="6">
        <v>0.4284722222222222</v>
      </c>
      <c r="E99" s="6">
        <v>0.43958333333333338</v>
      </c>
      <c r="F99" s="6">
        <f t="shared" si="2"/>
        <v>1.1111111111111183E-2</v>
      </c>
      <c r="G99" s="3">
        <f t="shared" si="3"/>
        <v>1.1111111111111016E-2</v>
      </c>
      <c r="H99" t="s">
        <v>3</v>
      </c>
    </row>
    <row r="100" spans="1:8" x14ac:dyDescent="0.25">
      <c r="A100" s="12">
        <v>42353</v>
      </c>
      <c r="B100" s="12">
        <v>42353</v>
      </c>
      <c r="C100" s="12">
        <v>42353</v>
      </c>
      <c r="D100" s="6">
        <v>0.4291666666666667</v>
      </c>
      <c r="E100" s="6">
        <v>0.4513888888888889</v>
      </c>
      <c r="F100" s="6">
        <f t="shared" si="2"/>
        <v>2.2222222222222199E-2</v>
      </c>
      <c r="G100" s="3">
        <f t="shared" si="3"/>
        <v>1.8749999999999989E-2</v>
      </c>
      <c r="H100" t="s">
        <v>3</v>
      </c>
    </row>
    <row r="101" spans="1:8" x14ac:dyDescent="0.25">
      <c r="A101" s="12">
        <v>42353</v>
      </c>
      <c r="B101" s="12">
        <v>42353</v>
      </c>
      <c r="C101" s="12">
        <v>42353</v>
      </c>
      <c r="D101" s="6">
        <v>0.59583333333333333</v>
      </c>
      <c r="E101" s="6">
        <v>0.59930555555555554</v>
      </c>
      <c r="F101" s="6">
        <f t="shared" si="2"/>
        <v>3.4722222222222099E-3</v>
      </c>
      <c r="G101" s="3">
        <f t="shared" si="3"/>
        <v>9.0277777777778567E-3</v>
      </c>
      <c r="H101" t="s">
        <v>3</v>
      </c>
    </row>
    <row r="102" spans="1:8" x14ac:dyDescent="0.25">
      <c r="A102" s="12">
        <v>42353</v>
      </c>
      <c r="B102" s="12">
        <v>42353</v>
      </c>
      <c r="C102" s="12">
        <v>42353</v>
      </c>
      <c r="D102" s="6">
        <v>0.65833333333333333</v>
      </c>
      <c r="E102" s="6">
        <v>0.67083333333333339</v>
      </c>
      <c r="F102" s="6">
        <f t="shared" si="2"/>
        <v>1.2500000000000067E-2</v>
      </c>
      <c r="G102" s="3">
        <f t="shared" si="3"/>
        <v>8.3333333333334147E-3</v>
      </c>
      <c r="H102" t="s">
        <v>3</v>
      </c>
    </row>
    <row r="103" spans="1:8" x14ac:dyDescent="0.25">
      <c r="A103" s="12">
        <v>42353</v>
      </c>
      <c r="B103" s="12">
        <v>42353</v>
      </c>
      <c r="C103" s="12">
        <v>42353</v>
      </c>
      <c r="D103" s="6">
        <v>0.65833333333333333</v>
      </c>
      <c r="E103" s="6">
        <v>0.66249999999999998</v>
      </c>
      <c r="F103" s="6">
        <f t="shared" si="2"/>
        <v>4.1666666666666519E-3</v>
      </c>
      <c r="G103" s="3">
        <f t="shared" si="3"/>
        <v>1.3888888888888951E-2</v>
      </c>
      <c r="H103" t="s">
        <v>3</v>
      </c>
    </row>
    <row r="104" spans="1:8" x14ac:dyDescent="0.25">
      <c r="A104" s="12">
        <v>42353</v>
      </c>
      <c r="B104" s="12">
        <v>42353</v>
      </c>
      <c r="C104" s="12">
        <v>42353</v>
      </c>
      <c r="D104" s="6">
        <v>0.63472222222222219</v>
      </c>
      <c r="E104" s="6">
        <v>0.65277777777777779</v>
      </c>
      <c r="F104" s="6">
        <f t="shared" si="2"/>
        <v>1.8055555555555602E-2</v>
      </c>
      <c r="G104" s="3">
        <f t="shared" si="3"/>
        <v>3.8888888888888862E-2</v>
      </c>
      <c r="H104" t="s">
        <v>3</v>
      </c>
    </row>
    <row r="105" spans="1:8" x14ac:dyDescent="0.25">
      <c r="A105" s="12">
        <v>42353</v>
      </c>
      <c r="B105" s="12">
        <v>42353</v>
      </c>
      <c r="C105" s="12">
        <v>42353</v>
      </c>
      <c r="D105" s="6">
        <v>0.7631944444444444</v>
      </c>
      <c r="E105" s="6">
        <v>0.82013888888888886</v>
      </c>
      <c r="F105" s="6">
        <f t="shared" si="2"/>
        <v>5.6944444444444464E-2</v>
      </c>
      <c r="G105" s="3">
        <f t="shared" si="3"/>
        <v>5.2083333333333259E-2</v>
      </c>
      <c r="H105" t="s">
        <v>3</v>
      </c>
    </row>
    <row r="106" spans="1:8" x14ac:dyDescent="0.25">
      <c r="A106" s="12">
        <v>42353</v>
      </c>
      <c r="B106" s="12">
        <v>42353</v>
      </c>
      <c r="C106" s="12">
        <v>42353</v>
      </c>
      <c r="D106" s="6">
        <v>0.7715277777777777</v>
      </c>
      <c r="E106" s="6">
        <v>0.77638888888888891</v>
      </c>
      <c r="F106" s="6">
        <f t="shared" si="2"/>
        <v>4.8611111111112049E-3</v>
      </c>
      <c r="G106" s="3">
        <f t="shared" si="3"/>
        <v>5.5555555555554248E-3</v>
      </c>
      <c r="H106" t="s">
        <v>3</v>
      </c>
    </row>
    <row r="107" spans="1:8" x14ac:dyDescent="0.25">
      <c r="A107" s="12">
        <v>42353</v>
      </c>
      <c r="B107" s="12">
        <v>42353</v>
      </c>
      <c r="C107" s="12">
        <v>42353</v>
      </c>
      <c r="D107" s="6">
        <v>0.8618055555555556</v>
      </c>
      <c r="E107" s="6">
        <v>0.87222222222222223</v>
      </c>
      <c r="F107" s="6">
        <f t="shared" si="2"/>
        <v>1.041666666666663E-2</v>
      </c>
      <c r="G107" s="3">
        <f t="shared" si="3"/>
        <v>1.3888888888887729E-3</v>
      </c>
      <c r="H107" t="s">
        <v>3</v>
      </c>
    </row>
    <row r="108" spans="1:8" x14ac:dyDescent="0.25">
      <c r="A108" s="12">
        <v>42353</v>
      </c>
      <c r="B108" s="12">
        <v>42353</v>
      </c>
      <c r="C108" s="12">
        <v>42353</v>
      </c>
      <c r="D108" s="6">
        <v>0.86319444444444438</v>
      </c>
      <c r="E108" s="6">
        <v>0.87222222222222223</v>
      </c>
      <c r="F108" s="6">
        <f t="shared" si="2"/>
        <v>9.0277777777778567E-3</v>
      </c>
      <c r="G108" s="3">
        <f t="shared" si="3"/>
        <v>1.3888888888889395E-3</v>
      </c>
      <c r="H108" t="s">
        <v>3</v>
      </c>
    </row>
    <row r="109" spans="1:8" x14ac:dyDescent="0.25">
      <c r="A109" s="12">
        <v>42353</v>
      </c>
      <c r="B109" s="12">
        <v>42353</v>
      </c>
      <c r="C109" s="12">
        <v>42353</v>
      </c>
      <c r="D109" s="6">
        <v>0.16874999999999998</v>
      </c>
      <c r="E109" s="6">
        <v>0.1763888888888889</v>
      </c>
      <c r="F109" s="6">
        <f t="shared" si="2"/>
        <v>7.6388888888889173E-3</v>
      </c>
      <c r="G109" s="3">
        <f t="shared" si="3"/>
        <v>2.7777777777778234E-3</v>
      </c>
      <c r="H109" t="s">
        <v>3</v>
      </c>
    </row>
    <row r="110" spans="1:8" x14ac:dyDescent="0.25">
      <c r="A110" s="12">
        <v>42353</v>
      </c>
      <c r="B110" s="12">
        <v>42353</v>
      </c>
      <c r="C110" s="12">
        <v>42353</v>
      </c>
      <c r="D110" s="6">
        <v>0.27569444444444446</v>
      </c>
      <c r="E110" s="6">
        <v>0.28055555555555556</v>
      </c>
      <c r="F110" s="6">
        <f t="shared" si="2"/>
        <v>4.8611111111110938E-3</v>
      </c>
      <c r="G110" s="3">
        <f t="shared" si="3"/>
        <v>1.3888888888889395E-3</v>
      </c>
      <c r="H110" t="s">
        <v>3</v>
      </c>
    </row>
    <row r="111" spans="1:8" x14ac:dyDescent="0.25">
      <c r="A111" s="12">
        <v>42353</v>
      </c>
      <c r="B111" s="12">
        <v>42353</v>
      </c>
      <c r="C111" s="12">
        <v>42353</v>
      </c>
      <c r="D111" s="6">
        <v>0.37638888888888888</v>
      </c>
      <c r="E111" s="6">
        <v>0.38263888888888892</v>
      </c>
      <c r="F111" s="6">
        <f t="shared" si="2"/>
        <v>6.2500000000000333E-3</v>
      </c>
      <c r="G111" s="3">
        <f t="shared" si="3"/>
        <v>2.0833333333332704E-3</v>
      </c>
      <c r="H111" t="s">
        <v>3</v>
      </c>
    </row>
    <row r="112" spans="1:8" x14ac:dyDescent="0.25">
      <c r="A112" s="12">
        <v>42353</v>
      </c>
      <c r="B112" s="12">
        <v>42353</v>
      </c>
      <c r="C112" s="12">
        <v>42353</v>
      </c>
      <c r="D112" s="6">
        <v>0.41250000000000003</v>
      </c>
      <c r="E112" s="6">
        <v>0.42083333333333334</v>
      </c>
      <c r="F112" s="6">
        <f t="shared" si="2"/>
        <v>8.3333333333333037E-3</v>
      </c>
      <c r="G112" s="3">
        <f t="shared" si="3"/>
        <v>6.2499999999999778E-3</v>
      </c>
      <c r="H112" t="s">
        <v>3</v>
      </c>
    </row>
    <row r="113" spans="1:8" x14ac:dyDescent="0.25">
      <c r="A113" s="12">
        <v>42353</v>
      </c>
      <c r="B113" s="12">
        <v>42353</v>
      </c>
      <c r="C113" s="12">
        <v>42353</v>
      </c>
      <c r="D113" s="6">
        <v>0.50277777777777777</v>
      </c>
      <c r="E113" s="6">
        <v>0.50486111111111109</v>
      </c>
      <c r="F113" s="6">
        <f t="shared" si="2"/>
        <v>2.0833333333333259E-3</v>
      </c>
      <c r="G113" s="3">
        <f t="shared" si="3"/>
        <v>5.5555555555555358E-3</v>
      </c>
      <c r="H113" t="s">
        <v>3</v>
      </c>
    </row>
    <row r="114" spans="1:8" x14ac:dyDescent="0.25">
      <c r="A114" s="12">
        <v>42353</v>
      </c>
      <c r="B114" s="12">
        <v>42353</v>
      </c>
      <c r="C114" s="12">
        <v>42353</v>
      </c>
      <c r="D114" s="6">
        <v>0.5625</v>
      </c>
      <c r="E114" s="6">
        <v>0.57013888888888886</v>
      </c>
      <c r="F114" s="6">
        <f t="shared" si="2"/>
        <v>7.6388888888888618E-3</v>
      </c>
      <c r="G114" s="3">
        <f t="shared" si="3"/>
        <v>7.6388888888888618E-3</v>
      </c>
      <c r="H114" t="s">
        <v>3</v>
      </c>
    </row>
    <row r="115" spans="1:8" x14ac:dyDescent="0.25">
      <c r="A115" s="12">
        <v>42353</v>
      </c>
      <c r="B115" s="12">
        <v>42353</v>
      </c>
      <c r="C115" s="12">
        <v>42353</v>
      </c>
      <c r="D115" s="6">
        <v>0.59861111111111109</v>
      </c>
      <c r="E115" s="6">
        <v>0.61388888888888882</v>
      </c>
      <c r="F115" s="6">
        <f t="shared" si="2"/>
        <v>1.5277777777777724E-2</v>
      </c>
      <c r="G115" s="3">
        <f t="shared" si="3"/>
        <v>1.0416666666666519E-2</v>
      </c>
      <c r="H115" t="s">
        <v>3</v>
      </c>
    </row>
    <row r="116" spans="1:8" x14ac:dyDescent="0.25">
      <c r="A116" s="12">
        <v>42353</v>
      </c>
      <c r="B116" s="12">
        <v>42353</v>
      </c>
      <c r="C116" s="12">
        <v>42353</v>
      </c>
      <c r="D116" s="6">
        <v>0.74305555555555547</v>
      </c>
      <c r="E116" s="6">
        <v>0.74791666666666667</v>
      </c>
      <c r="F116" s="6">
        <f t="shared" si="2"/>
        <v>4.8611111111112049E-3</v>
      </c>
      <c r="G116" s="3">
        <f t="shared" si="3"/>
        <v>2.2204460492503131E-16</v>
      </c>
      <c r="H116" t="s">
        <v>3</v>
      </c>
    </row>
    <row r="117" spans="1:8" x14ac:dyDescent="0.25">
      <c r="A117" s="12">
        <v>42353</v>
      </c>
      <c r="B117" s="12">
        <v>42353</v>
      </c>
      <c r="C117" s="12">
        <v>42353</v>
      </c>
      <c r="D117" s="6">
        <v>0.87916666666666676</v>
      </c>
      <c r="E117" s="6">
        <v>0.88402777777777775</v>
      </c>
      <c r="F117" s="6">
        <f t="shared" si="2"/>
        <v>4.8611111111109828E-3</v>
      </c>
      <c r="G117" s="3">
        <f t="shared" si="3"/>
        <v>6.94444444444553E-4</v>
      </c>
      <c r="H117" t="s">
        <v>3</v>
      </c>
    </row>
    <row r="118" spans="1:8" x14ac:dyDescent="0.25">
      <c r="A118" s="12">
        <v>42353</v>
      </c>
      <c r="B118" s="12">
        <v>42353</v>
      </c>
      <c r="C118" s="12">
        <v>42353</v>
      </c>
      <c r="D118" s="6">
        <v>0.90347222222222223</v>
      </c>
      <c r="E118" s="6">
        <v>0.90902777777777777</v>
      </c>
      <c r="F118" s="6">
        <f t="shared" si="2"/>
        <v>5.5555555555555358E-3</v>
      </c>
      <c r="G118" s="3">
        <f t="shared" si="3"/>
        <v>0</v>
      </c>
      <c r="H118" t="s">
        <v>3</v>
      </c>
    </row>
    <row r="119" spans="1:8" x14ac:dyDescent="0.25">
      <c r="A119" s="12">
        <v>42353</v>
      </c>
      <c r="B119" s="12">
        <v>42353</v>
      </c>
      <c r="C119" s="12">
        <v>42353</v>
      </c>
      <c r="D119" s="6">
        <v>1.0319444444444443</v>
      </c>
      <c r="E119" s="6">
        <v>1.0374999999999999</v>
      </c>
      <c r="F119" s="6">
        <f t="shared" si="2"/>
        <v>5.5555555555555358E-3</v>
      </c>
      <c r="G119" s="3">
        <f t="shared" si="3"/>
        <v>2.7777777777778789E-3</v>
      </c>
      <c r="H119" t="s">
        <v>3</v>
      </c>
    </row>
    <row r="120" spans="1:8" x14ac:dyDescent="0.25">
      <c r="A120" s="12">
        <v>42353</v>
      </c>
      <c r="B120" s="12">
        <v>42353</v>
      </c>
      <c r="C120" s="12">
        <v>42353</v>
      </c>
      <c r="D120" s="6">
        <v>0.3743055555555555</v>
      </c>
      <c r="E120" s="6">
        <v>0.38263888888888892</v>
      </c>
      <c r="F120" s="6">
        <f t="shared" si="2"/>
        <v>8.3333333333334147E-3</v>
      </c>
      <c r="G120" s="3">
        <f t="shared" si="3"/>
        <v>2.0833333333334925E-3</v>
      </c>
      <c r="H120" t="s">
        <v>3</v>
      </c>
    </row>
    <row r="121" spans="1:8" x14ac:dyDescent="0.25">
      <c r="A121" s="12">
        <v>42353</v>
      </c>
      <c r="B121" s="12">
        <v>42353</v>
      </c>
      <c r="C121" s="12">
        <v>42353</v>
      </c>
      <c r="D121" s="6">
        <v>0.39930555555555558</v>
      </c>
      <c r="E121" s="6">
        <v>0.4055555555555555</v>
      </c>
      <c r="F121" s="6">
        <f t="shared" si="2"/>
        <v>6.2499999999999223E-3</v>
      </c>
      <c r="G121" s="3">
        <f t="shared" si="3"/>
        <v>2.0833333333331594E-3</v>
      </c>
      <c r="H121" t="s">
        <v>3</v>
      </c>
    </row>
    <row r="122" spans="1:8" x14ac:dyDescent="0.25">
      <c r="A122" s="12">
        <v>42353</v>
      </c>
      <c r="B122" s="12">
        <v>42353</v>
      </c>
      <c r="C122" s="12">
        <v>42353</v>
      </c>
      <c r="D122" s="6">
        <v>0.9145833333333333</v>
      </c>
      <c r="E122" s="6">
        <v>0.91875000000000007</v>
      </c>
      <c r="F122" s="6">
        <f t="shared" si="2"/>
        <v>4.1666666666667629E-3</v>
      </c>
      <c r="G122" s="3">
        <f t="shared" si="3"/>
        <v>1.0416666666666519E-2</v>
      </c>
      <c r="H122" t="s">
        <v>3</v>
      </c>
    </row>
    <row r="123" spans="1:8" x14ac:dyDescent="0.25">
      <c r="A123" s="12">
        <v>42353</v>
      </c>
      <c r="B123" s="12">
        <v>42353</v>
      </c>
      <c r="C123" s="12">
        <v>42353</v>
      </c>
      <c r="D123" s="6">
        <v>0.98958333333333337</v>
      </c>
      <c r="E123" s="6">
        <v>1.0041666666666667</v>
      </c>
      <c r="F123" s="6">
        <f t="shared" si="2"/>
        <v>1.4583333333333282E-2</v>
      </c>
      <c r="G123" s="3">
        <f t="shared" si="3"/>
        <v>2.7777777777777957E-3</v>
      </c>
      <c r="H123" t="s">
        <v>3</v>
      </c>
    </row>
    <row r="124" spans="1:8" x14ac:dyDescent="0.25">
      <c r="A124" s="12">
        <v>42353</v>
      </c>
      <c r="B124" s="12">
        <v>42353</v>
      </c>
      <c r="C124" s="12">
        <v>42353</v>
      </c>
      <c r="D124" s="6">
        <v>0.23750000000000002</v>
      </c>
      <c r="E124" s="6">
        <v>0.25486111111111109</v>
      </c>
      <c r="F124" s="6">
        <f t="shared" si="2"/>
        <v>1.7361111111111077E-2</v>
      </c>
      <c r="G124" s="3">
        <f t="shared" si="3"/>
        <v>2.7777777777777957E-3</v>
      </c>
      <c r="H124" t="s">
        <v>3</v>
      </c>
    </row>
    <row r="125" spans="1:8" x14ac:dyDescent="0.25">
      <c r="A125" s="12">
        <v>42353</v>
      </c>
      <c r="B125" s="12">
        <v>42353</v>
      </c>
      <c r="C125" s="12">
        <v>42353</v>
      </c>
      <c r="D125" s="6">
        <v>0.37083333333333335</v>
      </c>
      <c r="E125" s="6">
        <v>0.39097222222222222</v>
      </c>
      <c r="F125" s="6">
        <f t="shared" si="2"/>
        <v>2.0138888888888873E-2</v>
      </c>
      <c r="G125" s="3">
        <f t="shared" si="3"/>
        <v>1.8055555555555491E-2</v>
      </c>
      <c r="H125" t="s">
        <v>3</v>
      </c>
    </row>
    <row r="126" spans="1:8" x14ac:dyDescent="0.25">
      <c r="A126" s="12">
        <v>42353</v>
      </c>
      <c r="B126" s="12">
        <v>42353</v>
      </c>
      <c r="C126" s="12">
        <v>42353</v>
      </c>
      <c r="D126" s="6">
        <v>0.41597222222222219</v>
      </c>
      <c r="E126" s="6">
        <v>0.41805555555555557</v>
      </c>
      <c r="F126" s="6">
        <f t="shared" si="2"/>
        <v>2.0833333333333814E-3</v>
      </c>
      <c r="G126" s="3">
        <f t="shared" si="3"/>
        <v>4.8611111111110383E-3</v>
      </c>
      <c r="H126" t="s">
        <v>3</v>
      </c>
    </row>
    <row r="127" spans="1:8" x14ac:dyDescent="0.25">
      <c r="A127" s="12">
        <v>42353</v>
      </c>
      <c r="B127" s="12">
        <v>42353</v>
      </c>
      <c r="C127" s="12">
        <v>42353</v>
      </c>
      <c r="D127" s="6">
        <v>0.4284722222222222</v>
      </c>
      <c r="E127" s="6">
        <v>0.43541666666666662</v>
      </c>
      <c r="F127" s="6">
        <f t="shared" si="2"/>
        <v>6.9444444444444198E-3</v>
      </c>
      <c r="G127" s="3">
        <f t="shared" si="3"/>
        <v>4.1666666666666519E-3</v>
      </c>
      <c r="H127" t="s">
        <v>3</v>
      </c>
    </row>
    <row r="128" spans="1:8" x14ac:dyDescent="0.25">
      <c r="A128" s="12">
        <v>42353</v>
      </c>
      <c r="B128" s="12">
        <v>42353</v>
      </c>
      <c r="C128" s="12">
        <v>42353</v>
      </c>
      <c r="D128" s="6">
        <v>0.75138888888888899</v>
      </c>
      <c r="E128" s="6">
        <v>0.76250000000000007</v>
      </c>
      <c r="F128" s="6">
        <f t="shared" si="2"/>
        <v>1.1111111111111072E-2</v>
      </c>
      <c r="G128" s="3">
        <f t="shared" si="3"/>
        <v>6.9444444444443088E-3</v>
      </c>
      <c r="H128" t="s">
        <v>3</v>
      </c>
    </row>
    <row r="129" spans="1:8" x14ac:dyDescent="0.25">
      <c r="A129" s="12">
        <v>42353</v>
      </c>
      <c r="B129" s="12">
        <v>42353</v>
      </c>
      <c r="C129" s="12">
        <v>42353</v>
      </c>
      <c r="D129" s="6">
        <v>0.82638888888888884</v>
      </c>
      <c r="E129" s="6">
        <v>0.8305555555555556</v>
      </c>
      <c r="F129" s="6">
        <f t="shared" si="2"/>
        <v>4.1666666666667629E-3</v>
      </c>
      <c r="G129" s="3">
        <f t="shared" si="3"/>
        <v>1.0408340855860843E-16</v>
      </c>
      <c r="H129" t="s">
        <v>3</v>
      </c>
    </row>
    <row r="130" spans="1:8" x14ac:dyDescent="0.25">
      <c r="A130" s="12">
        <v>42353</v>
      </c>
      <c r="B130" s="12">
        <v>42353</v>
      </c>
      <c r="C130" s="12">
        <v>42353</v>
      </c>
      <c r="D130" s="6">
        <v>5.4166666666666669E-2</v>
      </c>
      <c r="E130" s="6">
        <v>5.8333333333333327E-2</v>
      </c>
      <c r="F130" s="6">
        <f t="shared" ref="F130:F193" si="4">E130-D130</f>
        <v>4.1666666666666588E-3</v>
      </c>
      <c r="G130" s="3">
        <f t="shared" si="3"/>
        <v>6.9388939039072284E-18</v>
      </c>
      <c r="H130" t="s">
        <v>3</v>
      </c>
    </row>
    <row r="131" spans="1:8" x14ac:dyDescent="0.25">
      <c r="A131" s="12">
        <v>42353</v>
      </c>
      <c r="B131" s="12">
        <v>42353</v>
      </c>
      <c r="C131" s="12">
        <v>42353</v>
      </c>
      <c r="D131" s="6">
        <v>0.44791666666666669</v>
      </c>
      <c r="E131" s="6">
        <v>0.45208333333333334</v>
      </c>
      <c r="F131" s="6">
        <f t="shared" si="4"/>
        <v>4.1666666666666519E-3</v>
      </c>
      <c r="G131" s="3">
        <f t="shared" ref="G131:G194" si="5">ABS(F132-F131)</f>
        <v>6.9444444444449749E-4</v>
      </c>
      <c r="H131" t="s">
        <v>3</v>
      </c>
    </row>
    <row r="132" spans="1:8" x14ac:dyDescent="0.25">
      <c r="A132" s="12">
        <v>42353</v>
      </c>
      <c r="B132" s="12">
        <v>42353</v>
      </c>
      <c r="C132" s="12">
        <v>42353</v>
      </c>
      <c r="D132" s="6">
        <v>0.49791666666666662</v>
      </c>
      <c r="E132" s="6">
        <v>0.50277777777777777</v>
      </c>
      <c r="F132" s="6">
        <f t="shared" si="4"/>
        <v>4.8611111111111494E-3</v>
      </c>
      <c r="G132" s="3">
        <f t="shared" si="5"/>
        <v>4.1666666666665964E-3</v>
      </c>
      <c r="H132" t="s">
        <v>3</v>
      </c>
    </row>
    <row r="133" spans="1:8" x14ac:dyDescent="0.25">
      <c r="A133" s="12">
        <v>42353</v>
      </c>
      <c r="B133" s="12">
        <v>42353</v>
      </c>
      <c r="C133" s="12">
        <v>42353</v>
      </c>
      <c r="D133" s="6">
        <v>0.56319444444444444</v>
      </c>
      <c r="E133" s="6">
        <v>0.57222222222222219</v>
      </c>
      <c r="F133" s="6">
        <f t="shared" si="4"/>
        <v>9.0277777777777457E-3</v>
      </c>
      <c r="G133" s="3">
        <f t="shared" si="5"/>
        <v>2.0833333333333259E-3</v>
      </c>
      <c r="H133" t="s">
        <v>3</v>
      </c>
    </row>
    <row r="134" spans="1:8" x14ac:dyDescent="0.25">
      <c r="A134" s="12">
        <v>42353</v>
      </c>
      <c r="B134" s="12">
        <v>42353</v>
      </c>
      <c r="C134" s="12">
        <v>42353</v>
      </c>
      <c r="D134" s="6">
        <v>0.59513888888888888</v>
      </c>
      <c r="E134" s="6">
        <v>0.6020833333333333</v>
      </c>
      <c r="F134" s="6">
        <f t="shared" si="4"/>
        <v>6.9444444444444198E-3</v>
      </c>
      <c r="G134" s="3">
        <f t="shared" si="5"/>
        <v>0</v>
      </c>
      <c r="H134" t="s">
        <v>3</v>
      </c>
    </row>
    <row r="135" spans="1:8" x14ac:dyDescent="0.25">
      <c r="A135" s="12">
        <v>42353</v>
      </c>
      <c r="B135" s="12">
        <v>42353</v>
      </c>
      <c r="C135" s="12">
        <v>42353</v>
      </c>
      <c r="D135" s="6">
        <v>0.6430555555555556</v>
      </c>
      <c r="E135" s="6">
        <v>0.65</v>
      </c>
      <c r="F135" s="6">
        <f t="shared" si="4"/>
        <v>6.9444444444444198E-3</v>
      </c>
      <c r="G135" s="3">
        <f t="shared" si="5"/>
        <v>6.944444444444281E-4</v>
      </c>
      <c r="H135" t="s">
        <v>3</v>
      </c>
    </row>
    <row r="136" spans="1:8" x14ac:dyDescent="0.25">
      <c r="A136" s="12">
        <v>42353</v>
      </c>
      <c r="B136" s="12">
        <v>42353</v>
      </c>
      <c r="C136" s="12">
        <v>42353</v>
      </c>
      <c r="D136" s="6">
        <v>0.10902777777777778</v>
      </c>
      <c r="E136" s="6">
        <v>0.11527777777777777</v>
      </c>
      <c r="F136" s="6">
        <f t="shared" si="4"/>
        <v>6.2499999999999917E-3</v>
      </c>
      <c r="G136" s="3">
        <f t="shared" si="5"/>
        <v>1.3877787807814457E-17</v>
      </c>
      <c r="H136" t="s">
        <v>3</v>
      </c>
    </row>
    <row r="137" spans="1:8" x14ac:dyDescent="0.25">
      <c r="A137" s="12">
        <v>42353</v>
      </c>
      <c r="B137" s="12">
        <v>42353</v>
      </c>
      <c r="C137" s="12">
        <v>42353</v>
      </c>
      <c r="D137" s="6">
        <v>0.14166666666666666</v>
      </c>
      <c r="E137" s="6">
        <v>0.14791666666666667</v>
      </c>
      <c r="F137" s="6">
        <f t="shared" si="4"/>
        <v>6.2500000000000056E-3</v>
      </c>
      <c r="G137" s="3">
        <f t="shared" si="5"/>
        <v>3.4722222222222376E-3</v>
      </c>
      <c r="H137" t="s">
        <v>3</v>
      </c>
    </row>
    <row r="138" spans="1:8" x14ac:dyDescent="0.25">
      <c r="A138" s="12">
        <v>42353</v>
      </c>
      <c r="B138" s="12">
        <v>42353</v>
      </c>
      <c r="C138" s="12">
        <v>42353</v>
      </c>
      <c r="D138" s="6">
        <v>0.34652777777777777</v>
      </c>
      <c r="E138" s="6">
        <v>0.34930555555555554</v>
      </c>
      <c r="F138" s="6">
        <f t="shared" si="4"/>
        <v>2.7777777777777679E-3</v>
      </c>
      <c r="G138" s="3">
        <f t="shared" si="5"/>
        <v>2.0833333333333259E-3</v>
      </c>
      <c r="H138" t="s">
        <v>3</v>
      </c>
    </row>
    <row r="139" spans="1:8" x14ac:dyDescent="0.25">
      <c r="A139" s="12">
        <v>42353</v>
      </c>
      <c r="B139" s="12">
        <v>42353</v>
      </c>
      <c r="C139" s="12">
        <v>42353</v>
      </c>
      <c r="D139" s="6">
        <v>0.49583333333333335</v>
      </c>
      <c r="E139" s="6">
        <v>0.50069444444444444</v>
      </c>
      <c r="F139" s="6">
        <f t="shared" si="4"/>
        <v>4.8611111111110938E-3</v>
      </c>
      <c r="G139" s="3">
        <f t="shared" si="5"/>
        <v>6.9444444444444198E-4</v>
      </c>
      <c r="H139" t="s">
        <v>3</v>
      </c>
    </row>
    <row r="140" spans="1:8" x14ac:dyDescent="0.25">
      <c r="A140" s="12">
        <v>42353</v>
      </c>
      <c r="B140" s="12">
        <v>42353</v>
      </c>
      <c r="C140" s="12">
        <v>42353</v>
      </c>
      <c r="D140" s="6">
        <v>0.61805555555555558</v>
      </c>
      <c r="E140" s="6">
        <v>0.62361111111111112</v>
      </c>
      <c r="F140" s="6">
        <f t="shared" si="4"/>
        <v>5.5555555555555358E-3</v>
      </c>
      <c r="G140" s="3">
        <f t="shared" si="5"/>
        <v>6.9444444444444198E-4</v>
      </c>
      <c r="H140" t="s">
        <v>3</v>
      </c>
    </row>
    <row r="141" spans="1:8" x14ac:dyDescent="0.25">
      <c r="A141" s="12">
        <v>42353</v>
      </c>
      <c r="B141" s="12">
        <v>42353</v>
      </c>
      <c r="C141" s="12">
        <v>42353</v>
      </c>
      <c r="D141" s="6">
        <v>0.75069444444444444</v>
      </c>
      <c r="E141" s="6">
        <v>0.75555555555555554</v>
      </c>
      <c r="F141" s="6">
        <f t="shared" si="4"/>
        <v>4.8611111111110938E-3</v>
      </c>
      <c r="G141" s="3">
        <f t="shared" si="5"/>
        <v>2.7777777777778789E-3</v>
      </c>
      <c r="H141" t="s">
        <v>3</v>
      </c>
    </row>
    <row r="142" spans="1:8" x14ac:dyDescent="0.25">
      <c r="A142" s="12">
        <v>42353</v>
      </c>
      <c r="B142" s="12">
        <v>42353</v>
      </c>
      <c r="C142" s="12">
        <v>42353</v>
      </c>
      <c r="D142" s="6">
        <v>0.9</v>
      </c>
      <c r="E142" s="6">
        <v>0.90763888888888899</v>
      </c>
      <c r="F142" s="6">
        <f t="shared" si="4"/>
        <v>7.6388888888889728E-3</v>
      </c>
      <c r="G142" s="3">
        <f t="shared" si="5"/>
        <v>5.5555555555554803E-3</v>
      </c>
      <c r="H142" t="s">
        <v>3</v>
      </c>
    </row>
    <row r="143" spans="1:8" x14ac:dyDescent="0.25">
      <c r="A143" s="12">
        <v>42353</v>
      </c>
      <c r="B143" s="12">
        <v>42353</v>
      </c>
      <c r="C143" s="12">
        <v>42353</v>
      </c>
      <c r="D143" s="6">
        <v>0.15069444444444444</v>
      </c>
      <c r="E143" s="6">
        <v>0.16388888888888889</v>
      </c>
      <c r="F143" s="6">
        <f t="shared" si="4"/>
        <v>1.3194444444444453E-2</v>
      </c>
      <c r="G143" s="3">
        <f t="shared" si="5"/>
        <v>9.0277777777778012E-3</v>
      </c>
      <c r="H143" t="s">
        <v>3</v>
      </c>
    </row>
    <row r="144" spans="1:8" x14ac:dyDescent="0.25">
      <c r="A144" s="12">
        <v>42353</v>
      </c>
      <c r="B144" s="12">
        <v>42353</v>
      </c>
      <c r="C144" s="12">
        <v>42353</v>
      </c>
      <c r="D144" s="6">
        <v>0.36458333333333331</v>
      </c>
      <c r="E144" s="6">
        <v>0.36874999999999997</v>
      </c>
      <c r="F144" s="6">
        <f t="shared" si="4"/>
        <v>4.1666666666666519E-3</v>
      </c>
      <c r="G144" s="3">
        <f t="shared" si="5"/>
        <v>5.5555555555555913E-3</v>
      </c>
      <c r="H144" t="s">
        <v>3</v>
      </c>
    </row>
    <row r="145" spans="1:8" x14ac:dyDescent="0.25">
      <c r="A145" s="12">
        <v>42353</v>
      </c>
      <c r="B145" s="12">
        <v>42353</v>
      </c>
      <c r="C145" s="12">
        <v>42353</v>
      </c>
      <c r="D145" s="6">
        <v>0.38472222222222219</v>
      </c>
      <c r="E145" s="6">
        <v>0.39444444444444443</v>
      </c>
      <c r="F145" s="6">
        <f t="shared" si="4"/>
        <v>9.7222222222222432E-3</v>
      </c>
      <c r="G145" s="3">
        <f t="shared" si="5"/>
        <v>6.9444444444444198E-4</v>
      </c>
      <c r="H145" t="s">
        <v>3</v>
      </c>
    </row>
    <row r="146" spans="1:8" x14ac:dyDescent="0.25">
      <c r="A146" s="12">
        <v>42353</v>
      </c>
      <c r="B146" s="12">
        <v>42353</v>
      </c>
      <c r="C146" s="12">
        <v>42353</v>
      </c>
      <c r="D146" s="6">
        <v>0.47291666666666665</v>
      </c>
      <c r="E146" s="6">
        <v>0.48333333333333334</v>
      </c>
      <c r="F146" s="6">
        <f t="shared" si="4"/>
        <v>1.0416666666666685E-2</v>
      </c>
      <c r="G146" s="3">
        <f t="shared" si="5"/>
        <v>6.9444444444438647E-4</v>
      </c>
      <c r="H146" t="s">
        <v>3</v>
      </c>
    </row>
    <row r="147" spans="1:8" x14ac:dyDescent="0.25">
      <c r="A147" s="12">
        <v>42353</v>
      </c>
      <c r="B147" s="12">
        <v>42353</v>
      </c>
      <c r="C147" s="12">
        <v>42353</v>
      </c>
      <c r="D147" s="6">
        <v>0.57500000000000007</v>
      </c>
      <c r="E147" s="6">
        <v>0.58611111111111114</v>
      </c>
      <c r="F147" s="6">
        <f t="shared" si="4"/>
        <v>1.1111111111111072E-2</v>
      </c>
      <c r="G147" s="3">
        <f t="shared" si="5"/>
        <v>0</v>
      </c>
      <c r="H147" t="s">
        <v>3</v>
      </c>
    </row>
    <row r="148" spans="1:8" x14ac:dyDescent="0.25">
      <c r="A148" s="12">
        <v>42353</v>
      </c>
      <c r="B148" s="12">
        <v>42353</v>
      </c>
      <c r="C148" s="12">
        <v>42353</v>
      </c>
      <c r="D148" s="6">
        <v>0.60763888888888895</v>
      </c>
      <c r="E148" s="6">
        <v>0.61875000000000002</v>
      </c>
      <c r="F148" s="6">
        <f t="shared" si="4"/>
        <v>1.1111111111111072E-2</v>
      </c>
      <c r="G148" s="3">
        <f t="shared" si="5"/>
        <v>6.9444444444444198E-3</v>
      </c>
      <c r="H148" t="s">
        <v>3</v>
      </c>
    </row>
    <row r="149" spans="1:8" x14ac:dyDescent="0.25">
      <c r="A149" s="12">
        <v>42353</v>
      </c>
      <c r="B149" s="12">
        <v>42353</v>
      </c>
      <c r="C149" s="12">
        <v>42353</v>
      </c>
      <c r="D149" s="6">
        <v>0.66249999999999998</v>
      </c>
      <c r="E149" s="6">
        <v>0.68055555555555547</v>
      </c>
      <c r="F149" s="6">
        <f t="shared" si="4"/>
        <v>1.8055555555555491E-2</v>
      </c>
      <c r="G149" s="3">
        <f t="shared" si="5"/>
        <v>9.7222222222221877E-3</v>
      </c>
      <c r="H149" t="s">
        <v>3</v>
      </c>
    </row>
    <row r="150" spans="1:8" x14ac:dyDescent="0.25">
      <c r="A150" s="12">
        <v>42353</v>
      </c>
      <c r="B150" s="12">
        <v>42353</v>
      </c>
      <c r="C150" s="12">
        <v>42353</v>
      </c>
      <c r="D150" s="6">
        <v>0.67499999999999993</v>
      </c>
      <c r="E150" s="6">
        <v>0.68333333333333324</v>
      </c>
      <c r="F150" s="6">
        <f t="shared" si="4"/>
        <v>8.3333333333333037E-3</v>
      </c>
      <c r="G150" s="3">
        <f t="shared" si="5"/>
        <v>2.0833333333332149E-3</v>
      </c>
      <c r="H150" t="s">
        <v>3</v>
      </c>
    </row>
    <row r="151" spans="1:8" x14ac:dyDescent="0.25">
      <c r="A151" s="12">
        <v>42353</v>
      </c>
      <c r="B151" s="12">
        <v>42353</v>
      </c>
      <c r="C151" s="12">
        <v>42353</v>
      </c>
      <c r="D151" s="6">
        <v>0.8520833333333333</v>
      </c>
      <c r="E151" s="6">
        <v>0.85833333333333339</v>
      </c>
      <c r="F151" s="6">
        <f t="shared" si="4"/>
        <v>6.2500000000000888E-3</v>
      </c>
      <c r="G151" s="3">
        <f t="shared" si="5"/>
        <v>1.597222222222211E-2</v>
      </c>
      <c r="H151" t="s">
        <v>3</v>
      </c>
    </row>
    <row r="152" spans="1:8" x14ac:dyDescent="0.25">
      <c r="A152" s="12">
        <v>42353</v>
      </c>
      <c r="B152" s="12">
        <v>42353</v>
      </c>
      <c r="C152" s="12">
        <v>42353</v>
      </c>
      <c r="D152" s="6">
        <v>0.31527777777777777</v>
      </c>
      <c r="E152" s="6">
        <v>0.33749999999999997</v>
      </c>
      <c r="F152" s="6">
        <f t="shared" si="4"/>
        <v>2.2222222222222199E-2</v>
      </c>
      <c r="G152" s="3">
        <f t="shared" si="5"/>
        <v>1.6666666666666607E-2</v>
      </c>
      <c r="H152" t="s">
        <v>3</v>
      </c>
    </row>
    <row r="153" spans="1:8" x14ac:dyDescent="0.25">
      <c r="A153" s="12">
        <v>42353</v>
      </c>
      <c r="B153" s="12">
        <v>42353</v>
      </c>
      <c r="C153" s="12">
        <v>42353</v>
      </c>
      <c r="D153" s="6">
        <v>0.41180555555555554</v>
      </c>
      <c r="E153" s="6">
        <v>0.41736111111111113</v>
      </c>
      <c r="F153" s="6">
        <f t="shared" si="4"/>
        <v>5.5555555555555913E-3</v>
      </c>
      <c r="G153" s="3">
        <f t="shared" si="5"/>
        <v>4.8611111111111494E-3</v>
      </c>
      <c r="H153" t="s">
        <v>3</v>
      </c>
    </row>
    <row r="154" spans="1:8" x14ac:dyDescent="0.25">
      <c r="A154" s="12">
        <v>42353</v>
      </c>
      <c r="B154" s="12">
        <v>42353</v>
      </c>
      <c r="C154" s="12">
        <v>42353</v>
      </c>
      <c r="D154" s="6">
        <v>0.87083333333333324</v>
      </c>
      <c r="E154" s="6">
        <v>0.88124999999999998</v>
      </c>
      <c r="F154" s="6">
        <f t="shared" si="4"/>
        <v>1.0416666666666741E-2</v>
      </c>
      <c r="G154" s="3">
        <f t="shared" si="5"/>
        <v>5.5555555555555913E-3</v>
      </c>
      <c r="H154" t="s">
        <v>3</v>
      </c>
    </row>
    <row r="155" spans="1:8" x14ac:dyDescent="0.25">
      <c r="A155" s="12">
        <v>42353</v>
      </c>
      <c r="B155" s="12">
        <v>42353</v>
      </c>
      <c r="C155" s="12">
        <v>42353</v>
      </c>
      <c r="D155" s="6">
        <v>0.37916666666666665</v>
      </c>
      <c r="E155" s="6">
        <v>0.3840277777777778</v>
      </c>
      <c r="F155" s="6">
        <f t="shared" si="4"/>
        <v>4.8611111111111494E-3</v>
      </c>
      <c r="G155" s="3">
        <f t="shared" si="5"/>
        <v>6.9444444444449749E-4</v>
      </c>
      <c r="H155" t="s">
        <v>3</v>
      </c>
    </row>
    <row r="156" spans="1:8" x14ac:dyDescent="0.25">
      <c r="A156" s="12">
        <v>42353</v>
      </c>
      <c r="B156" s="12">
        <v>42353</v>
      </c>
      <c r="C156" s="12">
        <v>42353</v>
      </c>
      <c r="D156" s="6">
        <v>0.41388888888888892</v>
      </c>
      <c r="E156" s="6">
        <v>0.41805555555555557</v>
      </c>
      <c r="F156" s="6">
        <f t="shared" si="4"/>
        <v>4.1666666666666519E-3</v>
      </c>
      <c r="G156" s="3">
        <f t="shared" si="5"/>
        <v>0</v>
      </c>
      <c r="H156" t="s">
        <v>3</v>
      </c>
    </row>
    <row r="157" spans="1:8" x14ac:dyDescent="0.25">
      <c r="A157" s="12">
        <v>42353</v>
      </c>
      <c r="B157" s="12">
        <v>42353</v>
      </c>
      <c r="C157" s="12">
        <v>42353</v>
      </c>
      <c r="D157" s="6">
        <v>0.5444444444444444</v>
      </c>
      <c r="E157" s="6">
        <v>0.54861111111111105</v>
      </c>
      <c r="F157" s="6">
        <f t="shared" si="4"/>
        <v>4.1666666666666519E-3</v>
      </c>
      <c r="G157" s="3">
        <f t="shared" si="5"/>
        <v>6.94444444444553E-4</v>
      </c>
      <c r="H157" t="s">
        <v>3</v>
      </c>
    </row>
    <row r="158" spans="1:8" x14ac:dyDescent="0.25">
      <c r="A158" s="12">
        <v>42353</v>
      </c>
      <c r="B158" s="12">
        <v>42353</v>
      </c>
      <c r="C158" s="12">
        <v>42353</v>
      </c>
      <c r="D158" s="6">
        <v>0.7993055555555556</v>
      </c>
      <c r="E158" s="6">
        <v>0.8027777777777777</v>
      </c>
      <c r="F158" s="6">
        <f t="shared" si="4"/>
        <v>3.4722222222220989E-3</v>
      </c>
      <c r="G158" s="3">
        <f t="shared" si="5"/>
        <v>1.2500000000000178E-2</v>
      </c>
      <c r="H158" t="s">
        <v>3</v>
      </c>
    </row>
    <row r="159" spans="1:8" x14ac:dyDescent="0.25">
      <c r="A159" s="12">
        <v>42353</v>
      </c>
      <c r="B159" s="12">
        <v>42353</v>
      </c>
      <c r="C159" s="12">
        <v>42353</v>
      </c>
      <c r="D159" s="6">
        <v>0.80625000000000002</v>
      </c>
      <c r="E159" s="6">
        <v>0.8222222222222223</v>
      </c>
      <c r="F159" s="6">
        <f t="shared" si="4"/>
        <v>1.5972222222222276E-2</v>
      </c>
      <c r="G159" s="3">
        <f t="shared" si="5"/>
        <v>1.1805555555555569E-2</v>
      </c>
      <c r="H159" t="s">
        <v>3</v>
      </c>
    </row>
    <row r="160" spans="1:8" x14ac:dyDescent="0.25">
      <c r="A160" s="12">
        <v>42353</v>
      </c>
      <c r="B160" s="12">
        <v>42353</v>
      </c>
      <c r="C160" s="12">
        <v>42353</v>
      </c>
      <c r="D160" s="6">
        <v>0.31319444444444444</v>
      </c>
      <c r="E160" s="6">
        <v>0.31736111111111115</v>
      </c>
      <c r="F160" s="6">
        <f t="shared" si="4"/>
        <v>4.1666666666667074E-3</v>
      </c>
      <c r="G160" s="3">
        <f t="shared" si="5"/>
        <v>1.3888888888889395E-3</v>
      </c>
      <c r="H160" t="s">
        <v>3</v>
      </c>
    </row>
    <row r="161" spans="1:8" x14ac:dyDescent="0.25">
      <c r="A161" s="12">
        <v>42353</v>
      </c>
      <c r="B161" s="12">
        <v>42353</v>
      </c>
      <c r="C161" s="12">
        <v>42353</v>
      </c>
      <c r="D161" s="6">
        <v>0.3215277777777778</v>
      </c>
      <c r="E161" s="6">
        <v>0.32430555555555557</v>
      </c>
      <c r="F161" s="6">
        <f t="shared" si="4"/>
        <v>2.7777777777777679E-3</v>
      </c>
      <c r="G161" s="3">
        <f t="shared" si="5"/>
        <v>2.7777777777778789E-3</v>
      </c>
      <c r="H161" t="s">
        <v>3</v>
      </c>
    </row>
    <row r="162" spans="1:8" x14ac:dyDescent="0.25">
      <c r="A162" s="12">
        <v>42353</v>
      </c>
      <c r="B162" s="12">
        <v>42353</v>
      </c>
      <c r="C162" s="12">
        <v>42353</v>
      </c>
      <c r="D162" s="6">
        <v>0.46388888888888885</v>
      </c>
      <c r="E162" s="6">
        <v>0.4694444444444445</v>
      </c>
      <c r="F162" s="6">
        <f t="shared" si="4"/>
        <v>5.5555555555556468E-3</v>
      </c>
      <c r="G162" s="3">
        <f t="shared" si="5"/>
        <v>6.9444444444443088E-3</v>
      </c>
      <c r="H162" t="s">
        <v>3</v>
      </c>
    </row>
    <row r="163" spans="1:8" x14ac:dyDescent="0.25">
      <c r="A163" s="12">
        <v>42353</v>
      </c>
      <c r="B163" s="12">
        <v>42353</v>
      </c>
      <c r="C163" s="12">
        <v>42353</v>
      </c>
      <c r="D163" s="6">
        <v>0.50763888888888886</v>
      </c>
      <c r="E163" s="6">
        <v>0.52013888888888882</v>
      </c>
      <c r="F163" s="6">
        <f t="shared" si="4"/>
        <v>1.2499999999999956E-2</v>
      </c>
      <c r="G163" s="3">
        <f t="shared" si="5"/>
        <v>4.8611111111109828E-3</v>
      </c>
      <c r="H163" t="s">
        <v>3</v>
      </c>
    </row>
    <row r="164" spans="1:8" x14ac:dyDescent="0.25">
      <c r="A164" s="12">
        <v>42353</v>
      </c>
      <c r="B164" s="12">
        <v>42353</v>
      </c>
      <c r="C164" s="12">
        <v>42353</v>
      </c>
      <c r="D164" s="6">
        <v>0.66111111111111109</v>
      </c>
      <c r="E164" s="6">
        <v>0.66875000000000007</v>
      </c>
      <c r="F164" s="6">
        <f t="shared" si="4"/>
        <v>7.6388888888889728E-3</v>
      </c>
      <c r="G164" s="3">
        <f t="shared" si="5"/>
        <v>2.7777777777778789E-3</v>
      </c>
      <c r="H164" t="s">
        <v>3</v>
      </c>
    </row>
    <row r="165" spans="1:8" x14ac:dyDescent="0.25">
      <c r="A165" s="12">
        <v>42353</v>
      </c>
      <c r="B165" s="12">
        <v>42353</v>
      </c>
      <c r="C165" s="12">
        <v>42353</v>
      </c>
      <c r="D165" s="6">
        <v>0.81805555555555554</v>
      </c>
      <c r="E165" s="6">
        <v>0.82291666666666663</v>
      </c>
      <c r="F165" s="6">
        <f t="shared" si="4"/>
        <v>4.8611111111110938E-3</v>
      </c>
      <c r="G165" s="3">
        <f t="shared" si="5"/>
        <v>4.1666666666667629E-3</v>
      </c>
      <c r="H165" t="s">
        <v>3</v>
      </c>
    </row>
    <row r="166" spans="1:8" x14ac:dyDescent="0.25">
      <c r="A166" s="12">
        <v>42353</v>
      </c>
      <c r="B166" s="12">
        <v>42353</v>
      </c>
      <c r="C166" s="12">
        <v>42353</v>
      </c>
      <c r="D166" s="6">
        <v>0.87847222222222221</v>
      </c>
      <c r="E166" s="6">
        <v>0.88750000000000007</v>
      </c>
      <c r="F166" s="6">
        <f t="shared" si="4"/>
        <v>9.0277777777778567E-3</v>
      </c>
      <c r="G166" s="3">
        <f t="shared" si="5"/>
        <v>2.083333333333437E-3</v>
      </c>
      <c r="H166" t="s">
        <v>3</v>
      </c>
    </row>
    <row r="167" spans="1:8" x14ac:dyDescent="0.25">
      <c r="A167" s="12">
        <v>42353</v>
      </c>
      <c r="B167" s="12">
        <v>42353</v>
      </c>
      <c r="C167" s="12">
        <v>42353</v>
      </c>
      <c r="D167" s="6">
        <v>0.4291666666666667</v>
      </c>
      <c r="E167" s="6">
        <v>0.43611111111111112</v>
      </c>
      <c r="F167" s="6">
        <f t="shared" si="4"/>
        <v>6.9444444444444198E-3</v>
      </c>
      <c r="G167" s="3">
        <f t="shared" si="5"/>
        <v>6.9444444444444198E-4</v>
      </c>
      <c r="H167" t="s">
        <v>3</v>
      </c>
    </row>
    <row r="168" spans="1:8" x14ac:dyDescent="0.25">
      <c r="A168" s="12">
        <v>42353</v>
      </c>
      <c r="B168" s="12">
        <v>42353</v>
      </c>
      <c r="C168" s="12">
        <v>42353</v>
      </c>
      <c r="D168" s="6">
        <v>0.96805555555555556</v>
      </c>
      <c r="E168" s="6">
        <v>0.97430555555555554</v>
      </c>
      <c r="F168" s="6">
        <f t="shared" si="4"/>
        <v>6.2499999999999778E-3</v>
      </c>
      <c r="G168" s="3">
        <f t="shared" si="5"/>
        <v>2.0833333333333259E-3</v>
      </c>
      <c r="H168" t="s">
        <v>3</v>
      </c>
    </row>
    <row r="169" spans="1:8" x14ac:dyDescent="0.25">
      <c r="A169" s="12">
        <v>42353</v>
      </c>
      <c r="B169" s="12">
        <v>42353</v>
      </c>
      <c r="C169" s="12">
        <v>42353</v>
      </c>
      <c r="D169" s="6">
        <v>0.94027777777777777</v>
      </c>
      <c r="E169" s="6">
        <v>0.94861111111111107</v>
      </c>
      <c r="F169" s="6">
        <f t="shared" si="4"/>
        <v>8.3333333333333037E-3</v>
      </c>
      <c r="G169" s="3">
        <f t="shared" si="5"/>
        <v>2.083333333333437E-3</v>
      </c>
      <c r="H169" t="s">
        <v>3</v>
      </c>
    </row>
    <row r="170" spans="1:8" x14ac:dyDescent="0.25">
      <c r="A170" s="12">
        <v>42353</v>
      </c>
      <c r="B170" s="12">
        <v>42353</v>
      </c>
      <c r="C170" s="12">
        <v>42353</v>
      </c>
      <c r="D170" s="6">
        <v>0.94166666666666676</v>
      </c>
      <c r="E170" s="6">
        <v>0.94791666666666663</v>
      </c>
      <c r="F170" s="6">
        <f t="shared" si="4"/>
        <v>6.2499999999998668E-3</v>
      </c>
      <c r="G170" s="3">
        <f t="shared" si="5"/>
        <v>1.2500000000000178E-2</v>
      </c>
      <c r="H170" t="s">
        <v>3</v>
      </c>
    </row>
    <row r="171" spans="1:8" x14ac:dyDescent="0.25">
      <c r="A171" s="12">
        <v>42353</v>
      </c>
      <c r="B171" s="12">
        <v>42353</v>
      </c>
      <c r="C171" s="12">
        <v>42353</v>
      </c>
      <c r="D171" s="6">
        <v>0.40277777777777773</v>
      </c>
      <c r="E171" s="6">
        <v>0.42152777777777778</v>
      </c>
      <c r="F171" s="6">
        <f t="shared" si="4"/>
        <v>1.8750000000000044E-2</v>
      </c>
      <c r="G171" s="3">
        <f t="shared" si="5"/>
        <v>1.1805555555555625E-2</v>
      </c>
      <c r="H171" t="s">
        <v>3</v>
      </c>
    </row>
    <row r="172" spans="1:8" x14ac:dyDescent="0.25">
      <c r="A172" s="12">
        <v>42353</v>
      </c>
      <c r="B172" s="12">
        <v>42353</v>
      </c>
      <c r="C172" s="12">
        <v>42353</v>
      </c>
      <c r="D172" s="6">
        <v>0.41805555555555557</v>
      </c>
      <c r="E172" s="6">
        <v>0.42499999999999999</v>
      </c>
      <c r="F172" s="6">
        <f t="shared" si="4"/>
        <v>6.9444444444444198E-3</v>
      </c>
      <c r="G172" s="3">
        <f t="shared" si="5"/>
        <v>9.0277777777777457E-3</v>
      </c>
      <c r="H172" t="s">
        <v>3</v>
      </c>
    </row>
    <row r="173" spans="1:8" x14ac:dyDescent="0.25">
      <c r="A173" s="12">
        <v>42353</v>
      </c>
      <c r="B173" s="12">
        <v>42353</v>
      </c>
      <c r="C173" s="12">
        <v>42353</v>
      </c>
      <c r="D173" s="6">
        <v>0.47638888888888892</v>
      </c>
      <c r="E173" s="6">
        <v>0.49236111111111108</v>
      </c>
      <c r="F173" s="6">
        <f t="shared" si="4"/>
        <v>1.5972222222222165E-2</v>
      </c>
      <c r="G173" s="3">
        <f t="shared" si="5"/>
        <v>3.4722222222220989E-3</v>
      </c>
      <c r="H173" t="s">
        <v>3</v>
      </c>
    </row>
    <row r="174" spans="1:8" x14ac:dyDescent="0.25">
      <c r="A174" s="12">
        <v>42353</v>
      </c>
      <c r="B174" s="12">
        <v>42353</v>
      </c>
      <c r="C174" s="12">
        <v>42353</v>
      </c>
      <c r="D174" s="6">
        <v>0.67499999999999993</v>
      </c>
      <c r="E174" s="6">
        <v>0.6875</v>
      </c>
      <c r="F174" s="6">
        <f t="shared" si="4"/>
        <v>1.2500000000000067E-2</v>
      </c>
      <c r="G174" s="3">
        <f t="shared" si="5"/>
        <v>2.7777777777778789E-3</v>
      </c>
      <c r="H174" t="s">
        <v>3</v>
      </c>
    </row>
    <row r="175" spans="1:8" x14ac:dyDescent="0.25">
      <c r="A175" s="12">
        <v>42353</v>
      </c>
      <c r="B175" s="12">
        <v>42353</v>
      </c>
      <c r="C175" s="12">
        <v>42353</v>
      </c>
      <c r="D175" s="6">
        <v>0.70277777777777783</v>
      </c>
      <c r="E175" s="6">
        <v>0.71250000000000002</v>
      </c>
      <c r="F175" s="6">
        <f t="shared" si="4"/>
        <v>9.7222222222221877E-3</v>
      </c>
      <c r="G175" s="3">
        <f t="shared" si="5"/>
        <v>8.3333333333334147E-3</v>
      </c>
      <c r="H175" t="s">
        <v>3</v>
      </c>
    </row>
    <row r="176" spans="1:8" x14ac:dyDescent="0.25">
      <c r="A176" s="12">
        <v>42353</v>
      </c>
      <c r="B176" s="12">
        <v>42353</v>
      </c>
      <c r="C176" s="12">
        <v>42353</v>
      </c>
      <c r="D176" s="6">
        <v>0.73611111111111116</v>
      </c>
      <c r="E176" s="6">
        <v>0.73749999999999993</v>
      </c>
      <c r="F176" s="6">
        <f t="shared" si="4"/>
        <v>1.3888888888887729E-3</v>
      </c>
      <c r="G176" s="3">
        <f t="shared" si="5"/>
        <v>2.083333333333548E-3</v>
      </c>
      <c r="H176" t="s">
        <v>3</v>
      </c>
    </row>
    <row r="177" spans="1:8" x14ac:dyDescent="0.25">
      <c r="A177" s="12">
        <v>42353</v>
      </c>
      <c r="B177" s="12">
        <v>42353</v>
      </c>
      <c r="C177" s="12">
        <v>42353</v>
      </c>
      <c r="D177" s="6">
        <v>0.76944444444444438</v>
      </c>
      <c r="E177" s="6">
        <v>0.7729166666666667</v>
      </c>
      <c r="F177" s="6">
        <f t="shared" si="4"/>
        <v>3.4722222222223209E-3</v>
      </c>
      <c r="G177" s="3">
        <f t="shared" si="5"/>
        <v>6.94444444444553E-4</v>
      </c>
      <c r="H177" t="s">
        <v>3</v>
      </c>
    </row>
    <row r="178" spans="1:8" x14ac:dyDescent="0.25">
      <c r="A178" s="12">
        <v>42353</v>
      </c>
      <c r="B178" s="12">
        <v>42353</v>
      </c>
      <c r="C178" s="12">
        <v>42353</v>
      </c>
      <c r="D178" s="6">
        <v>0.87986111111111109</v>
      </c>
      <c r="E178" s="6">
        <v>0.88263888888888886</v>
      </c>
      <c r="F178" s="6">
        <f t="shared" si="4"/>
        <v>2.7777777777777679E-3</v>
      </c>
      <c r="G178" s="3">
        <f t="shared" si="5"/>
        <v>4.1666666666665408E-3</v>
      </c>
      <c r="H178" t="s">
        <v>3</v>
      </c>
    </row>
    <row r="179" spans="1:8" x14ac:dyDescent="0.25">
      <c r="A179" s="12">
        <v>42353</v>
      </c>
      <c r="B179" s="12">
        <v>42353</v>
      </c>
      <c r="C179" s="12">
        <v>42353</v>
      </c>
      <c r="D179" s="6">
        <v>0.98125000000000007</v>
      </c>
      <c r="E179" s="6">
        <v>0.98819444444444438</v>
      </c>
      <c r="F179" s="6">
        <f t="shared" si="4"/>
        <v>6.9444444444443088E-3</v>
      </c>
      <c r="G179" s="3">
        <f t="shared" si="5"/>
        <v>3.4722222222223764E-3</v>
      </c>
      <c r="H179" t="s">
        <v>3</v>
      </c>
    </row>
    <row r="180" spans="1:8" x14ac:dyDescent="0.25">
      <c r="A180" s="12">
        <v>42353</v>
      </c>
      <c r="B180" s="12">
        <v>42353</v>
      </c>
      <c r="C180" s="12">
        <v>42353</v>
      </c>
      <c r="D180" s="6">
        <v>0.28541666666666665</v>
      </c>
      <c r="E180" s="6">
        <v>0.29583333333333334</v>
      </c>
      <c r="F180" s="6">
        <f t="shared" si="4"/>
        <v>1.0416666666666685E-2</v>
      </c>
      <c r="G180" s="3">
        <f t="shared" si="5"/>
        <v>4.1666666666666519E-3</v>
      </c>
      <c r="H180" t="s">
        <v>3</v>
      </c>
    </row>
    <row r="181" spans="1:8" x14ac:dyDescent="0.25">
      <c r="A181" s="12">
        <v>42353</v>
      </c>
      <c r="B181" s="12">
        <v>42353</v>
      </c>
      <c r="C181" s="12">
        <v>42353</v>
      </c>
      <c r="D181" s="6">
        <v>0.43541666666666662</v>
      </c>
      <c r="E181" s="6">
        <v>0.44166666666666665</v>
      </c>
      <c r="F181" s="6">
        <f t="shared" si="4"/>
        <v>6.2500000000000333E-3</v>
      </c>
      <c r="G181" s="3">
        <f t="shared" si="5"/>
        <v>3.9583333333333359E-2</v>
      </c>
      <c r="H181" t="s">
        <v>3</v>
      </c>
    </row>
    <row r="182" spans="1:8" x14ac:dyDescent="0.25">
      <c r="A182" s="12">
        <v>42353</v>
      </c>
      <c r="B182" s="12">
        <v>42353</v>
      </c>
      <c r="C182" s="12">
        <v>42353</v>
      </c>
      <c r="D182" s="6">
        <v>0.6430555555555556</v>
      </c>
      <c r="E182" s="6">
        <v>0.68888888888888899</v>
      </c>
      <c r="F182" s="6">
        <f t="shared" si="4"/>
        <v>4.5833333333333393E-2</v>
      </c>
      <c r="G182" s="3">
        <f t="shared" si="5"/>
        <v>4.0972222222222299E-2</v>
      </c>
      <c r="H182" t="s">
        <v>3</v>
      </c>
    </row>
    <row r="183" spans="1:8" x14ac:dyDescent="0.25">
      <c r="A183" s="12">
        <v>42353</v>
      </c>
      <c r="B183" s="12">
        <v>42353</v>
      </c>
      <c r="C183" s="12">
        <v>42353</v>
      </c>
      <c r="D183" s="6">
        <v>0.6972222222222223</v>
      </c>
      <c r="E183" s="6">
        <v>0.70208333333333339</v>
      </c>
      <c r="F183" s="6">
        <f t="shared" si="4"/>
        <v>4.8611111111110938E-3</v>
      </c>
      <c r="G183" s="3">
        <f t="shared" si="5"/>
        <v>6.9444444444444614E-3</v>
      </c>
      <c r="H183" t="s">
        <v>3</v>
      </c>
    </row>
    <row r="184" spans="1:8" x14ac:dyDescent="0.25">
      <c r="A184" s="12">
        <v>42353</v>
      </c>
      <c r="B184" s="12">
        <v>42353</v>
      </c>
      <c r="C184" s="12">
        <v>42353</v>
      </c>
      <c r="D184" s="6">
        <v>0.11458333333333333</v>
      </c>
      <c r="E184" s="6">
        <v>0.12638888888888888</v>
      </c>
      <c r="F184" s="6">
        <f t="shared" si="4"/>
        <v>1.1805555555555555E-2</v>
      </c>
      <c r="G184" s="3">
        <f t="shared" si="5"/>
        <v>6.9444444444444614E-3</v>
      </c>
      <c r="H184" t="s">
        <v>3</v>
      </c>
    </row>
    <row r="185" spans="1:8" x14ac:dyDescent="0.25">
      <c r="A185" s="12">
        <v>42353</v>
      </c>
      <c r="B185" s="12">
        <v>42353</v>
      </c>
      <c r="C185" s="12">
        <v>42353</v>
      </c>
      <c r="D185" s="6">
        <v>0.41388888888888892</v>
      </c>
      <c r="E185" s="6">
        <v>0.41875000000000001</v>
      </c>
      <c r="F185" s="6">
        <f t="shared" si="4"/>
        <v>4.8611111111110938E-3</v>
      </c>
      <c r="G185" s="3">
        <f t="shared" si="5"/>
        <v>1.3888888888887729E-3</v>
      </c>
      <c r="H185" t="s">
        <v>3</v>
      </c>
    </row>
    <row r="186" spans="1:8" x14ac:dyDescent="0.25">
      <c r="A186" s="12">
        <v>42353</v>
      </c>
      <c r="B186" s="12">
        <v>42353</v>
      </c>
      <c r="C186" s="12">
        <v>42353</v>
      </c>
      <c r="D186" s="6">
        <v>0.73125000000000007</v>
      </c>
      <c r="E186" s="6">
        <v>0.73749999999999993</v>
      </c>
      <c r="F186" s="6">
        <f t="shared" si="4"/>
        <v>6.2499999999998668E-3</v>
      </c>
      <c r="G186" s="3">
        <f t="shared" si="5"/>
        <v>1.1102230246251565E-16</v>
      </c>
      <c r="H186" t="s">
        <v>3</v>
      </c>
    </row>
    <row r="187" spans="1:8" x14ac:dyDescent="0.25">
      <c r="A187" s="12">
        <v>42353</v>
      </c>
      <c r="B187" s="12">
        <v>42353</v>
      </c>
      <c r="C187" s="12">
        <v>42353</v>
      </c>
      <c r="D187" s="6">
        <v>0.80625000000000002</v>
      </c>
      <c r="E187" s="6">
        <v>0.8125</v>
      </c>
      <c r="F187" s="6">
        <f t="shared" si="4"/>
        <v>6.2499999999999778E-3</v>
      </c>
      <c r="G187" s="3">
        <f t="shared" si="5"/>
        <v>3.4722222222223209E-3</v>
      </c>
      <c r="H187" t="s">
        <v>3</v>
      </c>
    </row>
    <row r="188" spans="1:8" x14ac:dyDescent="0.25">
      <c r="A188" s="12">
        <v>42353</v>
      </c>
      <c r="B188" s="12">
        <v>42353</v>
      </c>
      <c r="C188" s="12">
        <v>42353</v>
      </c>
      <c r="D188" s="6">
        <v>0.80555555555555547</v>
      </c>
      <c r="E188" s="6">
        <v>0.81527777777777777</v>
      </c>
      <c r="F188" s="6">
        <f t="shared" si="4"/>
        <v>9.7222222222222987E-3</v>
      </c>
      <c r="G188" s="3">
        <f t="shared" si="5"/>
        <v>4.8611111111112049E-3</v>
      </c>
      <c r="H188" t="s">
        <v>3</v>
      </c>
    </row>
    <row r="189" spans="1:8" x14ac:dyDescent="0.25">
      <c r="A189" s="12">
        <v>42353</v>
      </c>
      <c r="B189" s="12">
        <v>42353</v>
      </c>
      <c r="C189" s="12">
        <v>42353</v>
      </c>
      <c r="D189" s="6">
        <v>0.82152777777777775</v>
      </c>
      <c r="E189" s="6">
        <v>0.82638888888888884</v>
      </c>
      <c r="F189" s="6">
        <f t="shared" si="4"/>
        <v>4.8611111111110938E-3</v>
      </c>
      <c r="G189" s="3">
        <f t="shared" si="5"/>
        <v>2.0833333333333259E-3</v>
      </c>
      <c r="H189" t="s">
        <v>3</v>
      </c>
    </row>
    <row r="190" spans="1:8" x14ac:dyDescent="0.25">
      <c r="A190" s="12">
        <v>42353</v>
      </c>
      <c r="B190" s="12">
        <v>42353</v>
      </c>
      <c r="C190" s="12">
        <v>42353</v>
      </c>
      <c r="D190" s="6">
        <v>0.92499999999999993</v>
      </c>
      <c r="E190" s="6">
        <v>0.9277777777777777</v>
      </c>
      <c r="F190" s="6">
        <f t="shared" si="4"/>
        <v>2.7777777777777679E-3</v>
      </c>
      <c r="G190" s="3">
        <f t="shared" si="5"/>
        <v>0</v>
      </c>
      <c r="H190" t="s">
        <v>3</v>
      </c>
    </row>
    <row r="191" spans="1:8" x14ac:dyDescent="0.25">
      <c r="A191" s="12">
        <v>42353</v>
      </c>
      <c r="B191" s="12">
        <v>42353</v>
      </c>
      <c r="C191" s="12">
        <v>42353</v>
      </c>
      <c r="D191" s="6">
        <v>0.9604166666666667</v>
      </c>
      <c r="E191" s="6">
        <v>0.96319444444444446</v>
      </c>
      <c r="F191" s="6">
        <f t="shared" si="4"/>
        <v>2.7777777777777679E-3</v>
      </c>
      <c r="G191" s="3">
        <f t="shared" si="5"/>
        <v>8.3333333333333037E-3</v>
      </c>
      <c r="H191" t="s">
        <v>3</v>
      </c>
    </row>
    <row r="192" spans="1:8" x14ac:dyDescent="0.25">
      <c r="A192" s="12">
        <v>42353</v>
      </c>
      <c r="B192" s="12">
        <v>42353</v>
      </c>
      <c r="C192" s="12">
        <v>42353</v>
      </c>
      <c r="D192" s="6">
        <v>1.0256944444444445</v>
      </c>
      <c r="E192" s="6">
        <v>1.0368055555555555</v>
      </c>
      <c r="F192" s="6">
        <f t="shared" si="4"/>
        <v>1.1111111111111072E-2</v>
      </c>
      <c r="G192" s="3">
        <f t="shared" si="5"/>
        <v>4.86111111111108E-3</v>
      </c>
      <c r="H192" t="s">
        <v>3</v>
      </c>
    </row>
    <row r="193" spans="1:8" x14ac:dyDescent="0.25">
      <c r="A193" s="12">
        <v>42353</v>
      </c>
      <c r="B193" s="12">
        <v>42353</v>
      </c>
      <c r="C193" s="12">
        <v>42353</v>
      </c>
      <c r="D193" s="6">
        <v>6.1111111111111116E-2</v>
      </c>
      <c r="E193" s="6">
        <v>6.7361111111111108E-2</v>
      </c>
      <c r="F193" s="6">
        <f t="shared" si="4"/>
        <v>6.2499999999999917E-3</v>
      </c>
      <c r="G193" s="3">
        <f t="shared" si="5"/>
        <v>1.3888888888889256E-3</v>
      </c>
      <c r="H193" t="s">
        <v>3</v>
      </c>
    </row>
    <row r="194" spans="1:8" x14ac:dyDescent="0.25">
      <c r="A194" s="12">
        <v>42353</v>
      </c>
      <c r="B194" s="12">
        <v>42353</v>
      </c>
      <c r="C194" s="12">
        <v>42353</v>
      </c>
      <c r="D194" s="6">
        <v>0.34791666666666665</v>
      </c>
      <c r="E194" s="6">
        <v>0.35555555555555557</v>
      </c>
      <c r="F194" s="6">
        <f t="shared" ref="F194:F254" si="6">E194-D194</f>
        <v>7.6388888888889173E-3</v>
      </c>
      <c r="G194" s="3">
        <f t="shared" si="5"/>
        <v>2.7777777777777679E-3</v>
      </c>
      <c r="H194" t="s">
        <v>3</v>
      </c>
    </row>
    <row r="195" spans="1:8" x14ac:dyDescent="0.25">
      <c r="A195" s="12">
        <v>42353</v>
      </c>
      <c r="B195" s="12">
        <v>42353</v>
      </c>
      <c r="C195" s="12">
        <v>42353</v>
      </c>
      <c r="D195" s="6">
        <v>0.4597222222222222</v>
      </c>
      <c r="E195" s="6">
        <v>0.47013888888888888</v>
      </c>
      <c r="F195" s="6">
        <f t="shared" si="6"/>
        <v>1.0416666666666685E-2</v>
      </c>
      <c r="G195" s="3">
        <f t="shared" ref="G195:G258" si="7">ABS(F196-F195)</f>
        <v>6.9444444444438647E-4</v>
      </c>
      <c r="H195" t="s">
        <v>3</v>
      </c>
    </row>
    <row r="196" spans="1:8" x14ac:dyDescent="0.25">
      <c r="A196" s="12">
        <v>42353</v>
      </c>
      <c r="B196" s="12">
        <v>42353</v>
      </c>
      <c r="C196" s="12">
        <v>42353</v>
      </c>
      <c r="D196" s="6">
        <v>0.56736111111111109</v>
      </c>
      <c r="E196" s="6">
        <v>0.57847222222222217</v>
      </c>
      <c r="F196" s="6">
        <f t="shared" si="6"/>
        <v>1.1111111111111072E-2</v>
      </c>
      <c r="G196" s="3">
        <f t="shared" si="7"/>
        <v>0</v>
      </c>
      <c r="H196" t="s">
        <v>3</v>
      </c>
    </row>
    <row r="197" spans="1:8" x14ac:dyDescent="0.25">
      <c r="A197" s="12">
        <v>42353</v>
      </c>
      <c r="B197" s="12">
        <v>42353</v>
      </c>
      <c r="C197" s="12">
        <v>42353</v>
      </c>
      <c r="D197" s="6">
        <v>0.57361111111111118</v>
      </c>
      <c r="E197" s="6">
        <v>0.58472222222222225</v>
      </c>
      <c r="F197" s="6">
        <f t="shared" si="6"/>
        <v>1.1111111111111072E-2</v>
      </c>
      <c r="G197" s="3">
        <f t="shared" si="7"/>
        <v>5.5555555555555358E-3</v>
      </c>
      <c r="H197" t="s">
        <v>3</v>
      </c>
    </row>
    <row r="198" spans="1:8" x14ac:dyDescent="0.25">
      <c r="A198" s="12">
        <v>42353</v>
      </c>
      <c r="B198" s="12">
        <v>42353</v>
      </c>
      <c r="C198" s="12">
        <v>42353</v>
      </c>
      <c r="D198" s="6">
        <v>0.67708333333333337</v>
      </c>
      <c r="E198" s="6">
        <v>0.68263888888888891</v>
      </c>
      <c r="F198" s="6">
        <f t="shared" si="6"/>
        <v>5.5555555555555358E-3</v>
      </c>
      <c r="G198" s="3">
        <f t="shared" si="7"/>
        <v>3.7499999999999978E-2</v>
      </c>
      <c r="H198" t="s">
        <v>3</v>
      </c>
    </row>
    <row r="199" spans="1:8" x14ac:dyDescent="0.25">
      <c r="A199" s="12">
        <v>42353</v>
      </c>
      <c r="B199" s="12">
        <v>42353</v>
      </c>
      <c r="C199" s="12">
        <v>42353</v>
      </c>
      <c r="D199" s="6">
        <v>0.74652777777777779</v>
      </c>
      <c r="E199" s="6">
        <v>0.7895833333333333</v>
      </c>
      <c r="F199" s="6">
        <f t="shared" si="6"/>
        <v>4.3055555555555514E-2</v>
      </c>
      <c r="G199" s="3">
        <f t="shared" si="7"/>
        <v>3.472222222222221E-2</v>
      </c>
      <c r="H199" t="s">
        <v>3</v>
      </c>
    </row>
    <row r="200" spans="1:8" x14ac:dyDescent="0.25">
      <c r="A200" s="12">
        <v>42353</v>
      </c>
      <c r="B200" s="12">
        <v>42353</v>
      </c>
      <c r="C200" s="12">
        <v>42353</v>
      </c>
      <c r="D200" s="6">
        <v>0.78611111111111109</v>
      </c>
      <c r="E200" s="6">
        <v>0.7944444444444444</v>
      </c>
      <c r="F200" s="6">
        <f t="shared" si="6"/>
        <v>8.3333333333333037E-3</v>
      </c>
      <c r="G200" s="3">
        <f t="shared" si="7"/>
        <v>2.7777777777777679E-3</v>
      </c>
      <c r="H200" t="s">
        <v>3</v>
      </c>
    </row>
    <row r="201" spans="1:8" x14ac:dyDescent="0.25">
      <c r="A201" s="12">
        <v>42353</v>
      </c>
      <c r="B201" s="12">
        <v>42353</v>
      </c>
      <c r="C201" s="12">
        <v>42353</v>
      </c>
      <c r="D201" s="6">
        <v>0.87777777777777777</v>
      </c>
      <c r="E201" s="6">
        <v>0.8833333333333333</v>
      </c>
      <c r="F201" s="6">
        <f t="shared" si="6"/>
        <v>5.5555555555555358E-3</v>
      </c>
      <c r="G201" s="3">
        <f t="shared" si="7"/>
        <v>9.7222222222222432E-3</v>
      </c>
      <c r="H201" t="s">
        <v>3</v>
      </c>
    </row>
    <row r="202" spans="1:8" x14ac:dyDescent="0.25">
      <c r="A202" s="12">
        <v>42353</v>
      </c>
      <c r="B202" s="12">
        <v>42353</v>
      </c>
      <c r="C202" s="12">
        <v>42353</v>
      </c>
      <c r="D202" s="6">
        <v>4.5138888888888888E-2</v>
      </c>
      <c r="E202" s="6">
        <v>6.0416666666666667E-2</v>
      </c>
      <c r="F202" s="6">
        <f t="shared" si="6"/>
        <v>1.5277777777777779E-2</v>
      </c>
      <c r="G202" s="3">
        <f t="shared" si="7"/>
        <v>2.7777777777778234E-3</v>
      </c>
      <c r="H202" t="s">
        <v>3</v>
      </c>
    </row>
    <row r="203" spans="1:8" x14ac:dyDescent="0.25">
      <c r="A203" s="12">
        <v>42353</v>
      </c>
      <c r="B203" s="12">
        <v>42353</v>
      </c>
      <c r="C203" s="12">
        <v>42353</v>
      </c>
      <c r="D203" s="6">
        <v>0.3666666666666667</v>
      </c>
      <c r="E203" s="6">
        <v>0.37916666666666665</v>
      </c>
      <c r="F203" s="6">
        <f t="shared" si="6"/>
        <v>1.2499999999999956E-2</v>
      </c>
      <c r="G203" s="3">
        <f t="shared" si="7"/>
        <v>1.1111111111111127E-2</v>
      </c>
      <c r="H203" t="s">
        <v>3</v>
      </c>
    </row>
    <row r="204" spans="1:8" x14ac:dyDescent="0.25">
      <c r="A204" s="12">
        <v>42353</v>
      </c>
      <c r="B204" s="12">
        <v>42353</v>
      </c>
      <c r="C204" s="12">
        <v>42353</v>
      </c>
      <c r="D204" s="6">
        <v>0.42083333333333334</v>
      </c>
      <c r="E204" s="6">
        <v>0.44444444444444442</v>
      </c>
      <c r="F204" s="6">
        <f t="shared" si="6"/>
        <v>2.3611111111111083E-2</v>
      </c>
      <c r="G204" s="3">
        <f t="shared" si="7"/>
        <v>1.3194444444444453E-2</v>
      </c>
      <c r="H204" t="s">
        <v>3</v>
      </c>
    </row>
    <row r="205" spans="1:8" x14ac:dyDescent="0.25">
      <c r="A205" s="12">
        <v>42353</v>
      </c>
      <c r="B205" s="12">
        <v>42353</v>
      </c>
      <c r="C205" s="12">
        <v>42353</v>
      </c>
      <c r="D205" s="6">
        <v>0.47500000000000003</v>
      </c>
      <c r="E205" s="6">
        <v>0.48541666666666666</v>
      </c>
      <c r="F205" s="6">
        <f t="shared" si="6"/>
        <v>1.041666666666663E-2</v>
      </c>
      <c r="G205" s="3">
        <f t="shared" si="7"/>
        <v>4.8611111111110938E-3</v>
      </c>
      <c r="H205" t="s">
        <v>3</v>
      </c>
    </row>
    <row r="206" spans="1:8" x14ac:dyDescent="0.25">
      <c r="A206" s="12">
        <v>42353</v>
      </c>
      <c r="B206" s="12">
        <v>42353</v>
      </c>
      <c r="C206" s="12">
        <v>42353</v>
      </c>
      <c r="D206" s="6">
        <v>0.49444444444444446</v>
      </c>
      <c r="E206" s="6">
        <v>0.5</v>
      </c>
      <c r="F206" s="6">
        <f t="shared" si="6"/>
        <v>5.5555555555555358E-3</v>
      </c>
      <c r="G206" s="3">
        <f t="shared" si="7"/>
        <v>6.9444444444444198E-4</v>
      </c>
      <c r="H206" t="s">
        <v>3</v>
      </c>
    </row>
    <row r="207" spans="1:8" x14ac:dyDescent="0.25">
      <c r="A207" s="12">
        <v>42353</v>
      </c>
      <c r="B207" s="12">
        <v>42353</v>
      </c>
      <c r="C207" s="12">
        <v>42353</v>
      </c>
      <c r="D207" s="6">
        <v>0.55347222222222225</v>
      </c>
      <c r="E207" s="6">
        <v>0.55833333333333335</v>
      </c>
      <c r="F207" s="6">
        <f t="shared" si="6"/>
        <v>4.8611111111110938E-3</v>
      </c>
      <c r="G207" s="3">
        <f t="shared" si="7"/>
        <v>1.1102230246251565E-16</v>
      </c>
      <c r="H207" t="s">
        <v>3</v>
      </c>
    </row>
    <row r="208" spans="1:8" x14ac:dyDescent="0.25">
      <c r="A208" s="12">
        <v>42353</v>
      </c>
      <c r="B208" s="12">
        <v>42353</v>
      </c>
      <c r="C208" s="12">
        <v>42353</v>
      </c>
      <c r="D208" s="6">
        <v>0.64513888888888882</v>
      </c>
      <c r="E208" s="6">
        <v>0.65</v>
      </c>
      <c r="F208" s="6">
        <f t="shared" si="6"/>
        <v>4.8611111111112049E-3</v>
      </c>
      <c r="G208" s="3">
        <f t="shared" si="7"/>
        <v>2.7777777777777679E-3</v>
      </c>
      <c r="H208" t="s">
        <v>3</v>
      </c>
    </row>
    <row r="209" spans="1:8" x14ac:dyDescent="0.25">
      <c r="A209" s="12">
        <v>42353</v>
      </c>
      <c r="B209" s="12">
        <v>42353</v>
      </c>
      <c r="C209" s="12">
        <v>42353</v>
      </c>
      <c r="D209" s="6">
        <v>0.62847222222222221</v>
      </c>
      <c r="E209" s="6">
        <v>0.63611111111111118</v>
      </c>
      <c r="F209" s="6">
        <f t="shared" si="6"/>
        <v>7.6388888888889728E-3</v>
      </c>
      <c r="G209" s="3">
        <f t="shared" si="7"/>
        <v>3.4722222222223209E-3</v>
      </c>
      <c r="H209" t="s">
        <v>3</v>
      </c>
    </row>
    <row r="210" spans="1:8" x14ac:dyDescent="0.25">
      <c r="A210" s="12">
        <v>42353</v>
      </c>
      <c r="B210" s="12">
        <v>42353</v>
      </c>
      <c r="C210" s="12">
        <v>42353</v>
      </c>
      <c r="D210" s="6">
        <v>0.64652777777777781</v>
      </c>
      <c r="E210" s="6">
        <v>0.65069444444444446</v>
      </c>
      <c r="F210" s="6">
        <f t="shared" si="6"/>
        <v>4.1666666666666519E-3</v>
      </c>
      <c r="G210" s="3">
        <f t="shared" si="7"/>
        <v>6.94444444444553E-4</v>
      </c>
      <c r="H210" t="s">
        <v>3</v>
      </c>
    </row>
    <row r="211" spans="1:8" x14ac:dyDescent="0.25">
      <c r="A211" s="12">
        <v>42353</v>
      </c>
      <c r="B211" s="12">
        <v>42353</v>
      </c>
      <c r="C211" s="12">
        <v>42353</v>
      </c>
      <c r="D211" s="6">
        <v>0.87083333333333324</v>
      </c>
      <c r="E211" s="6">
        <v>0.87569444444444444</v>
      </c>
      <c r="F211" s="6">
        <f t="shared" si="6"/>
        <v>4.8611111111112049E-3</v>
      </c>
      <c r="G211" s="3">
        <f t="shared" si="7"/>
        <v>1.388888888888884E-3</v>
      </c>
      <c r="H211" t="s">
        <v>3</v>
      </c>
    </row>
    <row r="212" spans="1:8" x14ac:dyDescent="0.25">
      <c r="A212" s="12">
        <v>42353</v>
      </c>
      <c r="B212" s="12">
        <v>42353</v>
      </c>
      <c r="C212" s="12">
        <v>42353</v>
      </c>
      <c r="D212" s="6">
        <v>0.90694444444444444</v>
      </c>
      <c r="E212" s="6">
        <v>0.91041666666666676</v>
      </c>
      <c r="F212" s="6">
        <f t="shared" si="6"/>
        <v>3.4722222222223209E-3</v>
      </c>
      <c r="G212" s="3">
        <f t="shared" si="7"/>
        <v>6.2499999999999223E-3</v>
      </c>
      <c r="H212" t="s">
        <v>3</v>
      </c>
    </row>
    <row r="213" spans="1:8" x14ac:dyDescent="0.25">
      <c r="A213" s="12">
        <v>42353</v>
      </c>
      <c r="B213" s="12">
        <v>42353</v>
      </c>
      <c r="C213" s="12">
        <v>42353</v>
      </c>
      <c r="D213" s="6">
        <v>0.47013888888888888</v>
      </c>
      <c r="E213" s="6">
        <v>0.47986111111111113</v>
      </c>
      <c r="F213" s="6">
        <f t="shared" si="6"/>
        <v>9.7222222222222432E-3</v>
      </c>
      <c r="G213" s="3">
        <f t="shared" si="7"/>
        <v>5.5511151231257827E-17</v>
      </c>
      <c r="H213" t="s">
        <v>3</v>
      </c>
    </row>
    <row r="214" spans="1:8" x14ac:dyDescent="0.25">
      <c r="A214" s="12">
        <v>42353</v>
      </c>
      <c r="B214" s="12">
        <v>42353</v>
      </c>
      <c r="C214" s="12">
        <v>42353</v>
      </c>
      <c r="D214" s="6">
        <v>0.50902777777777775</v>
      </c>
      <c r="E214" s="6">
        <v>0.51874999999999993</v>
      </c>
      <c r="F214" s="6">
        <f t="shared" si="6"/>
        <v>9.7222222222221877E-3</v>
      </c>
      <c r="G214" s="3">
        <f t="shared" si="7"/>
        <v>2.0833333333333259E-3</v>
      </c>
      <c r="H214" t="s">
        <v>3</v>
      </c>
    </row>
    <row r="215" spans="1:8" x14ac:dyDescent="0.25">
      <c r="A215" s="12">
        <v>42353</v>
      </c>
      <c r="B215" s="12">
        <v>42353</v>
      </c>
      <c r="C215" s="12">
        <v>42353</v>
      </c>
      <c r="D215" s="6">
        <v>0.55208333333333337</v>
      </c>
      <c r="E215" s="6">
        <v>0.55972222222222223</v>
      </c>
      <c r="F215" s="6">
        <f t="shared" si="6"/>
        <v>7.6388888888888618E-3</v>
      </c>
      <c r="G215" s="3">
        <f t="shared" si="7"/>
        <v>9.0277777777777457E-3</v>
      </c>
      <c r="H215" t="s">
        <v>3</v>
      </c>
    </row>
    <row r="216" spans="1:8" x14ac:dyDescent="0.25">
      <c r="A216" s="12">
        <v>42353</v>
      </c>
      <c r="B216" s="12">
        <v>42353</v>
      </c>
      <c r="C216" s="12">
        <v>42353</v>
      </c>
      <c r="D216" s="6">
        <v>0.59027777777777779</v>
      </c>
      <c r="E216" s="6">
        <v>0.6069444444444444</v>
      </c>
      <c r="F216" s="6">
        <f t="shared" si="6"/>
        <v>1.6666666666666607E-2</v>
      </c>
      <c r="G216" s="3">
        <f t="shared" si="7"/>
        <v>8.3333333333333037E-3</v>
      </c>
      <c r="H216" t="s">
        <v>3</v>
      </c>
    </row>
    <row r="217" spans="1:8" x14ac:dyDescent="0.25">
      <c r="A217" s="12">
        <v>42353</v>
      </c>
      <c r="B217" s="12">
        <v>42353</v>
      </c>
      <c r="C217" s="12">
        <v>42353</v>
      </c>
      <c r="D217" s="6">
        <v>0.60277777777777775</v>
      </c>
      <c r="E217" s="6">
        <v>0.61111111111111105</v>
      </c>
      <c r="F217" s="6">
        <f t="shared" si="6"/>
        <v>8.3333333333333037E-3</v>
      </c>
      <c r="G217" s="3">
        <f t="shared" si="7"/>
        <v>2.7777777777777679E-3</v>
      </c>
      <c r="H217" t="s">
        <v>3</v>
      </c>
    </row>
    <row r="218" spans="1:8" x14ac:dyDescent="0.25">
      <c r="A218" s="12">
        <v>42353</v>
      </c>
      <c r="B218" s="12">
        <v>42353</v>
      </c>
      <c r="C218" s="12">
        <v>42353</v>
      </c>
      <c r="D218" s="6">
        <v>0.72916666666666663</v>
      </c>
      <c r="E218" s="6">
        <v>0.73472222222222217</v>
      </c>
      <c r="F218" s="6">
        <f t="shared" si="6"/>
        <v>5.5555555555555358E-3</v>
      </c>
      <c r="G218" s="3">
        <f t="shared" si="7"/>
        <v>6.2500000000000888E-3</v>
      </c>
      <c r="H218" t="s">
        <v>3</v>
      </c>
    </row>
    <row r="219" spans="1:8" x14ac:dyDescent="0.25">
      <c r="A219" s="12">
        <v>42353</v>
      </c>
      <c r="B219" s="12">
        <v>42353</v>
      </c>
      <c r="C219" s="12">
        <v>42353</v>
      </c>
      <c r="D219" s="6">
        <v>0.75277777777777777</v>
      </c>
      <c r="E219" s="6">
        <v>0.76458333333333339</v>
      </c>
      <c r="F219" s="6">
        <f t="shared" si="6"/>
        <v>1.1805555555555625E-2</v>
      </c>
      <c r="G219" s="3">
        <f t="shared" si="7"/>
        <v>6.9444444444445308E-3</v>
      </c>
      <c r="H219" t="s">
        <v>3</v>
      </c>
    </row>
    <row r="220" spans="1:8" x14ac:dyDescent="0.25">
      <c r="A220" s="12">
        <v>42353</v>
      </c>
      <c r="B220" s="12">
        <v>42353</v>
      </c>
      <c r="C220" s="12">
        <v>42353</v>
      </c>
      <c r="D220" s="6">
        <v>0.80486111111111114</v>
      </c>
      <c r="E220" s="6">
        <v>0.80972222222222223</v>
      </c>
      <c r="F220" s="6">
        <f t="shared" si="6"/>
        <v>4.8611111111110938E-3</v>
      </c>
      <c r="G220" s="3">
        <f t="shared" si="7"/>
        <v>4.1666666666665408E-3</v>
      </c>
      <c r="H220" t="s">
        <v>3</v>
      </c>
    </row>
    <row r="221" spans="1:8" x14ac:dyDescent="0.25">
      <c r="A221" s="12">
        <v>42353</v>
      </c>
      <c r="B221" s="12">
        <v>42353</v>
      </c>
      <c r="C221" s="12">
        <v>42353</v>
      </c>
      <c r="D221" s="6">
        <v>0.8930555555555556</v>
      </c>
      <c r="E221" s="6">
        <v>0.90208333333333324</v>
      </c>
      <c r="F221" s="6">
        <f t="shared" si="6"/>
        <v>9.0277777777776347E-3</v>
      </c>
      <c r="G221" s="3">
        <f t="shared" si="7"/>
        <v>9.0277777777779677E-3</v>
      </c>
      <c r="H221" t="s">
        <v>3</v>
      </c>
    </row>
    <row r="222" spans="1:8" x14ac:dyDescent="0.25">
      <c r="A222" s="12">
        <v>42353</v>
      </c>
      <c r="B222" s="12">
        <v>42353</v>
      </c>
      <c r="C222" s="12">
        <v>42353</v>
      </c>
      <c r="D222" s="6">
        <v>0.90486111111111101</v>
      </c>
      <c r="E222" s="6">
        <v>0.92291666666666661</v>
      </c>
      <c r="F222" s="6">
        <f t="shared" si="6"/>
        <v>1.8055555555555602E-2</v>
      </c>
      <c r="G222" s="3">
        <f t="shared" si="7"/>
        <v>1.4583333333333393E-2</v>
      </c>
      <c r="H222" t="s">
        <v>3</v>
      </c>
    </row>
    <row r="223" spans="1:8" x14ac:dyDescent="0.25">
      <c r="A223" s="12">
        <v>42353</v>
      </c>
      <c r="B223" s="12">
        <v>42353</v>
      </c>
      <c r="C223" s="12">
        <v>42353</v>
      </c>
      <c r="D223" s="6">
        <v>0.94930555555555562</v>
      </c>
      <c r="E223" s="6">
        <v>0.95277777777777783</v>
      </c>
      <c r="F223" s="6">
        <f t="shared" si="6"/>
        <v>3.4722222222222099E-3</v>
      </c>
      <c r="G223" s="3">
        <f t="shared" si="7"/>
        <v>5.5555555555555358E-3</v>
      </c>
      <c r="H223" t="s">
        <v>3</v>
      </c>
    </row>
    <row r="224" spans="1:8" x14ac:dyDescent="0.25">
      <c r="A224" s="12">
        <v>42353</v>
      </c>
      <c r="B224" s="12">
        <v>42353</v>
      </c>
      <c r="C224" s="12">
        <v>42353</v>
      </c>
      <c r="D224" s="6">
        <v>0.25694444444444448</v>
      </c>
      <c r="E224" s="6">
        <v>0.26597222222222222</v>
      </c>
      <c r="F224" s="6">
        <f t="shared" si="6"/>
        <v>9.0277777777777457E-3</v>
      </c>
      <c r="G224" s="3">
        <f t="shared" si="7"/>
        <v>2.0833333333333259E-3</v>
      </c>
      <c r="H224" t="s">
        <v>3</v>
      </c>
    </row>
    <row r="225" spans="1:8" x14ac:dyDescent="0.25">
      <c r="A225" s="12">
        <v>42353</v>
      </c>
      <c r="B225" s="12">
        <v>42353</v>
      </c>
      <c r="C225" s="12">
        <v>42353</v>
      </c>
      <c r="D225" s="6">
        <v>0.4777777777777778</v>
      </c>
      <c r="E225" s="6">
        <v>0.48888888888888887</v>
      </c>
      <c r="F225" s="6">
        <f t="shared" si="6"/>
        <v>1.1111111111111072E-2</v>
      </c>
      <c r="G225" s="3">
        <f t="shared" si="7"/>
        <v>2.0833333333333259E-3</v>
      </c>
      <c r="H225" t="s">
        <v>3</v>
      </c>
    </row>
    <row r="226" spans="1:8" x14ac:dyDescent="0.25">
      <c r="A226" s="12">
        <v>42353</v>
      </c>
      <c r="B226" s="12">
        <v>42353</v>
      </c>
      <c r="C226" s="12">
        <v>42353</v>
      </c>
      <c r="D226" s="6">
        <v>0.8222222222222223</v>
      </c>
      <c r="E226" s="6">
        <v>0.8354166666666667</v>
      </c>
      <c r="F226" s="6">
        <f t="shared" si="6"/>
        <v>1.3194444444444398E-2</v>
      </c>
      <c r="G226" s="3">
        <f t="shared" si="7"/>
        <v>2.7777777777777679E-3</v>
      </c>
      <c r="H226" t="s">
        <v>3</v>
      </c>
    </row>
    <row r="227" spans="1:8" x14ac:dyDescent="0.25">
      <c r="A227" s="12">
        <v>42353</v>
      </c>
      <c r="B227" s="12">
        <v>42353</v>
      </c>
      <c r="C227" s="12">
        <v>42353</v>
      </c>
      <c r="D227" s="6">
        <v>0.95000000000000007</v>
      </c>
      <c r="E227" s="6">
        <v>0.9604166666666667</v>
      </c>
      <c r="F227" s="6">
        <f t="shared" si="6"/>
        <v>1.041666666666663E-2</v>
      </c>
      <c r="G227" s="3">
        <f t="shared" si="7"/>
        <v>3.472222222222196E-3</v>
      </c>
      <c r="H227" t="s">
        <v>3</v>
      </c>
    </row>
    <row r="228" spans="1:8" x14ac:dyDescent="0.25">
      <c r="A228" s="12">
        <v>42353</v>
      </c>
      <c r="B228" s="12">
        <v>42353</v>
      </c>
      <c r="C228" s="12">
        <v>42353</v>
      </c>
      <c r="D228" s="6">
        <v>5.0694444444444452E-2</v>
      </c>
      <c r="E228" s="6">
        <v>5.7638888888888885E-2</v>
      </c>
      <c r="F228" s="6">
        <f t="shared" si="6"/>
        <v>6.9444444444444337E-3</v>
      </c>
      <c r="G228" s="3">
        <f t="shared" si="7"/>
        <v>2.0833333333333259E-3</v>
      </c>
      <c r="H228" t="s">
        <v>3</v>
      </c>
    </row>
    <row r="229" spans="1:8" x14ac:dyDescent="0.25">
      <c r="A229" s="12">
        <v>42353</v>
      </c>
      <c r="B229" s="12">
        <v>42353</v>
      </c>
      <c r="C229" s="12">
        <v>42353</v>
      </c>
      <c r="D229" s="6">
        <v>7.9166666666666663E-2</v>
      </c>
      <c r="E229" s="6">
        <v>8.4027777777777771E-2</v>
      </c>
      <c r="F229" s="6">
        <f t="shared" si="6"/>
        <v>4.8611111111111077E-3</v>
      </c>
      <c r="G229" s="3">
        <f t="shared" si="7"/>
        <v>1.1111111111111169E-2</v>
      </c>
      <c r="H229" t="s">
        <v>3</v>
      </c>
    </row>
    <row r="230" spans="1:8" x14ac:dyDescent="0.25">
      <c r="A230" s="12">
        <v>42353</v>
      </c>
      <c r="B230" s="12">
        <v>42353</v>
      </c>
      <c r="C230" s="12">
        <v>42353</v>
      </c>
      <c r="D230" s="6">
        <v>0.4055555555555555</v>
      </c>
      <c r="E230" s="6">
        <v>0.42152777777777778</v>
      </c>
      <c r="F230" s="6">
        <f t="shared" si="6"/>
        <v>1.5972222222222276E-2</v>
      </c>
      <c r="G230" s="3">
        <f t="shared" si="7"/>
        <v>1.1111111111111183E-2</v>
      </c>
      <c r="H230" t="s">
        <v>3</v>
      </c>
    </row>
    <row r="231" spans="1:8" x14ac:dyDescent="0.25">
      <c r="A231" s="12">
        <v>42353</v>
      </c>
      <c r="B231" s="12">
        <v>42353</v>
      </c>
      <c r="C231" s="12">
        <v>42353</v>
      </c>
      <c r="D231" s="6">
        <v>0.41388888888888892</v>
      </c>
      <c r="E231" s="6">
        <v>0.41875000000000001</v>
      </c>
      <c r="F231" s="6">
        <f t="shared" si="6"/>
        <v>4.8611111111110938E-3</v>
      </c>
      <c r="G231" s="3">
        <f t="shared" si="7"/>
        <v>2.7777777777776569E-3</v>
      </c>
      <c r="H231" t="s">
        <v>3</v>
      </c>
    </row>
    <row r="232" spans="1:8" x14ac:dyDescent="0.25">
      <c r="A232" s="12">
        <v>42353</v>
      </c>
      <c r="B232" s="12">
        <v>42353</v>
      </c>
      <c r="C232" s="12">
        <v>42353</v>
      </c>
      <c r="D232" s="6">
        <v>0.57291666666666663</v>
      </c>
      <c r="E232" s="6">
        <v>0.57500000000000007</v>
      </c>
      <c r="F232" s="6">
        <f t="shared" si="6"/>
        <v>2.083333333333437E-3</v>
      </c>
      <c r="G232" s="3">
        <f t="shared" si="7"/>
        <v>4.1666666666666519E-3</v>
      </c>
      <c r="H232" t="s">
        <v>3</v>
      </c>
    </row>
    <row r="233" spans="1:8" x14ac:dyDescent="0.25">
      <c r="A233" s="12">
        <v>42353</v>
      </c>
      <c r="B233" s="12">
        <v>42353</v>
      </c>
      <c r="C233" s="12">
        <v>42353</v>
      </c>
      <c r="D233" s="6">
        <v>0.71388888888888891</v>
      </c>
      <c r="E233" s="6">
        <v>0.72013888888888899</v>
      </c>
      <c r="F233" s="6">
        <f t="shared" si="6"/>
        <v>6.2500000000000888E-3</v>
      </c>
      <c r="G233" s="3">
        <f t="shared" si="7"/>
        <v>1.3888888888887729E-3</v>
      </c>
      <c r="H233" t="s">
        <v>3</v>
      </c>
    </row>
    <row r="234" spans="1:8" x14ac:dyDescent="0.25">
      <c r="A234" s="12">
        <v>42353</v>
      </c>
      <c r="B234" s="12">
        <v>42353</v>
      </c>
      <c r="C234" s="12">
        <v>42353</v>
      </c>
      <c r="D234" s="6">
        <v>0.84166666666666667</v>
      </c>
      <c r="E234" s="6">
        <v>0.84930555555555554</v>
      </c>
      <c r="F234" s="6">
        <f t="shared" si="6"/>
        <v>7.6388888888888618E-3</v>
      </c>
      <c r="G234" s="3">
        <f t="shared" si="7"/>
        <v>3.4722222222222099E-3</v>
      </c>
      <c r="H234" t="s">
        <v>3</v>
      </c>
    </row>
    <row r="235" spans="1:8" x14ac:dyDescent="0.25">
      <c r="A235" s="12">
        <v>42353</v>
      </c>
      <c r="B235" s="12">
        <v>42353</v>
      </c>
      <c r="C235" s="12">
        <v>42353</v>
      </c>
      <c r="D235" s="6">
        <v>0.88541666666666663</v>
      </c>
      <c r="E235" s="6">
        <v>0.8965277777777777</v>
      </c>
      <c r="F235" s="6">
        <f t="shared" si="6"/>
        <v>1.1111111111111072E-2</v>
      </c>
      <c r="G235" s="3">
        <f t="shared" si="7"/>
        <v>1.388888888888995E-3</v>
      </c>
      <c r="H235" t="s">
        <v>3</v>
      </c>
    </row>
    <row r="236" spans="1:8" x14ac:dyDescent="0.25">
      <c r="A236" s="12">
        <v>42353</v>
      </c>
      <c r="B236" s="12">
        <v>42353</v>
      </c>
      <c r="C236" s="12">
        <v>42353</v>
      </c>
      <c r="D236" s="6">
        <v>0.98958333333333337</v>
      </c>
      <c r="E236" s="6">
        <v>1.0020833333333334</v>
      </c>
      <c r="F236" s="6">
        <f t="shared" si="6"/>
        <v>1.2500000000000067E-2</v>
      </c>
      <c r="G236" s="3">
        <f t="shared" si="7"/>
        <v>4.1666666666667629E-3</v>
      </c>
      <c r="H236" t="s">
        <v>3</v>
      </c>
    </row>
    <row r="237" spans="1:8" x14ac:dyDescent="0.25">
      <c r="A237" s="12">
        <v>42353</v>
      </c>
      <c r="B237" s="12">
        <v>42353</v>
      </c>
      <c r="C237" s="12">
        <v>42353</v>
      </c>
      <c r="D237" s="6">
        <v>0.33680555555555558</v>
      </c>
      <c r="E237" s="6">
        <v>0.34513888888888888</v>
      </c>
      <c r="F237" s="6">
        <f t="shared" si="6"/>
        <v>8.3333333333333037E-3</v>
      </c>
      <c r="G237" s="3">
        <f t="shared" si="7"/>
        <v>4.8611111111112049E-3</v>
      </c>
      <c r="H237" t="s">
        <v>3</v>
      </c>
    </row>
    <row r="238" spans="1:8" x14ac:dyDescent="0.25">
      <c r="A238" s="12">
        <v>42353</v>
      </c>
      <c r="B238" s="12">
        <v>42353</v>
      </c>
      <c r="C238" s="12">
        <v>42353</v>
      </c>
      <c r="D238" s="6">
        <v>0.51527777777777783</v>
      </c>
      <c r="E238" s="6">
        <v>0.51874999999999993</v>
      </c>
      <c r="F238" s="6">
        <f t="shared" si="6"/>
        <v>3.4722222222220989E-3</v>
      </c>
      <c r="G238" s="3">
        <f t="shared" si="7"/>
        <v>9.0277777777779677E-3</v>
      </c>
      <c r="H238" t="s">
        <v>3</v>
      </c>
    </row>
    <row r="239" spans="1:8" x14ac:dyDescent="0.25">
      <c r="A239" s="12">
        <v>42353</v>
      </c>
      <c r="B239" s="12">
        <v>42353</v>
      </c>
      <c r="C239" s="12">
        <v>42353</v>
      </c>
      <c r="D239" s="6">
        <v>0.99930555555555556</v>
      </c>
      <c r="E239" s="6">
        <v>1.0118055555555556</v>
      </c>
      <c r="F239" s="6">
        <f t="shared" si="6"/>
        <v>1.2500000000000067E-2</v>
      </c>
      <c r="G239" s="3">
        <f t="shared" si="7"/>
        <v>7.6388888888888618E-3</v>
      </c>
      <c r="H239" t="s">
        <v>3</v>
      </c>
    </row>
    <row r="240" spans="1:8" x14ac:dyDescent="0.25">
      <c r="A240" s="12">
        <v>42353</v>
      </c>
      <c r="B240" s="12">
        <v>42353</v>
      </c>
      <c r="C240" s="12">
        <v>42353</v>
      </c>
      <c r="D240" s="6">
        <v>1.0208333333333333</v>
      </c>
      <c r="E240" s="6">
        <v>1.0256944444444445</v>
      </c>
      <c r="F240" s="6">
        <f t="shared" si="6"/>
        <v>4.8611111111112049E-3</v>
      </c>
      <c r="G240" s="3">
        <f t="shared" si="7"/>
        <v>1.3888888888890505E-3</v>
      </c>
      <c r="H240" t="s">
        <v>3</v>
      </c>
    </row>
    <row r="241" spans="1:8" x14ac:dyDescent="0.25">
      <c r="A241" s="12">
        <v>42353</v>
      </c>
      <c r="B241" s="12">
        <v>42353</v>
      </c>
      <c r="C241" s="12">
        <v>42353</v>
      </c>
      <c r="D241" s="6">
        <v>0.43055555555555558</v>
      </c>
      <c r="E241" s="6">
        <v>0.43402777777777773</v>
      </c>
      <c r="F241" s="6">
        <f t="shared" si="6"/>
        <v>3.4722222222221544E-3</v>
      </c>
      <c r="G241" s="3">
        <f t="shared" si="7"/>
        <v>4.8611111111111494E-3</v>
      </c>
      <c r="H241" t="s">
        <v>3</v>
      </c>
    </row>
    <row r="242" spans="1:8" x14ac:dyDescent="0.25">
      <c r="A242" s="12">
        <v>42353</v>
      </c>
      <c r="B242" s="12">
        <v>42353</v>
      </c>
      <c r="C242" s="12">
        <v>42353</v>
      </c>
      <c r="D242" s="6">
        <v>0.55347222222222225</v>
      </c>
      <c r="E242" s="6">
        <v>0.56180555555555556</v>
      </c>
      <c r="F242" s="6">
        <f t="shared" si="6"/>
        <v>8.3333333333333037E-3</v>
      </c>
      <c r="G242" s="3">
        <f t="shared" si="7"/>
        <v>4.8611111111112049E-3</v>
      </c>
      <c r="H242" t="s">
        <v>3</v>
      </c>
    </row>
    <row r="243" spans="1:8" x14ac:dyDescent="0.25">
      <c r="A243" s="12">
        <v>42353</v>
      </c>
      <c r="B243" s="12">
        <v>42353</v>
      </c>
      <c r="C243" s="12">
        <v>42353</v>
      </c>
      <c r="D243" s="6">
        <v>0.57500000000000007</v>
      </c>
      <c r="E243" s="6">
        <v>0.57847222222222217</v>
      </c>
      <c r="F243" s="6">
        <f t="shared" si="6"/>
        <v>3.4722222222220989E-3</v>
      </c>
      <c r="G243" s="3">
        <f t="shared" si="7"/>
        <v>1.388888888889106E-3</v>
      </c>
      <c r="H243" t="s">
        <v>3</v>
      </c>
    </row>
    <row r="244" spans="1:8" x14ac:dyDescent="0.25">
      <c r="A244" s="12">
        <v>42353</v>
      </c>
      <c r="B244" s="12">
        <v>42353</v>
      </c>
      <c r="C244" s="12">
        <v>42353</v>
      </c>
      <c r="D244" s="6">
        <v>0.61249999999999993</v>
      </c>
      <c r="E244" s="6">
        <v>0.61736111111111114</v>
      </c>
      <c r="F244" s="6">
        <f t="shared" si="6"/>
        <v>4.8611111111112049E-3</v>
      </c>
      <c r="G244" s="3">
        <f t="shared" si="7"/>
        <v>7.6388888888888618E-3</v>
      </c>
      <c r="H244" t="s">
        <v>3</v>
      </c>
    </row>
    <row r="245" spans="1:8" x14ac:dyDescent="0.25">
      <c r="A245" s="12">
        <v>42353</v>
      </c>
      <c r="B245" s="12">
        <v>42353</v>
      </c>
      <c r="C245" s="12">
        <v>42353</v>
      </c>
      <c r="D245" s="6">
        <v>0.70624999999999993</v>
      </c>
      <c r="E245" s="6">
        <v>0.71875</v>
      </c>
      <c r="F245" s="6">
        <f t="shared" si="6"/>
        <v>1.2500000000000067E-2</v>
      </c>
      <c r="G245" s="3">
        <f t="shared" si="7"/>
        <v>4.1666666666666519E-3</v>
      </c>
      <c r="H245" t="s">
        <v>3</v>
      </c>
    </row>
    <row r="246" spans="1:8" x14ac:dyDescent="0.25">
      <c r="A246" s="12">
        <v>42353</v>
      </c>
      <c r="B246" s="12">
        <v>42353</v>
      </c>
      <c r="C246" s="12">
        <v>42353</v>
      </c>
      <c r="D246" s="6">
        <v>0.78472222222222221</v>
      </c>
      <c r="E246" s="6">
        <v>0.80138888888888893</v>
      </c>
      <c r="F246" s="6">
        <f t="shared" si="6"/>
        <v>1.6666666666666718E-2</v>
      </c>
      <c r="G246" s="3">
        <f t="shared" si="7"/>
        <v>2.0833333333333259E-3</v>
      </c>
      <c r="H246" t="s">
        <v>3</v>
      </c>
    </row>
    <row r="247" spans="1:8" x14ac:dyDescent="0.25">
      <c r="A247" s="12">
        <v>42353</v>
      </c>
      <c r="B247" s="12">
        <v>42353</v>
      </c>
      <c r="C247" s="12">
        <v>42353</v>
      </c>
      <c r="D247" s="6">
        <v>0.53680555555555554</v>
      </c>
      <c r="E247" s="6">
        <v>0.55555555555555558</v>
      </c>
      <c r="F247" s="6">
        <f t="shared" si="6"/>
        <v>1.8750000000000044E-2</v>
      </c>
      <c r="G247" s="3">
        <f t="shared" si="7"/>
        <v>1.5972222222222276E-2</v>
      </c>
      <c r="H247" t="s">
        <v>3</v>
      </c>
    </row>
    <row r="248" spans="1:8" x14ac:dyDescent="0.25">
      <c r="A248" s="12">
        <v>42353</v>
      </c>
      <c r="B248" s="12">
        <v>42353</v>
      </c>
      <c r="C248" s="12">
        <v>42353</v>
      </c>
      <c r="D248" s="6">
        <v>0.54791666666666672</v>
      </c>
      <c r="E248" s="6">
        <v>0.55069444444444449</v>
      </c>
      <c r="F248" s="6">
        <f t="shared" si="6"/>
        <v>2.7777777777777679E-3</v>
      </c>
      <c r="G248" s="3">
        <f t="shared" si="7"/>
        <v>0</v>
      </c>
      <c r="H248" t="s">
        <v>3</v>
      </c>
    </row>
    <row r="249" spans="1:8" x14ac:dyDescent="0.25">
      <c r="A249" s="12">
        <v>42353</v>
      </c>
      <c r="B249" s="12">
        <v>42353</v>
      </c>
      <c r="C249" s="12">
        <v>42353</v>
      </c>
      <c r="D249" s="6">
        <v>0.65</v>
      </c>
      <c r="E249" s="6">
        <v>0.65277777777777779</v>
      </c>
      <c r="F249" s="6">
        <f t="shared" si="6"/>
        <v>2.7777777777777679E-3</v>
      </c>
      <c r="G249" s="3">
        <f t="shared" si="7"/>
        <v>2.7777777777777679E-3</v>
      </c>
      <c r="H249" t="s">
        <v>3</v>
      </c>
    </row>
    <row r="250" spans="1:8" x14ac:dyDescent="0.25">
      <c r="A250" s="12">
        <v>42353</v>
      </c>
      <c r="B250" s="12">
        <v>42353</v>
      </c>
      <c r="C250" s="12">
        <v>42353</v>
      </c>
      <c r="D250" s="6">
        <v>0.70486111111111116</v>
      </c>
      <c r="E250" s="6">
        <v>0.7104166666666667</v>
      </c>
      <c r="F250" s="6">
        <f t="shared" si="6"/>
        <v>5.5555555555555358E-3</v>
      </c>
      <c r="G250" s="3">
        <f t="shared" si="7"/>
        <v>1.388888888888884E-3</v>
      </c>
      <c r="H250" t="s">
        <v>3</v>
      </c>
    </row>
    <row r="251" spans="1:8" x14ac:dyDescent="0.25">
      <c r="A251" s="12">
        <v>42353</v>
      </c>
      <c r="B251" s="12">
        <v>42353</v>
      </c>
      <c r="C251" s="12">
        <v>42353</v>
      </c>
      <c r="D251" s="6">
        <v>0.83472222222222225</v>
      </c>
      <c r="E251" s="6">
        <v>0.84166666666666667</v>
      </c>
      <c r="F251" s="6">
        <f t="shared" si="6"/>
        <v>6.9444444444444198E-3</v>
      </c>
      <c r="G251" s="3">
        <f t="shared" si="7"/>
        <v>2.7777777777777679E-3</v>
      </c>
      <c r="H251" t="s">
        <v>3</v>
      </c>
    </row>
    <row r="252" spans="1:8" x14ac:dyDescent="0.25">
      <c r="A252" s="12">
        <v>42353</v>
      </c>
      <c r="B252" s="12">
        <v>42353</v>
      </c>
      <c r="C252" s="12">
        <v>42353</v>
      </c>
      <c r="D252" s="6">
        <v>0.30208333333333331</v>
      </c>
      <c r="E252" s="6">
        <v>0.30624999999999997</v>
      </c>
      <c r="F252" s="6">
        <f t="shared" si="6"/>
        <v>4.1666666666666519E-3</v>
      </c>
      <c r="G252" s="3">
        <f t="shared" si="7"/>
        <v>4.8611111111111494E-3</v>
      </c>
      <c r="H252" t="s">
        <v>3</v>
      </c>
    </row>
    <row r="253" spans="1:8" x14ac:dyDescent="0.25">
      <c r="A253" s="12">
        <v>42353</v>
      </c>
      <c r="B253" s="12">
        <v>42353</v>
      </c>
      <c r="C253" s="12">
        <v>42353</v>
      </c>
      <c r="D253" s="6">
        <v>0.45277777777777778</v>
      </c>
      <c r="E253" s="6">
        <v>0.46180555555555558</v>
      </c>
      <c r="F253" s="6">
        <f t="shared" si="6"/>
        <v>9.0277777777778012E-3</v>
      </c>
      <c r="G253" s="3">
        <f t="shared" si="7"/>
        <v>4.1666666666665964E-3</v>
      </c>
      <c r="H253" t="s">
        <v>3</v>
      </c>
    </row>
    <row r="254" spans="1:8" x14ac:dyDescent="0.25">
      <c r="A254" s="12">
        <v>42353</v>
      </c>
      <c r="B254" s="12">
        <v>42353</v>
      </c>
      <c r="C254" s="12">
        <v>42353</v>
      </c>
      <c r="D254" s="6">
        <v>0.57500000000000007</v>
      </c>
      <c r="E254" s="6">
        <v>0.58819444444444446</v>
      </c>
      <c r="F254" s="6">
        <f t="shared" si="6"/>
        <v>1.3194444444444398E-2</v>
      </c>
      <c r="G254" s="3">
        <f t="shared" si="7"/>
        <v>9.0277777777778567E-3</v>
      </c>
      <c r="H254" t="s">
        <v>3</v>
      </c>
    </row>
    <row r="255" spans="1:8" x14ac:dyDescent="0.25">
      <c r="A255" s="12">
        <v>42353</v>
      </c>
      <c r="B255" s="12">
        <v>42353</v>
      </c>
      <c r="C255" s="12">
        <v>42353</v>
      </c>
      <c r="D255" s="6">
        <v>0.69166666666666676</v>
      </c>
      <c r="E255" s="6">
        <v>0.6958333333333333</v>
      </c>
      <c r="F255" s="6">
        <f t="shared" ref="F255:F317" si="8">E255-D255</f>
        <v>4.1666666666665408E-3</v>
      </c>
      <c r="G255" s="3">
        <f t="shared" si="7"/>
        <v>6.9444444444445308E-3</v>
      </c>
      <c r="H255" t="s">
        <v>3</v>
      </c>
    </row>
    <row r="256" spans="1:8" x14ac:dyDescent="0.25">
      <c r="A256" s="12">
        <v>42353</v>
      </c>
      <c r="B256" s="12">
        <v>42353</v>
      </c>
      <c r="C256" s="12">
        <v>42353</v>
      </c>
      <c r="D256" s="6">
        <v>0.71805555555555556</v>
      </c>
      <c r="E256" s="6">
        <v>0.72916666666666663</v>
      </c>
      <c r="F256" s="6">
        <f t="shared" si="8"/>
        <v>1.1111111111111072E-2</v>
      </c>
      <c r="G256" s="3">
        <f t="shared" si="7"/>
        <v>3.4722222222222099E-3</v>
      </c>
      <c r="H256" t="s">
        <v>3</v>
      </c>
    </row>
    <row r="257" spans="1:8" x14ac:dyDescent="0.25">
      <c r="A257" s="12">
        <v>42353</v>
      </c>
      <c r="B257" s="12">
        <v>42353</v>
      </c>
      <c r="C257" s="12">
        <v>42353</v>
      </c>
      <c r="D257" s="6">
        <v>0.76250000000000007</v>
      </c>
      <c r="E257" s="6">
        <v>0.77013888888888893</v>
      </c>
      <c r="F257" s="6">
        <f t="shared" si="8"/>
        <v>7.6388888888888618E-3</v>
      </c>
      <c r="G257" s="3">
        <f t="shared" si="7"/>
        <v>2.0833333333333259E-3</v>
      </c>
      <c r="H257" t="s">
        <v>3</v>
      </c>
    </row>
    <row r="258" spans="1:8" x14ac:dyDescent="0.25">
      <c r="A258" s="12">
        <v>42353</v>
      </c>
      <c r="B258" s="12">
        <v>42353</v>
      </c>
      <c r="C258" s="12">
        <v>42353</v>
      </c>
      <c r="D258" s="6">
        <v>0.77430555555555547</v>
      </c>
      <c r="E258" s="6">
        <v>0.77986111111111101</v>
      </c>
      <c r="F258" s="6">
        <f t="shared" si="8"/>
        <v>5.5555555555555358E-3</v>
      </c>
      <c r="G258" s="3">
        <f t="shared" si="7"/>
        <v>2.7777777777777679E-3</v>
      </c>
      <c r="H258" t="s">
        <v>3</v>
      </c>
    </row>
    <row r="259" spans="1:8" x14ac:dyDescent="0.25">
      <c r="A259" s="12">
        <v>42353</v>
      </c>
      <c r="B259" s="12">
        <v>42353</v>
      </c>
      <c r="C259" s="12">
        <v>42353</v>
      </c>
      <c r="D259" s="6">
        <v>0.84375</v>
      </c>
      <c r="E259" s="6">
        <v>0.84652777777777777</v>
      </c>
      <c r="F259" s="6">
        <f t="shared" si="8"/>
        <v>2.7777777777777679E-3</v>
      </c>
      <c r="G259" s="3">
        <f t="shared" ref="G259:G322" si="9">ABS(F260-F259)</f>
        <v>3.4722222222220989E-3</v>
      </c>
      <c r="H259" t="s">
        <v>3</v>
      </c>
    </row>
    <row r="260" spans="1:8" x14ac:dyDescent="0.25">
      <c r="A260" s="12">
        <v>42353</v>
      </c>
      <c r="B260" s="12">
        <v>42353</v>
      </c>
      <c r="C260" s="12">
        <v>42353</v>
      </c>
      <c r="D260" s="6">
        <v>0.95277777777777783</v>
      </c>
      <c r="E260" s="6">
        <v>0.9590277777777777</v>
      </c>
      <c r="F260" s="6">
        <f t="shared" si="8"/>
        <v>6.2499999999998668E-3</v>
      </c>
      <c r="G260" s="3">
        <f t="shared" si="9"/>
        <v>2.083333333333437E-3</v>
      </c>
      <c r="H260" t="s">
        <v>3</v>
      </c>
    </row>
    <row r="261" spans="1:8" x14ac:dyDescent="0.25">
      <c r="A261" s="12">
        <v>42353</v>
      </c>
      <c r="B261" s="12">
        <v>42353</v>
      </c>
      <c r="C261" s="12">
        <v>42353</v>
      </c>
      <c r="D261" s="6">
        <v>1.0180555555555555</v>
      </c>
      <c r="E261" s="6">
        <v>1.0263888888888888</v>
      </c>
      <c r="F261" s="6">
        <f t="shared" si="8"/>
        <v>8.3333333333333037E-3</v>
      </c>
      <c r="G261" s="3">
        <f t="shared" si="9"/>
        <v>4.1666666666665964E-3</v>
      </c>
      <c r="H261" t="s">
        <v>3</v>
      </c>
    </row>
    <row r="262" spans="1:8" x14ac:dyDescent="0.25">
      <c r="A262" s="12">
        <v>42353</v>
      </c>
      <c r="B262" s="12">
        <v>42353</v>
      </c>
      <c r="C262" s="12">
        <v>42353</v>
      </c>
      <c r="D262" s="6">
        <v>0.4548611111111111</v>
      </c>
      <c r="E262" s="6">
        <v>0.45902777777777781</v>
      </c>
      <c r="F262" s="6">
        <f t="shared" si="8"/>
        <v>4.1666666666667074E-3</v>
      </c>
      <c r="G262" s="3">
        <f t="shared" si="9"/>
        <v>4.1666666666665964E-3</v>
      </c>
      <c r="H262" s="4" t="s">
        <v>3</v>
      </c>
    </row>
    <row r="263" spans="1:8" x14ac:dyDescent="0.25">
      <c r="A263" s="12">
        <v>42353</v>
      </c>
      <c r="B263" s="12">
        <v>42353</v>
      </c>
      <c r="C263" s="12">
        <v>42353</v>
      </c>
      <c r="D263" s="6">
        <v>0.80486111111111114</v>
      </c>
      <c r="E263" s="6">
        <v>0.81319444444444444</v>
      </c>
      <c r="F263" s="6">
        <f t="shared" si="8"/>
        <v>8.3333333333333037E-3</v>
      </c>
      <c r="G263" s="3">
        <f t="shared" si="9"/>
        <v>2.7777777777777679E-3</v>
      </c>
      <c r="H263" t="s">
        <v>3</v>
      </c>
    </row>
    <row r="264" spans="1:8" x14ac:dyDescent="0.25">
      <c r="A264" s="12">
        <v>42353</v>
      </c>
      <c r="B264" s="12">
        <v>42353</v>
      </c>
      <c r="C264" s="12">
        <v>42353</v>
      </c>
      <c r="D264" s="6">
        <v>0.85625000000000007</v>
      </c>
      <c r="E264" s="6">
        <v>0.8618055555555556</v>
      </c>
      <c r="F264" s="6">
        <f t="shared" si="8"/>
        <v>5.5555555555555358E-3</v>
      </c>
      <c r="G264" s="3">
        <f t="shared" si="9"/>
        <v>6.2500000000000888E-3</v>
      </c>
      <c r="H264" t="s">
        <v>3</v>
      </c>
    </row>
    <row r="265" spans="1:8" x14ac:dyDescent="0.25">
      <c r="A265" s="12">
        <v>42353</v>
      </c>
      <c r="B265" s="12">
        <v>42353</v>
      </c>
      <c r="C265" s="12">
        <v>42353</v>
      </c>
      <c r="D265" s="6">
        <v>0.92013888888888884</v>
      </c>
      <c r="E265" s="6">
        <v>0.93194444444444446</v>
      </c>
      <c r="F265" s="6">
        <f t="shared" si="8"/>
        <v>1.1805555555555625E-2</v>
      </c>
      <c r="G265" s="3">
        <f t="shared" si="9"/>
        <v>6.9444444444433095E-4</v>
      </c>
      <c r="H265" t="s">
        <v>3</v>
      </c>
    </row>
    <row r="266" spans="1:8" x14ac:dyDescent="0.25">
      <c r="A266" s="12">
        <v>42353</v>
      </c>
      <c r="B266" s="12">
        <v>42353</v>
      </c>
      <c r="C266" s="12">
        <v>42353</v>
      </c>
      <c r="D266" s="6">
        <v>0.92152777777777783</v>
      </c>
      <c r="E266" s="6">
        <v>0.93402777777777779</v>
      </c>
      <c r="F266" s="6">
        <f t="shared" si="8"/>
        <v>1.2499999999999956E-2</v>
      </c>
      <c r="G266" s="3">
        <f t="shared" si="9"/>
        <v>6.9444444444449749E-4</v>
      </c>
      <c r="H266" t="s">
        <v>3</v>
      </c>
    </row>
    <row r="267" spans="1:8" x14ac:dyDescent="0.25">
      <c r="A267" s="12">
        <v>42353</v>
      </c>
      <c r="B267" s="12">
        <v>42353</v>
      </c>
      <c r="C267" s="12">
        <v>42353</v>
      </c>
      <c r="D267" s="6">
        <v>0.10972222222222222</v>
      </c>
      <c r="E267" s="6">
        <v>0.12291666666666667</v>
      </c>
      <c r="F267" s="6">
        <f t="shared" si="8"/>
        <v>1.3194444444444453E-2</v>
      </c>
      <c r="G267" s="3">
        <f t="shared" si="9"/>
        <v>4.1666666666666519E-3</v>
      </c>
      <c r="H267" t="s">
        <v>3</v>
      </c>
    </row>
    <row r="268" spans="1:8" x14ac:dyDescent="0.25">
      <c r="A268" s="12">
        <v>42353</v>
      </c>
      <c r="B268" s="12">
        <v>42353</v>
      </c>
      <c r="C268" s="12">
        <v>42353</v>
      </c>
      <c r="D268" s="6">
        <v>0.12361111111111112</v>
      </c>
      <c r="E268" s="6">
        <v>0.14097222222222222</v>
      </c>
      <c r="F268" s="6">
        <f t="shared" si="8"/>
        <v>1.7361111111111105E-2</v>
      </c>
      <c r="G268" s="3">
        <f t="shared" si="9"/>
        <v>6.9444444444444753E-3</v>
      </c>
      <c r="H268" t="s">
        <v>3</v>
      </c>
    </row>
    <row r="269" spans="1:8" x14ac:dyDescent="0.25">
      <c r="A269" s="12">
        <v>42353</v>
      </c>
      <c r="B269" s="12">
        <v>42353</v>
      </c>
      <c r="C269" s="12">
        <v>42353</v>
      </c>
      <c r="D269" s="6">
        <v>0.4548611111111111</v>
      </c>
      <c r="E269" s="6">
        <v>0.46527777777777773</v>
      </c>
      <c r="F269" s="6">
        <f t="shared" si="8"/>
        <v>1.041666666666663E-2</v>
      </c>
      <c r="G269" s="3">
        <f t="shared" si="9"/>
        <v>4.8611111111110938E-3</v>
      </c>
      <c r="H269" t="s">
        <v>3</v>
      </c>
    </row>
    <row r="270" spans="1:8" x14ac:dyDescent="0.25">
      <c r="A270" s="12">
        <v>42353</v>
      </c>
      <c r="B270" s="12">
        <v>42353</v>
      </c>
      <c r="C270" s="12">
        <v>42353</v>
      </c>
      <c r="D270" s="6">
        <v>0.78541666666666676</v>
      </c>
      <c r="E270" s="6">
        <v>0.7909722222222223</v>
      </c>
      <c r="F270" s="6">
        <f t="shared" si="8"/>
        <v>5.5555555555555358E-3</v>
      </c>
      <c r="G270" s="3">
        <f t="shared" si="9"/>
        <v>6.9444444444433095E-4</v>
      </c>
      <c r="H270" t="s">
        <v>3</v>
      </c>
    </row>
    <row r="271" spans="1:8" x14ac:dyDescent="0.25">
      <c r="A271" s="12">
        <v>42353</v>
      </c>
      <c r="B271" s="12">
        <v>42353</v>
      </c>
      <c r="C271" s="12">
        <v>42353</v>
      </c>
      <c r="D271" s="6">
        <v>0.9277777777777777</v>
      </c>
      <c r="E271" s="6">
        <v>0.93263888888888891</v>
      </c>
      <c r="F271" s="6">
        <f t="shared" si="8"/>
        <v>4.8611111111112049E-3</v>
      </c>
      <c r="G271" s="3">
        <f t="shared" si="9"/>
        <v>1.3888888888887729E-3</v>
      </c>
      <c r="H271" t="s">
        <v>3</v>
      </c>
    </row>
    <row r="272" spans="1:8" x14ac:dyDescent="0.25">
      <c r="A272" s="12">
        <v>42353</v>
      </c>
      <c r="B272" s="12">
        <v>42353</v>
      </c>
      <c r="C272" s="12">
        <v>42353</v>
      </c>
      <c r="D272" s="6">
        <v>0.95972222222222225</v>
      </c>
      <c r="E272" s="6">
        <v>0.96597222222222223</v>
      </c>
      <c r="F272" s="6">
        <f t="shared" si="8"/>
        <v>6.2499999999999778E-3</v>
      </c>
      <c r="G272" s="3">
        <f t="shared" si="9"/>
        <v>1.388888888888884E-3</v>
      </c>
      <c r="H272" t="s">
        <v>3</v>
      </c>
    </row>
    <row r="273" spans="1:8" x14ac:dyDescent="0.25">
      <c r="A273" s="12">
        <v>42353</v>
      </c>
      <c r="B273" s="12">
        <v>42353</v>
      </c>
      <c r="C273" s="12">
        <v>42353</v>
      </c>
      <c r="D273" s="6">
        <v>0.96666666666666667</v>
      </c>
      <c r="E273" s="6">
        <v>0.97430555555555554</v>
      </c>
      <c r="F273" s="6">
        <f t="shared" si="8"/>
        <v>7.6388888888888618E-3</v>
      </c>
      <c r="G273" s="3"/>
      <c r="H273" t="s">
        <v>3</v>
      </c>
    </row>
    <row r="274" spans="1:8" x14ac:dyDescent="0.25">
      <c r="A274" s="12">
        <v>42353</v>
      </c>
      <c r="B274" s="12">
        <v>42353</v>
      </c>
      <c r="C274" s="12">
        <v>42353</v>
      </c>
      <c r="D274" s="6">
        <v>0.61875000000000002</v>
      </c>
      <c r="E274" s="6">
        <v>0.6333333333333333</v>
      </c>
      <c r="F274" s="6">
        <f t="shared" si="8"/>
        <v>1.4583333333333282E-2</v>
      </c>
      <c r="G274" s="3">
        <f t="shared" si="9"/>
        <v>5.5555555555555913E-3</v>
      </c>
      <c r="H274" t="s">
        <v>9</v>
      </c>
    </row>
    <row r="275" spans="1:8" x14ac:dyDescent="0.25">
      <c r="A275" s="12">
        <v>42353</v>
      </c>
      <c r="B275" s="12">
        <v>42353</v>
      </c>
      <c r="C275" s="12">
        <v>42353</v>
      </c>
      <c r="D275" s="6">
        <v>0.40625</v>
      </c>
      <c r="E275" s="6">
        <v>0.42638888888888887</v>
      </c>
      <c r="F275" s="6">
        <f t="shared" si="8"/>
        <v>2.0138888888888873E-2</v>
      </c>
      <c r="G275" s="3">
        <f t="shared" si="9"/>
        <v>4.1666666666665964E-3</v>
      </c>
      <c r="H275" t="s">
        <v>9</v>
      </c>
    </row>
    <row r="276" spans="1:8" x14ac:dyDescent="0.25">
      <c r="A276" s="12">
        <v>42353</v>
      </c>
      <c r="B276" s="12">
        <v>42353</v>
      </c>
      <c r="C276" s="12">
        <v>42353</v>
      </c>
      <c r="D276" s="6">
        <v>0.50486111111111109</v>
      </c>
      <c r="E276" s="6">
        <v>0.52083333333333337</v>
      </c>
      <c r="F276" s="6">
        <f t="shared" si="8"/>
        <v>1.5972222222222276E-2</v>
      </c>
      <c r="G276" s="3">
        <f t="shared" si="9"/>
        <v>3.4722222222223209E-3</v>
      </c>
      <c r="H276" t="s">
        <v>9</v>
      </c>
    </row>
    <row r="277" spans="1:8" x14ac:dyDescent="0.25">
      <c r="A277" s="12">
        <v>42353</v>
      </c>
      <c r="B277" s="12">
        <v>42353</v>
      </c>
      <c r="C277" s="12">
        <v>42353</v>
      </c>
      <c r="D277" s="6">
        <v>0.76527777777777783</v>
      </c>
      <c r="E277" s="6">
        <v>0.77777777777777779</v>
      </c>
      <c r="F277" s="6">
        <f t="shared" si="8"/>
        <v>1.2499999999999956E-2</v>
      </c>
      <c r="G277" s="3">
        <f t="shared" si="9"/>
        <v>1.1805555555555514E-2</v>
      </c>
      <c r="H277" t="s">
        <v>9</v>
      </c>
    </row>
    <row r="278" spans="1:8" x14ac:dyDescent="0.25">
      <c r="A278" s="12">
        <v>42353</v>
      </c>
      <c r="B278" s="12">
        <v>42353</v>
      </c>
      <c r="C278" s="12">
        <v>42353</v>
      </c>
      <c r="D278" s="6">
        <v>0.8666666666666667</v>
      </c>
      <c r="E278" s="6">
        <v>0.89097222222222217</v>
      </c>
      <c r="F278" s="6">
        <f t="shared" si="8"/>
        <v>2.4305555555555469E-2</v>
      </c>
      <c r="G278" s="3">
        <f t="shared" si="9"/>
        <v>3.4722222222221544E-3</v>
      </c>
      <c r="H278" t="s">
        <v>9</v>
      </c>
    </row>
    <row r="279" spans="1:8" x14ac:dyDescent="0.25">
      <c r="A279" s="12">
        <v>42353</v>
      </c>
      <c r="B279" s="12">
        <v>42353</v>
      </c>
      <c r="C279" s="12">
        <v>42353</v>
      </c>
      <c r="D279" s="6">
        <v>0.375</v>
      </c>
      <c r="E279" s="6">
        <v>0.39583333333333331</v>
      </c>
      <c r="F279" s="6">
        <f t="shared" si="8"/>
        <v>2.0833333333333315E-2</v>
      </c>
      <c r="G279" s="3">
        <f t="shared" si="9"/>
        <v>8.3333333333333592E-3</v>
      </c>
      <c r="H279" t="s">
        <v>9</v>
      </c>
    </row>
    <row r="280" spans="1:8" x14ac:dyDescent="0.25">
      <c r="A280" s="12">
        <v>42353</v>
      </c>
      <c r="B280" s="12">
        <v>42353</v>
      </c>
      <c r="C280" s="12">
        <v>42353</v>
      </c>
      <c r="D280" s="6">
        <v>0.43472222222222223</v>
      </c>
      <c r="E280" s="6">
        <v>0.44722222222222219</v>
      </c>
      <c r="F280" s="6">
        <f t="shared" si="8"/>
        <v>1.2499999999999956E-2</v>
      </c>
      <c r="G280" s="3">
        <f t="shared" si="9"/>
        <v>3.4722222222222654E-3</v>
      </c>
      <c r="H280" t="s">
        <v>9</v>
      </c>
    </row>
    <row r="281" spans="1:8" x14ac:dyDescent="0.25">
      <c r="A281" s="12">
        <v>42353</v>
      </c>
      <c r="B281" s="12">
        <v>42353</v>
      </c>
      <c r="C281" s="12">
        <v>42353</v>
      </c>
      <c r="D281" s="6">
        <v>0.43124999999999997</v>
      </c>
      <c r="E281" s="6">
        <v>0.44722222222222219</v>
      </c>
      <c r="F281" s="6">
        <f t="shared" si="8"/>
        <v>1.5972222222222221E-2</v>
      </c>
      <c r="G281" s="3">
        <f t="shared" si="9"/>
        <v>5.5511151231257827E-17</v>
      </c>
      <c r="H281" t="s">
        <v>9</v>
      </c>
    </row>
    <row r="282" spans="1:8" x14ac:dyDescent="0.25">
      <c r="A282" s="12">
        <v>42353</v>
      </c>
      <c r="B282" s="12">
        <v>42353</v>
      </c>
      <c r="C282" s="12">
        <v>42353</v>
      </c>
      <c r="D282" s="6">
        <v>0.50486111111111109</v>
      </c>
      <c r="E282" s="6">
        <v>0.52083333333333337</v>
      </c>
      <c r="F282" s="6">
        <f t="shared" si="8"/>
        <v>1.5972222222222276E-2</v>
      </c>
      <c r="G282" s="3">
        <f t="shared" si="9"/>
        <v>3.4722222222223209E-3</v>
      </c>
      <c r="H282" t="s">
        <v>9</v>
      </c>
    </row>
    <row r="283" spans="1:8" x14ac:dyDescent="0.25">
      <c r="A283" s="12">
        <v>42353</v>
      </c>
      <c r="B283" s="12">
        <v>42353</v>
      </c>
      <c r="C283" s="12">
        <v>42353</v>
      </c>
      <c r="D283" s="6">
        <v>0.76527777777777783</v>
      </c>
      <c r="E283" s="6">
        <v>0.77777777777777779</v>
      </c>
      <c r="F283" s="6">
        <f t="shared" si="8"/>
        <v>1.2499999999999956E-2</v>
      </c>
      <c r="G283" s="3">
        <f t="shared" si="9"/>
        <v>1.1805555555555514E-2</v>
      </c>
      <c r="H283" t="s">
        <v>9</v>
      </c>
    </row>
    <row r="284" spans="1:8" x14ac:dyDescent="0.25">
      <c r="A284" s="12">
        <v>42353</v>
      </c>
      <c r="B284" s="12">
        <v>42353</v>
      </c>
      <c r="C284" s="12">
        <v>42353</v>
      </c>
      <c r="D284" s="6">
        <v>0.8666666666666667</v>
      </c>
      <c r="E284" s="6">
        <v>0.89097222222222217</v>
      </c>
      <c r="F284" s="6">
        <f t="shared" si="8"/>
        <v>2.4305555555555469E-2</v>
      </c>
      <c r="G284" s="3">
        <f t="shared" si="9"/>
        <v>3.4722222222221544E-3</v>
      </c>
      <c r="H284" t="s">
        <v>9</v>
      </c>
    </row>
    <row r="285" spans="1:8" x14ac:dyDescent="0.25">
      <c r="A285" s="12">
        <v>42353</v>
      </c>
      <c r="B285" s="12">
        <v>42353</v>
      </c>
      <c r="C285" s="12">
        <v>42353</v>
      </c>
      <c r="D285" s="6">
        <v>0.375</v>
      </c>
      <c r="E285" s="6">
        <v>0.39583333333333331</v>
      </c>
      <c r="F285" s="6">
        <f t="shared" si="8"/>
        <v>2.0833333333333315E-2</v>
      </c>
      <c r="G285" s="3">
        <f t="shared" si="9"/>
        <v>8.3333333333333592E-3</v>
      </c>
      <c r="H285" t="s">
        <v>9</v>
      </c>
    </row>
    <row r="286" spans="1:8" x14ac:dyDescent="0.25">
      <c r="A286" s="12">
        <v>42353</v>
      </c>
      <c r="B286" s="12">
        <v>42353</v>
      </c>
      <c r="C286" s="12">
        <v>42353</v>
      </c>
      <c r="D286" s="6">
        <v>0.43472222222222223</v>
      </c>
      <c r="E286" s="6">
        <v>0.44722222222222219</v>
      </c>
      <c r="F286" s="6">
        <f t="shared" si="8"/>
        <v>1.2499999999999956E-2</v>
      </c>
      <c r="G286" s="3">
        <f t="shared" si="9"/>
        <v>3.4722222222222654E-3</v>
      </c>
      <c r="H286" t="s">
        <v>9</v>
      </c>
    </row>
    <row r="287" spans="1:8" x14ac:dyDescent="0.25">
      <c r="A287" s="12">
        <v>42353</v>
      </c>
      <c r="B287" s="12">
        <v>42353</v>
      </c>
      <c r="C287" s="12">
        <v>42353</v>
      </c>
      <c r="D287" s="6">
        <v>0.43124999999999997</v>
      </c>
      <c r="E287" s="6">
        <v>0.44722222222222219</v>
      </c>
      <c r="F287" s="6">
        <f t="shared" si="8"/>
        <v>1.5972222222222221E-2</v>
      </c>
      <c r="G287" s="3">
        <f t="shared" si="9"/>
        <v>6.9444444444438647E-4</v>
      </c>
      <c r="H287" t="s">
        <v>9</v>
      </c>
    </row>
    <row r="288" spans="1:8" x14ac:dyDescent="0.25">
      <c r="A288" s="12">
        <v>42353</v>
      </c>
      <c r="B288" s="12">
        <v>42353</v>
      </c>
      <c r="C288" s="12">
        <v>42353</v>
      </c>
      <c r="D288" s="6">
        <v>0.39652777777777781</v>
      </c>
      <c r="E288" s="6">
        <v>0.41319444444444442</v>
      </c>
      <c r="F288" s="6">
        <f t="shared" si="8"/>
        <v>1.6666666666666607E-2</v>
      </c>
      <c r="G288" s="3">
        <f t="shared" si="9"/>
        <v>6.2499999999999778E-3</v>
      </c>
      <c r="H288" t="s">
        <v>9</v>
      </c>
    </row>
    <row r="289" spans="1:8" x14ac:dyDescent="0.25">
      <c r="A289" s="12">
        <v>42353</v>
      </c>
      <c r="B289" s="12">
        <v>42353</v>
      </c>
      <c r="C289" s="12">
        <v>42353</v>
      </c>
      <c r="D289" s="6">
        <v>0.3923611111111111</v>
      </c>
      <c r="E289" s="6">
        <v>0.40277777777777773</v>
      </c>
      <c r="F289" s="6">
        <f t="shared" si="8"/>
        <v>1.041666666666663E-2</v>
      </c>
      <c r="G289" s="3">
        <f t="shared" si="9"/>
        <v>1.1111111111111183E-2</v>
      </c>
      <c r="H289" t="s">
        <v>9</v>
      </c>
    </row>
    <row r="290" spans="1:8" x14ac:dyDescent="0.25">
      <c r="A290" s="12">
        <v>42353</v>
      </c>
      <c r="B290" s="12">
        <v>42353</v>
      </c>
      <c r="C290" s="12">
        <v>42353</v>
      </c>
      <c r="D290" s="6">
        <v>0.42708333333333331</v>
      </c>
      <c r="E290" s="6">
        <v>0.44861111111111113</v>
      </c>
      <c r="F290" s="6">
        <f t="shared" si="8"/>
        <v>2.1527777777777812E-2</v>
      </c>
      <c r="G290" s="3">
        <f t="shared" si="9"/>
        <v>9.7222222222222987E-3</v>
      </c>
      <c r="H290" t="s">
        <v>9</v>
      </c>
    </row>
    <row r="291" spans="1:8" x14ac:dyDescent="0.25">
      <c r="A291" s="12">
        <v>42353</v>
      </c>
      <c r="B291" s="12">
        <v>42353</v>
      </c>
      <c r="C291" s="12">
        <v>42353</v>
      </c>
      <c r="D291" s="6">
        <v>0.48333333333333334</v>
      </c>
      <c r="E291" s="6">
        <v>0.49513888888888885</v>
      </c>
      <c r="F291" s="6">
        <f t="shared" si="8"/>
        <v>1.1805555555555514E-2</v>
      </c>
      <c r="G291" s="3">
        <f t="shared" si="9"/>
        <v>5.5555555555556468E-3</v>
      </c>
      <c r="H291" t="s">
        <v>9</v>
      </c>
    </row>
    <row r="292" spans="1:8" x14ac:dyDescent="0.25">
      <c r="A292" s="12">
        <v>42353</v>
      </c>
      <c r="B292" s="12">
        <v>42353</v>
      </c>
      <c r="C292" s="12">
        <v>42353</v>
      </c>
      <c r="D292" s="6">
        <v>0.76874999999999993</v>
      </c>
      <c r="E292" s="6">
        <v>0.78611111111111109</v>
      </c>
      <c r="F292" s="6">
        <f t="shared" si="8"/>
        <v>1.736111111111116E-2</v>
      </c>
      <c r="G292" s="3">
        <f t="shared" si="9"/>
        <v>8.3333333333333037E-3</v>
      </c>
      <c r="H292" t="s">
        <v>9</v>
      </c>
    </row>
    <row r="293" spans="1:8" x14ac:dyDescent="0.25">
      <c r="A293" s="12">
        <v>42353</v>
      </c>
      <c r="B293" s="12">
        <v>42353</v>
      </c>
      <c r="C293" s="12">
        <v>42353</v>
      </c>
      <c r="D293" s="6">
        <v>0.92569444444444438</v>
      </c>
      <c r="E293" s="6">
        <v>0.93472222222222223</v>
      </c>
      <c r="F293" s="6">
        <f t="shared" si="8"/>
        <v>9.0277777777778567E-3</v>
      </c>
      <c r="G293" s="3">
        <f t="shared" si="9"/>
        <v>1.3888888888888007E-3</v>
      </c>
      <c r="H293" t="s">
        <v>9</v>
      </c>
    </row>
    <row r="294" spans="1:8" x14ac:dyDescent="0.25">
      <c r="A294" s="12">
        <v>42353</v>
      </c>
      <c r="B294" s="12">
        <v>42353</v>
      </c>
      <c r="C294" s="12">
        <v>42353</v>
      </c>
      <c r="D294" s="6">
        <v>0.17430555555555557</v>
      </c>
      <c r="E294" s="6">
        <v>0.18472222222222223</v>
      </c>
      <c r="F294" s="6">
        <f t="shared" si="8"/>
        <v>1.0416666666666657E-2</v>
      </c>
      <c r="G294" s="3">
        <f t="shared" si="9"/>
        <v>6.944444444444392E-3</v>
      </c>
      <c r="H294" t="s">
        <v>9</v>
      </c>
    </row>
    <row r="295" spans="1:8" x14ac:dyDescent="0.25">
      <c r="A295" s="12">
        <v>42353</v>
      </c>
      <c r="B295" s="12">
        <v>42353</v>
      </c>
      <c r="C295" s="12">
        <v>42353</v>
      </c>
      <c r="D295" s="6">
        <v>0.58402777777777781</v>
      </c>
      <c r="E295" s="6">
        <v>0.60138888888888886</v>
      </c>
      <c r="F295" s="6">
        <f t="shared" si="8"/>
        <v>1.7361111111111049E-2</v>
      </c>
      <c r="G295" s="3">
        <f t="shared" si="9"/>
        <v>2.0833333333333814E-3</v>
      </c>
      <c r="H295" t="s">
        <v>9</v>
      </c>
    </row>
    <row r="296" spans="1:8" x14ac:dyDescent="0.25">
      <c r="A296" s="12">
        <v>42353</v>
      </c>
      <c r="B296" s="12">
        <v>42353</v>
      </c>
      <c r="C296" s="12">
        <v>42353</v>
      </c>
      <c r="D296" s="6">
        <v>0.37638888888888888</v>
      </c>
      <c r="E296" s="6">
        <v>0.39583333333333331</v>
      </c>
      <c r="F296" s="6">
        <f t="shared" si="8"/>
        <v>1.9444444444444431E-2</v>
      </c>
      <c r="G296" s="3">
        <f t="shared" si="9"/>
        <v>2.7777777777777679E-3</v>
      </c>
      <c r="H296" t="s">
        <v>9</v>
      </c>
    </row>
    <row r="297" spans="1:8" x14ac:dyDescent="0.25">
      <c r="A297" s="12">
        <v>42353</v>
      </c>
      <c r="B297" s="12">
        <v>42353</v>
      </c>
      <c r="C297" s="12">
        <v>42353</v>
      </c>
      <c r="D297" s="6">
        <v>0.41250000000000003</v>
      </c>
      <c r="E297" s="6">
        <v>0.43472222222222223</v>
      </c>
      <c r="F297" s="6">
        <f t="shared" si="8"/>
        <v>2.2222222222222199E-2</v>
      </c>
      <c r="G297" s="3">
        <f t="shared" si="9"/>
        <v>7.6388888888889173E-3</v>
      </c>
      <c r="H297" t="s">
        <v>9</v>
      </c>
    </row>
    <row r="298" spans="1:8" x14ac:dyDescent="0.25">
      <c r="A298" s="12">
        <v>42353</v>
      </c>
      <c r="B298" s="12">
        <v>42353</v>
      </c>
      <c r="C298" s="12">
        <v>42353</v>
      </c>
      <c r="D298" s="6">
        <v>0.50277777777777777</v>
      </c>
      <c r="E298" s="6">
        <v>0.51736111111111105</v>
      </c>
      <c r="F298" s="6">
        <f t="shared" si="8"/>
        <v>1.4583333333333282E-2</v>
      </c>
      <c r="G298" s="3">
        <f t="shared" si="9"/>
        <v>1.1805555555555625E-2</v>
      </c>
      <c r="H298" t="s">
        <v>9</v>
      </c>
    </row>
    <row r="299" spans="1:8" x14ac:dyDescent="0.25">
      <c r="A299" s="12">
        <v>42353</v>
      </c>
      <c r="B299" s="12">
        <v>42353</v>
      </c>
      <c r="C299" s="12">
        <v>42353</v>
      </c>
      <c r="D299" s="6">
        <v>0.5625</v>
      </c>
      <c r="E299" s="6">
        <v>0.58888888888888891</v>
      </c>
      <c r="F299" s="6">
        <f t="shared" si="8"/>
        <v>2.6388888888888906E-2</v>
      </c>
      <c r="G299" s="3">
        <f t="shared" si="9"/>
        <v>2.083333333333437E-3</v>
      </c>
      <c r="H299" t="s">
        <v>9</v>
      </c>
    </row>
    <row r="300" spans="1:8" x14ac:dyDescent="0.25">
      <c r="A300" s="12">
        <v>42353</v>
      </c>
      <c r="B300" s="12">
        <v>42353</v>
      </c>
      <c r="C300" s="12">
        <v>42353</v>
      </c>
      <c r="D300" s="6">
        <v>0.87916666666666676</v>
      </c>
      <c r="E300" s="6">
        <v>0.90347222222222223</v>
      </c>
      <c r="F300" s="6">
        <f t="shared" si="8"/>
        <v>2.4305555555555469E-2</v>
      </c>
      <c r="G300" s="3">
        <f t="shared" si="9"/>
        <v>7.6388888888888062E-3</v>
      </c>
      <c r="H300" t="s">
        <v>9</v>
      </c>
    </row>
    <row r="301" spans="1:8" x14ac:dyDescent="0.25">
      <c r="A301" s="12">
        <v>42353</v>
      </c>
      <c r="B301" s="12">
        <v>42353</v>
      </c>
      <c r="C301" s="12">
        <v>42353</v>
      </c>
      <c r="D301" s="6">
        <v>0.29722222222222222</v>
      </c>
      <c r="E301" s="6">
        <v>0.31388888888888888</v>
      </c>
      <c r="F301" s="6">
        <f t="shared" si="8"/>
        <v>1.6666666666666663E-2</v>
      </c>
      <c r="G301" s="3">
        <f t="shared" si="9"/>
        <v>1.0416666666666685E-2</v>
      </c>
      <c r="H301" t="s">
        <v>9</v>
      </c>
    </row>
    <row r="302" spans="1:8" x14ac:dyDescent="0.25">
      <c r="A302" s="12">
        <v>42353</v>
      </c>
      <c r="B302" s="12">
        <v>42353</v>
      </c>
      <c r="C302" s="12">
        <v>42353</v>
      </c>
      <c r="D302" s="6">
        <v>0.37361111111111112</v>
      </c>
      <c r="E302" s="6">
        <v>0.40069444444444446</v>
      </c>
      <c r="F302" s="6">
        <f t="shared" si="8"/>
        <v>2.7083333333333348E-2</v>
      </c>
      <c r="G302" s="3">
        <f t="shared" si="9"/>
        <v>1.3194444444444509E-2</v>
      </c>
      <c r="H302" t="s">
        <v>9</v>
      </c>
    </row>
    <row r="303" spans="1:8" x14ac:dyDescent="0.25">
      <c r="A303" s="12">
        <v>42353</v>
      </c>
      <c r="B303" s="12">
        <v>42353</v>
      </c>
      <c r="C303" s="12">
        <v>42353</v>
      </c>
      <c r="D303" s="6">
        <v>0.65</v>
      </c>
      <c r="E303" s="6">
        <v>0.66388888888888886</v>
      </c>
      <c r="F303" s="6">
        <f t="shared" si="8"/>
        <v>1.388888888888884E-2</v>
      </c>
      <c r="G303" s="3">
        <f t="shared" si="9"/>
        <v>4.8611111111110661E-3</v>
      </c>
      <c r="H303" t="s">
        <v>9</v>
      </c>
    </row>
    <row r="304" spans="1:8" x14ac:dyDescent="0.25">
      <c r="A304" s="12">
        <v>42353</v>
      </c>
      <c r="B304" s="12">
        <v>42353</v>
      </c>
      <c r="C304" s="12">
        <v>42353</v>
      </c>
      <c r="D304" s="6">
        <v>0.14166666666666666</v>
      </c>
      <c r="E304" s="6">
        <v>0.15069444444444444</v>
      </c>
      <c r="F304" s="6">
        <f t="shared" si="8"/>
        <v>9.0277777777777735E-3</v>
      </c>
      <c r="G304" s="3">
        <f t="shared" si="9"/>
        <v>6.24999999999995E-3</v>
      </c>
      <c r="H304" t="s">
        <v>9</v>
      </c>
    </row>
    <row r="305" spans="1:8" x14ac:dyDescent="0.25">
      <c r="A305" s="12">
        <v>42353</v>
      </c>
      <c r="B305" s="12">
        <v>42353</v>
      </c>
      <c r="C305" s="12">
        <v>42353</v>
      </c>
      <c r="D305" s="6">
        <v>0.7055555555555556</v>
      </c>
      <c r="E305" s="6">
        <v>0.72083333333333333</v>
      </c>
      <c r="F305" s="6">
        <f t="shared" si="8"/>
        <v>1.5277777777777724E-2</v>
      </c>
      <c r="G305" s="3">
        <f t="shared" si="9"/>
        <v>2.7777777777778789E-3</v>
      </c>
      <c r="H305" t="s">
        <v>9</v>
      </c>
    </row>
    <row r="306" spans="1:8" x14ac:dyDescent="0.25">
      <c r="A306" s="12">
        <v>42353</v>
      </c>
      <c r="B306" s="12">
        <v>42353</v>
      </c>
      <c r="C306" s="12">
        <v>42353</v>
      </c>
      <c r="D306" s="6">
        <v>0.3888888888888889</v>
      </c>
      <c r="E306" s="6">
        <v>0.4069444444444445</v>
      </c>
      <c r="F306" s="6">
        <f t="shared" si="8"/>
        <v>1.8055555555555602E-2</v>
      </c>
      <c r="G306" s="3">
        <f t="shared" si="9"/>
        <v>2.083333333333437E-3</v>
      </c>
      <c r="H306" t="s">
        <v>9</v>
      </c>
    </row>
    <row r="307" spans="1:8" x14ac:dyDescent="0.25">
      <c r="A307" s="12">
        <v>42353</v>
      </c>
      <c r="B307" s="12">
        <v>42353</v>
      </c>
      <c r="C307" s="12">
        <v>42353</v>
      </c>
      <c r="D307" s="6">
        <v>0.41388888888888892</v>
      </c>
      <c r="E307" s="6">
        <v>0.42986111111111108</v>
      </c>
      <c r="F307" s="6">
        <f t="shared" si="8"/>
        <v>1.5972222222222165E-2</v>
      </c>
      <c r="G307" s="3">
        <f t="shared" si="9"/>
        <v>1.388888888888995E-3</v>
      </c>
      <c r="H307" t="s">
        <v>9</v>
      </c>
    </row>
    <row r="308" spans="1:8" x14ac:dyDescent="0.25">
      <c r="A308" s="12">
        <v>42353</v>
      </c>
      <c r="B308" s="12">
        <v>42353</v>
      </c>
      <c r="C308" s="12">
        <v>42353</v>
      </c>
      <c r="D308" s="6">
        <v>0.7993055555555556</v>
      </c>
      <c r="E308" s="6">
        <v>0.81666666666666676</v>
      </c>
      <c r="F308" s="6">
        <f t="shared" si="8"/>
        <v>1.736111111111116E-2</v>
      </c>
      <c r="G308" s="3">
        <f t="shared" si="9"/>
        <v>2.0833333333333259E-3</v>
      </c>
      <c r="H308" t="s">
        <v>9</v>
      </c>
    </row>
    <row r="309" spans="1:8" x14ac:dyDescent="0.25">
      <c r="A309" s="12">
        <v>42353</v>
      </c>
      <c r="B309" s="12">
        <v>42353</v>
      </c>
      <c r="C309" s="12">
        <v>42353</v>
      </c>
      <c r="D309" s="6">
        <v>0.36736111111111108</v>
      </c>
      <c r="E309" s="6">
        <v>0.38263888888888892</v>
      </c>
      <c r="F309" s="6">
        <f t="shared" si="8"/>
        <v>1.5277777777777835E-2</v>
      </c>
      <c r="G309" s="3">
        <f t="shared" si="9"/>
        <v>2.0833333333333259E-3</v>
      </c>
      <c r="H309" t="s">
        <v>9</v>
      </c>
    </row>
    <row r="310" spans="1:8" x14ac:dyDescent="0.25">
      <c r="A310" s="12">
        <v>42353</v>
      </c>
      <c r="B310" s="12">
        <v>42353</v>
      </c>
      <c r="C310" s="12">
        <v>42353</v>
      </c>
      <c r="D310" s="6">
        <v>0.87986111111111109</v>
      </c>
      <c r="E310" s="6">
        <v>0.8930555555555556</v>
      </c>
      <c r="F310" s="6">
        <f t="shared" si="8"/>
        <v>1.3194444444444509E-2</v>
      </c>
      <c r="G310" s="3">
        <f t="shared" si="9"/>
        <v>6.9444444444443643E-3</v>
      </c>
      <c r="H310" t="s">
        <v>9</v>
      </c>
    </row>
    <row r="311" spans="1:8" x14ac:dyDescent="0.25">
      <c r="A311" s="12">
        <v>42353</v>
      </c>
      <c r="B311" s="12">
        <v>42353</v>
      </c>
      <c r="C311" s="12">
        <v>42353</v>
      </c>
      <c r="D311" s="6">
        <v>0.28541666666666665</v>
      </c>
      <c r="E311" s="6">
        <v>0.30555555555555552</v>
      </c>
      <c r="F311" s="6">
        <f t="shared" si="8"/>
        <v>2.0138888888888873E-2</v>
      </c>
      <c r="G311" s="3">
        <f t="shared" si="9"/>
        <v>3.4722222222220434E-3</v>
      </c>
      <c r="H311" t="s">
        <v>9</v>
      </c>
    </row>
    <row r="312" spans="1:8" x14ac:dyDescent="0.25">
      <c r="A312" s="12">
        <v>42353</v>
      </c>
      <c r="B312" s="12">
        <v>42353</v>
      </c>
      <c r="C312" s="12">
        <v>42353</v>
      </c>
      <c r="D312" s="6">
        <v>0.92499999999999993</v>
      </c>
      <c r="E312" s="6">
        <v>0.94166666666666676</v>
      </c>
      <c r="F312" s="6">
        <f t="shared" si="8"/>
        <v>1.6666666666666829E-2</v>
      </c>
      <c r="G312" s="3">
        <f t="shared" si="9"/>
        <v>3.4722222222223209E-3</v>
      </c>
      <c r="H312" t="s">
        <v>9</v>
      </c>
    </row>
    <row r="313" spans="1:8" x14ac:dyDescent="0.25">
      <c r="A313" s="12">
        <v>42353</v>
      </c>
      <c r="B313" s="12">
        <v>42353</v>
      </c>
      <c r="C313" s="12">
        <v>42353</v>
      </c>
      <c r="D313" s="6">
        <v>1.0256944444444445</v>
      </c>
      <c r="E313" s="6">
        <v>1.038888888888889</v>
      </c>
      <c r="F313" s="6">
        <f t="shared" si="8"/>
        <v>1.3194444444444509E-2</v>
      </c>
      <c r="G313" s="3">
        <f t="shared" si="9"/>
        <v>6.2499999999999778E-3</v>
      </c>
      <c r="H313" t="s">
        <v>9</v>
      </c>
    </row>
    <row r="314" spans="1:8" x14ac:dyDescent="0.25">
      <c r="A314" s="12">
        <v>42353</v>
      </c>
      <c r="B314" s="12">
        <v>42353</v>
      </c>
      <c r="C314" s="12">
        <v>42353</v>
      </c>
      <c r="D314" s="6">
        <v>0.50902777777777775</v>
      </c>
      <c r="E314" s="6">
        <v>0.52847222222222223</v>
      </c>
      <c r="F314" s="6">
        <f t="shared" si="8"/>
        <v>1.9444444444444486E-2</v>
      </c>
      <c r="G314" s="3">
        <f t="shared" si="9"/>
        <v>6.2500000000000888E-3</v>
      </c>
      <c r="H314" t="s">
        <v>9</v>
      </c>
    </row>
    <row r="315" spans="1:8" x14ac:dyDescent="0.25">
      <c r="A315" s="12">
        <v>42353</v>
      </c>
      <c r="B315" s="12">
        <v>42353</v>
      </c>
      <c r="C315" s="12">
        <v>42353</v>
      </c>
      <c r="D315" s="6">
        <v>0.80486111111111114</v>
      </c>
      <c r="E315" s="6">
        <v>0.81805555555555554</v>
      </c>
      <c r="F315" s="6">
        <f t="shared" si="8"/>
        <v>1.3194444444444398E-2</v>
      </c>
      <c r="G315" s="3">
        <f t="shared" si="9"/>
        <v>7.6388888888888618E-3</v>
      </c>
      <c r="H315" t="s">
        <v>9</v>
      </c>
    </row>
    <row r="316" spans="1:8" x14ac:dyDescent="0.25">
      <c r="A316" s="12">
        <v>42353</v>
      </c>
      <c r="B316" s="12">
        <v>42353</v>
      </c>
      <c r="C316" s="12">
        <v>42353</v>
      </c>
      <c r="D316" s="6">
        <v>0.41388888888888892</v>
      </c>
      <c r="E316" s="6">
        <v>0.41944444444444445</v>
      </c>
      <c r="F316" s="6">
        <f t="shared" si="8"/>
        <v>5.5555555555555358E-3</v>
      </c>
      <c r="G316" s="3">
        <f t="shared" si="9"/>
        <v>2.083333333333437E-3</v>
      </c>
      <c r="H316" t="s">
        <v>9</v>
      </c>
    </row>
    <row r="317" spans="1:8" x14ac:dyDescent="0.25">
      <c r="A317" s="12">
        <v>42353</v>
      </c>
      <c r="B317" s="12">
        <v>42353</v>
      </c>
      <c r="C317" s="12">
        <v>42353</v>
      </c>
      <c r="D317" s="6">
        <v>0.57291666666666663</v>
      </c>
      <c r="E317" s="6">
        <v>0.5805555555555556</v>
      </c>
      <c r="F317" s="6">
        <f t="shared" si="8"/>
        <v>7.6388888888889728E-3</v>
      </c>
      <c r="G317" s="3">
        <f t="shared" si="9"/>
        <v>4.1666666666666519E-3</v>
      </c>
      <c r="H317" t="s">
        <v>9</v>
      </c>
    </row>
    <row r="318" spans="1:8" x14ac:dyDescent="0.25">
      <c r="A318" s="12">
        <v>42353</v>
      </c>
      <c r="B318" s="12">
        <v>42353</v>
      </c>
      <c r="C318" s="12">
        <v>42353</v>
      </c>
      <c r="D318" s="6">
        <v>0.93055555555555547</v>
      </c>
      <c r="E318" s="6">
        <v>0.94236111111111109</v>
      </c>
      <c r="F318" s="6">
        <f t="shared" ref="F318:F381" si="10">E318-D318</f>
        <v>1.1805555555555625E-2</v>
      </c>
      <c r="G318" s="3">
        <f t="shared" si="9"/>
        <v>2.7777777777777124E-3</v>
      </c>
      <c r="H318" t="s">
        <v>9</v>
      </c>
    </row>
    <row r="319" spans="1:8" x14ac:dyDescent="0.25">
      <c r="A319" s="12">
        <v>42353</v>
      </c>
      <c r="B319" s="12">
        <v>42353</v>
      </c>
      <c r="C319" s="12">
        <v>42353</v>
      </c>
      <c r="D319" s="6">
        <v>0.33680555555555558</v>
      </c>
      <c r="E319" s="6">
        <v>0.35138888888888892</v>
      </c>
      <c r="F319" s="6">
        <f t="shared" si="10"/>
        <v>1.4583333333333337E-2</v>
      </c>
      <c r="G319" s="3">
        <f t="shared" si="9"/>
        <v>1.1111111111111127E-2</v>
      </c>
      <c r="H319" t="s">
        <v>9</v>
      </c>
    </row>
    <row r="320" spans="1:8" x14ac:dyDescent="0.25">
      <c r="A320" s="12">
        <v>42353</v>
      </c>
      <c r="B320" s="12">
        <v>42353</v>
      </c>
      <c r="C320" s="12">
        <v>42353</v>
      </c>
      <c r="D320" s="6">
        <v>0.70624999999999993</v>
      </c>
      <c r="E320" s="6">
        <v>0.7319444444444444</v>
      </c>
      <c r="F320" s="6">
        <f t="shared" si="10"/>
        <v>2.5694444444444464E-2</v>
      </c>
      <c r="G320" s="3">
        <f t="shared" si="9"/>
        <v>1.1111111111111072E-2</v>
      </c>
      <c r="H320" t="s">
        <v>9</v>
      </c>
    </row>
    <row r="321" spans="1:8" x14ac:dyDescent="0.25">
      <c r="A321" s="12">
        <v>42353</v>
      </c>
      <c r="B321" s="12">
        <v>42353</v>
      </c>
      <c r="C321" s="12">
        <v>42353</v>
      </c>
      <c r="D321" s="6">
        <v>0.78472222222222221</v>
      </c>
      <c r="E321" s="6">
        <v>0.7993055555555556</v>
      </c>
      <c r="F321" s="6">
        <f t="shared" si="10"/>
        <v>1.4583333333333393E-2</v>
      </c>
      <c r="G321" s="3">
        <f t="shared" si="9"/>
        <v>2.083333333333437E-3</v>
      </c>
      <c r="H321" t="s">
        <v>9</v>
      </c>
    </row>
    <row r="322" spans="1:8" x14ac:dyDescent="0.25">
      <c r="A322" s="12">
        <v>42353</v>
      </c>
      <c r="B322" s="12">
        <v>42353</v>
      </c>
      <c r="C322" s="12">
        <v>42353</v>
      </c>
      <c r="D322" s="6">
        <v>0.65</v>
      </c>
      <c r="E322" s="6">
        <v>0.66249999999999998</v>
      </c>
      <c r="F322" s="6">
        <f t="shared" si="10"/>
        <v>1.2499999999999956E-2</v>
      </c>
      <c r="G322" s="3">
        <f t="shared" si="9"/>
        <v>6.9444444444444198E-4</v>
      </c>
      <c r="H322" t="s">
        <v>9</v>
      </c>
    </row>
    <row r="323" spans="1:8" x14ac:dyDescent="0.25">
      <c r="A323" s="12">
        <v>42353</v>
      </c>
      <c r="B323" s="12">
        <v>42353</v>
      </c>
      <c r="C323" s="12">
        <v>42353</v>
      </c>
      <c r="D323" s="6">
        <v>0.70486111111111116</v>
      </c>
      <c r="E323" s="6">
        <v>0.71805555555555556</v>
      </c>
      <c r="F323" s="6">
        <f t="shared" si="10"/>
        <v>1.3194444444444398E-2</v>
      </c>
      <c r="G323" s="3">
        <f t="shared" ref="G323:G386" si="11">ABS(F324-F323)</f>
        <v>0</v>
      </c>
      <c r="H323" t="s">
        <v>9</v>
      </c>
    </row>
    <row r="324" spans="1:8" x14ac:dyDescent="0.25">
      <c r="A324" s="12">
        <v>42353</v>
      </c>
      <c r="B324" s="12">
        <v>42353</v>
      </c>
      <c r="C324" s="12">
        <v>42353</v>
      </c>
      <c r="D324" s="6">
        <v>0.57500000000000007</v>
      </c>
      <c r="E324" s="6">
        <v>0.58819444444444446</v>
      </c>
      <c r="F324" s="6">
        <f t="shared" si="10"/>
        <v>1.3194444444444398E-2</v>
      </c>
      <c r="G324" s="3">
        <f t="shared" si="11"/>
        <v>0</v>
      </c>
      <c r="H324" t="s">
        <v>9</v>
      </c>
    </row>
    <row r="325" spans="1:8" x14ac:dyDescent="0.25">
      <c r="A325" s="12">
        <v>42353</v>
      </c>
      <c r="B325" s="12">
        <v>42353</v>
      </c>
      <c r="C325" s="12">
        <v>42353</v>
      </c>
      <c r="D325" s="6">
        <v>0.69166666666666676</v>
      </c>
      <c r="E325" s="6">
        <v>0.70486111111111116</v>
      </c>
      <c r="F325" s="6">
        <f t="shared" si="10"/>
        <v>1.3194444444444398E-2</v>
      </c>
      <c r="G325" s="3">
        <f t="shared" si="11"/>
        <v>2.0833333333333814E-3</v>
      </c>
      <c r="H325" t="s">
        <v>9</v>
      </c>
    </row>
    <row r="326" spans="1:8" x14ac:dyDescent="0.25">
      <c r="A326" s="12">
        <v>42353</v>
      </c>
      <c r="B326" s="12">
        <v>42353</v>
      </c>
      <c r="C326" s="12">
        <v>42353</v>
      </c>
      <c r="D326" s="6">
        <v>0.4548611111111111</v>
      </c>
      <c r="E326" s="6">
        <v>0.47013888888888888</v>
      </c>
      <c r="F326" s="6">
        <f t="shared" si="10"/>
        <v>1.5277777777777779E-2</v>
      </c>
      <c r="G326" s="3">
        <f t="shared" si="11"/>
        <v>2.7777777777778234E-3</v>
      </c>
      <c r="H326" t="s">
        <v>9</v>
      </c>
    </row>
    <row r="327" spans="1:8" x14ac:dyDescent="0.25">
      <c r="A327" s="12">
        <v>42353</v>
      </c>
      <c r="B327" s="12">
        <v>42353</v>
      </c>
      <c r="C327" s="12">
        <v>42353</v>
      </c>
      <c r="D327" s="6">
        <v>0.85625000000000007</v>
      </c>
      <c r="E327" s="6">
        <v>0.86875000000000002</v>
      </c>
      <c r="F327" s="6">
        <f t="shared" si="10"/>
        <v>1.2499999999999956E-2</v>
      </c>
      <c r="G327" s="3">
        <f t="shared" si="11"/>
        <v>9.0277777777777457E-3</v>
      </c>
      <c r="H327" t="s">
        <v>9</v>
      </c>
    </row>
    <row r="328" spans="1:8" x14ac:dyDescent="0.25">
      <c r="A328" s="12">
        <v>42353</v>
      </c>
      <c r="B328" s="12">
        <v>42353</v>
      </c>
      <c r="C328" s="12">
        <v>42353</v>
      </c>
      <c r="D328" s="6">
        <v>0.92152777777777783</v>
      </c>
      <c r="E328" s="6">
        <v>0.94305555555555554</v>
      </c>
      <c r="F328" s="6">
        <f t="shared" si="10"/>
        <v>2.1527777777777701E-2</v>
      </c>
      <c r="G328" s="3">
        <f t="shared" si="11"/>
        <v>9.7222222222221877E-3</v>
      </c>
      <c r="H328" t="s">
        <v>9</v>
      </c>
    </row>
    <row r="329" spans="1:8" x14ac:dyDescent="0.25">
      <c r="A329" s="12">
        <v>42353</v>
      </c>
      <c r="B329" s="12">
        <v>42353</v>
      </c>
      <c r="C329" s="12">
        <v>42353</v>
      </c>
      <c r="D329" s="6">
        <v>0.52569444444444446</v>
      </c>
      <c r="E329" s="6">
        <v>0.53749999999999998</v>
      </c>
      <c r="F329" s="6">
        <f t="shared" si="10"/>
        <v>1.1805555555555514E-2</v>
      </c>
      <c r="G329" s="3"/>
      <c r="H329" t="s">
        <v>9</v>
      </c>
    </row>
    <row r="330" spans="1:8" x14ac:dyDescent="0.25">
      <c r="A330" s="12">
        <v>42353</v>
      </c>
      <c r="B330" s="12">
        <v>42353</v>
      </c>
      <c r="C330" s="12">
        <v>42353</v>
      </c>
      <c r="D330" s="6">
        <v>0.52013888888888882</v>
      </c>
      <c r="E330" s="6">
        <v>0.54375000000000007</v>
      </c>
      <c r="F330" s="6">
        <f t="shared" si="10"/>
        <v>2.3611111111111249E-2</v>
      </c>
      <c r="G330" s="3">
        <f t="shared" si="11"/>
        <v>6.2500000000000888E-3</v>
      </c>
      <c r="H330" t="s">
        <v>10</v>
      </c>
    </row>
    <row r="331" spans="1:8" x14ac:dyDescent="0.25">
      <c r="A331" s="12">
        <v>42353</v>
      </c>
      <c r="B331" s="12">
        <v>42353</v>
      </c>
      <c r="C331" s="12">
        <v>42353</v>
      </c>
      <c r="D331" s="6">
        <v>0.59791666666666665</v>
      </c>
      <c r="E331" s="6">
        <v>0.61527777777777781</v>
      </c>
      <c r="F331" s="6">
        <f t="shared" si="10"/>
        <v>1.736111111111116E-2</v>
      </c>
      <c r="G331" s="3">
        <f t="shared" si="11"/>
        <v>2.0833333333332149E-3</v>
      </c>
      <c r="H331" t="s">
        <v>10</v>
      </c>
    </row>
    <row r="332" spans="1:8" x14ac:dyDescent="0.25">
      <c r="A332" s="12">
        <v>42353</v>
      </c>
      <c r="B332" s="12">
        <v>42353</v>
      </c>
      <c r="C332" s="12">
        <v>42353</v>
      </c>
      <c r="D332" s="6">
        <v>0.87916666666666676</v>
      </c>
      <c r="E332" s="6">
        <v>0.89861111111111114</v>
      </c>
      <c r="F332" s="6">
        <f t="shared" si="10"/>
        <v>1.9444444444444375E-2</v>
      </c>
      <c r="G332" s="3">
        <f t="shared" si="11"/>
        <v>2.083333333333437E-3</v>
      </c>
      <c r="H332" t="s">
        <v>10</v>
      </c>
    </row>
    <row r="333" spans="1:8" x14ac:dyDescent="0.25">
      <c r="A333" s="12">
        <v>42353</v>
      </c>
      <c r="B333" s="12">
        <v>42353</v>
      </c>
      <c r="C333" s="12">
        <v>42353</v>
      </c>
      <c r="D333" s="6">
        <v>0.97291666666666676</v>
      </c>
      <c r="E333" s="6">
        <v>0.9902777777777777</v>
      </c>
      <c r="F333" s="6">
        <f t="shared" si="10"/>
        <v>1.7361111111110938E-2</v>
      </c>
      <c r="G333" s="3">
        <f t="shared" si="11"/>
        <v>4.8611111111108718E-3</v>
      </c>
      <c r="H333" t="s">
        <v>10</v>
      </c>
    </row>
    <row r="334" spans="1:8" x14ac:dyDescent="0.25">
      <c r="A334" s="12">
        <v>42353</v>
      </c>
      <c r="B334" s="12">
        <v>42353</v>
      </c>
      <c r="C334" s="12">
        <v>42353</v>
      </c>
      <c r="D334" s="6">
        <v>0.87708333333333333</v>
      </c>
      <c r="E334" s="6">
        <v>0.88958333333333339</v>
      </c>
      <c r="F334" s="6">
        <f t="shared" si="10"/>
        <v>1.2500000000000067E-2</v>
      </c>
      <c r="G334" s="3">
        <f t="shared" si="11"/>
        <v>4.1666666666665964E-3</v>
      </c>
      <c r="H334" t="s">
        <v>10</v>
      </c>
    </row>
    <row r="335" spans="1:8" x14ac:dyDescent="0.25">
      <c r="A335" s="12">
        <v>42353</v>
      </c>
      <c r="B335" s="12">
        <v>42353</v>
      </c>
      <c r="C335" s="12">
        <v>42353</v>
      </c>
      <c r="D335" s="6">
        <v>0.42222222222222222</v>
      </c>
      <c r="E335" s="6">
        <v>0.43888888888888888</v>
      </c>
      <c r="F335" s="6">
        <f t="shared" si="10"/>
        <v>1.6666666666666663E-2</v>
      </c>
      <c r="G335" s="3">
        <f t="shared" si="11"/>
        <v>4.1666666666665964E-3</v>
      </c>
      <c r="H335" t="s">
        <v>10</v>
      </c>
    </row>
    <row r="336" spans="1:8" x14ac:dyDescent="0.25">
      <c r="A336" s="12">
        <v>42353</v>
      </c>
      <c r="B336" s="12">
        <v>42353</v>
      </c>
      <c r="C336" s="12">
        <v>42353</v>
      </c>
      <c r="D336" s="6">
        <v>0.58750000000000002</v>
      </c>
      <c r="E336" s="6">
        <v>0.60833333333333328</v>
      </c>
      <c r="F336" s="6">
        <f t="shared" si="10"/>
        <v>2.0833333333333259E-2</v>
      </c>
      <c r="G336" s="3">
        <f t="shared" si="11"/>
        <v>4.1666666666665408E-3</v>
      </c>
      <c r="H336" t="s">
        <v>10</v>
      </c>
    </row>
    <row r="337" spans="1:8" x14ac:dyDescent="0.25">
      <c r="A337" s="12">
        <v>42353</v>
      </c>
      <c r="B337" s="12">
        <v>42353</v>
      </c>
      <c r="C337" s="12">
        <v>42353</v>
      </c>
      <c r="D337" s="6">
        <v>0.6381944444444444</v>
      </c>
      <c r="E337" s="6">
        <v>0.65486111111111112</v>
      </c>
      <c r="F337" s="6">
        <f t="shared" si="10"/>
        <v>1.6666666666666718E-2</v>
      </c>
      <c r="G337" s="3">
        <f t="shared" si="11"/>
        <v>1.3888888888887729E-3</v>
      </c>
      <c r="H337" t="s">
        <v>10</v>
      </c>
    </row>
    <row r="338" spans="1:8" x14ac:dyDescent="0.25">
      <c r="A338" s="12">
        <v>42353</v>
      </c>
      <c r="B338" s="12">
        <v>42353</v>
      </c>
      <c r="C338" s="12">
        <v>42353</v>
      </c>
      <c r="D338" s="6">
        <v>0.4291666666666667</v>
      </c>
      <c r="E338" s="6">
        <v>0.44722222222222219</v>
      </c>
      <c r="F338" s="6">
        <f t="shared" si="10"/>
        <v>1.8055555555555491E-2</v>
      </c>
      <c r="G338" s="3">
        <f t="shared" si="11"/>
        <v>3.4722222222220989E-3</v>
      </c>
      <c r="H338" t="s">
        <v>10</v>
      </c>
    </row>
    <row r="339" spans="1:8" x14ac:dyDescent="0.25">
      <c r="A339" s="12">
        <v>42353</v>
      </c>
      <c r="B339" s="12">
        <v>42353</v>
      </c>
      <c r="C339" s="12">
        <v>42353</v>
      </c>
      <c r="D339" s="6">
        <v>0.53819444444444442</v>
      </c>
      <c r="E339" s="6">
        <v>0.55277777777777781</v>
      </c>
      <c r="F339" s="6">
        <f t="shared" si="10"/>
        <v>1.4583333333333393E-2</v>
      </c>
      <c r="G339" s="3">
        <f t="shared" si="11"/>
        <v>6.94444444444553E-4</v>
      </c>
      <c r="H339" t="s">
        <v>10</v>
      </c>
    </row>
    <row r="340" spans="1:8" x14ac:dyDescent="0.25">
      <c r="A340" s="12">
        <v>42353</v>
      </c>
      <c r="B340" s="12">
        <v>42353</v>
      </c>
      <c r="C340" s="12">
        <v>42353</v>
      </c>
      <c r="D340" s="6">
        <v>0.59722222222222221</v>
      </c>
      <c r="E340" s="6">
        <v>0.61111111111111105</v>
      </c>
      <c r="F340" s="6">
        <f t="shared" si="10"/>
        <v>1.388888888888884E-2</v>
      </c>
      <c r="G340" s="3">
        <f t="shared" si="11"/>
        <v>1.4583333333333393E-2</v>
      </c>
      <c r="H340" t="s">
        <v>10</v>
      </c>
    </row>
    <row r="341" spans="1:8" x14ac:dyDescent="0.25">
      <c r="A341" s="12">
        <v>42353</v>
      </c>
      <c r="B341" s="12">
        <v>42353</v>
      </c>
      <c r="C341" s="12">
        <v>42353</v>
      </c>
      <c r="D341" s="6">
        <v>0.59652777777777777</v>
      </c>
      <c r="E341" s="6">
        <v>0.625</v>
      </c>
      <c r="F341" s="6">
        <f t="shared" si="10"/>
        <v>2.8472222222222232E-2</v>
      </c>
      <c r="G341" s="3">
        <f t="shared" si="11"/>
        <v>1.2500000000000067E-2</v>
      </c>
      <c r="H341" t="s">
        <v>10</v>
      </c>
    </row>
    <row r="342" spans="1:8" x14ac:dyDescent="0.25">
      <c r="A342" s="12">
        <v>42353</v>
      </c>
      <c r="B342" s="12">
        <v>42353</v>
      </c>
      <c r="C342" s="12">
        <v>42353</v>
      </c>
      <c r="D342" s="6">
        <v>0.75416666666666676</v>
      </c>
      <c r="E342" s="6">
        <v>0.77013888888888893</v>
      </c>
      <c r="F342" s="6">
        <f t="shared" si="10"/>
        <v>1.5972222222222165E-2</v>
      </c>
      <c r="G342" s="3">
        <f t="shared" si="11"/>
        <v>2.0833333333331039E-3</v>
      </c>
      <c r="H342" t="s">
        <v>10</v>
      </c>
    </row>
    <row r="343" spans="1:8" x14ac:dyDescent="0.25">
      <c r="A343" s="12">
        <v>42353</v>
      </c>
      <c r="B343" s="12">
        <v>42353</v>
      </c>
      <c r="C343" s="12">
        <v>42353</v>
      </c>
      <c r="D343" s="6">
        <v>0.8965277777777777</v>
      </c>
      <c r="E343" s="6">
        <v>0.91041666666666676</v>
      </c>
      <c r="F343" s="6">
        <f t="shared" si="10"/>
        <v>1.3888888888889062E-2</v>
      </c>
      <c r="G343" s="3">
        <f t="shared" si="11"/>
        <v>1.388888888888884E-3</v>
      </c>
      <c r="H343" t="s">
        <v>10</v>
      </c>
    </row>
    <row r="344" spans="1:8" x14ac:dyDescent="0.25">
      <c r="A344" s="12">
        <v>42353</v>
      </c>
      <c r="B344" s="12">
        <v>42353</v>
      </c>
      <c r="C344" s="12">
        <v>42353</v>
      </c>
      <c r="D344" s="6">
        <v>1.0006944444444443</v>
      </c>
      <c r="E344" s="6">
        <v>1.0159722222222223</v>
      </c>
      <c r="F344" s="6">
        <f t="shared" si="10"/>
        <v>1.5277777777777946E-2</v>
      </c>
      <c r="G344" s="3">
        <f t="shared" si="11"/>
        <v>6.9444444444427544E-4</v>
      </c>
      <c r="H344" t="s">
        <v>10</v>
      </c>
    </row>
    <row r="345" spans="1:8" x14ac:dyDescent="0.25">
      <c r="A345" s="12">
        <v>42353</v>
      </c>
      <c r="B345" s="12">
        <v>42353</v>
      </c>
      <c r="C345" s="12">
        <v>42353</v>
      </c>
      <c r="D345" s="6">
        <v>4.3750000000000004E-2</v>
      </c>
      <c r="E345" s="6">
        <v>5.9722222222222225E-2</v>
      </c>
      <c r="F345" s="6">
        <f t="shared" si="10"/>
        <v>1.5972222222222221E-2</v>
      </c>
      <c r="G345" s="3">
        <f t="shared" si="11"/>
        <v>8.3333333333333037E-3</v>
      </c>
      <c r="H345" t="s">
        <v>10</v>
      </c>
    </row>
    <row r="346" spans="1:8" x14ac:dyDescent="0.25">
      <c r="A346" s="12">
        <v>42353</v>
      </c>
      <c r="B346" s="12">
        <v>42353</v>
      </c>
      <c r="C346" s="12">
        <v>42353</v>
      </c>
      <c r="D346" s="6">
        <v>0.33958333333333335</v>
      </c>
      <c r="E346" s="6">
        <v>0.36388888888888887</v>
      </c>
      <c r="F346" s="6">
        <f t="shared" si="10"/>
        <v>2.4305555555555525E-2</v>
      </c>
      <c r="G346" s="3">
        <f t="shared" si="11"/>
        <v>4.8611111111110938E-3</v>
      </c>
      <c r="H346" t="s">
        <v>10</v>
      </c>
    </row>
    <row r="347" spans="1:8" x14ac:dyDescent="0.25">
      <c r="A347" s="12">
        <v>42353</v>
      </c>
      <c r="B347" s="12">
        <v>42353</v>
      </c>
      <c r="C347" s="12">
        <v>42353</v>
      </c>
      <c r="D347" s="6">
        <v>0.41666666666666669</v>
      </c>
      <c r="E347" s="6">
        <v>0.43611111111111112</v>
      </c>
      <c r="F347" s="6">
        <f t="shared" si="10"/>
        <v>1.9444444444444431E-2</v>
      </c>
      <c r="G347" s="3">
        <f t="shared" si="11"/>
        <v>9.0277777777778012E-3</v>
      </c>
      <c r="H347" t="s">
        <v>10</v>
      </c>
    </row>
    <row r="348" spans="1:8" x14ac:dyDescent="0.25">
      <c r="A348" s="12">
        <v>42353</v>
      </c>
      <c r="B348" s="12">
        <v>42353</v>
      </c>
      <c r="C348" s="12">
        <v>42353</v>
      </c>
      <c r="D348" s="6">
        <v>0.43194444444444446</v>
      </c>
      <c r="E348" s="6">
        <v>0.4604166666666667</v>
      </c>
      <c r="F348" s="6">
        <f t="shared" si="10"/>
        <v>2.8472222222222232E-2</v>
      </c>
      <c r="G348" s="3">
        <f t="shared" si="11"/>
        <v>1.041666666666663E-2</v>
      </c>
      <c r="H348" t="s">
        <v>10</v>
      </c>
    </row>
    <row r="349" spans="1:8" x14ac:dyDescent="0.25">
      <c r="A349" s="12">
        <v>42353</v>
      </c>
      <c r="B349" s="12">
        <v>42353</v>
      </c>
      <c r="C349" s="12">
        <v>42353</v>
      </c>
      <c r="D349" s="6">
        <v>0.65555555555555556</v>
      </c>
      <c r="E349" s="6">
        <v>0.67361111111111116</v>
      </c>
      <c r="F349" s="6">
        <f t="shared" si="10"/>
        <v>1.8055555555555602E-2</v>
      </c>
      <c r="G349" s="3">
        <f t="shared" si="11"/>
        <v>2.7777777777777679E-3</v>
      </c>
      <c r="H349" t="s">
        <v>10</v>
      </c>
    </row>
    <row r="350" spans="1:8" x14ac:dyDescent="0.25">
      <c r="A350" s="12">
        <v>42353</v>
      </c>
      <c r="B350" s="12">
        <v>42353</v>
      </c>
      <c r="C350" s="12">
        <v>42353</v>
      </c>
      <c r="D350" s="6">
        <v>0.8666666666666667</v>
      </c>
      <c r="E350" s="6">
        <v>0.88750000000000007</v>
      </c>
      <c r="F350" s="6">
        <f t="shared" si="10"/>
        <v>2.083333333333337E-2</v>
      </c>
      <c r="G350" s="3">
        <f t="shared" si="11"/>
        <v>3.4722222222222099E-3</v>
      </c>
      <c r="H350" t="s">
        <v>10</v>
      </c>
    </row>
    <row r="351" spans="1:8" x14ac:dyDescent="0.25">
      <c r="A351" s="12">
        <v>42353</v>
      </c>
      <c r="B351" s="12">
        <v>42353</v>
      </c>
      <c r="C351" s="12">
        <v>42353</v>
      </c>
      <c r="D351" s="6">
        <v>0.40416666666666662</v>
      </c>
      <c r="E351" s="6">
        <v>0.42152777777777778</v>
      </c>
      <c r="F351" s="6">
        <f t="shared" si="10"/>
        <v>1.736111111111116E-2</v>
      </c>
      <c r="G351" s="3">
        <f t="shared" si="11"/>
        <v>1.1102230246251565E-16</v>
      </c>
      <c r="H351" t="s">
        <v>10</v>
      </c>
    </row>
    <row r="352" spans="1:8" x14ac:dyDescent="0.25">
      <c r="A352" s="12">
        <v>42353</v>
      </c>
      <c r="B352" s="12">
        <v>42353</v>
      </c>
      <c r="C352" s="12">
        <v>42353</v>
      </c>
      <c r="D352" s="6">
        <v>0.5493055555555556</v>
      </c>
      <c r="E352" s="6">
        <v>0.56666666666666665</v>
      </c>
      <c r="F352" s="6">
        <f t="shared" si="10"/>
        <v>1.7361111111111049E-2</v>
      </c>
      <c r="G352" s="3">
        <f t="shared" si="11"/>
        <v>1.388888888888995E-3</v>
      </c>
      <c r="H352" t="s">
        <v>10</v>
      </c>
    </row>
    <row r="353" spans="1:8" x14ac:dyDescent="0.25">
      <c r="A353" s="12">
        <v>42353</v>
      </c>
      <c r="B353" s="12">
        <v>42353</v>
      </c>
      <c r="C353" s="12">
        <v>42353</v>
      </c>
      <c r="D353" s="6">
        <v>0.58124999999999993</v>
      </c>
      <c r="E353" s="6">
        <v>0.6</v>
      </c>
      <c r="F353" s="6">
        <f t="shared" si="10"/>
        <v>1.8750000000000044E-2</v>
      </c>
      <c r="G353" s="3">
        <f t="shared" si="11"/>
        <v>1.388888888888884E-3</v>
      </c>
      <c r="H353" t="s">
        <v>10</v>
      </c>
    </row>
    <row r="354" spans="1:8" x14ac:dyDescent="0.25">
      <c r="A354" s="12">
        <v>42353</v>
      </c>
      <c r="B354" s="12">
        <v>42353</v>
      </c>
      <c r="C354" s="12">
        <v>42353</v>
      </c>
      <c r="D354" s="6">
        <v>0.57986111111111105</v>
      </c>
      <c r="E354" s="6">
        <v>0.6</v>
      </c>
      <c r="F354" s="6">
        <f t="shared" si="10"/>
        <v>2.0138888888888928E-2</v>
      </c>
      <c r="G354" s="3">
        <f t="shared" si="11"/>
        <v>3.7499999999999978E-2</v>
      </c>
      <c r="H354" t="s">
        <v>10</v>
      </c>
    </row>
    <row r="355" spans="1:8" x14ac:dyDescent="0.25">
      <c r="A355" s="12">
        <v>42353</v>
      </c>
      <c r="B355" s="12">
        <v>42353</v>
      </c>
      <c r="C355" s="12">
        <v>42353</v>
      </c>
      <c r="D355" s="6">
        <v>0.71597222222222223</v>
      </c>
      <c r="E355" s="6">
        <v>0.77361111111111114</v>
      </c>
      <c r="F355" s="6">
        <f t="shared" si="10"/>
        <v>5.7638888888888906E-2</v>
      </c>
      <c r="G355" s="3">
        <f t="shared" si="11"/>
        <v>3.9583333333333526E-2</v>
      </c>
      <c r="H355" t="s">
        <v>10</v>
      </c>
    </row>
    <row r="356" spans="1:8" x14ac:dyDescent="0.25">
      <c r="A356" s="12">
        <v>42353</v>
      </c>
      <c r="B356" s="12">
        <v>42353</v>
      </c>
      <c r="C356" s="12">
        <v>42353</v>
      </c>
      <c r="D356" s="6">
        <v>0.76180555555555562</v>
      </c>
      <c r="E356" s="6">
        <v>0.77986111111111101</v>
      </c>
      <c r="F356" s="6">
        <f t="shared" si="10"/>
        <v>1.805555555555538E-2</v>
      </c>
      <c r="G356" s="3">
        <f t="shared" si="11"/>
        <v>2.0833333333331039E-3</v>
      </c>
      <c r="H356" t="s">
        <v>10</v>
      </c>
    </row>
    <row r="357" spans="1:8" x14ac:dyDescent="0.25">
      <c r="A357" s="12">
        <v>42353</v>
      </c>
      <c r="B357" s="12">
        <v>42353</v>
      </c>
      <c r="C357" s="12">
        <v>42353</v>
      </c>
      <c r="D357" s="6">
        <v>0.75208333333333333</v>
      </c>
      <c r="E357" s="6">
        <v>0.7680555555555556</v>
      </c>
      <c r="F357" s="6">
        <f t="shared" si="10"/>
        <v>1.5972222222222276E-2</v>
      </c>
      <c r="G357" s="3">
        <f t="shared" si="11"/>
        <v>1.1111111111111183E-2</v>
      </c>
      <c r="H357" t="s">
        <v>10</v>
      </c>
    </row>
    <row r="358" spans="1:8" x14ac:dyDescent="0.25">
      <c r="A358" s="12">
        <v>42353</v>
      </c>
      <c r="B358" s="12">
        <v>42353</v>
      </c>
      <c r="C358" s="12">
        <v>42353</v>
      </c>
      <c r="D358" s="6">
        <v>0.7715277777777777</v>
      </c>
      <c r="E358" s="6">
        <v>0.79861111111111116</v>
      </c>
      <c r="F358" s="6">
        <f t="shared" si="10"/>
        <v>2.7083333333333459E-2</v>
      </c>
      <c r="G358" s="3">
        <f t="shared" si="11"/>
        <v>2.4305555555555691E-2</v>
      </c>
      <c r="H358" t="s">
        <v>10</v>
      </c>
    </row>
    <row r="359" spans="1:8" x14ac:dyDescent="0.25">
      <c r="A359" s="12">
        <v>42353</v>
      </c>
      <c r="B359" s="12">
        <v>42353</v>
      </c>
      <c r="C359" s="12">
        <v>42353</v>
      </c>
      <c r="D359" s="6">
        <v>0.89166666666666661</v>
      </c>
      <c r="E359" s="6">
        <v>0.89444444444444438</v>
      </c>
      <c r="F359" s="6">
        <f t="shared" si="10"/>
        <v>2.7777777777777679E-3</v>
      </c>
      <c r="G359" s="3">
        <f t="shared" si="11"/>
        <v>1.4583333333333393E-2</v>
      </c>
      <c r="H359" t="s">
        <v>10</v>
      </c>
    </row>
    <row r="360" spans="1:8" x14ac:dyDescent="0.25">
      <c r="A360" s="12">
        <v>42353</v>
      </c>
      <c r="B360" s="12">
        <v>42353</v>
      </c>
      <c r="C360" s="12">
        <v>42353</v>
      </c>
      <c r="D360" s="6">
        <v>0.89930555555555547</v>
      </c>
      <c r="E360" s="6">
        <v>0.91666666666666663</v>
      </c>
      <c r="F360" s="6">
        <f t="shared" si="10"/>
        <v>1.736111111111116E-2</v>
      </c>
      <c r="G360" s="3">
        <f t="shared" si="11"/>
        <v>1.3888888888887729E-3</v>
      </c>
      <c r="H360" t="s">
        <v>10</v>
      </c>
    </row>
    <row r="361" spans="1:8" x14ac:dyDescent="0.25">
      <c r="A361" s="12">
        <v>42353</v>
      </c>
      <c r="B361" s="12">
        <v>42353</v>
      </c>
      <c r="C361" s="12">
        <v>42353</v>
      </c>
      <c r="D361" s="6">
        <v>0.91736111111111107</v>
      </c>
      <c r="E361" s="6">
        <v>0.93611111111111101</v>
      </c>
      <c r="F361" s="6">
        <f t="shared" si="10"/>
        <v>1.8749999999999933E-2</v>
      </c>
      <c r="G361" s="3">
        <f t="shared" si="11"/>
        <v>1.388888888888884E-3</v>
      </c>
      <c r="H361" t="s">
        <v>10</v>
      </c>
    </row>
    <row r="362" spans="1:8" x14ac:dyDescent="0.25">
      <c r="A362" s="12">
        <v>42353</v>
      </c>
      <c r="B362" s="12">
        <v>42353</v>
      </c>
      <c r="C362" s="12">
        <v>42353</v>
      </c>
      <c r="D362" s="6">
        <v>0.35416666666666669</v>
      </c>
      <c r="E362" s="6">
        <v>0.37152777777777773</v>
      </c>
      <c r="F362" s="6">
        <f t="shared" si="10"/>
        <v>1.7361111111111049E-2</v>
      </c>
      <c r="G362" s="3">
        <f t="shared" si="11"/>
        <v>6.9444444444444198E-4</v>
      </c>
      <c r="H362" t="s">
        <v>10</v>
      </c>
    </row>
    <row r="363" spans="1:8" x14ac:dyDescent="0.25">
      <c r="A363" s="12">
        <v>42353</v>
      </c>
      <c r="B363" s="12">
        <v>42353</v>
      </c>
      <c r="C363" s="12">
        <v>42353</v>
      </c>
      <c r="D363" s="6">
        <v>0.4291666666666667</v>
      </c>
      <c r="E363" s="6">
        <v>0.44722222222222219</v>
      </c>
      <c r="F363" s="6">
        <f t="shared" si="10"/>
        <v>1.8055555555555491E-2</v>
      </c>
      <c r="G363" s="3">
        <f t="shared" si="11"/>
        <v>2.0833333333333814E-3</v>
      </c>
      <c r="H363" t="s">
        <v>10</v>
      </c>
    </row>
    <row r="364" spans="1:8" x14ac:dyDescent="0.25">
      <c r="A364" s="12">
        <v>42353</v>
      </c>
      <c r="B364" s="12">
        <v>42353</v>
      </c>
      <c r="C364" s="12">
        <v>42353</v>
      </c>
      <c r="D364" s="6">
        <v>0.40625</v>
      </c>
      <c r="E364" s="6">
        <v>0.42638888888888887</v>
      </c>
      <c r="F364" s="6">
        <f t="shared" si="10"/>
        <v>2.0138888888888873E-2</v>
      </c>
      <c r="G364" s="3">
        <f t="shared" si="11"/>
        <v>5.5555555555554803E-3</v>
      </c>
      <c r="H364" t="s">
        <v>10</v>
      </c>
    </row>
    <row r="365" spans="1:8" x14ac:dyDescent="0.25">
      <c r="A365" s="12">
        <v>42353</v>
      </c>
      <c r="B365" s="12">
        <v>42353</v>
      </c>
      <c r="C365" s="12">
        <v>42353</v>
      </c>
      <c r="D365" s="6">
        <v>0.53819444444444442</v>
      </c>
      <c r="E365" s="6">
        <v>0.55277777777777781</v>
      </c>
      <c r="F365" s="6">
        <f t="shared" si="10"/>
        <v>1.4583333333333393E-2</v>
      </c>
      <c r="G365" s="3">
        <f t="shared" si="11"/>
        <v>6.94444444444553E-4</v>
      </c>
      <c r="H365" t="s">
        <v>10</v>
      </c>
    </row>
    <row r="366" spans="1:8" x14ac:dyDescent="0.25">
      <c r="A366" s="12">
        <v>42353</v>
      </c>
      <c r="B366" s="12">
        <v>42353</v>
      </c>
      <c r="C366" s="12">
        <v>42353</v>
      </c>
      <c r="D366" s="6">
        <v>0.59722222222222221</v>
      </c>
      <c r="E366" s="6">
        <v>0.61111111111111105</v>
      </c>
      <c r="F366" s="6">
        <f t="shared" si="10"/>
        <v>1.388888888888884E-2</v>
      </c>
      <c r="G366" s="3">
        <f t="shared" si="11"/>
        <v>1.4583333333333393E-2</v>
      </c>
      <c r="H366" t="s">
        <v>10</v>
      </c>
    </row>
    <row r="367" spans="1:8" x14ac:dyDescent="0.25">
      <c r="A367" s="12">
        <v>42353</v>
      </c>
      <c r="B367" s="12">
        <v>42353</v>
      </c>
      <c r="C367" s="12">
        <v>42353</v>
      </c>
      <c r="D367" s="6">
        <v>0.59652777777777777</v>
      </c>
      <c r="E367" s="6">
        <v>0.625</v>
      </c>
      <c r="F367" s="6">
        <f t="shared" si="10"/>
        <v>2.8472222222222232E-2</v>
      </c>
      <c r="G367" s="3">
        <f t="shared" si="11"/>
        <v>1.2500000000000067E-2</v>
      </c>
      <c r="H367" t="s">
        <v>10</v>
      </c>
    </row>
    <row r="368" spans="1:8" x14ac:dyDescent="0.25">
      <c r="A368" s="12">
        <v>42353</v>
      </c>
      <c r="B368" s="12">
        <v>42353</v>
      </c>
      <c r="C368" s="12">
        <v>42353</v>
      </c>
      <c r="D368" s="6">
        <v>0.75416666666666676</v>
      </c>
      <c r="E368" s="6">
        <v>0.77013888888888893</v>
      </c>
      <c r="F368" s="6">
        <f t="shared" si="10"/>
        <v>1.5972222222222165E-2</v>
      </c>
      <c r="G368" s="3">
        <f t="shared" si="11"/>
        <v>2.0833333333331039E-3</v>
      </c>
      <c r="H368" t="s">
        <v>10</v>
      </c>
    </row>
    <row r="369" spans="1:8" x14ac:dyDescent="0.25">
      <c r="A369" s="12">
        <v>42353</v>
      </c>
      <c r="B369" s="12">
        <v>42353</v>
      </c>
      <c r="C369" s="12">
        <v>42353</v>
      </c>
      <c r="D369" s="6">
        <v>0.8965277777777777</v>
      </c>
      <c r="E369" s="6">
        <v>0.91041666666666676</v>
      </c>
      <c r="F369" s="6">
        <f t="shared" si="10"/>
        <v>1.3888888888889062E-2</v>
      </c>
      <c r="G369" s="3">
        <f t="shared" si="11"/>
        <v>1.388888888888884E-3</v>
      </c>
      <c r="H369" t="s">
        <v>10</v>
      </c>
    </row>
    <row r="370" spans="1:8" x14ac:dyDescent="0.25">
      <c r="A370" s="12">
        <v>42353</v>
      </c>
      <c r="B370" s="12">
        <v>42353</v>
      </c>
      <c r="C370" s="12">
        <v>42353</v>
      </c>
      <c r="D370" s="6">
        <v>1.0006944444444443</v>
      </c>
      <c r="E370" s="6">
        <v>1.0159722222222223</v>
      </c>
      <c r="F370" s="6">
        <f t="shared" si="10"/>
        <v>1.5277777777777946E-2</v>
      </c>
      <c r="G370" s="3">
        <f t="shared" si="11"/>
        <v>6.9444444444427544E-4</v>
      </c>
      <c r="H370" t="s">
        <v>10</v>
      </c>
    </row>
    <row r="371" spans="1:8" x14ac:dyDescent="0.25">
      <c r="A371" s="12">
        <v>42353</v>
      </c>
      <c r="B371" s="12">
        <v>42353</v>
      </c>
      <c r="C371" s="12">
        <v>42353</v>
      </c>
      <c r="D371" s="6">
        <v>4.3750000000000004E-2</v>
      </c>
      <c r="E371" s="6">
        <v>5.9722222222222225E-2</v>
      </c>
      <c r="F371" s="6">
        <f t="shared" si="10"/>
        <v>1.5972222222222221E-2</v>
      </c>
      <c r="G371" s="3">
        <f t="shared" si="11"/>
        <v>8.3333333333333037E-3</v>
      </c>
      <c r="H371" t="s">
        <v>10</v>
      </c>
    </row>
    <row r="372" spans="1:8" x14ac:dyDescent="0.25">
      <c r="A372" s="12">
        <v>42353</v>
      </c>
      <c r="B372" s="12">
        <v>42353</v>
      </c>
      <c r="C372" s="12">
        <v>42353</v>
      </c>
      <c r="D372" s="6">
        <v>0.33958333333333335</v>
      </c>
      <c r="E372" s="6">
        <v>0.36388888888888887</v>
      </c>
      <c r="F372" s="6">
        <f t="shared" si="10"/>
        <v>2.4305555555555525E-2</v>
      </c>
      <c r="G372" s="3">
        <f t="shared" si="11"/>
        <v>4.8611111111110938E-3</v>
      </c>
      <c r="H372" t="s">
        <v>10</v>
      </c>
    </row>
    <row r="373" spans="1:8" x14ac:dyDescent="0.25">
      <c r="A373" s="12">
        <v>42353</v>
      </c>
      <c r="B373" s="12">
        <v>42353</v>
      </c>
      <c r="C373" s="12">
        <v>42353</v>
      </c>
      <c r="D373" s="6">
        <v>0.41666666666666669</v>
      </c>
      <c r="E373" s="6">
        <v>0.43611111111111112</v>
      </c>
      <c r="F373" s="6">
        <f t="shared" si="10"/>
        <v>1.9444444444444431E-2</v>
      </c>
      <c r="G373" s="3">
        <f t="shared" si="11"/>
        <v>9.0277777777778012E-3</v>
      </c>
      <c r="H373" t="s">
        <v>10</v>
      </c>
    </row>
    <row r="374" spans="1:8" x14ac:dyDescent="0.25">
      <c r="A374" s="12">
        <v>42353</v>
      </c>
      <c r="B374" s="12">
        <v>42353</v>
      </c>
      <c r="C374" s="12">
        <v>42353</v>
      </c>
      <c r="D374" s="6">
        <v>0.43194444444444446</v>
      </c>
      <c r="E374" s="6">
        <v>0.4604166666666667</v>
      </c>
      <c r="F374" s="6">
        <f t="shared" si="10"/>
        <v>2.8472222222222232E-2</v>
      </c>
      <c r="G374" s="3">
        <f t="shared" si="11"/>
        <v>1.041666666666663E-2</v>
      </c>
      <c r="H374" t="s">
        <v>10</v>
      </c>
    </row>
    <row r="375" spans="1:8" x14ac:dyDescent="0.25">
      <c r="A375" s="12">
        <v>42353</v>
      </c>
      <c r="B375" s="12">
        <v>42353</v>
      </c>
      <c r="C375" s="12">
        <v>42353</v>
      </c>
      <c r="D375" s="6">
        <v>0.49305555555555558</v>
      </c>
      <c r="E375" s="6">
        <v>0.51111111111111118</v>
      </c>
      <c r="F375" s="6">
        <f t="shared" si="10"/>
        <v>1.8055555555555602E-2</v>
      </c>
      <c r="G375" s="3">
        <f t="shared" si="11"/>
        <v>6.9444444444433095E-4</v>
      </c>
      <c r="H375" t="s">
        <v>10</v>
      </c>
    </row>
    <row r="376" spans="1:8" x14ac:dyDescent="0.25">
      <c r="A376" s="12">
        <v>42353</v>
      </c>
      <c r="B376" s="12">
        <v>42353</v>
      </c>
      <c r="C376" s="12">
        <v>42353</v>
      </c>
      <c r="D376" s="6">
        <v>0.52708333333333335</v>
      </c>
      <c r="E376" s="6">
        <v>0.54583333333333328</v>
      </c>
      <c r="F376" s="6">
        <f t="shared" si="10"/>
        <v>1.8749999999999933E-2</v>
      </c>
      <c r="G376" s="3">
        <f t="shared" si="11"/>
        <v>0</v>
      </c>
      <c r="H376" t="s">
        <v>10</v>
      </c>
    </row>
    <row r="377" spans="1:8" x14ac:dyDescent="0.25">
      <c r="A377" s="12">
        <v>42353</v>
      </c>
      <c r="B377" s="12">
        <v>42353</v>
      </c>
      <c r="C377" s="12">
        <v>42353</v>
      </c>
      <c r="D377" s="6">
        <v>0.72152777777777777</v>
      </c>
      <c r="E377" s="6">
        <v>0.7402777777777777</v>
      </c>
      <c r="F377" s="6">
        <f t="shared" si="10"/>
        <v>1.8749999999999933E-2</v>
      </c>
      <c r="G377" s="3">
        <f t="shared" si="11"/>
        <v>2.7777777777777679E-3</v>
      </c>
      <c r="H377" t="s">
        <v>10</v>
      </c>
    </row>
    <row r="378" spans="1:8" x14ac:dyDescent="0.25">
      <c r="A378" s="12">
        <v>42353</v>
      </c>
      <c r="B378" s="12">
        <v>42353</v>
      </c>
      <c r="C378" s="12">
        <v>42353</v>
      </c>
      <c r="D378" s="6">
        <v>0.79236111111111107</v>
      </c>
      <c r="E378" s="6">
        <v>0.80833333333333324</v>
      </c>
      <c r="F378" s="6">
        <f t="shared" si="10"/>
        <v>1.5972222222222165E-2</v>
      </c>
      <c r="G378" s="3">
        <f t="shared" si="11"/>
        <v>3.4722222222222099E-3</v>
      </c>
      <c r="H378" t="s">
        <v>10</v>
      </c>
    </row>
    <row r="379" spans="1:8" x14ac:dyDescent="0.25">
      <c r="A379" s="12">
        <v>42353</v>
      </c>
      <c r="B379" s="12">
        <v>42353</v>
      </c>
      <c r="C379" s="12">
        <v>42353</v>
      </c>
      <c r="D379" s="6">
        <v>0.85833333333333339</v>
      </c>
      <c r="E379" s="6">
        <v>0.87777777777777777</v>
      </c>
      <c r="F379" s="6">
        <f t="shared" si="10"/>
        <v>1.9444444444444375E-2</v>
      </c>
      <c r="G379" s="3">
        <f t="shared" si="11"/>
        <v>0</v>
      </c>
      <c r="H379" t="s">
        <v>10</v>
      </c>
    </row>
    <row r="380" spans="1:8" x14ac:dyDescent="0.25">
      <c r="A380" s="12">
        <v>42353</v>
      </c>
      <c r="B380" s="12">
        <v>42353</v>
      </c>
      <c r="C380" s="12">
        <v>42353</v>
      </c>
      <c r="D380" s="6">
        <v>0.91041666666666676</v>
      </c>
      <c r="E380" s="6">
        <v>0.92986111111111114</v>
      </c>
      <c r="F380" s="6">
        <f t="shared" si="10"/>
        <v>1.9444444444444375E-2</v>
      </c>
      <c r="G380" s="3">
        <f t="shared" si="11"/>
        <v>5.5555555555557024E-3</v>
      </c>
      <c r="H380" t="s">
        <v>10</v>
      </c>
    </row>
    <row r="381" spans="1:8" x14ac:dyDescent="0.25">
      <c r="A381" s="12">
        <v>42353</v>
      </c>
      <c r="B381" s="12">
        <v>42353</v>
      </c>
      <c r="C381" s="12">
        <v>42353</v>
      </c>
      <c r="D381" s="6">
        <v>0.4861111111111111</v>
      </c>
      <c r="E381" s="6">
        <v>0.51111111111111118</v>
      </c>
      <c r="F381" s="6">
        <f t="shared" si="10"/>
        <v>2.5000000000000078E-2</v>
      </c>
      <c r="G381" s="3">
        <f t="shared" si="11"/>
        <v>9.0277777777778012E-3</v>
      </c>
      <c r="H381" t="s">
        <v>10</v>
      </c>
    </row>
    <row r="382" spans="1:8" x14ac:dyDescent="0.25">
      <c r="A382" s="12">
        <v>42353</v>
      </c>
      <c r="B382" s="12">
        <v>42353</v>
      </c>
      <c r="C382" s="12">
        <v>42353</v>
      </c>
      <c r="D382" s="6">
        <v>0.55138888888888882</v>
      </c>
      <c r="E382" s="6">
        <v>0.56736111111111109</v>
      </c>
      <c r="F382" s="6">
        <f t="shared" ref="F382:F444" si="12">E382-D382</f>
        <v>1.5972222222222276E-2</v>
      </c>
      <c r="G382" s="3">
        <f t="shared" si="11"/>
        <v>2.7777777777777679E-3</v>
      </c>
      <c r="H382" t="s">
        <v>10</v>
      </c>
    </row>
    <row r="383" spans="1:8" x14ac:dyDescent="0.25">
      <c r="A383" s="12">
        <v>42353</v>
      </c>
      <c r="B383" s="12">
        <v>42353</v>
      </c>
      <c r="C383" s="12">
        <v>42353</v>
      </c>
      <c r="D383" s="6">
        <v>0.59166666666666667</v>
      </c>
      <c r="E383" s="6">
        <v>0.61041666666666672</v>
      </c>
      <c r="F383" s="6">
        <f t="shared" si="12"/>
        <v>1.8750000000000044E-2</v>
      </c>
      <c r="G383" s="3">
        <f t="shared" si="11"/>
        <v>6.9444444444444198E-4</v>
      </c>
      <c r="H383" t="s">
        <v>10</v>
      </c>
    </row>
    <row r="384" spans="1:8" x14ac:dyDescent="0.25">
      <c r="A384" s="12">
        <v>42353</v>
      </c>
      <c r="B384" s="12">
        <v>42353</v>
      </c>
      <c r="C384" s="12">
        <v>42353</v>
      </c>
      <c r="D384" s="6">
        <v>0.63680555555555551</v>
      </c>
      <c r="E384" s="6">
        <v>0.65486111111111112</v>
      </c>
      <c r="F384" s="6">
        <f t="shared" si="12"/>
        <v>1.8055555555555602E-2</v>
      </c>
      <c r="G384" s="3">
        <f t="shared" si="11"/>
        <v>6.9444444444466402E-4</v>
      </c>
      <c r="H384" t="s">
        <v>10</v>
      </c>
    </row>
    <row r="385" spans="1:8" x14ac:dyDescent="0.25">
      <c r="A385" s="12">
        <v>42353</v>
      </c>
      <c r="B385" s="12">
        <v>42353</v>
      </c>
      <c r="C385" s="12">
        <v>42353</v>
      </c>
      <c r="D385" s="6">
        <v>0.72569444444444453</v>
      </c>
      <c r="E385" s="6">
        <v>0.74305555555555547</v>
      </c>
      <c r="F385" s="6">
        <f t="shared" si="12"/>
        <v>1.7361111111110938E-2</v>
      </c>
      <c r="G385" s="3">
        <f t="shared" si="11"/>
        <v>1.6666666666666829E-2</v>
      </c>
      <c r="H385" t="s">
        <v>10</v>
      </c>
    </row>
    <row r="386" spans="1:8" x14ac:dyDescent="0.25">
      <c r="A386" s="12">
        <v>42353</v>
      </c>
      <c r="B386" s="12">
        <v>42353</v>
      </c>
      <c r="C386" s="12">
        <v>42353</v>
      </c>
      <c r="D386" s="6">
        <v>0.9145833333333333</v>
      </c>
      <c r="E386" s="6">
        <v>0.94861111111111107</v>
      </c>
      <c r="F386" s="6">
        <f t="shared" si="12"/>
        <v>3.4027777777777768E-2</v>
      </c>
      <c r="G386" s="3">
        <f t="shared" si="11"/>
        <v>0</v>
      </c>
      <c r="H386" t="s">
        <v>10</v>
      </c>
    </row>
    <row r="387" spans="1:8" x14ac:dyDescent="0.25">
      <c r="A387" s="12">
        <v>42353</v>
      </c>
      <c r="B387" s="12">
        <v>42353</v>
      </c>
      <c r="C387" s="12">
        <v>42353</v>
      </c>
      <c r="D387" s="6">
        <v>0.9145833333333333</v>
      </c>
      <c r="E387" s="6">
        <v>0.94861111111111107</v>
      </c>
      <c r="F387" s="6">
        <f t="shared" si="12"/>
        <v>3.4027777777777768E-2</v>
      </c>
      <c r="G387" s="3">
        <f t="shared" ref="G387:G450" si="13">ABS(F388-F387)</f>
        <v>1.1805555555555736E-2</v>
      </c>
      <c r="H387" t="s">
        <v>10</v>
      </c>
    </row>
    <row r="388" spans="1:8" x14ac:dyDescent="0.25">
      <c r="A388" s="12">
        <v>42353</v>
      </c>
      <c r="B388" s="12">
        <v>42353</v>
      </c>
      <c r="C388" s="12">
        <v>42353</v>
      </c>
      <c r="D388" s="6">
        <v>0.9784722222222223</v>
      </c>
      <c r="E388" s="6">
        <v>1.0006944444444443</v>
      </c>
      <c r="F388" s="6">
        <f t="shared" si="12"/>
        <v>2.2222222222222032E-2</v>
      </c>
      <c r="G388" s="3">
        <f t="shared" si="13"/>
        <v>6.9444444444466402E-4</v>
      </c>
      <c r="H388" t="s">
        <v>10</v>
      </c>
    </row>
    <row r="389" spans="1:8" x14ac:dyDescent="0.25">
      <c r="A389" s="12">
        <v>42353</v>
      </c>
      <c r="B389" s="12">
        <v>42353</v>
      </c>
      <c r="C389" s="12">
        <v>42353</v>
      </c>
      <c r="D389" s="6">
        <v>0.65625</v>
      </c>
      <c r="E389" s="6">
        <v>0.6791666666666667</v>
      </c>
      <c r="F389" s="6">
        <f t="shared" si="12"/>
        <v>2.2916666666666696E-2</v>
      </c>
      <c r="G389" s="3">
        <f t="shared" si="13"/>
        <v>6.9444444444444198E-4</v>
      </c>
      <c r="H389" t="s">
        <v>10</v>
      </c>
    </row>
    <row r="390" spans="1:8" x14ac:dyDescent="0.25">
      <c r="A390" s="12">
        <v>42353</v>
      </c>
      <c r="B390" s="12">
        <v>42353</v>
      </c>
      <c r="C390" s="12">
        <v>42353</v>
      </c>
      <c r="D390" s="6">
        <v>0.80763888888888891</v>
      </c>
      <c r="E390" s="6">
        <v>0.82986111111111116</v>
      </c>
      <c r="F390" s="6">
        <f t="shared" si="12"/>
        <v>2.2222222222222254E-2</v>
      </c>
      <c r="G390" s="3">
        <f t="shared" si="13"/>
        <v>4.1666666666667629E-3</v>
      </c>
      <c r="H390" t="s">
        <v>10</v>
      </c>
    </row>
    <row r="391" spans="1:8" x14ac:dyDescent="0.25">
      <c r="A391" s="12">
        <v>42353</v>
      </c>
      <c r="B391" s="12">
        <v>42353</v>
      </c>
      <c r="C391" s="12">
        <v>42353</v>
      </c>
      <c r="D391" s="6">
        <v>0.87013888888888891</v>
      </c>
      <c r="E391" s="6">
        <v>0.8881944444444444</v>
      </c>
      <c r="F391" s="6">
        <f t="shared" si="12"/>
        <v>1.8055555555555491E-2</v>
      </c>
      <c r="G391" s="3">
        <f t="shared" si="13"/>
        <v>0</v>
      </c>
      <c r="H391" t="s">
        <v>10</v>
      </c>
    </row>
    <row r="392" spans="1:8" x14ac:dyDescent="0.25">
      <c r="A392" s="12">
        <v>42353</v>
      </c>
      <c r="B392" s="12">
        <v>42353</v>
      </c>
      <c r="C392" s="12">
        <v>42353</v>
      </c>
      <c r="D392" s="6">
        <v>0.88194444444444453</v>
      </c>
      <c r="E392" s="6">
        <v>0.9</v>
      </c>
      <c r="F392" s="6">
        <f t="shared" si="12"/>
        <v>1.8055555555555491E-2</v>
      </c>
      <c r="G392" s="3">
        <f t="shared" si="13"/>
        <v>3.4722222222222099E-3</v>
      </c>
      <c r="H392" t="s">
        <v>10</v>
      </c>
    </row>
    <row r="393" spans="1:8" x14ac:dyDescent="0.25">
      <c r="A393" s="12">
        <v>42353</v>
      </c>
      <c r="B393" s="12">
        <v>42353</v>
      </c>
      <c r="C393" s="12">
        <v>42353</v>
      </c>
      <c r="D393" s="6">
        <v>0.92361111111111116</v>
      </c>
      <c r="E393" s="6">
        <v>0.93819444444444444</v>
      </c>
      <c r="F393" s="6">
        <f t="shared" si="12"/>
        <v>1.4583333333333282E-2</v>
      </c>
      <c r="G393" s="3">
        <f t="shared" si="13"/>
        <v>2.0833333333333259E-3</v>
      </c>
      <c r="H393" t="s">
        <v>10</v>
      </c>
    </row>
    <row r="394" spans="1:8" x14ac:dyDescent="0.25">
      <c r="A394" s="12">
        <v>42353</v>
      </c>
      <c r="B394" s="12">
        <v>42353</v>
      </c>
      <c r="C394" s="12">
        <v>42353</v>
      </c>
      <c r="D394" s="6">
        <v>0.96527777777777779</v>
      </c>
      <c r="E394" s="6">
        <v>0.9819444444444444</v>
      </c>
      <c r="F394" s="6">
        <f t="shared" si="12"/>
        <v>1.6666666666666607E-2</v>
      </c>
      <c r="G394" s="3">
        <f t="shared" si="13"/>
        <v>1.3888888888887729E-3</v>
      </c>
      <c r="H394" t="s">
        <v>10</v>
      </c>
    </row>
    <row r="395" spans="1:8" x14ac:dyDescent="0.25">
      <c r="A395" s="12">
        <v>42353</v>
      </c>
      <c r="B395" s="12">
        <v>42353</v>
      </c>
      <c r="C395" s="12">
        <v>42353</v>
      </c>
      <c r="D395" s="6">
        <v>0.98749999999999993</v>
      </c>
      <c r="E395" s="6">
        <v>1.0027777777777778</v>
      </c>
      <c r="F395" s="6">
        <f t="shared" si="12"/>
        <v>1.5277777777777835E-2</v>
      </c>
      <c r="G395" s="3">
        <f t="shared" si="13"/>
        <v>2.0833333333333259E-3</v>
      </c>
      <c r="H395" t="s">
        <v>10</v>
      </c>
    </row>
    <row r="396" spans="1:8" x14ac:dyDescent="0.25">
      <c r="A396" s="12">
        <v>42353</v>
      </c>
      <c r="B396" s="12">
        <v>42353</v>
      </c>
      <c r="C396" s="12">
        <v>42353</v>
      </c>
      <c r="D396" s="6">
        <v>0.55138888888888882</v>
      </c>
      <c r="E396" s="6">
        <v>0.56874999999999998</v>
      </c>
      <c r="F396" s="6">
        <f t="shared" si="12"/>
        <v>1.736111111111116E-2</v>
      </c>
      <c r="G396" s="3">
        <f t="shared" si="13"/>
        <v>9.7222222222221877E-3</v>
      </c>
      <c r="H396" t="s">
        <v>10</v>
      </c>
    </row>
    <row r="397" spans="1:8" x14ac:dyDescent="0.25">
      <c r="A397" s="12">
        <v>42353</v>
      </c>
      <c r="B397" s="12">
        <v>42353</v>
      </c>
      <c r="C397" s="12">
        <v>42353</v>
      </c>
      <c r="D397" s="6">
        <v>0.77986111111111101</v>
      </c>
      <c r="E397" s="6">
        <v>0.78749999999999998</v>
      </c>
      <c r="F397" s="6">
        <f t="shared" si="12"/>
        <v>7.6388888888889728E-3</v>
      </c>
      <c r="G397" s="3">
        <f t="shared" si="13"/>
        <v>7.6388888888888618E-3</v>
      </c>
      <c r="H397" t="s">
        <v>10</v>
      </c>
    </row>
    <row r="398" spans="1:8" x14ac:dyDescent="0.25">
      <c r="A398" s="12">
        <v>42353</v>
      </c>
      <c r="B398" s="12">
        <v>42353</v>
      </c>
      <c r="C398" s="12">
        <v>42353</v>
      </c>
      <c r="D398" s="6">
        <v>0.84027777777777779</v>
      </c>
      <c r="E398" s="6">
        <v>0.85555555555555562</v>
      </c>
      <c r="F398" s="6">
        <f t="shared" si="12"/>
        <v>1.5277777777777835E-2</v>
      </c>
      <c r="G398" s="3">
        <f t="shared" si="13"/>
        <v>2.7777777777778789E-3</v>
      </c>
      <c r="H398" t="s">
        <v>10</v>
      </c>
    </row>
    <row r="399" spans="1:8" x14ac:dyDescent="0.25">
      <c r="A399" s="12">
        <v>42353</v>
      </c>
      <c r="B399" s="12">
        <v>42353</v>
      </c>
      <c r="C399" s="12">
        <v>42353</v>
      </c>
      <c r="D399" s="6">
        <v>0.9243055555555556</v>
      </c>
      <c r="E399" s="6">
        <v>0.93680555555555556</v>
      </c>
      <c r="F399" s="6">
        <f t="shared" si="12"/>
        <v>1.2499999999999956E-2</v>
      </c>
      <c r="G399" s="3">
        <f t="shared" si="13"/>
        <v>3.4722222222223209E-3</v>
      </c>
      <c r="H399" t="s">
        <v>10</v>
      </c>
    </row>
    <row r="400" spans="1:8" x14ac:dyDescent="0.25">
      <c r="A400" s="12">
        <v>42353</v>
      </c>
      <c r="B400" s="12">
        <v>42353</v>
      </c>
      <c r="C400" s="12">
        <v>42353</v>
      </c>
      <c r="D400" s="6">
        <v>0.46527777777777773</v>
      </c>
      <c r="E400" s="6">
        <v>0.48125000000000001</v>
      </c>
      <c r="F400" s="6">
        <f t="shared" si="12"/>
        <v>1.5972222222222276E-2</v>
      </c>
      <c r="G400" s="3">
        <f t="shared" si="13"/>
        <v>2.0833333333332149E-3</v>
      </c>
      <c r="H400" t="s">
        <v>10</v>
      </c>
    </row>
    <row r="401" spans="1:8" x14ac:dyDescent="0.25">
      <c r="A401" s="12">
        <v>42353</v>
      </c>
      <c r="B401" s="12">
        <v>42353</v>
      </c>
      <c r="C401" s="12">
        <v>42353</v>
      </c>
      <c r="D401" s="6">
        <v>0.7368055555555556</v>
      </c>
      <c r="E401" s="6">
        <v>0.75486111111111109</v>
      </c>
      <c r="F401" s="6">
        <f t="shared" si="12"/>
        <v>1.8055555555555491E-2</v>
      </c>
      <c r="G401" s="3">
        <f t="shared" si="13"/>
        <v>3.4722222222220989E-3</v>
      </c>
      <c r="H401" t="s">
        <v>10</v>
      </c>
    </row>
    <row r="402" spans="1:8" x14ac:dyDescent="0.25">
      <c r="A402" s="12">
        <v>42353</v>
      </c>
      <c r="B402" s="12">
        <v>42353</v>
      </c>
      <c r="C402" s="12">
        <v>42353</v>
      </c>
      <c r="D402" s="6">
        <v>0.78402777777777777</v>
      </c>
      <c r="E402" s="6">
        <v>0.79861111111111116</v>
      </c>
      <c r="F402" s="6">
        <f t="shared" si="12"/>
        <v>1.4583333333333393E-2</v>
      </c>
      <c r="G402" s="3">
        <f t="shared" si="13"/>
        <v>6.9444444444444198E-4</v>
      </c>
      <c r="H402" t="s">
        <v>10</v>
      </c>
    </row>
    <row r="403" spans="1:8" x14ac:dyDescent="0.25">
      <c r="A403" s="12">
        <v>42353</v>
      </c>
      <c r="B403" s="12">
        <v>42353</v>
      </c>
      <c r="C403" s="12">
        <v>42353</v>
      </c>
      <c r="D403" s="6">
        <v>0.7895833333333333</v>
      </c>
      <c r="E403" s="6">
        <v>0.80486111111111114</v>
      </c>
      <c r="F403" s="6">
        <f t="shared" si="12"/>
        <v>1.5277777777777835E-2</v>
      </c>
      <c r="G403" s="3">
        <f t="shared" si="13"/>
        <v>3.4722222222222099E-3</v>
      </c>
      <c r="H403" t="s">
        <v>10</v>
      </c>
    </row>
    <row r="404" spans="1:8" x14ac:dyDescent="0.25">
      <c r="A404" s="12">
        <v>42353</v>
      </c>
      <c r="B404" s="12">
        <v>42353</v>
      </c>
      <c r="C404" s="12">
        <v>42353</v>
      </c>
      <c r="D404" s="6">
        <v>0.2673611111111111</v>
      </c>
      <c r="E404" s="6">
        <v>0.28611111111111115</v>
      </c>
      <c r="F404" s="6">
        <f t="shared" si="12"/>
        <v>1.8750000000000044E-2</v>
      </c>
      <c r="G404" s="3">
        <f t="shared" si="13"/>
        <v>5.5511151231257827E-17</v>
      </c>
      <c r="H404" t="s">
        <v>10</v>
      </c>
    </row>
    <row r="405" spans="1:8" x14ac:dyDescent="0.25">
      <c r="A405" s="12">
        <v>42353</v>
      </c>
      <c r="B405" s="12">
        <v>42353</v>
      </c>
      <c r="C405" s="12">
        <v>42353</v>
      </c>
      <c r="D405" s="6">
        <v>0.28263888888888888</v>
      </c>
      <c r="E405" s="6">
        <v>0.30138888888888887</v>
      </c>
      <c r="F405" s="6">
        <f t="shared" si="12"/>
        <v>1.8749999999999989E-2</v>
      </c>
      <c r="G405" s="3">
        <f t="shared" si="13"/>
        <v>2.0833333333332704E-3</v>
      </c>
      <c r="H405" t="s">
        <v>10</v>
      </c>
    </row>
    <row r="406" spans="1:8" x14ac:dyDescent="0.25">
      <c r="A406" s="12">
        <v>42353</v>
      </c>
      <c r="B406" s="12">
        <v>42353</v>
      </c>
      <c r="C406" s="12">
        <v>42353</v>
      </c>
      <c r="D406" s="6">
        <v>0.42291666666666666</v>
      </c>
      <c r="E406" s="6">
        <v>0.43958333333333338</v>
      </c>
      <c r="F406" s="6">
        <f t="shared" si="12"/>
        <v>1.6666666666666718E-2</v>
      </c>
      <c r="G406" s="3">
        <f t="shared" si="13"/>
        <v>6.9444444444433095E-4</v>
      </c>
      <c r="H406" t="s">
        <v>10</v>
      </c>
    </row>
    <row r="407" spans="1:8" x14ac:dyDescent="0.25">
      <c r="A407" s="12">
        <v>42353</v>
      </c>
      <c r="B407" s="12">
        <v>42353</v>
      </c>
      <c r="C407" s="12">
        <v>42353</v>
      </c>
      <c r="D407" s="6">
        <v>0.77222222222222225</v>
      </c>
      <c r="E407" s="6">
        <v>0.7895833333333333</v>
      </c>
      <c r="F407" s="6">
        <f t="shared" si="12"/>
        <v>1.7361111111111049E-2</v>
      </c>
      <c r="G407" s="3">
        <f t="shared" si="13"/>
        <v>6.9444444444449749E-4</v>
      </c>
      <c r="H407" t="s">
        <v>10</v>
      </c>
    </row>
    <row r="408" spans="1:8" x14ac:dyDescent="0.25">
      <c r="A408" s="12">
        <v>42353</v>
      </c>
      <c r="B408" s="12">
        <v>42353</v>
      </c>
      <c r="C408" s="12">
        <v>42353</v>
      </c>
      <c r="D408" s="6">
        <v>0.40625</v>
      </c>
      <c r="E408" s="6">
        <v>0.42430555555555555</v>
      </c>
      <c r="F408" s="6">
        <f t="shared" si="12"/>
        <v>1.8055555555555547E-2</v>
      </c>
      <c r="G408" s="3">
        <f t="shared" si="13"/>
        <v>2.0833333333333814E-3</v>
      </c>
      <c r="H408" t="s">
        <v>10</v>
      </c>
    </row>
    <row r="409" spans="1:8" x14ac:dyDescent="0.25">
      <c r="A409" s="12">
        <v>42353</v>
      </c>
      <c r="B409" s="12">
        <v>42353</v>
      </c>
      <c r="C409" s="12">
        <v>42353</v>
      </c>
      <c r="D409" s="6">
        <v>0.4284722222222222</v>
      </c>
      <c r="E409" s="6">
        <v>0.44861111111111113</v>
      </c>
      <c r="F409" s="6">
        <f t="shared" si="12"/>
        <v>2.0138888888888928E-2</v>
      </c>
      <c r="G409" s="3">
        <f t="shared" si="13"/>
        <v>3.4722222222223209E-3</v>
      </c>
      <c r="H409" t="s">
        <v>10</v>
      </c>
    </row>
    <row r="410" spans="1:8" x14ac:dyDescent="0.25">
      <c r="A410" s="12">
        <v>42353</v>
      </c>
      <c r="B410" s="12">
        <v>42353</v>
      </c>
      <c r="C410" s="12">
        <v>42353</v>
      </c>
      <c r="D410" s="6">
        <v>0.59583333333333333</v>
      </c>
      <c r="E410" s="6">
        <v>0.61249999999999993</v>
      </c>
      <c r="F410" s="6">
        <f t="shared" si="12"/>
        <v>1.6666666666666607E-2</v>
      </c>
      <c r="G410" s="3">
        <f t="shared" si="13"/>
        <v>1.388888888888995E-3</v>
      </c>
      <c r="H410" t="s">
        <v>10</v>
      </c>
    </row>
    <row r="411" spans="1:8" x14ac:dyDescent="0.25">
      <c r="A411" s="12">
        <v>42353</v>
      </c>
      <c r="B411" s="12">
        <v>42353</v>
      </c>
      <c r="C411" s="12">
        <v>42353</v>
      </c>
      <c r="D411" s="6">
        <v>0.65833333333333333</v>
      </c>
      <c r="E411" s="6">
        <v>0.67638888888888893</v>
      </c>
      <c r="F411" s="6">
        <f t="shared" si="12"/>
        <v>1.8055555555555602E-2</v>
      </c>
      <c r="G411" s="3">
        <f t="shared" si="13"/>
        <v>1.388888888888884E-3</v>
      </c>
      <c r="H411" t="s">
        <v>10</v>
      </c>
    </row>
    <row r="412" spans="1:8" x14ac:dyDescent="0.25">
      <c r="A412" s="12">
        <v>42353</v>
      </c>
      <c r="B412" s="12">
        <v>42353</v>
      </c>
      <c r="C412" s="12">
        <v>42353</v>
      </c>
      <c r="D412" s="6">
        <v>0.63472222222222219</v>
      </c>
      <c r="E412" s="6">
        <v>0.65138888888888891</v>
      </c>
      <c r="F412" s="6">
        <f t="shared" si="12"/>
        <v>1.6666666666666718E-2</v>
      </c>
      <c r="G412" s="3">
        <f t="shared" si="13"/>
        <v>2.0833333333333259E-3</v>
      </c>
      <c r="H412" t="s">
        <v>10</v>
      </c>
    </row>
    <row r="413" spans="1:8" x14ac:dyDescent="0.25">
      <c r="A413" s="12">
        <v>42353</v>
      </c>
      <c r="B413" s="12">
        <v>42353</v>
      </c>
      <c r="C413" s="12">
        <v>42353</v>
      </c>
      <c r="D413" s="6">
        <v>0.7631944444444444</v>
      </c>
      <c r="E413" s="6">
        <v>0.78194444444444444</v>
      </c>
      <c r="F413" s="6">
        <f t="shared" si="12"/>
        <v>1.8750000000000044E-2</v>
      </c>
      <c r="G413" s="3">
        <f t="shared" si="13"/>
        <v>4.1666666666666519E-3</v>
      </c>
      <c r="H413" t="s">
        <v>10</v>
      </c>
    </row>
    <row r="414" spans="1:8" x14ac:dyDescent="0.25">
      <c r="A414" s="12">
        <v>42353</v>
      </c>
      <c r="B414" s="12">
        <v>42353</v>
      </c>
      <c r="C414" s="12">
        <v>42353</v>
      </c>
      <c r="D414" s="6">
        <v>0.7715277777777777</v>
      </c>
      <c r="E414" s="6">
        <v>0.78611111111111109</v>
      </c>
      <c r="F414" s="6">
        <f t="shared" si="12"/>
        <v>1.4583333333333393E-2</v>
      </c>
      <c r="G414" s="3">
        <f t="shared" si="13"/>
        <v>8.3333333333333037E-3</v>
      </c>
      <c r="H414" t="s">
        <v>10</v>
      </c>
    </row>
    <row r="415" spans="1:8" x14ac:dyDescent="0.25">
      <c r="A415" s="12">
        <v>42353</v>
      </c>
      <c r="B415" s="12">
        <v>42353</v>
      </c>
      <c r="C415" s="12">
        <v>42353</v>
      </c>
      <c r="D415" s="6">
        <v>0.8618055555555556</v>
      </c>
      <c r="E415" s="6">
        <v>0.8847222222222223</v>
      </c>
      <c r="F415" s="6">
        <f t="shared" si="12"/>
        <v>2.2916666666666696E-2</v>
      </c>
      <c r="G415" s="3">
        <f t="shared" si="13"/>
        <v>1.3888888888887729E-3</v>
      </c>
      <c r="H415" t="s">
        <v>10</v>
      </c>
    </row>
    <row r="416" spans="1:8" x14ac:dyDescent="0.25">
      <c r="A416" s="12">
        <v>42353</v>
      </c>
      <c r="B416" s="12">
        <v>42353</v>
      </c>
      <c r="C416" s="12">
        <v>42353</v>
      </c>
      <c r="D416" s="6">
        <v>0.86319444444444438</v>
      </c>
      <c r="E416" s="6">
        <v>0.8847222222222223</v>
      </c>
      <c r="F416" s="6">
        <f t="shared" si="12"/>
        <v>2.1527777777777923E-2</v>
      </c>
      <c r="G416" s="3">
        <f t="shared" si="13"/>
        <v>2.7777777777779067E-3</v>
      </c>
      <c r="H416" t="s">
        <v>10</v>
      </c>
    </row>
    <row r="417" spans="1:8" x14ac:dyDescent="0.25">
      <c r="A417" s="12">
        <v>42353</v>
      </c>
      <c r="B417" s="12">
        <v>42353</v>
      </c>
      <c r="C417" s="12">
        <v>42353</v>
      </c>
      <c r="D417" s="6">
        <v>0.16874999999999998</v>
      </c>
      <c r="E417" s="6">
        <v>0.1875</v>
      </c>
      <c r="F417" s="6">
        <f t="shared" si="12"/>
        <v>1.8750000000000017E-2</v>
      </c>
      <c r="G417" s="3">
        <f t="shared" si="13"/>
        <v>1.3888888888889117E-3</v>
      </c>
      <c r="H417" t="s">
        <v>10</v>
      </c>
    </row>
    <row r="418" spans="1:8" x14ac:dyDescent="0.25">
      <c r="A418" s="12">
        <v>42353</v>
      </c>
      <c r="B418" s="12">
        <v>42353</v>
      </c>
      <c r="C418" s="12">
        <v>42353</v>
      </c>
      <c r="D418" s="6">
        <v>0.27569444444444446</v>
      </c>
      <c r="E418" s="6">
        <v>0.29305555555555557</v>
      </c>
      <c r="F418" s="6">
        <f t="shared" si="12"/>
        <v>1.7361111111111105E-2</v>
      </c>
      <c r="G418" s="3">
        <f t="shared" si="13"/>
        <v>6.9444444444443643E-3</v>
      </c>
      <c r="H418" t="s">
        <v>10</v>
      </c>
    </row>
    <row r="419" spans="1:8" x14ac:dyDescent="0.25">
      <c r="A419" s="12">
        <v>42353</v>
      </c>
      <c r="B419" s="12">
        <v>42353</v>
      </c>
      <c r="C419" s="12">
        <v>42353</v>
      </c>
      <c r="D419" s="6">
        <v>0.74305555555555547</v>
      </c>
      <c r="E419" s="6">
        <v>0.75347222222222221</v>
      </c>
      <c r="F419" s="6">
        <f t="shared" si="12"/>
        <v>1.0416666666666741E-2</v>
      </c>
      <c r="G419" s="3">
        <f t="shared" si="13"/>
        <v>6.9444444444444198E-3</v>
      </c>
      <c r="H419" t="s">
        <v>10</v>
      </c>
    </row>
    <row r="420" spans="1:8" x14ac:dyDescent="0.25">
      <c r="A420" s="12">
        <v>42353</v>
      </c>
      <c r="B420" s="12">
        <v>42353</v>
      </c>
      <c r="C420" s="12">
        <v>42353</v>
      </c>
      <c r="D420" s="6">
        <v>0.90347222222222223</v>
      </c>
      <c r="E420" s="6">
        <v>0.92083333333333339</v>
      </c>
      <c r="F420" s="6">
        <f t="shared" si="12"/>
        <v>1.736111111111116E-2</v>
      </c>
      <c r="G420" s="3">
        <f t="shared" si="13"/>
        <v>4.8611111111110938E-3</v>
      </c>
      <c r="H420" t="s">
        <v>10</v>
      </c>
    </row>
    <row r="421" spans="1:8" x14ac:dyDescent="0.25">
      <c r="A421" s="12">
        <v>42353</v>
      </c>
      <c r="B421" s="12">
        <v>42353</v>
      </c>
      <c r="C421" s="12">
        <v>42353</v>
      </c>
      <c r="D421" s="6">
        <v>0.3743055555555555</v>
      </c>
      <c r="E421" s="6">
        <v>0.38680555555555557</v>
      </c>
      <c r="F421" s="6">
        <f t="shared" si="12"/>
        <v>1.2500000000000067E-2</v>
      </c>
      <c r="G421" s="3">
        <f t="shared" si="13"/>
        <v>7.6388888888888062E-3</v>
      </c>
      <c r="H421" t="s">
        <v>10</v>
      </c>
    </row>
    <row r="422" spans="1:8" x14ac:dyDescent="0.25">
      <c r="A422" s="12">
        <v>42353</v>
      </c>
      <c r="B422" s="12">
        <v>42353</v>
      </c>
      <c r="C422" s="12">
        <v>42353</v>
      </c>
      <c r="D422" s="6">
        <v>0.39930555555555558</v>
      </c>
      <c r="E422" s="6">
        <v>0.41944444444444445</v>
      </c>
      <c r="F422" s="6">
        <f t="shared" si="12"/>
        <v>2.0138888888888873E-2</v>
      </c>
      <c r="G422" s="3">
        <f t="shared" si="13"/>
        <v>4.1666666666667074E-3</v>
      </c>
      <c r="H422" t="s">
        <v>10</v>
      </c>
    </row>
    <row r="423" spans="1:8" x14ac:dyDescent="0.25">
      <c r="A423" s="12">
        <v>42353</v>
      </c>
      <c r="B423" s="12">
        <v>42353</v>
      </c>
      <c r="C423" s="12">
        <v>42353</v>
      </c>
      <c r="D423" s="6">
        <v>0.9145833333333333</v>
      </c>
      <c r="E423" s="6">
        <v>0.93055555555555547</v>
      </c>
      <c r="F423" s="6">
        <f t="shared" si="12"/>
        <v>1.5972222222222165E-2</v>
      </c>
      <c r="G423" s="3">
        <f t="shared" si="13"/>
        <v>1.388888888888884E-3</v>
      </c>
      <c r="H423" t="s">
        <v>10</v>
      </c>
    </row>
    <row r="424" spans="1:8" x14ac:dyDescent="0.25">
      <c r="A424" s="12">
        <v>42353</v>
      </c>
      <c r="B424" s="12">
        <v>42353</v>
      </c>
      <c r="C424" s="12">
        <v>42353</v>
      </c>
      <c r="D424" s="6">
        <v>0.98958333333333337</v>
      </c>
      <c r="E424" s="6">
        <v>1.0041666666666667</v>
      </c>
      <c r="F424" s="6">
        <f t="shared" si="12"/>
        <v>1.4583333333333282E-2</v>
      </c>
      <c r="G424" s="3">
        <f t="shared" si="13"/>
        <v>3.4722222222222932E-3</v>
      </c>
      <c r="H424" t="s">
        <v>10</v>
      </c>
    </row>
    <row r="425" spans="1:8" x14ac:dyDescent="0.25">
      <c r="A425" s="12">
        <v>42353</v>
      </c>
      <c r="B425" s="12">
        <v>42353</v>
      </c>
      <c r="C425" s="12">
        <v>42353</v>
      </c>
      <c r="D425" s="6">
        <v>0.23750000000000002</v>
      </c>
      <c r="E425" s="6">
        <v>0.25555555555555559</v>
      </c>
      <c r="F425" s="6">
        <f t="shared" si="12"/>
        <v>1.8055555555555575E-2</v>
      </c>
      <c r="G425" s="3">
        <f t="shared" si="13"/>
        <v>1.3888888888888812E-2</v>
      </c>
      <c r="H425" t="s">
        <v>10</v>
      </c>
    </row>
    <row r="426" spans="1:8" x14ac:dyDescent="0.25">
      <c r="A426" s="12">
        <v>42353</v>
      </c>
      <c r="B426" s="12">
        <v>42353</v>
      </c>
      <c r="C426" s="12">
        <v>42353</v>
      </c>
      <c r="D426" s="6">
        <v>0.37083333333333335</v>
      </c>
      <c r="E426" s="6">
        <v>0.40277777777777773</v>
      </c>
      <c r="F426" s="6">
        <f t="shared" si="12"/>
        <v>3.1944444444444386E-2</v>
      </c>
      <c r="G426" s="3">
        <f t="shared" si="13"/>
        <v>1.7361111111110994E-2</v>
      </c>
      <c r="H426" t="s">
        <v>10</v>
      </c>
    </row>
    <row r="427" spans="1:8" x14ac:dyDescent="0.25">
      <c r="A427" s="12">
        <v>42353</v>
      </c>
      <c r="B427" s="12">
        <v>42353</v>
      </c>
      <c r="C427" s="12">
        <v>42353</v>
      </c>
      <c r="D427" s="6">
        <v>0.41597222222222219</v>
      </c>
      <c r="E427" s="6">
        <v>0.43055555555555558</v>
      </c>
      <c r="F427" s="6">
        <f t="shared" si="12"/>
        <v>1.4583333333333393E-2</v>
      </c>
      <c r="G427" s="3">
        <f t="shared" si="13"/>
        <v>2.0833333333333259E-3</v>
      </c>
      <c r="H427" t="s">
        <v>10</v>
      </c>
    </row>
    <row r="428" spans="1:8" x14ac:dyDescent="0.25">
      <c r="A428" s="12">
        <v>42353</v>
      </c>
      <c r="B428" s="12">
        <v>42353</v>
      </c>
      <c r="C428" s="12">
        <v>42353</v>
      </c>
      <c r="D428" s="6">
        <v>0.4284722222222222</v>
      </c>
      <c r="E428" s="6">
        <v>0.44513888888888892</v>
      </c>
      <c r="F428" s="6">
        <f t="shared" si="12"/>
        <v>1.6666666666666718E-2</v>
      </c>
      <c r="G428" s="3">
        <f t="shared" si="13"/>
        <v>1.1102230246251565E-16</v>
      </c>
      <c r="H428" t="s">
        <v>10</v>
      </c>
    </row>
    <row r="429" spans="1:8" x14ac:dyDescent="0.25">
      <c r="A429" s="12">
        <v>42353</v>
      </c>
      <c r="B429" s="12">
        <v>42353</v>
      </c>
      <c r="C429" s="12">
        <v>42353</v>
      </c>
      <c r="D429" s="6">
        <v>0.75138888888888899</v>
      </c>
      <c r="E429" s="6">
        <v>0.7680555555555556</v>
      </c>
      <c r="F429" s="6">
        <f t="shared" si="12"/>
        <v>1.6666666666666607E-2</v>
      </c>
      <c r="G429" s="3">
        <f t="shared" si="13"/>
        <v>1.1102230246251565E-16</v>
      </c>
      <c r="H429" t="s">
        <v>10</v>
      </c>
    </row>
    <row r="430" spans="1:8" x14ac:dyDescent="0.25">
      <c r="A430" s="12">
        <v>42353</v>
      </c>
      <c r="B430" s="12">
        <v>42353</v>
      </c>
      <c r="C430" s="12">
        <v>42353</v>
      </c>
      <c r="D430" s="6">
        <v>0.82638888888888884</v>
      </c>
      <c r="E430" s="6">
        <v>0.84305555555555556</v>
      </c>
      <c r="F430" s="6">
        <f t="shared" si="12"/>
        <v>1.6666666666666718E-2</v>
      </c>
      <c r="G430" s="3">
        <f t="shared" si="13"/>
        <v>4.1666666666667213E-3</v>
      </c>
      <c r="H430" t="s">
        <v>10</v>
      </c>
    </row>
    <row r="431" spans="1:8" x14ac:dyDescent="0.25">
      <c r="A431" s="12">
        <v>42353</v>
      </c>
      <c r="B431" s="12">
        <v>42353</v>
      </c>
      <c r="C431" s="12">
        <v>42353</v>
      </c>
      <c r="D431" s="6">
        <v>5.4166666666666669E-2</v>
      </c>
      <c r="E431" s="6">
        <v>6.6666666666666666E-2</v>
      </c>
      <c r="F431" s="6">
        <f t="shared" si="12"/>
        <v>1.2499999999999997E-2</v>
      </c>
      <c r="G431" s="3">
        <f t="shared" si="13"/>
        <v>7.6388888888889867E-3</v>
      </c>
      <c r="H431" t="s">
        <v>10</v>
      </c>
    </row>
    <row r="432" spans="1:8" x14ac:dyDescent="0.25">
      <c r="A432" s="12">
        <v>42353</v>
      </c>
      <c r="B432" s="12">
        <v>42353</v>
      </c>
      <c r="C432" s="12">
        <v>42353</v>
      </c>
      <c r="D432" s="6">
        <v>0.49791666666666662</v>
      </c>
      <c r="E432" s="6">
        <v>0.5180555555555556</v>
      </c>
      <c r="F432" s="6">
        <f t="shared" si="12"/>
        <v>2.0138888888888984E-2</v>
      </c>
      <c r="G432" s="3">
        <f t="shared" si="13"/>
        <v>2.7777777777778234E-3</v>
      </c>
      <c r="H432" t="s">
        <v>10</v>
      </c>
    </row>
    <row r="433" spans="1:8" x14ac:dyDescent="0.25">
      <c r="A433" s="12">
        <v>42353</v>
      </c>
      <c r="B433" s="12">
        <v>42353</v>
      </c>
      <c r="C433" s="12">
        <v>42353</v>
      </c>
      <c r="D433" s="6">
        <v>0.56319444444444444</v>
      </c>
      <c r="E433" s="6">
        <v>0.5805555555555556</v>
      </c>
      <c r="F433" s="6">
        <f t="shared" si="12"/>
        <v>1.736111111111116E-2</v>
      </c>
      <c r="G433" s="3">
        <f t="shared" si="13"/>
        <v>1.1102230246251565E-16</v>
      </c>
      <c r="H433" t="s">
        <v>10</v>
      </c>
    </row>
    <row r="434" spans="1:8" x14ac:dyDescent="0.25">
      <c r="A434" s="12">
        <v>42353</v>
      </c>
      <c r="B434" s="12">
        <v>42353</v>
      </c>
      <c r="C434" s="12">
        <v>42353</v>
      </c>
      <c r="D434" s="6">
        <v>0.59513888888888888</v>
      </c>
      <c r="E434" s="6">
        <v>0.61249999999999993</v>
      </c>
      <c r="F434" s="6">
        <f t="shared" si="12"/>
        <v>1.7361111111111049E-2</v>
      </c>
      <c r="G434" s="3">
        <f t="shared" si="13"/>
        <v>2.7777777777778789E-3</v>
      </c>
      <c r="H434" t="s">
        <v>10</v>
      </c>
    </row>
    <row r="435" spans="1:8" x14ac:dyDescent="0.25">
      <c r="A435" s="12">
        <v>42353</v>
      </c>
      <c r="B435" s="12">
        <v>42353</v>
      </c>
      <c r="C435" s="12">
        <v>42353</v>
      </c>
      <c r="D435" s="6">
        <v>0.64513888888888882</v>
      </c>
      <c r="E435" s="6">
        <v>0.66527777777777775</v>
      </c>
      <c r="F435" s="6">
        <f t="shared" si="12"/>
        <v>2.0138888888888928E-2</v>
      </c>
      <c r="G435" s="3">
        <f t="shared" si="13"/>
        <v>1.3888888888888562E-3</v>
      </c>
      <c r="H435" t="s">
        <v>10</v>
      </c>
    </row>
    <row r="436" spans="1:8" x14ac:dyDescent="0.25">
      <c r="A436" s="12">
        <v>42353</v>
      </c>
      <c r="B436" s="12">
        <v>42353</v>
      </c>
      <c r="C436" s="12">
        <v>42353</v>
      </c>
      <c r="D436" s="6">
        <v>0.10902777777777778</v>
      </c>
      <c r="E436" s="6">
        <v>0.13055555555555556</v>
      </c>
      <c r="F436" s="6">
        <f t="shared" si="12"/>
        <v>2.1527777777777785E-2</v>
      </c>
      <c r="G436" s="3">
        <f t="shared" si="13"/>
        <v>6.2500000000000056E-3</v>
      </c>
      <c r="H436" t="s">
        <v>10</v>
      </c>
    </row>
    <row r="437" spans="1:8" x14ac:dyDescent="0.25">
      <c r="A437" s="12">
        <v>42353</v>
      </c>
      <c r="B437" s="12">
        <v>42353</v>
      </c>
      <c r="C437" s="12">
        <v>42353</v>
      </c>
      <c r="D437" s="6">
        <v>0.34652777777777777</v>
      </c>
      <c r="E437" s="6">
        <v>0.36180555555555555</v>
      </c>
      <c r="F437" s="6">
        <f t="shared" si="12"/>
        <v>1.5277777777777779E-2</v>
      </c>
      <c r="G437" s="3">
        <f t="shared" si="13"/>
        <v>1.3888888888889395E-3</v>
      </c>
      <c r="H437" t="s">
        <v>10</v>
      </c>
    </row>
    <row r="438" spans="1:8" x14ac:dyDescent="0.25">
      <c r="A438" s="12">
        <v>42353</v>
      </c>
      <c r="B438" s="12">
        <v>42353</v>
      </c>
      <c r="C438" s="12">
        <v>42353</v>
      </c>
      <c r="D438" s="6">
        <v>0.49583333333333335</v>
      </c>
      <c r="E438" s="6">
        <v>0.50972222222222219</v>
      </c>
      <c r="F438" s="6">
        <f t="shared" si="12"/>
        <v>1.388888888888884E-2</v>
      </c>
      <c r="G438" s="3">
        <f t="shared" si="13"/>
        <v>1.388888888888884E-3</v>
      </c>
      <c r="H438" t="s">
        <v>10</v>
      </c>
    </row>
    <row r="439" spans="1:8" x14ac:dyDescent="0.25">
      <c r="A439" s="12">
        <v>42353</v>
      </c>
      <c r="B439" s="12">
        <v>42353</v>
      </c>
      <c r="C439" s="12">
        <v>42353</v>
      </c>
      <c r="D439" s="6">
        <v>0.61805555555555558</v>
      </c>
      <c r="E439" s="6">
        <v>0.6333333333333333</v>
      </c>
      <c r="F439" s="6">
        <f t="shared" si="12"/>
        <v>1.5277777777777724E-2</v>
      </c>
      <c r="G439" s="3">
        <f t="shared" si="13"/>
        <v>6.9444444444444198E-4</v>
      </c>
      <c r="H439" t="s">
        <v>10</v>
      </c>
    </row>
    <row r="440" spans="1:8" x14ac:dyDescent="0.25">
      <c r="A440" s="12">
        <v>42353</v>
      </c>
      <c r="B440" s="12">
        <v>42353</v>
      </c>
      <c r="C440" s="12">
        <v>42353</v>
      </c>
      <c r="D440" s="6">
        <v>0.75069444444444444</v>
      </c>
      <c r="E440" s="6">
        <v>0.76666666666666661</v>
      </c>
      <c r="F440" s="6">
        <f t="shared" si="12"/>
        <v>1.5972222222222165E-2</v>
      </c>
      <c r="G440" s="3">
        <f t="shared" si="13"/>
        <v>3.4722222222222099E-3</v>
      </c>
      <c r="H440" t="s">
        <v>10</v>
      </c>
    </row>
    <row r="441" spans="1:8" x14ac:dyDescent="0.25">
      <c r="A441" s="12">
        <v>42353</v>
      </c>
      <c r="B441" s="12">
        <v>42353</v>
      </c>
      <c r="C441" s="12">
        <v>42353</v>
      </c>
      <c r="D441" s="6">
        <v>0.9</v>
      </c>
      <c r="E441" s="6">
        <v>0.91249999999999998</v>
      </c>
      <c r="F441" s="6">
        <f t="shared" si="12"/>
        <v>1.2499999999999956E-2</v>
      </c>
      <c r="G441" s="3">
        <f t="shared" si="13"/>
        <v>3.4722222222221544E-3</v>
      </c>
      <c r="H441" t="s">
        <v>10</v>
      </c>
    </row>
    <row r="442" spans="1:8" x14ac:dyDescent="0.25">
      <c r="A442" s="12">
        <v>42353</v>
      </c>
      <c r="B442" s="12">
        <v>42353</v>
      </c>
      <c r="C442" s="12">
        <v>42353</v>
      </c>
      <c r="D442" s="6">
        <v>0.15069444444444444</v>
      </c>
      <c r="E442" s="6">
        <v>0.15972222222222224</v>
      </c>
      <c r="F442" s="6">
        <f t="shared" si="12"/>
        <v>9.0277777777778012E-3</v>
      </c>
      <c r="G442" s="3">
        <f t="shared" si="13"/>
        <v>7.6388888888889173E-3</v>
      </c>
      <c r="H442" t="s">
        <v>10</v>
      </c>
    </row>
    <row r="443" spans="1:8" x14ac:dyDescent="0.25">
      <c r="A443" s="12">
        <v>42353</v>
      </c>
      <c r="B443" s="12">
        <v>42353</v>
      </c>
      <c r="C443" s="12">
        <v>42353</v>
      </c>
      <c r="D443" s="6">
        <v>0.36458333333333331</v>
      </c>
      <c r="E443" s="6">
        <v>0.38125000000000003</v>
      </c>
      <c r="F443" s="6">
        <f t="shared" si="12"/>
        <v>1.6666666666666718E-2</v>
      </c>
      <c r="G443" s="3">
        <f t="shared" si="13"/>
        <v>1.3888888888889395E-3</v>
      </c>
      <c r="H443" t="s">
        <v>10</v>
      </c>
    </row>
    <row r="444" spans="1:8" x14ac:dyDescent="0.25">
      <c r="A444" s="12">
        <v>42353</v>
      </c>
      <c r="B444" s="12">
        <v>42353</v>
      </c>
      <c r="C444" s="12">
        <v>42353</v>
      </c>
      <c r="D444" s="6">
        <v>0.38472222222222219</v>
      </c>
      <c r="E444" s="6">
        <v>0.39999999999999997</v>
      </c>
      <c r="F444" s="6">
        <f t="shared" si="12"/>
        <v>1.5277777777777779E-2</v>
      </c>
      <c r="G444" s="3">
        <f t="shared" si="13"/>
        <v>6.9444444444444198E-4</v>
      </c>
      <c r="H444" t="s">
        <v>10</v>
      </c>
    </row>
    <row r="445" spans="1:8" x14ac:dyDescent="0.25">
      <c r="A445" s="12">
        <v>42353</v>
      </c>
      <c r="B445" s="12">
        <v>42353</v>
      </c>
      <c r="C445" s="12">
        <v>42353</v>
      </c>
      <c r="D445" s="6">
        <v>0.47291666666666665</v>
      </c>
      <c r="E445" s="6">
        <v>0.48888888888888887</v>
      </c>
      <c r="F445" s="6">
        <f t="shared" ref="F445:F507" si="14">E445-D445</f>
        <v>1.5972222222222221E-2</v>
      </c>
      <c r="G445" s="3">
        <f t="shared" si="13"/>
        <v>6.2499999999999223E-3</v>
      </c>
      <c r="H445" t="s">
        <v>10</v>
      </c>
    </row>
    <row r="446" spans="1:8" x14ac:dyDescent="0.25">
      <c r="A446" s="12">
        <v>42353</v>
      </c>
      <c r="B446" s="12">
        <v>42353</v>
      </c>
      <c r="C446" s="12">
        <v>42353</v>
      </c>
      <c r="D446" s="6">
        <v>0.57500000000000007</v>
      </c>
      <c r="E446" s="6">
        <v>0.59722222222222221</v>
      </c>
      <c r="F446" s="6">
        <f t="shared" si="14"/>
        <v>2.2222222222222143E-2</v>
      </c>
      <c r="G446" s="3">
        <f t="shared" si="13"/>
        <v>6.9444444444444198E-3</v>
      </c>
      <c r="H446" t="s">
        <v>10</v>
      </c>
    </row>
    <row r="447" spans="1:8" x14ac:dyDescent="0.25">
      <c r="A447" s="12">
        <v>42353</v>
      </c>
      <c r="B447" s="12">
        <v>42353</v>
      </c>
      <c r="C447" s="12">
        <v>42353</v>
      </c>
      <c r="D447" s="6">
        <v>0.60763888888888895</v>
      </c>
      <c r="E447" s="6">
        <v>0.62291666666666667</v>
      </c>
      <c r="F447" s="6">
        <f t="shared" si="14"/>
        <v>1.5277777777777724E-2</v>
      </c>
      <c r="G447" s="3">
        <f t="shared" si="13"/>
        <v>4.1666666666667629E-3</v>
      </c>
      <c r="H447" t="s">
        <v>10</v>
      </c>
    </row>
    <row r="448" spans="1:8" x14ac:dyDescent="0.25">
      <c r="A448" s="12">
        <v>42353</v>
      </c>
      <c r="B448" s="12">
        <v>42353</v>
      </c>
      <c r="C448" s="12">
        <v>42353</v>
      </c>
      <c r="D448" s="6">
        <v>0.66249999999999998</v>
      </c>
      <c r="E448" s="6">
        <v>0.68194444444444446</v>
      </c>
      <c r="F448" s="6">
        <f t="shared" si="14"/>
        <v>1.9444444444444486E-2</v>
      </c>
      <c r="G448" s="3">
        <f t="shared" si="13"/>
        <v>2.7777777777776569E-3</v>
      </c>
      <c r="H448" t="s">
        <v>10</v>
      </c>
    </row>
    <row r="449" spans="1:8" x14ac:dyDescent="0.25">
      <c r="A449" s="12">
        <v>42353</v>
      </c>
      <c r="B449" s="12">
        <v>42353</v>
      </c>
      <c r="C449" s="12">
        <v>42353</v>
      </c>
      <c r="D449" s="6">
        <v>0.67499999999999993</v>
      </c>
      <c r="E449" s="6">
        <v>0.69166666666666676</v>
      </c>
      <c r="F449" s="6">
        <f t="shared" si="14"/>
        <v>1.6666666666666829E-2</v>
      </c>
      <c r="G449" s="3">
        <f t="shared" si="13"/>
        <v>1.1102230246251565E-16</v>
      </c>
      <c r="H449" t="s">
        <v>10</v>
      </c>
    </row>
    <row r="450" spans="1:8" x14ac:dyDescent="0.25">
      <c r="A450" s="12">
        <v>42353</v>
      </c>
      <c r="B450" s="12">
        <v>42353</v>
      </c>
      <c r="C450" s="12">
        <v>42353</v>
      </c>
      <c r="D450" s="6">
        <v>0.8520833333333333</v>
      </c>
      <c r="E450" s="6">
        <v>0.86875000000000002</v>
      </c>
      <c r="F450" s="6">
        <f t="shared" si="14"/>
        <v>1.6666666666666718E-2</v>
      </c>
      <c r="G450" s="3">
        <f t="shared" si="13"/>
        <v>2.0833333333333259E-3</v>
      </c>
      <c r="H450" t="s">
        <v>10</v>
      </c>
    </row>
    <row r="451" spans="1:8" x14ac:dyDescent="0.25">
      <c r="A451" s="12">
        <v>42353</v>
      </c>
      <c r="B451" s="12">
        <v>42353</v>
      </c>
      <c r="C451" s="12">
        <v>42353</v>
      </c>
      <c r="D451" s="6">
        <v>0.31527777777777777</v>
      </c>
      <c r="E451" s="6">
        <v>0.33402777777777781</v>
      </c>
      <c r="F451" s="6">
        <f t="shared" si="14"/>
        <v>1.8750000000000044E-2</v>
      </c>
      <c r="G451" s="3">
        <f t="shared" ref="G451:G514" si="15">ABS(F452-F451)</f>
        <v>3.4722222222222099E-3</v>
      </c>
      <c r="H451" t="s">
        <v>10</v>
      </c>
    </row>
    <row r="452" spans="1:8" x14ac:dyDescent="0.25">
      <c r="A452" s="12">
        <v>42353</v>
      </c>
      <c r="B452" s="12">
        <v>42353</v>
      </c>
      <c r="C452" s="12">
        <v>42353</v>
      </c>
      <c r="D452" s="6">
        <v>0.87083333333333324</v>
      </c>
      <c r="E452" s="6">
        <v>0.88611111111111107</v>
      </c>
      <c r="F452" s="6">
        <f t="shared" si="14"/>
        <v>1.5277777777777835E-2</v>
      </c>
      <c r="G452" s="3">
        <f t="shared" si="15"/>
        <v>4.1666666666665964E-3</v>
      </c>
      <c r="H452" t="s">
        <v>10</v>
      </c>
    </row>
    <row r="453" spans="1:8" x14ac:dyDescent="0.25">
      <c r="A453" s="12">
        <v>42353</v>
      </c>
      <c r="B453" s="12">
        <v>42353</v>
      </c>
      <c r="C453" s="12">
        <v>42353</v>
      </c>
      <c r="D453" s="6">
        <v>0.37916666666666665</v>
      </c>
      <c r="E453" s="6">
        <v>0.39861111111111108</v>
      </c>
      <c r="F453" s="6">
        <f t="shared" si="14"/>
        <v>1.9444444444444431E-2</v>
      </c>
      <c r="G453" s="3">
        <f t="shared" si="15"/>
        <v>1.3888888888888284E-3</v>
      </c>
      <c r="H453" t="s">
        <v>10</v>
      </c>
    </row>
    <row r="454" spans="1:8" x14ac:dyDescent="0.25">
      <c r="A454" s="12">
        <v>42353</v>
      </c>
      <c r="B454" s="12">
        <v>42353</v>
      </c>
      <c r="C454" s="12">
        <v>42353</v>
      </c>
      <c r="D454" s="6">
        <v>0.5444444444444444</v>
      </c>
      <c r="E454" s="6">
        <v>0.5625</v>
      </c>
      <c r="F454" s="6">
        <f t="shared" si="14"/>
        <v>1.8055555555555602E-2</v>
      </c>
      <c r="G454" s="3">
        <f t="shared" si="15"/>
        <v>6.94444444444553E-4</v>
      </c>
      <c r="H454" t="s">
        <v>10</v>
      </c>
    </row>
    <row r="455" spans="1:8" x14ac:dyDescent="0.25">
      <c r="A455" s="12">
        <v>42353</v>
      </c>
      <c r="B455" s="12">
        <v>42353</v>
      </c>
      <c r="C455" s="12">
        <v>42353</v>
      </c>
      <c r="D455" s="6">
        <v>0.80625000000000002</v>
      </c>
      <c r="E455" s="6">
        <v>0.82361111111111107</v>
      </c>
      <c r="F455" s="6">
        <f t="shared" si="14"/>
        <v>1.7361111111111049E-2</v>
      </c>
      <c r="G455" s="3">
        <f t="shared" si="15"/>
        <v>2.0833333333333259E-3</v>
      </c>
      <c r="H455" t="s">
        <v>10</v>
      </c>
    </row>
    <row r="456" spans="1:8" x14ac:dyDescent="0.25">
      <c r="A456" s="12">
        <v>42353</v>
      </c>
      <c r="B456" s="12">
        <v>42353</v>
      </c>
      <c r="C456" s="12">
        <v>42353</v>
      </c>
      <c r="D456" s="6">
        <v>1.0173611111111112</v>
      </c>
      <c r="E456" s="6">
        <v>1.0368055555555555</v>
      </c>
      <c r="F456" s="6">
        <f t="shared" si="14"/>
        <v>1.9444444444444375E-2</v>
      </c>
      <c r="G456" s="3">
        <f t="shared" si="15"/>
        <v>4.1666666666665964E-3</v>
      </c>
      <c r="H456" t="s">
        <v>10</v>
      </c>
    </row>
    <row r="457" spans="1:8" x14ac:dyDescent="0.25">
      <c r="A457" s="12">
        <v>42353</v>
      </c>
      <c r="B457" s="12">
        <v>42353</v>
      </c>
      <c r="C457" s="12">
        <v>42353</v>
      </c>
      <c r="D457" s="6">
        <v>0.31319444444444444</v>
      </c>
      <c r="E457" s="6">
        <v>0.32847222222222222</v>
      </c>
      <c r="F457" s="6">
        <f t="shared" si="14"/>
        <v>1.5277777777777779E-2</v>
      </c>
      <c r="G457" s="3">
        <f t="shared" si="15"/>
        <v>0</v>
      </c>
      <c r="H457" t="s">
        <v>10</v>
      </c>
    </row>
    <row r="458" spans="1:8" x14ac:dyDescent="0.25">
      <c r="A458" s="12">
        <v>42353</v>
      </c>
      <c r="B458" s="12">
        <v>42353</v>
      </c>
      <c r="C458" s="12">
        <v>42353</v>
      </c>
      <c r="D458" s="6">
        <v>0.3215277777777778</v>
      </c>
      <c r="E458" s="6">
        <v>0.33680555555555558</v>
      </c>
      <c r="F458" s="6">
        <f t="shared" si="14"/>
        <v>1.5277777777777779E-2</v>
      </c>
      <c r="G458" s="3">
        <f t="shared" si="15"/>
        <v>2.2916666666666641E-2</v>
      </c>
      <c r="H458" t="s">
        <v>10</v>
      </c>
    </row>
    <row r="459" spans="1:8" x14ac:dyDescent="0.25">
      <c r="A459" s="12">
        <v>42353</v>
      </c>
      <c r="B459" s="12">
        <v>42353</v>
      </c>
      <c r="C459" s="12">
        <v>42353</v>
      </c>
      <c r="D459" s="6">
        <v>0.3666666666666667</v>
      </c>
      <c r="E459" s="6">
        <v>0.40486111111111112</v>
      </c>
      <c r="F459" s="6">
        <f t="shared" si="14"/>
        <v>3.819444444444442E-2</v>
      </c>
      <c r="G459" s="3">
        <f t="shared" si="15"/>
        <v>1.6666666666666607E-2</v>
      </c>
      <c r="H459" t="s">
        <v>10</v>
      </c>
    </row>
    <row r="460" spans="1:8" x14ac:dyDescent="0.25">
      <c r="A460" s="12">
        <v>42353</v>
      </c>
      <c r="B460" s="12">
        <v>42353</v>
      </c>
      <c r="C460" s="12">
        <v>42353</v>
      </c>
      <c r="D460" s="6">
        <v>0.46388888888888885</v>
      </c>
      <c r="E460" s="6">
        <v>0.48541666666666666</v>
      </c>
      <c r="F460" s="6">
        <f t="shared" si="14"/>
        <v>2.1527777777777812E-2</v>
      </c>
      <c r="G460" s="3">
        <f t="shared" si="15"/>
        <v>5.5555555555555358E-3</v>
      </c>
      <c r="H460" t="s">
        <v>10</v>
      </c>
    </row>
    <row r="461" spans="1:8" x14ac:dyDescent="0.25">
      <c r="A461" s="12">
        <v>42353</v>
      </c>
      <c r="B461" s="12">
        <v>42353</v>
      </c>
      <c r="C461" s="12">
        <v>42353</v>
      </c>
      <c r="D461" s="6">
        <v>0.50763888888888886</v>
      </c>
      <c r="E461" s="6">
        <v>0.52361111111111114</v>
      </c>
      <c r="F461" s="6">
        <f t="shared" si="14"/>
        <v>1.5972222222222276E-2</v>
      </c>
      <c r="G461" s="3">
        <f t="shared" si="15"/>
        <v>1.9444444444444375E-2</v>
      </c>
      <c r="H461" t="s">
        <v>10</v>
      </c>
    </row>
    <row r="462" spans="1:8" x14ac:dyDescent="0.25">
      <c r="A462" s="12">
        <v>42353</v>
      </c>
      <c r="B462" s="12">
        <v>42353</v>
      </c>
      <c r="C462" s="12">
        <v>42353</v>
      </c>
      <c r="D462" s="6">
        <v>0.66111111111111109</v>
      </c>
      <c r="E462" s="6">
        <v>0.69652777777777775</v>
      </c>
      <c r="F462" s="6">
        <f t="shared" si="14"/>
        <v>3.5416666666666652E-2</v>
      </c>
      <c r="G462" s="3">
        <f t="shared" si="15"/>
        <v>2.2916666666666585E-2</v>
      </c>
      <c r="H462" t="s">
        <v>10</v>
      </c>
    </row>
    <row r="463" spans="1:8" x14ac:dyDescent="0.25">
      <c r="A463" s="12">
        <v>42353</v>
      </c>
      <c r="B463" s="12">
        <v>42353</v>
      </c>
      <c r="C463" s="12">
        <v>42353</v>
      </c>
      <c r="D463" s="6">
        <v>0.81805555555555554</v>
      </c>
      <c r="E463" s="6">
        <v>0.8305555555555556</v>
      </c>
      <c r="F463" s="6">
        <f t="shared" si="14"/>
        <v>1.2500000000000067E-2</v>
      </c>
      <c r="G463" s="3">
        <f t="shared" si="15"/>
        <v>2.7777777777776569E-3</v>
      </c>
      <c r="H463" t="s">
        <v>10</v>
      </c>
    </row>
    <row r="464" spans="1:8" x14ac:dyDescent="0.25">
      <c r="A464" s="12">
        <v>42353</v>
      </c>
      <c r="B464" s="12">
        <v>42353</v>
      </c>
      <c r="C464" s="12">
        <v>42353</v>
      </c>
      <c r="D464" s="6">
        <v>0.87847222222222221</v>
      </c>
      <c r="E464" s="6">
        <v>0.89374999999999993</v>
      </c>
      <c r="F464" s="6">
        <f t="shared" si="14"/>
        <v>1.5277777777777724E-2</v>
      </c>
      <c r="G464" s="3">
        <f t="shared" si="15"/>
        <v>5.5555555555555913E-3</v>
      </c>
      <c r="H464" t="s">
        <v>10</v>
      </c>
    </row>
    <row r="465" spans="1:8" x14ac:dyDescent="0.25">
      <c r="A465" s="12">
        <v>42353</v>
      </c>
      <c r="B465" s="12">
        <v>42353</v>
      </c>
      <c r="C465" s="12">
        <v>42353</v>
      </c>
      <c r="D465" s="6">
        <v>0.4291666666666667</v>
      </c>
      <c r="E465" s="6">
        <v>0.45</v>
      </c>
      <c r="F465" s="6">
        <f t="shared" si="14"/>
        <v>2.0833333333333315E-2</v>
      </c>
      <c r="G465" s="3">
        <f t="shared" si="15"/>
        <v>2.0833333333333814E-3</v>
      </c>
      <c r="H465" t="s">
        <v>10</v>
      </c>
    </row>
    <row r="466" spans="1:8" x14ac:dyDescent="0.25">
      <c r="A466" s="12">
        <v>42353</v>
      </c>
      <c r="B466" s="12">
        <v>42353</v>
      </c>
      <c r="C466" s="12">
        <v>42353</v>
      </c>
      <c r="D466" s="6">
        <v>0.96805555555555556</v>
      </c>
      <c r="E466" s="6">
        <v>0.99097222222222225</v>
      </c>
      <c r="F466" s="6">
        <f t="shared" si="14"/>
        <v>2.2916666666666696E-2</v>
      </c>
      <c r="G466" s="3">
        <f t="shared" si="15"/>
        <v>4.8611111111110938E-3</v>
      </c>
      <c r="H466" t="s">
        <v>10</v>
      </c>
    </row>
    <row r="467" spans="1:8" x14ac:dyDescent="0.25">
      <c r="A467" s="12">
        <v>42353</v>
      </c>
      <c r="B467" s="12">
        <v>42353</v>
      </c>
      <c r="C467" s="12">
        <v>42353</v>
      </c>
      <c r="D467" s="6">
        <v>0.94027777777777777</v>
      </c>
      <c r="E467" s="6">
        <v>0.95833333333333337</v>
      </c>
      <c r="F467" s="6">
        <f t="shared" si="14"/>
        <v>1.8055555555555602E-2</v>
      </c>
      <c r="G467" s="3">
        <f t="shared" si="15"/>
        <v>6.9444444444466402E-4</v>
      </c>
      <c r="H467" t="s">
        <v>10</v>
      </c>
    </row>
    <row r="468" spans="1:8" x14ac:dyDescent="0.25">
      <c r="A468" s="12">
        <v>42353</v>
      </c>
      <c r="B468" s="12">
        <v>42353</v>
      </c>
      <c r="C468" s="12">
        <v>42353</v>
      </c>
      <c r="D468" s="6">
        <v>0.94166666666666676</v>
      </c>
      <c r="E468" s="6">
        <v>0.9590277777777777</v>
      </c>
      <c r="F468" s="6">
        <f t="shared" si="14"/>
        <v>1.7361111111110938E-2</v>
      </c>
      <c r="G468" s="3">
        <f t="shared" si="15"/>
        <v>6.9444444444466402E-4</v>
      </c>
      <c r="H468" t="s">
        <v>10</v>
      </c>
    </row>
    <row r="469" spans="1:8" x14ac:dyDescent="0.25">
      <c r="A469" s="12">
        <v>42353</v>
      </c>
      <c r="B469" s="12">
        <v>42353</v>
      </c>
      <c r="C469" s="12">
        <v>42353</v>
      </c>
      <c r="D469" s="6">
        <v>0.40277777777777773</v>
      </c>
      <c r="E469" s="6">
        <v>0.42083333333333334</v>
      </c>
      <c r="F469" s="6">
        <f t="shared" si="14"/>
        <v>1.8055555555555602E-2</v>
      </c>
      <c r="G469" s="3">
        <f t="shared" si="15"/>
        <v>4.1666666666665964E-3</v>
      </c>
      <c r="H469" t="s">
        <v>10</v>
      </c>
    </row>
    <row r="470" spans="1:8" x14ac:dyDescent="0.25">
      <c r="A470" s="12">
        <v>42353</v>
      </c>
      <c r="B470" s="12">
        <v>42353</v>
      </c>
      <c r="C470" s="12">
        <v>42353</v>
      </c>
      <c r="D470" s="6">
        <v>0.41805555555555557</v>
      </c>
      <c r="E470" s="6">
        <v>0.44027777777777777</v>
      </c>
      <c r="F470" s="6">
        <f t="shared" si="14"/>
        <v>2.2222222222222199E-2</v>
      </c>
      <c r="G470" s="3">
        <f t="shared" si="15"/>
        <v>6.9444444444444198E-3</v>
      </c>
      <c r="H470" t="s">
        <v>10</v>
      </c>
    </row>
    <row r="471" spans="1:8" x14ac:dyDescent="0.25">
      <c r="A471" s="12">
        <v>42353</v>
      </c>
      <c r="B471" s="12">
        <v>42353</v>
      </c>
      <c r="C471" s="12">
        <v>42353</v>
      </c>
      <c r="D471" s="6">
        <v>0.47638888888888892</v>
      </c>
      <c r="E471" s="6">
        <v>0.50555555555555554</v>
      </c>
      <c r="F471" s="6">
        <f t="shared" si="14"/>
        <v>2.9166666666666619E-2</v>
      </c>
      <c r="G471" s="3">
        <f t="shared" si="15"/>
        <v>5.5511151231257827E-17</v>
      </c>
      <c r="H471" t="s">
        <v>10</v>
      </c>
    </row>
    <row r="472" spans="1:8" x14ac:dyDescent="0.25">
      <c r="A472" s="12">
        <v>42353</v>
      </c>
      <c r="B472" s="12">
        <v>42353</v>
      </c>
      <c r="C472" s="12">
        <v>42353</v>
      </c>
      <c r="D472" s="6">
        <v>0.67499999999999993</v>
      </c>
      <c r="E472" s="6">
        <v>0.70416666666666661</v>
      </c>
      <c r="F472" s="6">
        <f t="shared" si="14"/>
        <v>2.9166666666666674E-2</v>
      </c>
      <c r="G472" s="3">
        <f t="shared" si="15"/>
        <v>1.1805555555555514E-2</v>
      </c>
      <c r="H472" t="s">
        <v>10</v>
      </c>
    </row>
    <row r="473" spans="1:8" x14ac:dyDescent="0.25">
      <c r="A473" s="12">
        <v>42353</v>
      </c>
      <c r="B473" s="12">
        <v>42353</v>
      </c>
      <c r="C473" s="12">
        <v>42353</v>
      </c>
      <c r="D473" s="6">
        <v>0.70277777777777783</v>
      </c>
      <c r="E473" s="6">
        <v>0.72013888888888899</v>
      </c>
      <c r="F473" s="6">
        <f t="shared" si="14"/>
        <v>1.736111111111116E-2</v>
      </c>
      <c r="G473" s="3">
        <f t="shared" si="15"/>
        <v>6.9444444444444198E-4</v>
      </c>
      <c r="H473" t="s">
        <v>10</v>
      </c>
    </row>
    <row r="474" spans="1:8" x14ac:dyDescent="0.25">
      <c r="A474" s="12">
        <v>42353</v>
      </c>
      <c r="B474" s="12">
        <v>42353</v>
      </c>
      <c r="C474" s="12">
        <v>42353</v>
      </c>
      <c r="D474" s="6">
        <v>0.73611111111111116</v>
      </c>
      <c r="E474" s="6">
        <v>0.75416666666666676</v>
      </c>
      <c r="F474" s="6">
        <f t="shared" si="14"/>
        <v>1.8055555555555602E-2</v>
      </c>
      <c r="G474" s="3">
        <f t="shared" si="15"/>
        <v>2.0833333333332149E-3</v>
      </c>
      <c r="H474" t="s">
        <v>10</v>
      </c>
    </row>
    <row r="475" spans="1:8" x14ac:dyDescent="0.25">
      <c r="A475" s="12">
        <v>42353</v>
      </c>
      <c r="B475" s="12">
        <v>42353</v>
      </c>
      <c r="C475" s="12">
        <v>42353</v>
      </c>
      <c r="D475" s="6">
        <v>0.76944444444444438</v>
      </c>
      <c r="E475" s="6">
        <v>0.78541666666666676</v>
      </c>
      <c r="F475" s="6">
        <f t="shared" si="14"/>
        <v>1.5972222222222388E-2</v>
      </c>
      <c r="G475" s="3">
        <f t="shared" si="15"/>
        <v>1.1102230246251565E-16</v>
      </c>
      <c r="H475" t="s">
        <v>10</v>
      </c>
    </row>
    <row r="476" spans="1:8" x14ac:dyDescent="0.25">
      <c r="A476" s="12">
        <v>42353</v>
      </c>
      <c r="B476" s="12">
        <v>42353</v>
      </c>
      <c r="C476" s="12">
        <v>42353</v>
      </c>
      <c r="D476" s="6">
        <v>0.43541666666666662</v>
      </c>
      <c r="E476" s="6">
        <v>0.4513888888888889</v>
      </c>
      <c r="F476" s="6">
        <f t="shared" si="14"/>
        <v>1.5972222222222276E-2</v>
      </c>
      <c r="G476" s="3">
        <f t="shared" si="15"/>
        <v>2.7777777777776569E-3</v>
      </c>
      <c r="H476" t="s">
        <v>10</v>
      </c>
    </row>
    <row r="477" spans="1:8" x14ac:dyDescent="0.25">
      <c r="A477" s="12">
        <v>42353</v>
      </c>
      <c r="B477" s="12">
        <v>42353</v>
      </c>
      <c r="C477" s="12">
        <v>42353</v>
      </c>
      <c r="D477" s="6">
        <v>0.6972222222222223</v>
      </c>
      <c r="E477" s="6">
        <v>0.71597222222222223</v>
      </c>
      <c r="F477" s="6">
        <f t="shared" si="14"/>
        <v>1.8749999999999933E-2</v>
      </c>
      <c r="G477" s="3">
        <f t="shared" si="15"/>
        <v>6.9388939039072284E-17</v>
      </c>
      <c r="H477" t="s">
        <v>10</v>
      </c>
    </row>
    <row r="478" spans="1:8" x14ac:dyDescent="0.25">
      <c r="A478" s="12">
        <v>42353</v>
      </c>
      <c r="B478" s="12">
        <v>42353</v>
      </c>
      <c r="C478" s="12">
        <v>42353</v>
      </c>
      <c r="D478" s="6">
        <v>0.11458333333333333</v>
      </c>
      <c r="E478" s="6">
        <v>0.13333333333333333</v>
      </c>
      <c r="F478" s="6">
        <f t="shared" si="14"/>
        <v>1.8750000000000003E-2</v>
      </c>
      <c r="G478" s="3">
        <f t="shared" si="15"/>
        <v>6.9388939039072284E-17</v>
      </c>
      <c r="H478" t="s">
        <v>10</v>
      </c>
    </row>
    <row r="479" spans="1:8" x14ac:dyDescent="0.25">
      <c r="A479" s="12">
        <v>42353</v>
      </c>
      <c r="B479" s="12">
        <v>42353</v>
      </c>
      <c r="C479" s="12">
        <v>42353</v>
      </c>
      <c r="D479" s="6">
        <v>0.41388888888888892</v>
      </c>
      <c r="E479" s="6">
        <v>0.43263888888888885</v>
      </c>
      <c r="F479" s="6">
        <f t="shared" si="14"/>
        <v>1.8749999999999933E-2</v>
      </c>
      <c r="G479" s="3">
        <f t="shared" si="15"/>
        <v>1.388888888888995E-3</v>
      </c>
      <c r="H479" t="s">
        <v>10</v>
      </c>
    </row>
    <row r="480" spans="1:8" x14ac:dyDescent="0.25">
      <c r="A480" s="12">
        <v>42353</v>
      </c>
      <c r="B480" s="12">
        <v>42353</v>
      </c>
      <c r="C480" s="12">
        <v>42353</v>
      </c>
      <c r="D480" s="6">
        <v>0.73125000000000007</v>
      </c>
      <c r="E480" s="6">
        <v>0.75138888888888899</v>
      </c>
      <c r="F480" s="6">
        <f t="shared" si="14"/>
        <v>2.0138888888888928E-2</v>
      </c>
      <c r="G480" s="3">
        <f t="shared" si="15"/>
        <v>2.7777777777778789E-3</v>
      </c>
      <c r="H480" t="s">
        <v>10</v>
      </c>
    </row>
    <row r="481" spans="1:8" x14ac:dyDescent="0.25">
      <c r="A481" s="12">
        <v>42353</v>
      </c>
      <c r="B481" s="12">
        <v>42353</v>
      </c>
      <c r="C481" s="12">
        <v>42353</v>
      </c>
      <c r="D481" s="6">
        <v>0.80625000000000002</v>
      </c>
      <c r="E481" s="6">
        <v>0.82361111111111107</v>
      </c>
      <c r="F481" s="6">
        <f t="shared" si="14"/>
        <v>1.7361111111111049E-2</v>
      </c>
      <c r="G481" s="3">
        <f t="shared" si="15"/>
        <v>6.9444444444421993E-4</v>
      </c>
      <c r="H481" t="s">
        <v>10</v>
      </c>
    </row>
    <row r="482" spans="1:8" x14ac:dyDescent="0.25">
      <c r="A482" s="12">
        <v>42353</v>
      </c>
      <c r="B482" s="12">
        <v>42353</v>
      </c>
      <c r="C482" s="12">
        <v>42353</v>
      </c>
      <c r="D482" s="6">
        <v>0.80555555555555547</v>
      </c>
      <c r="E482" s="6">
        <v>0.8222222222222223</v>
      </c>
      <c r="F482" s="6">
        <f t="shared" si="14"/>
        <v>1.6666666666666829E-2</v>
      </c>
      <c r="G482" s="3">
        <f t="shared" si="15"/>
        <v>6.9444444444433095E-4</v>
      </c>
      <c r="H482" t="s">
        <v>10</v>
      </c>
    </row>
    <row r="483" spans="1:8" x14ac:dyDescent="0.25">
      <c r="A483" s="12">
        <v>42353</v>
      </c>
      <c r="B483" s="12">
        <v>42353</v>
      </c>
      <c r="C483" s="12">
        <v>42353</v>
      </c>
      <c r="D483" s="6">
        <v>0.82152777777777775</v>
      </c>
      <c r="E483" s="6">
        <v>0.83888888888888891</v>
      </c>
      <c r="F483" s="6">
        <f t="shared" si="14"/>
        <v>1.736111111111116E-2</v>
      </c>
      <c r="G483" s="3">
        <f t="shared" si="15"/>
        <v>2.7777777777778789E-3</v>
      </c>
      <c r="H483" t="s">
        <v>10</v>
      </c>
    </row>
    <row r="484" spans="1:8" x14ac:dyDescent="0.25">
      <c r="A484" s="12">
        <v>42353</v>
      </c>
      <c r="B484" s="12">
        <v>42353</v>
      </c>
      <c r="C484" s="12">
        <v>42353</v>
      </c>
      <c r="D484" s="6">
        <v>0.9604166666666667</v>
      </c>
      <c r="E484" s="6">
        <v>0.97499999999999998</v>
      </c>
      <c r="F484" s="6">
        <f t="shared" si="14"/>
        <v>1.4583333333333282E-2</v>
      </c>
      <c r="G484" s="3">
        <f t="shared" si="15"/>
        <v>4.163336342344337E-17</v>
      </c>
      <c r="H484" t="s">
        <v>10</v>
      </c>
    </row>
    <row r="485" spans="1:8" x14ac:dyDescent="0.25">
      <c r="A485" s="12">
        <v>42353</v>
      </c>
      <c r="B485" s="12">
        <v>42353</v>
      </c>
      <c r="C485" s="12">
        <v>42353</v>
      </c>
      <c r="D485" s="6">
        <v>6.1111111111111116E-2</v>
      </c>
      <c r="E485" s="6">
        <v>7.5694444444444439E-2</v>
      </c>
      <c r="F485" s="6">
        <f t="shared" si="14"/>
        <v>1.4583333333333323E-2</v>
      </c>
      <c r="G485" s="3">
        <f t="shared" si="15"/>
        <v>6.9444444444445586E-4</v>
      </c>
      <c r="H485" t="s">
        <v>10</v>
      </c>
    </row>
    <row r="486" spans="1:8" x14ac:dyDescent="0.25">
      <c r="A486" s="12">
        <v>42353</v>
      </c>
      <c r="B486" s="12">
        <v>42353</v>
      </c>
      <c r="C486" s="12">
        <v>42353</v>
      </c>
      <c r="D486" s="6">
        <v>0.34791666666666665</v>
      </c>
      <c r="E486" s="6">
        <v>0.36319444444444443</v>
      </c>
      <c r="F486" s="6">
        <f t="shared" si="14"/>
        <v>1.5277777777777779E-2</v>
      </c>
      <c r="G486" s="3">
        <f t="shared" si="15"/>
        <v>8.3333333333333592E-3</v>
      </c>
      <c r="H486" t="s">
        <v>10</v>
      </c>
    </row>
    <row r="487" spans="1:8" x14ac:dyDescent="0.25">
      <c r="A487" s="12">
        <v>42353</v>
      </c>
      <c r="B487" s="12">
        <v>42353</v>
      </c>
      <c r="C487" s="12">
        <v>42353</v>
      </c>
      <c r="D487" s="6">
        <v>0.4597222222222222</v>
      </c>
      <c r="E487" s="6">
        <v>0.48333333333333334</v>
      </c>
      <c r="F487" s="6">
        <f t="shared" si="14"/>
        <v>2.3611111111111138E-2</v>
      </c>
      <c r="G487" s="3">
        <f t="shared" si="15"/>
        <v>1.2500000000000067E-2</v>
      </c>
      <c r="H487" t="s">
        <v>10</v>
      </c>
    </row>
    <row r="488" spans="1:8" x14ac:dyDescent="0.25">
      <c r="A488" s="12">
        <v>42353</v>
      </c>
      <c r="B488" s="12">
        <v>42353</v>
      </c>
      <c r="C488" s="12">
        <v>42353</v>
      </c>
      <c r="D488" s="6">
        <v>0.56736111111111109</v>
      </c>
      <c r="E488" s="6">
        <v>0.57847222222222217</v>
      </c>
      <c r="F488" s="6">
        <f t="shared" si="14"/>
        <v>1.1111111111111072E-2</v>
      </c>
      <c r="G488" s="3">
        <f t="shared" si="15"/>
        <v>1.8749999999999933E-2</v>
      </c>
      <c r="H488" t="s">
        <v>10</v>
      </c>
    </row>
    <row r="489" spans="1:8" x14ac:dyDescent="0.25">
      <c r="A489" s="12">
        <v>42353</v>
      </c>
      <c r="B489" s="12">
        <v>42353</v>
      </c>
      <c r="C489" s="12">
        <v>42353</v>
      </c>
      <c r="D489" s="6">
        <v>0.57361111111111118</v>
      </c>
      <c r="E489" s="6">
        <v>0.60347222222222219</v>
      </c>
      <c r="F489" s="6">
        <f t="shared" si="14"/>
        <v>2.9861111111111005E-2</v>
      </c>
      <c r="G489" s="3">
        <f t="shared" si="15"/>
        <v>1.2499999999999845E-2</v>
      </c>
      <c r="H489" t="s">
        <v>10</v>
      </c>
    </row>
    <row r="490" spans="1:8" x14ac:dyDescent="0.25">
      <c r="A490" s="12">
        <v>42353</v>
      </c>
      <c r="B490" s="12">
        <v>42353</v>
      </c>
      <c r="C490" s="12">
        <v>42353</v>
      </c>
      <c r="D490" s="6">
        <v>0.69513888888888886</v>
      </c>
      <c r="E490" s="6">
        <v>0.71250000000000002</v>
      </c>
      <c r="F490" s="6">
        <f t="shared" si="14"/>
        <v>1.736111111111116E-2</v>
      </c>
      <c r="G490" s="3">
        <f t="shared" si="15"/>
        <v>4.8611111111109828E-3</v>
      </c>
      <c r="H490" t="s">
        <v>10</v>
      </c>
    </row>
    <row r="491" spans="1:8" x14ac:dyDescent="0.25">
      <c r="A491" s="12">
        <v>42353</v>
      </c>
      <c r="B491" s="12">
        <v>42353</v>
      </c>
      <c r="C491" s="12">
        <v>42353</v>
      </c>
      <c r="D491" s="6">
        <v>0.74652777777777779</v>
      </c>
      <c r="E491" s="6">
        <v>0.76874999999999993</v>
      </c>
      <c r="F491" s="6">
        <f t="shared" si="14"/>
        <v>2.2222222222222143E-2</v>
      </c>
      <c r="G491" s="3">
        <f t="shared" si="15"/>
        <v>5.5555555555555358E-3</v>
      </c>
      <c r="H491" t="s">
        <v>10</v>
      </c>
    </row>
    <row r="492" spans="1:8" x14ac:dyDescent="0.25">
      <c r="A492" s="12">
        <v>42353</v>
      </c>
      <c r="B492" s="12">
        <v>42353</v>
      </c>
      <c r="C492" s="12">
        <v>42353</v>
      </c>
      <c r="D492" s="6">
        <v>0.78611111111111109</v>
      </c>
      <c r="E492" s="6">
        <v>0.8027777777777777</v>
      </c>
      <c r="F492" s="6">
        <f t="shared" si="14"/>
        <v>1.6666666666666607E-2</v>
      </c>
      <c r="G492" s="3">
        <f t="shared" si="15"/>
        <v>1.3888888888887729E-3</v>
      </c>
      <c r="H492" t="s">
        <v>10</v>
      </c>
    </row>
    <row r="493" spans="1:8" x14ac:dyDescent="0.25">
      <c r="A493" s="12">
        <v>42353</v>
      </c>
      <c r="B493" s="12">
        <v>42353</v>
      </c>
      <c r="C493" s="12">
        <v>42353</v>
      </c>
      <c r="D493" s="6">
        <v>0.87777777777777777</v>
      </c>
      <c r="E493" s="6">
        <v>0.8930555555555556</v>
      </c>
      <c r="F493" s="6">
        <f t="shared" si="14"/>
        <v>1.5277777777777835E-2</v>
      </c>
      <c r="G493" s="3">
        <f t="shared" si="15"/>
        <v>1.7361111111111056E-2</v>
      </c>
      <c r="H493" t="s">
        <v>10</v>
      </c>
    </row>
    <row r="494" spans="1:8" x14ac:dyDescent="0.25">
      <c r="A494" s="12">
        <v>42353</v>
      </c>
      <c r="B494" s="12">
        <v>42353</v>
      </c>
      <c r="C494" s="12">
        <v>42353</v>
      </c>
      <c r="D494" s="6">
        <v>4.5138888888888888E-2</v>
      </c>
      <c r="E494" s="6">
        <v>7.7777777777777779E-2</v>
      </c>
      <c r="F494" s="6">
        <f t="shared" si="14"/>
        <v>3.2638888888888891E-2</v>
      </c>
      <c r="G494" s="3">
        <f t="shared" si="15"/>
        <v>1.319444444444446E-2</v>
      </c>
      <c r="H494" t="s">
        <v>10</v>
      </c>
    </row>
    <row r="495" spans="1:8" x14ac:dyDescent="0.25">
      <c r="A495" s="12">
        <v>42353</v>
      </c>
      <c r="B495" s="12">
        <v>42353</v>
      </c>
      <c r="C495" s="12">
        <v>42353</v>
      </c>
      <c r="D495" s="6">
        <v>0.3666666666666667</v>
      </c>
      <c r="E495" s="6">
        <v>0.38611111111111113</v>
      </c>
      <c r="F495" s="6">
        <f t="shared" si="14"/>
        <v>1.9444444444444431E-2</v>
      </c>
      <c r="G495" s="3">
        <f t="shared" si="15"/>
        <v>4.1666666666666519E-3</v>
      </c>
      <c r="H495" t="s">
        <v>10</v>
      </c>
    </row>
    <row r="496" spans="1:8" x14ac:dyDescent="0.25">
      <c r="A496" s="12">
        <v>42353</v>
      </c>
      <c r="B496" s="12">
        <v>42353</v>
      </c>
      <c r="C496" s="12">
        <v>42353</v>
      </c>
      <c r="D496" s="6">
        <v>0.47500000000000003</v>
      </c>
      <c r="E496" s="6">
        <v>0.49027777777777781</v>
      </c>
      <c r="F496" s="6">
        <f t="shared" si="14"/>
        <v>1.5277777777777779E-2</v>
      </c>
      <c r="G496" s="3">
        <f t="shared" si="15"/>
        <v>3.4722222222221544E-3</v>
      </c>
      <c r="H496" t="s">
        <v>10</v>
      </c>
    </row>
    <row r="497" spans="1:8" x14ac:dyDescent="0.25">
      <c r="A497" s="12">
        <v>42353</v>
      </c>
      <c r="B497" s="12">
        <v>42353</v>
      </c>
      <c r="C497" s="12">
        <v>42353</v>
      </c>
      <c r="D497" s="6">
        <v>0.55347222222222225</v>
      </c>
      <c r="E497" s="6">
        <v>0.57222222222222219</v>
      </c>
      <c r="F497" s="6">
        <f t="shared" si="14"/>
        <v>1.8749999999999933E-2</v>
      </c>
      <c r="G497" s="3">
        <f t="shared" si="15"/>
        <v>2.083333333333437E-3</v>
      </c>
      <c r="H497" t="s">
        <v>10</v>
      </c>
    </row>
    <row r="498" spans="1:8" x14ac:dyDescent="0.25">
      <c r="A498" s="12">
        <v>42353</v>
      </c>
      <c r="B498" s="12">
        <v>42353</v>
      </c>
      <c r="C498" s="12">
        <v>42353</v>
      </c>
      <c r="D498" s="6">
        <v>0.64513888888888882</v>
      </c>
      <c r="E498" s="6">
        <v>0.66597222222222219</v>
      </c>
      <c r="F498" s="6">
        <f t="shared" si="14"/>
        <v>2.083333333333337E-2</v>
      </c>
      <c r="G498" s="3">
        <f t="shared" si="15"/>
        <v>6.9444444444444198E-4</v>
      </c>
      <c r="H498" t="s">
        <v>10</v>
      </c>
    </row>
    <row r="499" spans="1:8" x14ac:dyDescent="0.25">
      <c r="A499" s="12">
        <v>42353</v>
      </c>
      <c r="B499" s="12">
        <v>42353</v>
      </c>
      <c r="C499" s="12">
        <v>42353</v>
      </c>
      <c r="D499" s="6">
        <v>0.62847222222222221</v>
      </c>
      <c r="E499" s="6">
        <v>0.64861111111111114</v>
      </c>
      <c r="F499" s="6">
        <f t="shared" si="14"/>
        <v>2.0138888888888928E-2</v>
      </c>
      <c r="G499" s="3">
        <f t="shared" si="15"/>
        <v>6.9444444444444198E-4</v>
      </c>
      <c r="H499" t="s">
        <v>10</v>
      </c>
    </row>
    <row r="500" spans="1:8" x14ac:dyDescent="0.25">
      <c r="A500" s="12">
        <v>42353</v>
      </c>
      <c r="B500" s="12">
        <v>42353</v>
      </c>
      <c r="C500" s="12">
        <v>42353</v>
      </c>
      <c r="D500" s="6">
        <v>0.87083333333333324</v>
      </c>
      <c r="E500" s="6">
        <v>0.89166666666666661</v>
      </c>
      <c r="F500" s="6">
        <f t="shared" si="14"/>
        <v>2.083333333333337E-2</v>
      </c>
      <c r="G500" s="3">
        <f t="shared" si="15"/>
        <v>5.5555555555556468E-3</v>
      </c>
      <c r="H500" t="s">
        <v>10</v>
      </c>
    </row>
    <row r="501" spans="1:8" x14ac:dyDescent="0.25">
      <c r="A501" s="12">
        <v>42353</v>
      </c>
      <c r="B501" s="12">
        <v>42353</v>
      </c>
      <c r="C501" s="12">
        <v>42353</v>
      </c>
      <c r="D501" s="6">
        <v>0.90694444444444444</v>
      </c>
      <c r="E501" s="6">
        <v>0.92222222222222217</v>
      </c>
      <c r="F501" s="6">
        <f t="shared" si="14"/>
        <v>1.5277777777777724E-2</v>
      </c>
      <c r="G501" s="3">
        <f t="shared" si="15"/>
        <v>6.9444444444433095E-4</v>
      </c>
      <c r="H501" t="s">
        <v>10</v>
      </c>
    </row>
    <row r="502" spans="1:8" x14ac:dyDescent="0.25">
      <c r="A502" s="12">
        <v>42353</v>
      </c>
      <c r="B502" s="12">
        <v>42353</v>
      </c>
      <c r="C502" s="12">
        <v>42353</v>
      </c>
      <c r="D502" s="6">
        <v>1.0263888888888888</v>
      </c>
      <c r="E502" s="6">
        <v>1.0409722222222222</v>
      </c>
      <c r="F502" s="6">
        <f t="shared" si="14"/>
        <v>1.4583333333333393E-2</v>
      </c>
      <c r="G502" s="3">
        <f t="shared" si="15"/>
        <v>2.7777777777777124E-3</v>
      </c>
      <c r="H502" t="s">
        <v>10</v>
      </c>
    </row>
    <row r="503" spans="1:8" x14ac:dyDescent="0.25">
      <c r="A503" s="12">
        <v>42353</v>
      </c>
      <c r="B503" s="12">
        <v>42353</v>
      </c>
      <c r="C503" s="12">
        <v>42353</v>
      </c>
      <c r="D503" s="6">
        <v>0.47013888888888888</v>
      </c>
      <c r="E503" s="6">
        <v>0.48749999999999999</v>
      </c>
      <c r="F503" s="6">
        <f t="shared" si="14"/>
        <v>1.7361111111111105E-2</v>
      </c>
      <c r="G503" s="3">
        <f t="shared" si="15"/>
        <v>2.7777777777777124E-3</v>
      </c>
      <c r="H503" t="s">
        <v>10</v>
      </c>
    </row>
    <row r="504" spans="1:8" x14ac:dyDescent="0.25">
      <c r="A504" s="12">
        <v>42353</v>
      </c>
      <c r="B504" s="12">
        <v>42353</v>
      </c>
      <c r="C504" s="12">
        <v>42353</v>
      </c>
      <c r="D504" s="6">
        <v>0.55208333333333337</v>
      </c>
      <c r="E504" s="6">
        <v>0.57222222222222219</v>
      </c>
      <c r="F504" s="6">
        <f t="shared" si="14"/>
        <v>2.0138888888888817E-2</v>
      </c>
      <c r="G504" s="3">
        <f t="shared" si="15"/>
        <v>2.0833333333333259E-3</v>
      </c>
      <c r="H504" t="s">
        <v>10</v>
      </c>
    </row>
    <row r="505" spans="1:8" x14ac:dyDescent="0.25">
      <c r="A505" s="12">
        <v>42353</v>
      </c>
      <c r="B505" s="12">
        <v>42353</v>
      </c>
      <c r="C505" s="12">
        <v>42353</v>
      </c>
      <c r="D505" s="6">
        <v>0.59027777777777779</v>
      </c>
      <c r="E505" s="6">
        <v>0.60833333333333328</v>
      </c>
      <c r="F505" s="6">
        <f t="shared" si="14"/>
        <v>1.8055555555555491E-2</v>
      </c>
      <c r="G505" s="3">
        <f t="shared" si="15"/>
        <v>1.1102230246251565E-16</v>
      </c>
      <c r="H505" t="s">
        <v>10</v>
      </c>
    </row>
    <row r="506" spans="1:8" x14ac:dyDescent="0.25">
      <c r="A506" s="12">
        <v>42353</v>
      </c>
      <c r="B506" s="12">
        <v>42353</v>
      </c>
      <c r="C506" s="12">
        <v>42353</v>
      </c>
      <c r="D506" s="6">
        <v>0.60277777777777775</v>
      </c>
      <c r="E506" s="6">
        <v>0.62083333333333335</v>
      </c>
      <c r="F506" s="6">
        <f t="shared" si="14"/>
        <v>1.8055555555555602E-2</v>
      </c>
      <c r="G506" s="3">
        <f t="shared" si="15"/>
        <v>5.5555555555555358E-3</v>
      </c>
      <c r="H506" t="s">
        <v>10</v>
      </c>
    </row>
    <row r="507" spans="1:8" x14ac:dyDescent="0.25">
      <c r="A507" s="12">
        <v>42353</v>
      </c>
      <c r="B507" s="12">
        <v>42353</v>
      </c>
      <c r="C507" s="12">
        <v>42353</v>
      </c>
      <c r="D507" s="6">
        <v>0.72916666666666663</v>
      </c>
      <c r="E507" s="6">
        <v>0.7416666666666667</v>
      </c>
      <c r="F507" s="6">
        <f t="shared" si="14"/>
        <v>1.2500000000000067E-2</v>
      </c>
      <c r="G507" s="3">
        <f t="shared" si="15"/>
        <v>1.736111111111116E-2</v>
      </c>
      <c r="H507" t="s">
        <v>10</v>
      </c>
    </row>
    <row r="508" spans="1:8" x14ac:dyDescent="0.25">
      <c r="A508" s="12">
        <v>42353</v>
      </c>
      <c r="B508" s="12">
        <v>42353</v>
      </c>
      <c r="C508" s="12">
        <v>42353</v>
      </c>
      <c r="D508" s="6">
        <v>0.75277777777777777</v>
      </c>
      <c r="E508" s="6">
        <v>0.78263888888888899</v>
      </c>
      <c r="F508" s="6">
        <f t="shared" ref="F508:F570" si="16">E508-D508</f>
        <v>2.9861111111111227E-2</v>
      </c>
      <c r="G508" s="3">
        <f t="shared" si="15"/>
        <v>2.2204460492503131E-16</v>
      </c>
      <c r="H508" t="s">
        <v>10</v>
      </c>
    </row>
    <row r="509" spans="1:8" x14ac:dyDescent="0.25">
      <c r="A509" s="12">
        <v>42353</v>
      </c>
      <c r="B509" s="12">
        <v>42353</v>
      </c>
      <c r="C509" s="12">
        <v>42353</v>
      </c>
      <c r="D509" s="6">
        <v>0.8930555555555556</v>
      </c>
      <c r="E509" s="6">
        <v>0.92291666666666661</v>
      </c>
      <c r="F509" s="6">
        <f t="shared" si="16"/>
        <v>2.9861111111111005E-2</v>
      </c>
      <c r="G509" s="3">
        <f t="shared" si="15"/>
        <v>7.6388888888886397E-3</v>
      </c>
      <c r="H509" t="s">
        <v>10</v>
      </c>
    </row>
    <row r="510" spans="1:8" x14ac:dyDescent="0.25">
      <c r="A510" s="12">
        <v>42353</v>
      </c>
      <c r="B510" s="12">
        <v>42353</v>
      </c>
      <c r="C510" s="12">
        <v>42353</v>
      </c>
      <c r="D510" s="6">
        <v>0.90486111111111101</v>
      </c>
      <c r="E510" s="6">
        <v>0.92708333333333337</v>
      </c>
      <c r="F510" s="6">
        <f t="shared" si="16"/>
        <v>2.2222222222222365E-2</v>
      </c>
      <c r="G510" s="3">
        <f t="shared" si="15"/>
        <v>5.5555555555557579E-3</v>
      </c>
      <c r="H510" t="s">
        <v>10</v>
      </c>
    </row>
    <row r="511" spans="1:8" x14ac:dyDescent="0.25">
      <c r="A511" s="12">
        <v>42353</v>
      </c>
      <c r="B511" s="12">
        <v>42353</v>
      </c>
      <c r="C511" s="12">
        <v>42353</v>
      </c>
      <c r="D511" s="6">
        <v>0.94930555555555562</v>
      </c>
      <c r="E511" s="6">
        <v>0.96597222222222223</v>
      </c>
      <c r="F511" s="6">
        <f t="shared" si="16"/>
        <v>1.6666666666666607E-2</v>
      </c>
      <c r="G511" s="3">
        <f t="shared" si="15"/>
        <v>1.388888888888884E-3</v>
      </c>
      <c r="H511" t="s">
        <v>10</v>
      </c>
    </row>
    <row r="512" spans="1:8" x14ac:dyDescent="0.25">
      <c r="A512" s="12">
        <v>42353</v>
      </c>
      <c r="B512" s="12">
        <v>42353</v>
      </c>
      <c r="C512" s="12">
        <v>42353</v>
      </c>
      <c r="D512" s="6">
        <v>0.25694444444444448</v>
      </c>
      <c r="E512" s="6">
        <v>0.27499999999999997</v>
      </c>
      <c r="F512" s="6">
        <f t="shared" si="16"/>
        <v>1.8055555555555491E-2</v>
      </c>
      <c r="G512" s="3">
        <f t="shared" si="15"/>
        <v>2.7777777777778234E-3</v>
      </c>
      <c r="H512" t="s">
        <v>10</v>
      </c>
    </row>
    <row r="513" spans="1:8" x14ac:dyDescent="0.25">
      <c r="A513" s="12">
        <v>42353</v>
      </c>
      <c r="B513" s="12">
        <v>42353</v>
      </c>
      <c r="C513" s="12">
        <v>42353</v>
      </c>
      <c r="D513" s="6">
        <v>0.4777777777777778</v>
      </c>
      <c r="E513" s="6">
        <v>0.49861111111111112</v>
      </c>
      <c r="F513" s="6">
        <f t="shared" si="16"/>
        <v>2.0833333333333315E-2</v>
      </c>
      <c r="G513" s="3">
        <f t="shared" si="15"/>
        <v>6.2500000000001443E-3</v>
      </c>
      <c r="H513" t="s">
        <v>10</v>
      </c>
    </row>
    <row r="514" spans="1:8" x14ac:dyDescent="0.25">
      <c r="A514" s="12">
        <v>42353</v>
      </c>
      <c r="B514" s="12">
        <v>42353</v>
      </c>
      <c r="C514" s="12">
        <v>42353</v>
      </c>
      <c r="D514" s="6">
        <v>0.8222222222222223</v>
      </c>
      <c r="E514" s="6">
        <v>0.83680555555555547</v>
      </c>
      <c r="F514" s="6">
        <f t="shared" si="16"/>
        <v>1.4583333333333171E-2</v>
      </c>
      <c r="G514" s="3">
        <f t="shared" si="15"/>
        <v>3.4722222222223695E-3</v>
      </c>
      <c r="H514" t="s">
        <v>10</v>
      </c>
    </row>
    <row r="515" spans="1:8" x14ac:dyDescent="0.25">
      <c r="A515" s="12">
        <v>42353</v>
      </c>
      <c r="B515" s="12">
        <v>42353</v>
      </c>
      <c r="C515" s="12">
        <v>42353</v>
      </c>
      <c r="D515" s="6">
        <v>5.0694444444444452E-2</v>
      </c>
      <c r="E515" s="6">
        <v>6.8749999999999992E-2</v>
      </c>
      <c r="F515" s="6">
        <f t="shared" si="16"/>
        <v>1.805555555555554E-2</v>
      </c>
      <c r="G515" s="3">
        <f t="shared" ref="G515:G578" si="17">ABS(F516-F515)</f>
        <v>2.7777777777777887E-3</v>
      </c>
      <c r="H515" t="s">
        <v>10</v>
      </c>
    </row>
    <row r="516" spans="1:8" x14ac:dyDescent="0.25">
      <c r="A516" s="12">
        <v>42353</v>
      </c>
      <c r="B516" s="12">
        <v>42353</v>
      </c>
      <c r="C516" s="12">
        <v>42353</v>
      </c>
      <c r="D516" s="6">
        <v>7.9166666666666663E-2</v>
      </c>
      <c r="E516" s="6">
        <v>9.9999999999999992E-2</v>
      </c>
      <c r="F516" s="6">
        <f t="shared" si="16"/>
        <v>2.0833333333333329E-2</v>
      </c>
      <c r="G516" s="3">
        <f t="shared" si="17"/>
        <v>4.8611111111110522E-3</v>
      </c>
      <c r="H516" t="s">
        <v>10</v>
      </c>
    </row>
    <row r="517" spans="1:8" x14ac:dyDescent="0.25">
      <c r="A517" s="12">
        <v>42353</v>
      </c>
      <c r="B517" s="12">
        <v>42353</v>
      </c>
      <c r="C517" s="12">
        <v>42353</v>
      </c>
      <c r="D517" s="6">
        <v>0.4055555555555555</v>
      </c>
      <c r="E517" s="6">
        <v>0.42152777777777778</v>
      </c>
      <c r="F517" s="6">
        <f t="shared" si="16"/>
        <v>1.5972222222222276E-2</v>
      </c>
      <c r="G517" s="3">
        <f t="shared" si="17"/>
        <v>3.4722222222223209E-3</v>
      </c>
      <c r="H517" t="s">
        <v>10</v>
      </c>
    </row>
    <row r="518" spans="1:8" x14ac:dyDescent="0.25">
      <c r="A518" s="12">
        <v>42353</v>
      </c>
      <c r="B518" s="12">
        <v>42353</v>
      </c>
      <c r="C518" s="12">
        <v>42353</v>
      </c>
      <c r="D518" s="6">
        <v>0.71388888888888891</v>
      </c>
      <c r="E518" s="6">
        <v>0.72638888888888886</v>
      </c>
      <c r="F518" s="6">
        <f t="shared" si="16"/>
        <v>1.2499999999999956E-2</v>
      </c>
      <c r="G518" s="3">
        <f t="shared" si="17"/>
        <v>3.4722222222222099E-3</v>
      </c>
      <c r="H518" t="s">
        <v>10</v>
      </c>
    </row>
    <row r="519" spans="1:8" x14ac:dyDescent="0.25">
      <c r="A519" s="12">
        <v>42353</v>
      </c>
      <c r="B519" s="12">
        <v>42353</v>
      </c>
      <c r="C519" s="12">
        <v>42353</v>
      </c>
      <c r="D519" s="6">
        <v>0.84166666666666667</v>
      </c>
      <c r="E519" s="6">
        <v>0.85763888888888884</v>
      </c>
      <c r="F519" s="6">
        <f t="shared" si="16"/>
        <v>1.5972222222222165E-2</v>
      </c>
      <c r="G519" s="3">
        <f t="shared" si="17"/>
        <v>6.9444444444444198E-4</v>
      </c>
      <c r="H519" t="s">
        <v>10</v>
      </c>
    </row>
    <row r="520" spans="1:8" x14ac:dyDescent="0.25">
      <c r="A520" s="12">
        <v>42353</v>
      </c>
      <c r="B520" s="12">
        <v>42353</v>
      </c>
      <c r="C520" s="12">
        <v>42353</v>
      </c>
      <c r="D520" s="6">
        <v>0.88541666666666663</v>
      </c>
      <c r="E520" s="6">
        <v>0.90208333333333324</v>
      </c>
      <c r="F520" s="6">
        <f t="shared" si="16"/>
        <v>1.6666666666666607E-2</v>
      </c>
      <c r="G520" s="3">
        <f t="shared" si="17"/>
        <v>1.3888888888887729E-3</v>
      </c>
      <c r="H520" t="s">
        <v>10</v>
      </c>
    </row>
    <row r="521" spans="1:8" x14ac:dyDescent="0.25">
      <c r="A521" s="12">
        <v>42353</v>
      </c>
      <c r="B521" s="12">
        <v>42353</v>
      </c>
      <c r="C521" s="12">
        <v>42353</v>
      </c>
      <c r="D521" s="6">
        <v>0.98958333333333337</v>
      </c>
      <c r="E521" s="6">
        <v>1.0048611111111112</v>
      </c>
      <c r="F521" s="6">
        <f t="shared" si="16"/>
        <v>1.5277777777777835E-2</v>
      </c>
      <c r="G521" s="3">
        <f t="shared" si="17"/>
        <v>6.9444444444433095E-4</v>
      </c>
      <c r="H521" t="s">
        <v>10</v>
      </c>
    </row>
    <row r="522" spans="1:8" x14ac:dyDescent="0.25">
      <c r="A522" s="12">
        <v>42353</v>
      </c>
      <c r="B522" s="12">
        <v>42353</v>
      </c>
      <c r="C522" s="12">
        <v>42353</v>
      </c>
      <c r="D522" s="6">
        <v>0.51527777777777783</v>
      </c>
      <c r="E522" s="6">
        <v>0.53125</v>
      </c>
      <c r="F522" s="6">
        <f t="shared" si="16"/>
        <v>1.5972222222222165E-2</v>
      </c>
      <c r="G522" s="3">
        <f t="shared" si="17"/>
        <v>1.388888888888884E-3</v>
      </c>
      <c r="H522" t="s">
        <v>10</v>
      </c>
    </row>
    <row r="523" spans="1:8" x14ac:dyDescent="0.25">
      <c r="A523" s="12">
        <v>42353</v>
      </c>
      <c r="B523" s="12">
        <v>42353</v>
      </c>
      <c r="C523" s="12">
        <v>42353</v>
      </c>
      <c r="D523" s="6">
        <v>0.99930555555555556</v>
      </c>
      <c r="E523" s="6">
        <v>1.0138888888888888</v>
      </c>
      <c r="F523" s="6">
        <f t="shared" si="16"/>
        <v>1.4583333333333282E-2</v>
      </c>
      <c r="G523" s="3">
        <f t="shared" si="17"/>
        <v>4.8611111111108718E-3</v>
      </c>
      <c r="H523" t="s">
        <v>10</v>
      </c>
    </row>
    <row r="524" spans="1:8" x14ac:dyDescent="0.25">
      <c r="A524" s="12">
        <v>42353</v>
      </c>
      <c r="B524" s="12">
        <v>42353</v>
      </c>
      <c r="C524" s="12">
        <v>42353</v>
      </c>
      <c r="D524" s="6">
        <v>1.0208333333333333</v>
      </c>
      <c r="E524" s="6">
        <v>1.0305555555555557</v>
      </c>
      <c r="F524" s="6">
        <f t="shared" si="16"/>
        <v>9.7222222222224097E-3</v>
      </c>
      <c r="G524" s="3">
        <f t="shared" si="17"/>
        <v>1.3888888888886619E-3</v>
      </c>
      <c r="H524" t="s">
        <v>10</v>
      </c>
    </row>
    <row r="525" spans="1:8" x14ac:dyDescent="0.25">
      <c r="A525" s="12">
        <v>42353</v>
      </c>
      <c r="B525" s="12">
        <v>42353</v>
      </c>
      <c r="C525" s="12">
        <v>42353</v>
      </c>
      <c r="D525" s="6">
        <v>0.43055555555555558</v>
      </c>
      <c r="E525" s="6">
        <v>0.44166666666666665</v>
      </c>
      <c r="F525" s="6">
        <f t="shared" si="16"/>
        <v>1.1111111111111072E-2</v>
      </c>
      <c r="G525" s="3">
        <f t="shared" si="17"/>
        <v>9.7222222222221877E-3</v>
      </c>
      <c r="H525" t="s">
        <v>10</v>
      </c>
    </row>
    <row r="526" spans="1:8" x14ac:dyDescent="0.25">
      <c r="A526" s="12">
        <v>42353</v>
      </c>
      <c r="B526" s="12">
        <v>42353</v>
      </c>
      <c r="C526" s="12">
        <v>42353</v>
      </c>
      <c r="D526" s="6">
        <v>0.55347222222222225</v>
      </c>
      <c r="E526" s="6">
        <v>0.57430555555555551</v>
      </c>
      <c r="F526" s="6">
        <f t="shared" si="16"/>
        <v>2.0833333333333259E-2</v>
      </c>
      <c r="G526" s="3">
        <f t="shared" si="17"/>
        <v>1.388888888888884E-3</v>
      </c>
      <c r="H526" t="s">
        <v>10</v>
      </c>
    </row>
    <row r="527" spans="1:8" x14ac:dyDescent="0.25">
      <c r="A527" s="12">
        <v>42353</v>
      </c>
      <c r="B527" s="12">
        <v>42353</v>
      </c>
      <c r="C527" s="12">
        <v>42353</v>
      </c>
      <c r="D527" s="6">
        <v>0.57500000000000007</v>
      </c>
      <c r="E527" s="6">
        <v>0.59444444444444444</v>
      </c>
      <c r="F527" s="6">
        <f t="shared" si="16"/>
        <v>1.9444444444444375E-2</v>
      </c>
      <c r="G527" s="3">
        <f t="shared" si="17"/>
        <v>2.0833333333332149E-3</v>
      </c>
      <c r="H527" t="s">
        <v>10</v>
      </c>
    </row>
    <row r="528" spans="1:8" x14ac:dyDescent="0.25">
      <c r="A528" s="12">
        <v>42353</v>
      </c>
      <c r="B528" s="12">
        <v>42353</v>
      </c>
      <c r="C528" s="12">
        <v>42353</v>
      </c>
      <c r="D528" s="6">
        <v>0.61249999999999993</v>
      </c>
      <c r="E528" s="6">
        <v>0.62986111111111109</v>
      </c>
      <c r="F528" s="6">
        <f t="shared" si="16"/>
        <v>1.736111111111116E-2</v>
      </c>
      <c r="G528" s="3">
        <f t="shared" si="17"/>
        <v>8.3333333333333592E-3</v>
      </c>
      <c r="H528" t="s">
        <v>10</v>
      </c>
    </row>
    <row r="529" spans="1:8" x14ac:dyDescent="0.25">
      <c r="A529" s="12">
        <v>42353</v>
      </c>
      <c r="B529" s="12">
        <v>42353</v>
      </c>
      <c r="C529" s="12">
        <v>42353</v>
      </c>
      <c r="D529" s="6">
        <v>0.4993055555555555</v>
      </c>
      <c r="E529" s="6">
        <v>0.52500000000000002</v>
      </c>
      <c r="F529" s="6">
        <f t="shared" si="16"/>
        <v>2.569444444444452E-2</v>
      </c>
      <c r="G529" s="3">
        <f t="shared" si="17"/>
        <v>2.0833333333332704E-3</v>
      </c>
      <c r="H529" t="s">
        <v>10</v>
      </c>
    </row>
    <row r="530" spans="1:8" x14ac:dyDescent="0.25">
      <c r="A530" s="12">
        <v>42353</v>
      </c>
      <c r="B530" s="12">
        <v>42353</v>
      </c>
      <c r="C530" s="12">
        <v>42353</v>
      </c>
      <c r="D530" s="6">
        <v>0.53680555555555554</v>
      </c>
      <c r="E530" s="6">
        <v>0.56458333333333333</v>
      </c>
      <c r="F530" s="6">
        <f t="shared" si="16"/>
        <v>2.777777777777779E-2</v>
      </c>
      <c r="G530" s="3">
        <f t="shared" si="17"/>
        <v>1.1102230246251565E-16</v>
      </c>
      <c r="H530" t="s">
        <v>10</v>
      </c>
    </row>
    <row r="531" spans="1:8" x14ac:dyDescent="0.25">
      <c r="A531" s="12">
        <v>42353</v>
      </c>
      <c r="B531" s="12">
        <v>42353</v>
      </c>
      <c r="C531" s="12">
        <v>42353</v>
      </c>
      <c r="D531" s="6">
        <v>0.54791666666666672</v>
      </c>
      <c r="E531" s="6">
        <v>0.5756944444444444</v>
      </c>
      <c r="F531" s="6">
        <f t="shared" si="16"/>
        <v>2.7777777777777679E-2</v>
      </c>
      <c r="G531" s="3">
        <f t="shared" si="17"/>
        <v>1.1111111111111072E-2</v>
      </c>
      <c r="H531" t="s">
        <v>10</v>
      </c>
    </row>
    <row r="532" spans="1:8" x14ac:dyDescent="0.25">
      <c r="A532" s="12">
        <v>42353</v>
      </c>
      <c r="B532" s="12">
        <v>42353</v>
      </c>
      <c r="C532" s="12">
        <v>42353</v>
      </c>
      <c r="D532" s="6">
        <v>0.83472222222222225</v>
      </c>
      <c r="E532" s="6">
        <v>0.85138888888888886</v>
      </c>
      <c r="F532" s="6">
        <f t="shared" si="16"/>
        <v>1.6666666666666607E-2</v>
      </c>
      <c r="G532" s="3">
        <f t="shared" si="17"/>
        <v>1.3888888888887729E-3</v>
      </c>
      <c r="H532" t="s">
        <v>10</v>
      </c>
    </row>
    <row r="533" spans="1:8" x14ac:dyDescent="0.25">
      <c r="A533" s="12">
        <v>42353</v>
      </c>
      <c r="B533" s="12">
        <v>42353</v>
      </c>
      <c r="C533" s="12">
        <v>42353</v>
      </c>
      <c r="D533" s="6">
        <v>0.94791666666666663</v>
      </c>
      <c r="E533" s="6">
        <v>0.96319444444444446</v>
      </c>
      <c r="F533" s="6">
        <f t="shared" si="16"/>
        <v>1.5277777777777835E-2</v>
      </c>
      <c r="G533" s="3">
        <f t="shared" si="17"/>
        <v>1.388888888888884E-3</v>
      </c>
      <c r="H533" t="s">
        <v>10</v>
      </c>
    </row>
    <row r="534" spans="1:8" x14ac:dyDescent="0.25">
      <c r="A534" s="12">
        <v>42353</v>
      </c>
      <c r="B534" s="12">
        <v>42353</v>
      </c>
      <c r="C534" s="12">
        <v>42353</v>
      </c>
      <c r="D534" s="6">
        <v>0.45277777777777778</v>
      </c>
      <c r="E534" s="6">
        <v>0.4694444444444445</v>
      </c>
      <c r="F534" s="6">
        <f t="shared" si="16"/>
        <v>1.6666666666666718E-2</v>
      </c>
      <c r="G534" s="3">
        <f t="shared" si="17"/>
        <v>3.4722222222220989E-3</v>
      </c>
      <c r="H534" t="s">
        <v>10</v>
      </c>
    </row>
    <row r="535" spans="1:8" x14ac:dyDescent="0.25">
      <c r="A535" s="12">
        <v>42353</v>
      </c>
      <c r="B535" s="12">
        <v>42353</v>
      </c>
      <c r="C535" s="12">
        <v>42353</v>
      </c>
      <c r="D535" s="6">
        <v>0.71805555555555556</v>
      </c>
      <c r="E535" s="6">
        <v>0.73819444444444438</v>
      </c>
      <c r="F535" s="6">
        <f t="shared" si="16"/>
        <v>2.0138888888888817E-2</v>
      </c>
      <c r="G535" s="3">
        <f t="shared" si="17"/>
        <v>5.5555555555556468E-3</v>
      </c>
      <c r="H535" t="s">
        <v>10</v>
      </c>
    </row>
    <row r="536" spans="1:8" x14ac:dyDescent="0.25">
      <c r="A536" s="12">
        <v>42353</v>
      </c>
      <c r="B536" s="12">
        <v>42353</v>
      </c>
      <c r="C536" s="12">
        <v>42353</v>
      </c>
      <c r="D536" s="6">
        <v>0.76250000000000007</v>
      </c>
      <c r="E536" s="6">
        <v>0.77708333333333324</v>
      </c>
      <c r="F536" s="6">
        <f t="shared" si="16"/>
        <v>1.4583333333333171E-2</v>
      </c>
      <c r="G536" s="3">
        <f t="shared" si="17"/>
        <v>6.9444444444466402E-4</v>
      </c>
      <c r="H536" t="s">
        <v>10</v>
      </c>
    </row>
    <row r="537" spans="1:8" x14ac:dyDescent="0.25">
      <c r="A537" s="12">
        <v>42353</v>
      </c>
      <c r="B537" s="12">
        <v>42353</v>
      </c>
      <c r="C537" s="12">
        <v>42353</v>
      </c>
      <c r="D537" s="6">
        <v>0.77430555555555547</v>
      </c>
      <c r="E537" s="6">
        <v>0.7895833333333333</v>
      </c>
      <c r="F537" s="6">
        <f t="shared" si="16"/>
        <v>1.5277777777777835E-2</v>
      </c>
      <c r="G537" s="3">
        <f t="shared" si="17"/>
        <v>1.3888888888887729E-3</v>
      </c>
      <c r="H537" t="s">
        <v>10</v>
      </c>
    </row>
    <row r="538" spans="1:8" x14ac:dyDescent="0.25">
      <c r="A538" s="12">
        <v>42353</v>
      </c>
      <c r="B538" s="12">
        <v>42353</v>
      </c>
      <c r="C538" s="12">
        <v>42353</v>
      </c>
      <c r="D538" s="6">
        <v>0.84375</v>
      </c>
      <c r="E538" s="6">
        <v>0.86041666666666661</v>
      </c>
      <c r="F538" s="6">
        <f t="shared" si="16"/>
        <v>1.6666666666666607E-2</v>
      </c>
      <c r="G538" s="3">
        <f t="shared" si="17"/>
        <v>6.9444444444444198E-4</v>
      </c>
      <c r="H538" t="s">
        <v>10</v>
      </c>
    </row>
    <row r="539" spans="1:8" x14ac:dyDescent="0.25">
      <c r="A539" s="12">
        <v>42353</v>
      </c>
      <c r="B539" s="12">
        <v>42353</v>
      </c>
      <c r="C539" s="12">
        <v>42353</v>
      </c>
      <c r="D539" s="6">
        <v>0.95277777777777783</v>
      </c>
      <c r="E539" s="6">
        <v>0.96875</v>
      </c>
      <c r="F539" s="6">
        <f t="shared" si="16"/>
        <v>1.5972222222222165E-2</v>
      </c>
      <c r="G539" s="3">
        <f t="shared" si="17"/>
        <v>4.8611111111113159E-3</v>
      </c>
      <c r="H539" t="s">
        <v>10</v>
      </c>
    </row>
    <row r="540" spans="1:8" x14ac:dyDescent="0.25">
      <c r="A540" s="12">
        <v>42353</v>
      </c>
      <c r="B540" s="12">
        <v>42353</v>
      </c>
      <c r="C540" s="12">
        <v>42353</v>
      </c>
      <c r="D540" s="6">
        <v>1.0180555555555555</v>
      </c>
      <c r="E540" s="6">
        <v>1.038888888888889</v>
      </c>
      <c r="F540" s="6">
        <f t="shared" si="16"/>
        <v>2.0833333333333481E-2</v>
      </c>
      <c r="G540" s="3">
        <f t="shared" si="17"/>
        <v>5.5555555555557579E-3</v>
      </c>
      <c r="H540" t="s">
        <v>10</v>
      </c>
    </row>
    <row r="541" spans="1:8" x14ac:dyDescent="0.25">
      <c r="A541" s="12">
        <v>42353</v>
      </c>
      <c r="B541" s="12">
        <v>42353</v>
      </c>
      <c r="C541" s="12">
        <v>42353</v>
      </c>
      <c r="D541" s="6">
        <v>0.80486111111111114</v>
      </c>
      <c r="E541" s="6">
        <v>0.82013888888888886</v>
      </c>
      <c r="F541" s="6">
        <f t="shared" si="16"/>
        <v>1.5277777777777724E-2</v>
      </c>
      <c r="G541" s="3">
        <f t="shared" si="17"/>
        <v>1.5277777777777835E-2</v>
      </c>
      <c r="H541" t="s">
        <v>10</v>
      </c>
    </row>
    <row r="542" spans="1:8" x14ac:dyDescent="0.25">
      <c r="A542" s="12">
        <v>42353</v>
      </c>
      <c r="B542" s="12">
        <v>42353</v>
      </c>
      <c r="C542" s="12">
        <v>42353</v>
      </c>
      <c r="D542" s="6">
        <v>0.92013888888888884</v>
      </c>
      <c r="E542" s="6">
        <v>0.9506944444444444</v>
      </c>
      <c r="F542" s="6">
        <f t="shared" si="16"/>
        <v>3.0555555555555558E-2</v>
      </c>
      <c r="G542" s="3">
        <f t="shared" si="17"/>
        <v>1.1111111111111183E-2</v>
      </c>
      <c r="H542" t="s">
        <v>10</v>
      </c>
    </row>
    <row r="543" spans="1:8" x14ac:dyDescent="0.25">
      <c r="A543" s="12">
        <v>42353</v>
      </c>
      <c r="B543" s="12">
        <v>42353</v>
      </c>
      <c r="C543" s="12">
        <v>42353</v>
      </c>
      <c r="D543" s="6">
        <v>0.78541666666666676</v>
      </c>
      <c r="E543" s="6">
        <v>0.80486111111111114</v>
      </c>
      <c r="F543" s="6">
        <f t="shared" si="16"/>
        <v>1.9444444444444375E-2</v>
      </c>
      <c r="G543" s="3">
        <f t="shared" si="17"/>
        <v>6.2499999999998668E-3</v>
      </c>
      <c r="H543" t="s">
        <v>10</v>
      </c>
    </row>
    <row r="544" spans="1:8" x14ac:dyDescent="0.25">
      <c r="A544" s="12">
        <v>42353</v>
      </c>
      <c r="B544" s="12">
        <v>42353</v>
      </c>
      <c r="C544" s="12">
        <v>42353</v>
      </c>
      <c r="D544" s="6">
        <v>0.9277777777777777</v>
      </c>
      <c r="E544" s="6">
        <v>0.94097222222222221</v>
      </c>
      <c r="F544" s="6">
        <f t="shared" si="16"/>
        <v>1.3194444444444509E-2</v>
      </c>
      <c r="G544" s="3">
        <f t="shared" si="17"/>
        <v>1.3888888888887729E-3</v>
      </c>
      <c r="H544" t="s">
        <v>10</v>
      </c>
    </row>
    <row r="545" spans="1:8" x14ac:dyDescent="0.25">
      <c r="A545" s="12">
        <v>42353</v>
      </c>
      <c r="B545" s="12">
        <v>42353</v>
      </c>
      <c r="C545" s="12">
        <v>42353</v>
      </c>
      <c r="D545" s="6">
        <v>0.95972222222222225</v>
      </c>
      <c r="E545" s="6">
        <v>0.97430555555555554</v>
      </c>
      <c r="F545" s="6">
        <f t="shared" si="16"/>
        <v>1.4583333333333282E-2</v>
      </c>
      <c r="G545" s="3">
        <f t="shared" si="17"/>
        <v>2.083333333333437E-3</v>
      </c>
      <c r="H545" t="s">
        <v>10</v>
      </c>
    </row>
    <row r="546" spans="1:8" x14ac:dyDescent="0.25">
      <c r="A546" s="12">
        <v>42353</v>
      </c>
      <c r="B546" s="12">
        <v>42353</v>
      </c>
      <c r="C546" s="12">
        <v>42353</v>
      </c>
      <c r="D546" s="6">
        <v>0.96666666666666667</v>
      </c>
      <c r="E546" s="6">
        <v>0.98333333333333339</v>
      </c>
      <c r="F546" s="6">
        <f t="shared" si="16"/>
        <v>1.6666666666666718E-2</v>
      </c>
      <c r="G546" s="3"/>
      <c r="H546" t="s">
        <v>10</v>
      </c>
    </row>
    <row r="547" spans="1:8" x14ac:dyDescent="0.25">
      <c r="A547" s="12">
        <v>42353</v>
      </c>
      <c r="B547" s="12">
        <v>42353</v>
      </c>
      <c r="C547" s="12">
        <v>42353</v>
      </c>
      <c r="D547" s="6">
        <v>0.52013888888888882</v>
      </c>
      <c r="E547" s="6">
        <v>0.54583333333333328</v>
      </c>
      <c r="F547" s="6">
        <f t="shared" si="16"/>
        <v>2.5694444444444464E-2</v>
      </c>
      <c r="G547" s="3">
        <f t="shared" si="17"/>
        <v>0</v>
      </c>
      <c r="H547" t="s">
        <v>11</v>
      </c>
    </row>
    <row r="548" spans="1:8" x14ac:dyDescent="0.25">
      <c r="A548" s="12">
        <v>42353</v>
      </c>
      <c r="B548" s="12">
        <v>42353</v>
      </c>
      <c r="C548" s="12">
        <v>42353</v>
      </c>
      <c r="D548" s="6">
        <v>0.40625</v>
      </c>
      <c r="E548" s="6">
        <v>0.43194444444444446</v>
      </c>
      <c r="F548" s="6">
        <f t="shared" si="16"/>
        <v>2.5694444444444464E-2</v>
      </c>
      <c r="G548" s="3">
        <f t="shared" si="17"/>
        <v>4.8611111111110938E-3</v>
      </c>
      <c r="H548" t="s">
        <v>11</v>
      </c>
    </row>
    <row r="549" spans="1:8" x14ac:dyDescent="0.25">
      <c r="A549" s="12">
        <v>42353</v>
      </c>
      <c r="B549" s="12">
        <v>42353</v>
      </c>
      <c r="C549" s="12">
        <v>42353</v>
      </c>
      <c r="D549" s="6">
        <v>0.7319444444444444</v>
      </c>
      <c r="E549" s="6">
        <v>0.75277777777777777</v>
      </c>
      <c r="F549" s="6">
        <f t="shared" si="16"/>
        <v>2.083333333333337E-2</v>
      </c>
      <c r="G549" s="3">
        <f t="shared" si="17"/>
        <v>6.9444444444433095E-4</v>
      </c>
      <c r="H549" t="s">
        <v>11</v>
      </c>
    </row>
    <row r="550" spans="1:8" x14ac:dyDescent="0.25">
      <c r="A550" s="12">
        <v>42353</v>
      </c>
      <c r="B550" s="12">
        <v>42353</v>
      </c>
      <c r="C550" s="12">
        <v>42353</v>
      </c>
      <c r="D550" s="6">
        <v>0.76527777777777783</v>
      </c>
      <c r="E550" s="6">
        <v>0.78680555555555554</v>
      </c>
      <c r="F550" s="6">
        <f t="shared" si="16"/>
        <v>2.1527777777777701E-2</v>
      </c>
      <c r="G550" s="3">
        <f t="shared" si="17"/>
        <v>2.083333333333437E-3</v>
      </c>
      <c r="H550" t="s">
        <v>11</v>
      </c>
    </row>
    <row r="551" spans="1:8" x14ac:dyDescent="0.25">
      <c r="A551" s="12">
        <v>42353</v>
      </c>
      <c r="B551" s="12">
        <v>42353</v>
      </c>
      <c r="C551" s="12">
        <v>42353</v>
      </c>
      <c r="D551" s="6">
        <v>0.8666666666666667</v>
      </c>
      <c r="E551" s="6">
        <v>0.89027777777777783</v>
      </c>
      <c r="F551" s="6">
        <f t="shared" si="16"/>
        <v>2.3611111111111138E-2</v>
      </c>
      <c r="G551" s="3">
        <f t="shared" si="17"/>
        <v>1.3888888888888895E-2</v>
      </c>
      <c r="H551" t="s">
        <v>11</v>
      </c>
    </row>
    <row r="552" spans="1:8" x14ac:dyDescent="0.25">
      <c r="A552" s="12">
        <v>42353</v>
      </c>
      <c r="B552" s="12">
        <v>42353</v>
      </c>
      <c r="C552" s="12">
        <v>42353</v>
      </c>
      <c r="D552" s="6">
        <v>0.43194444444444446</v>
      </c>
      <c r="E552" s="6">
        <v>0.4694444444444445</v>
      </c>
      <c r="F552" s="6">
        <f t="shared" si="16"/>
        <v>3.7500000000000033E-2</v>
      </c>
      <c r="G552" s="3">
        <f t="shared" si="17"/>
        <v>1.3888888888888284E-3</v>
      </c>
      <c r="H552" t="s">
        <v>11</v>
      </c>
    </row>
    <row r="553" spans="1:8" x14ac:dyDescent="0.25">
      <c r="A553" s="12">
        <v>42353</v>
      </c>
      <c r="B553" s="12">
        <v>42353</v>
      </c>
      <c r="C553" s="12">
        <v>42353</v>
      </c>
      <c r="D553" s="6">
        <v>0.65555555555555556</v>
      </c>
      <c r="E553" s="6">
        <v>0.69166666666666676</v>
      </c>
      <c r="F553" s="6">
        <f t="shared" si="16"/>
        <v>3.6111111111111205E-2</v>
      </c>
      <c r="G553" s="3">
        <f t="shared" si="17"/>
        <v>1.6666666666666829E-2</v>
      </c>
      <c r="H553" t="s">
        <v>11</v>
      </c>
    </row>
    <row r="554" spans="1:8" x14ac:dyDescent="0.25">
      <c r="A554" s="12">
        <v>42353</v>
      </c>
      <c r="B554" s="12">
        <v>42353</v>
      </c>
      <c r="C554" s="12">
        <v>42353</v>
      </c>
      <c r="D554" s="6">
        <v>0.8666666666666667</v>
      </c>
      <c r="E554" s="6">
        <v>0.88611111111111107</v>
      </c>
      <c r="F554" s="6">
        <f t="shared" si="16"/>
        <v>1.9444444444444375E-2</v>
      </c>
      <c r="G554" s="3">
        <f t="shared" si="17"/>
        <v>1.388888888888995E-3</v>
      </c>
      <c r="H554" t="s">
        <v>11</v>
      </c>
    </row>
    <row r="555" spans="1:8" x14ac:dyDescent="0.25">
      <c r="A555" s="12">
        <v>42353</v>
      </c>
      <c r="B555" s="12">
        <v>42353</v>
      </c>
      <c r="C555" s="12">
        <v>42353</v>
      </c>
      <c r="D555" s="6">
        <v>0.76180555555555562</v>
      </c>
      <c r="E555" s="6">
        <v>0.78263888888888899</v>
      </c>
      <c r="F555" s="6">
        <f t="shared" si="16"/>
        <v>2.083333333333337E-2</v>
      </c>
      <c r="G555" s="3">
        <f t="shared" si="17"/>
        <v>1.388888888888884E-3</v>
      </c>
      <c r="H555" t="s">
        <v>11</v>
      </c>
    </row>
    <row r="556" spans="1:8" x14ac:dyDescent="0.25">
      <c r="A556" s="12">
        <v>42353</v>
      </c>
      <c r="B556" s="12">
        <v>42353</v>
      </c>
      <c r="C556" s="12">
        <v>42353</v>
      </c>
      <c r="D556" s="6">
        <v>0.89166666666666661</v>
      </c>
      <c r="E556" s="6">
        <v>0.91111111111111109</v>
      </c>
      <c r="F556" s="6">
        <f t="shared" si="16"/>
        <v>1.9444444444444486E-2</v>
      </c>
      <c r="G556" s="3">
        <f t="shared" si="17"/>
        <v>2.7777777777777679E-3</v>
      </c>
      <c r="H556" t="s">
        <v>11</v>
      </c>
    </row>
    <row r="557" spans="1:8" x14ac:dyDescent="0.25">
      <c r="A557" s="12">
        <v>42353</v>
      </c>
      <c r="B557" s="12">
        <v>42353</v>
      </c>
      <c r="C557" s="12">
        <v>42353</v>
      </c>
      <c r="D557" s="6">
        <v>0.91736111111111107</v>
      </c>
      <c r="E557" s="6">
        <v>0.93958333333333333</v>
      </c>
      <c r="F557" s="6">
        <f t="shared" si="16"/>
        <v>2.2222222222222254E-2</v>
      </c>
      <c r="G557" s="3">
        <f t="shared" si="17"/>
        <v>3.4722222222222099E-3</v>
      </c>
      <c r="H557" t="s">
        <v>11</v>
      </c>
    </row>
    <row r="558" spans="1:8" x14ac:dyDescent="0.25">
      <c r="A558" s="12">
        <v>42353</v>
      </c>
      <c r="B558" s="12">
        <v>42353</v>
      </c>
      <c r="C558" s="12">
        <v>42353</v>
      </c>
      <c r="D558" s="6">
        <v>0.40625</v>
      </c>
      <c r="E558" s="6">
        <v>0.43194444444444446</v>
      </c>
      <c r="F558" s="6">
        <f t="shared" si="16"/>
        <v>2.5694444444444464E-2</v>
      </c>
      <c r="G558" s="3">
        <f t="shared" si="17"/>
        <v>4.8611111111110938E-3</v>
      </c>
      <c r="H558" t="s">
        <v>11</v>
      </c>
    </row>
    <row r="559" spans="1:8" x14ac:dyDescent="0.25">
      <c r="A559" s="12">
        <v>42353</v>
      </c>
      <c r="B559" s="12">
        <v>42353</v>
      </c>
      <c r="C559" s="12">
        <v>42353</v>
      </c>
      <c r="D559" s="6">
        <v>0.7319444444444444</v>
      </c>
      <c r="E559" s="6">
        <v>0.75277777777777777</v>
      </c>
      <c r="F559" s="6">
        <f t="shared" si="16"/>
        <v>2.083333333333337E-2</v>
      </c>
      <c r="G559" s="3">
        <f t="shared" si="17"/>
        <v>2.7777777777777679E-3</v>
      </c>
      <c r="H559" t="s">
        <v>11</v>
      </c>
    </row>
    <row r="560" spans="1:8" x14ac:dyDescent="0.25">
      <c r="A560" s="12">
        <v>42353</v>
      </c>
      <c r="B560" s="12">
        <v>42353</v>
      </c>
      <c r="C560" s="12">
        <v>42353</v>
      </c>
      <c r="D560" s="6">
        <v>0.8666666666666667</v>
      </c>
      <c r="E560" s="6">
        <v>0.89027777777777783</v>
      </c>
      <c r="F560" s="6">
        <f t="shared" si="16"/>
        <v>2.3611111111111138E-2</v>
      </c>
      <c r="G560" s="3">
        <f t="shared" si="17"/>
        <v>1.3888888888888895E-2</v>
      </c>
      <c r="H560" t="s">
        <v>11</v>
      </c>
    </row>
    <row r="561" spans="1:8" x14ac:dyDescent="0.25">
      <c r="A561" s="12">
        <v>42353</v>
      </c>
      <c r="B561" s="12">
        <v>42353</v>
      </c>
      <c r="C561" s="12">
        <v>42353</v>
      </c>
      <c r="D561" s="6">
        <v>0.43194444444444446</v>
      </c>
      <c r="E561" s="6">
        <v>0.4694444444444445</v>
      </c>
      <c r="F561" s="6">
        <f t="shared" si="16"/>
        <v>3.7500000000000033E-2</v>
      </c>
      <c r="G561" s="3">
        <f t="shared" si="17"/>
        <v>1.4583333333333337E-2</v>
      </c>
      <c r="H561" t="s">
        <v>11</v>
      </c>
    </row>
    <row r="562" spans="1:8" x14ac:dyDescent="0.25">
      <c r="A562" s="12">
        <v>42353</v>
      </c>
      <c r="B562" s="12">
        <v>42353</v>
      </c>
      <c r="C562" s="12">
        <v>42353</v>
      </c>
      <c r="D562" s="6">
        <v>0.72152777777777777</v>
      </c>
      <c r="E562" s="6">
        <v>0.74444444444444446</v>
      </c>
      <c r="F562" s="6">
        <f t="shared" si="16"/>
        <v>2.2916666666666696E-2</v>
      </c>
      <c r="G562" s="3">
        <f t="shared" si="17"/>
        <v>5.5555555555557579E-3</v>
      </c>
      <c r="H562" t="s">
        <v>11</v>
      </c>
    </row>
    <row r="563" spans="1:8" x14ac:dyDescent="0.25">
      <c r="A563" s="12">
        <v>42353</v>
      </c>
      <c r="B563" s="12">
        <v>42353</v>
      </c>
      <c r="C563" s="12">
        <v>42353</v>
      </c>
      <c r="D563" s="6">
        <v>0.91041666666666676</v>
      </c>
      <c r="E563" s="6">
        <v>0.9277777777777777</v>
      </c>
      <c r="F563" s="6">
        <f t="shared" si="16"/>
        <v>1.7361111111110938E-2</v>
      </c>
      <c r="G563" s="3">
        <f t="shared" si="17"/>
        <v>2.9861111111111255E-2</v>
      </c>
      <c r="H563" t="s">
        <v>11</v>
      </c>
    </row>
    <row r="564" spans="1:8" x14ac:dyDescent="0.25">
      <c r="A564" s="12">
        <v>42353</v>
      </c>
      <c r="B564" s="12">
        <v>42353</v>
      </c>
      <c r="C564" s="12">
        <v>42353</v>
      </c>
      <c r="D564" s="6">
        <v>0.22500000000000001</v>
      </c>
      <c r="E564" s="6">
        <v>0.2722222222222222</v>
      </c>
      <c r="F564" s="6">
        <f t="shared" si="16"/>
        <v>4.7222222222222193E-2</v>
      </c>
      <c r="G564" s="3">
        <f t="shared" si="17"/>
        <v>2.1527777777777785E-2</v>
      </c>
      <c r="H564" t="s">
        <v>11</v>
      </c>
    </row>
    <row r="565" spans="1:8" x14ac:dyDescent="0.25">
      <c r="A565" s="12">
        <v>42353</v>
      </c>
      <c r="B565" s="12">
        <v>42353</v>
      </c>
      <c r="C565" s="12">
        <v>42353</v>
      </c>
      <c r="D565" s="6">
        <v>0.4861111111111111</v>
      </c>
      <c r="E565" s="6">
        <v>0.51180555555555551</v>
      </c>
      <c r="F565" s="6">
        <f t="shared" si="16"/>
        <v>2.5694444444444409E-2</v>
      </c>
      <c r="G565" s="3">
        <f t="shared" si="17"/>
        <v>4.1666666666665964E-3</v>
      </c>
      <c r="H565" t="s">
        <v>11</v>
      </c>
    </row>
    <row r="566" spans="1:8" x14ac:dyDescent="0.25">
      <c r="A566" s="12">
        <v>42353</v>
      </c>
      <c r="B566" s="12">
        <v>42353</v>
      </c>
      <c r="C566" s="12">
        <v>42353</v>
      </c>
      <c r="D566" s="6">
        <v>0.59166666666666667</v>
      </c>
      <c r="E566" s="6">
        <v>0.61319444444444449</v>
      </c>
      <c r="F566" s="6">
        <f t="shared" si="16"/>
        <v>2.1527777777777812E-2</v>
      </c>
      <c r="G566" s="3">
        <f t="shared" si="17"/>
        <v>6.9444444444444198E-4</v>
      </c>
      <c r="H566" t="s">
        <v>11</v>
      </c>
    </row>
    <row r="567" spans="1:8" x14ac:dyDescent="0.25">
      <c r="A567" s="12">
        <v>42353</v>
      </c>
      <c r="B567" s="12">
        <v>42353</v>
      </c>
      <c r="C567" s="12">
        <v>42353</v>
      </c>
      <c r="D567" s="6">
        <v>0.63680555555555551</v>
      </c>
      <c r="E567" s="6">
        <v>0.65902777777777777</v>
      </c>
      <c r="F567" s="6">
        <f t="shared" si="16"/>
        <v>2.2222222222222254E-2</v>
      </c>
      <c r="G567" s="3">
        <f t="shared" si="17"/>
        <v>8.3333333333331927E-3</v>
      </c>
      <c r="H567" t="s">
        <v>11</v>
      </c>
    </row>
    <row r="568" spans="1:8" x14ac:dyDescent="0.25">
      <c r="A568" s="12">
        <v>42353</v>
      </c>
      <c r="B568" s="12">
        <v>42353</v>
      </c>
      <c r="C568" s="12">
        <v>42353</v>
      </c>
      <c r="D568" s="6">
        <v>0.86388888888888893</v>
      </c>
      <c r="E568" s="6">
        <v>0.89444444444444438</v>
      </c>
      <c r="F568" s="6">
        <f t="shared" si="16"/>
        <v>3.0555555555555447E-2</v>
      </c>
      <c r="G568" s="3">
        <f t="shared" si="17"/>
        <v>4.8611111111112049E-3</v>
      </c>
      <c r="H568" t="s">
        <v>11</v>
      </c>
    </row>
    <row r="569" spans="1:8" x14ac:dyDescent="0.25">
      <c r="A569" s="12">
        <v>42353</v>
      </c>
      <c r="B569" s="12">
        <v>42353</v>
      </c>
      <c r="C569" s="12">
        <v>42353</v>
      </c>
      <c r="D569" s="6">
        <v>0.86458333333333337</v>
      </c>
      <c r="E569" s="6">
        <v>0.9</v>
      </c>
      <c r="F569" s="6">
        <f t="shared" si="16"/>
        <v>3.5416666666666652E-2</v>
      </c>
      <c r="G569" s="3">
        <f t="shared" si="17"/>
        <v>1.1111111111111183E-2</v>
      </c>
      <c r="H569" t="s">
        <v>11</v>
      </c>
    </row>
    <row r="570" spans="1:8" x14ac:dyDescent="0.25">
      <c r="A570" s="12">
        <v>42353</v>
      </c>
      <c r="B570" s="12">
        <v>42353</v>
      </c>
      <c r="C570" s="12">
        <v>42353</v>
      </c>
      <c r="D570" s="6">
        <v>0.9784722222222223</v>
      </c>
      <c r="E570" s="6">
        <v>1.0027777777777778</v>
      </c>
      <c r="F570" s="6">
        <f t="shared" si="16"/>
        <v>2.4305555555555469E-2</v>
      </c>
      <c r="G570" s="3">
        <f t="shared" si="17"/>
        <v>4.1666666666667629E-3</v>
      </c>
      <c r="H570" t="s">
        <v>11</v>
      </c>
    </row>
    <row r="571" spans="1:8" x14ac:dyDescent="0.25">
      <c r="A571" s="12">
        <v>42353</v>
      </c>
      <c r="B571" s="12">
        <v>42353</v>
      </c>
      <c r="C571" s="12">
        <v>42353</v>
      </c>
      <c r="D571" s="6">
        <v>0.65625</v>
      </c>
      <c r="E571" s="6">
        <v>0.68472222222222223</v>
      </c>
      <c r="F571" s="6">
        <f t="shared" ref="F571:F632" si="18">E571-D571</f>
        <v>2.8472222222222232E-2</v>
      </c>
      <c r="G571" s="3">
        <f t="shared" si="17"/>
        <v>4.8611111111112049E-3</v>
      </c>
      <c r="H571" t="s">
        <v>11</v>
      </c>
    </row>
    <row r="572" spans="1:8" x14ac:dyDescent="0.25">
      <c r="A572" s="12">
        <v>42353</v>
      </c>
      <c r="B572" s="12">
        <v>42353</v>
      </c>
      <c r="C572" s="12">
        <v>42353</v>
      </c>
      <c r="D572" s="6">
        <v>0.80763888888888891</v>
      </c>
      <c r="E572" s="6">
        <v>0.83124999999999993</v>
      </c>
      <c r="F572" s="6">
        <f t="shared" si="18"/>
        <v>2.3611111111111027E-2</v>
      </c>
      <c r="G572" s="3">
        <f t="shared" si="17"/>
        <v>0</v>
      </c>
      <c r="H572" t="s">
        <v>11</v>
      </c>
    </row>
    <row r="573" spans="1:8" x14ac:dyDescent="0.25">
      <c r="A573" s="12">
        <v>42353</v>
      </c>
      <c r="B573" s="12">
        <v>42353</v>
      </c>
      <c r="C573" s="12">
        <v>42353</v>
      </c>
      <c r="D573" s="6">
        <v>0.87013888888888891</v>
      </c>
      <c r="E573" s="6">
        <v>0.89374999999999993</v>
      </c>
      <c r="F573" s="6">
        <f t="shared" si="18"/>
        <v>2.3611111111111027E-2</v>
      </c>
      <c r="G573" s="3">
        <f t="shared" si="17"/>
        <v>2.0833333333332149E-3</v>
      </c>
      <c r="H573" t="s">
        <v>11</v>
      </c>
    </row>
    <row r="574" spans="1:8" x14ac:dyDescent="0.25">
      <c r="A574" s="12">
        <v>42353</v>
      </c>
      <c r="B574" s="12">
        <v>42353</v>
      </c>
      <c r="C574" s="12">
        <v>42353</v>
      </c>
      <c r="D574" s="6">
        <v>0.96527777777777779</v>
      </c>
      <c r="E574" s="6">
        <v>0.9868055555555556</v>
      </c>
      <c r="F574" s="6">
        <f t="shared" si="18"/>
        <v>2.1527777777777812E-2</v>
      </c>
      <c r="G574" s="3">
        <f t="shared" si="17"/>
        <v>1.388888888888884E-3</v>
      </c>
      <c r="H574" t="s">
        <v>11</v>
      </c>
    </row>
    <row r="575" spans="1:8" x14ac:dyDescent="0.25">
      <c r="A575" s="12">
        <v>42353</v>
      </c>
      <c r="B575" s="12">
        <v>42353</v>
      </c>
      <c r="C575" s="12">
        <v>42353</v>
      </c>
      <c r="D575" s="6">
        <v>0.81597222222222221</v>
      </c>
      <c r="E575" s="6">
        <v>0.83611111111111114</v>
      </c>
      <c r="F575" s="6">
        <f t="shared" si="18"/>
        <v>2.0138888888888928E-2</v>
      </c>
      <c r="G575" s="3">
        <f t="shared" si="17"/>
        <v>6.9444444444444198E-3</v>
      </c>
      <c r="H575" t="s">
        <v>11</v>
      </c>
    </row>
    <row r="576" spans="1:8" x14ac:dyDescent="0.25">
      <c r="A576" s="12">
        <v>42353</v>
      </c>
      <c r="B576" s="12">
        <v>42353</v>
      </c>
      <c r="C576" s="12">
        <v>42353</v>
      </c>
      <c r="D576" s="6">
        <v>0.55138888888888882</v>
      </c>
      <c r="E576" s="6">
        <v>0.57847222222222217</v>
      </c>
      <c r="F576" s="6">
        <f t="shared" si="18"/>
        <v>2.7083333333333348E-2</v>
      </c>
      <c r="G576" s="3">
        <f t="shared" si="17"/>
        <v>9.0277777777777457E-3</v>
      </c>
      <c r="H576" t="s">
        <v>11</v>
      </c>
    </row>
    <row r="577" spans="1:8" x14ac:dyDescent="0.25">
      <c r="A577" s="12">
        <v>42353</v>
      </c>
      <c r="B577" s="12">
        <v>42353</v>
      </c>
      <c r="C577" s="12">
        <v>42353</v>
      </c>
      <c r="D577" s="6">
        <v>0.84027777777777779</v>
      </c>
      <c r="E577" s="6">
        <v>0.85833333333333339</v>
      </c>
      <c r="F577" s="6">
        <f t="shared" si="18"/>
        <v>1.8055555555555602E-2</v>
      </c>
      <c r="G577" s="3">
        <f t="shared" si="17"/>
        <v>9.0277777777778567E-3</v>
      </c>
      <c r="H577" t="s">
        <v>11</v>
      </c>
    </row>
    <row r="578" spans="1:8" x14ac:dyDescent="0.25">
      <c r="A578" s="12">
        <v>42353</v>
      </c>
      <c r="B578" s="12">
        <v>42353</v>
      </c>
      <c r="C578" s="12">
        <v>42353</v>
      </c>
      <c r="D578" s="6">
        <v>0.51388888888888895</v>
      </c>
      <c r="E578" s="6">
        <v>0.5229166666666667</v>
      </c>
      <c r="F578" s="6">
        <f t="shared" si="18"/>
        <v>9.0277777777777457E-3</v>
      </c>
      <c r="G578" s="3">
        <f t="shared" si="17"/>
        <v>8.3333333333334147E-3</v>
      </c>
      <c r="H578" t="s">
        <v>11</v>
      </c>
    </row>
    <row r="579" spans="1:8" x14ac:dyDescent="0.25">
      <c r="A579" s="12">
        <v>42353</v>
      </c>
      <c r="B579" s="12">
        <v>42353</v>
      </c>
      <c r="C579" s="12">
        <v>42353</v>
      </c>
      <c r="D579" s="6">
        <v>0.7895833333333333</v>
      </c>
      <c r="E579" s="6">
        <v>0.80694444444444446</v>
      </c>
      <c r="F579" s="6">
        <f t="shared" si="18"/>
        <v>1.736111111111116E-2</v>
      </c>
      <c r="G579" s="3">
        <f t="shared" ref="G579:G641" si="19">ABS(F580-F579)</f>
        <v>6.2499999999999223E-3</v>
      </c>
      <c r="H579" t="s">
        <v>11</v>
      </c>
    </row>
    <row r="580" spans="1:8" x14ac:dyDescent="0.25">
      <c r="A580" s="12">
        <v>42353</v>
      </c>
      <c r="B580" s="12">
        <v>42353</v>
      </c>
      <c r="C580" s="12">
        <v>42353</v>
      </c>
      <c r="D580" s="6">
        <v>0.28263888888888888</v>
      </c>
      <c r="E580" s="6">
        <v>0.30624999999999997</v>
      </c>
      <c r="F580" s="6">
        <f t="shared" si="18"/>
        <v>2.3611111111111083E-2</v>
      </c>
      <c r="G580" s="3">
        <f t="shared" si="19"/>
        <v>2.7777777777777124E-3</v>
      </c>
      <c r="H580" t="s">
        <v>11</v>
      </c>
    </row>
    <row r="581" spans="1:8" x14ac:dyDescent="0.25">
      <c r="A581" s="12">
        <v>42353</v>
      </c>
      <c r="B581" s="12">
        <v>42353</v>
      </c>
      <c r="C581" s="12">
        <v>42353</v>
      </c>
      <c r="D581" s="6">
        <v>0.42291666666666666</v>
      </c>
      <c r="E581" s="6">
        <v>0.44375000000000003</v>
      </c>
      <c r="F581" s="6">
        <f t="shared" si="18"/>
        <v>2.083333333333337E-2</v>
      </c>
      <c r="G581" s="3">
        <f t="shared" si="19"/>
        <v>6.9444444444449749E-4</v>
      </c>
      <c r="H581" t="s">
        <v>11</v>
      </c>
    </row>
    <row r="582" spans="1:8" x14ac:dyDescent="0.25">
      <c r="A582" s="12">
        <v>42353</v>
      </c>
      <c r="B582" s="12">
        <v>42353</v>
      </c>
      <c r="C582" s="12">
        <v>42353</v>
      </c>
      <c r="D582" s="6">
        <v>0.48958333333333331</v>
      </c>
      <c r="E582" s="6">
        <v>0.51111111111111118</v>
      </c>
      <c r="F582" s="6">
        <f t="shared" si="18"/>
        <v>2.1527777777777868E-2</v>
      </c>
      <c r="G582" s="3">
        <f t="shared" si="19"/>
        <v>6.9444444444443643E-3</v>
      </c>
      <c r="H582" t="s">
        <v>11</v>
      </c>
    </row>
    <row r="583" spans="1:8" x14ac:dyDescent="0.25">
      <c r="A583" s="12">
        <v>42353</v>
      </c>
      <c r="B583" s="12">
        <v>42353</v>
      </c>
      <c r="C583" s="12">
        <v>42353</v>
      </c>
      <c r="D583" s="6">
        <v>0.62361111111111112</v>
      </c>
      <c r="E583" s="6">
        <v>0.65208333333333335</v>
      </c>
      <c r="F583" s="6">
        <f t="shared" si="18"/>
        <v>2.8472222222222232E-2</v>
      </c>
      <c r="G583" s="3">
        <f t="shared" si="19"/>
        <v>9.0277777777777457E-3</v>
      </c>
      <c r="H583" t="s">
        <v>11</v>
      </c>
    </row>
    <row r="584" spans="1:8" x14ac:dyDescent="0.25">
      <c r="A584" s="12">
        <v>42353</v>
      </c>
      <c r="B584" s="12">
        <v>42353</v>
      </c>
      <c r="C584" s="12">
        <v>42353</v>
      </c>
      <c r="D584" s="6">
        <v>0.59583333333333333</v>
      </c>
      <c r="E584" s="6">
        <v>0.61527777777777781</v>
      </c>
      <c r="F584" s="6">
        <f t="shared" si="18"/>
        <v>1.9444444444444486E-2</v>
      </c>
      <c r="G584" s="3">
        <f t="shared" si="19"/>
        <v>2.0833333333333259E-3</v>
      </c>
      <c r="H584" t="s">
        <v>11</v>
      </c>
    </row>
    <row r="585" spans="1:8" x14ac:dyDescent="0.25">
      <c r="A585" s="12">
        <v>42353</v>
      </c>
      <c r="B585" s="12">
        <v>42353</v>
      </c>
      <c r="C585" s="12">
        <v>42353</v>
      </c>
      <c r="D585" s="6">
        <v>0.64930555555555558</v>
      </c>
      <c r="E585" s="6">
        <v>0.67083333333333339</v>
      </c>
      <c r="F585" s="6">
        <f t="shared" si="18"/>
        <v>2.1527777777777812E-2</v>
      </c>
      <c r="G585" s="3">
        <f t="shared" si="19"/>
        <v>0</v>
      </c>
      <c r="H585" t="s">
        <v>11</v>
      </c>
    </row>
    <row r="586" spans="1:8" x14ac:dyDescent="0.25">
      <c r="A586" s="12">
        <v>42353</v>
      </c>
      <c r="B586" s="12">
        <v>42353</v>
      </c>
      <c r="C586" s="12">
        <v>42353</v>
      </c>
      <c r="D586" s="6">
        <v>0.65833333333333333</v>
      </c>
      <c r="E586" s="6">
        <v>0.67986111111111114</v>
      </c>
      <c r="F586" s="6">
        <f t="shared" si="18"/>
        <v>2.1527777777777812E-2</v>
      </c>
      <c r="G586" s="3">
        <f t="shared" si="19"/>
        <v>1.388888888888995E-3</v>
      </c>
      <c r="H586" t="s">
        <v>11</v>
      </c>
    </row>
    <row r="587" spans="1:8" x14ac:dyDescent="0.25">
      <c r="A587" s="12">
        <v>42353</v>
      </c>
      <c r="B587" s="12">
        <v>42353</v>
      </c>
      <c r="C587" s="12">
        <v>42353</v>
      </c>
      <c r="D587" s="6">
        <v>0.74097222222222225</v>
      </c>
      <c r="E587" s="6">
        <v>0.76111111111111107</v>
      </c>
      <c r="F587" s="6">
        <f t="shared" si="18"/>
        <v>2.0138888888888817E-2</v>
      </c>
      <c r="G587" s="3">
        <f t="shared" si="19"/>
        <v>2.7777777777778512E-3</v>
      </c>
      <c r="H587" t="s">
        <v>11</v>
      </c>
    </row>
    <row r="588" spans="1:8" x14ac:dyDescent="0.25">
      <c r="A588" s="12">
        <v>42353</v>
      </c>
      <c r="B588" s="12">
        <v>42353</v>
      </c>
      <c r="C588" s="12">
        <v>42353</v>
      </c>
      <c r="D588" s="6">
        <v>0.16874999999999998</v>
      </c>
      <c r="E588" s="6">
        <v>0.19166666666666665</v>
      </c>
      <c r="F588" s="6">
        <f t="shared" si="18"/>
        <v>2.2916666666666669E-2</v>
      </c>
      <c r="G588" s="3">
        <f t="shared" si="19"/>
        <v>1.3888888888889117E-3</v>
      </c>
      <c r="H588" t="s">
        <v>11</v>
      </c>
    </row>
    <row r="589" spans="1:8" x14ac:dyDescent="0.25">
      <c r="A589" s="12">
        <v>42353</v>
      </c>
      <c r="B589" s="12">
        <v>42353</v>
      </c>
      <c r="C589" s="12">
        <v>42353</v>
      </c>
      <c r="D589" s="6">
        <v>0.47847222222222219</v>
      </c>
      <c r="E589" s="6">
        <v>0.50277777777777777</v>
      </c>
      <c r="F589" s="6">
        <f t="shared" si="18"/>
        <v>2.430555555555558E-2</v>
      </c>
      <c r="G589" s="3">
        <f t="shared" si="19"/>
        <v>3.4722222222222099E-3</v>
      </c>
      <c r="H589" t="s">
        <v>11</v>
      </c>
    </row>
    <row r="590" spans="1:8" x14ac:dyDescent="0.25">
      <c r="A590" s="12">
        <v>42353</v>
      </c>
      <c r="B590" s="12">
        <v>42353</v>
      </c>
      <c r="C590" s="12">
        <v>42353</v>
      </c>
      <c r="D590" s="6">
        <v>0.50277777777777777</v>
      </c>
      <c r="E590" s="6">
        <v>0.52361111111111114</v>
      </c>
      <c r="F590" s="6">
        <f t="shared" si="18"/>
        <v>2.083333333333337E-2</v>
      </c>
      <c r="G590" s="3">
        <f t="shared" si="19"/>
        <v>1.041666666666663E-2</v>
      </c>
      <c r="H590" t="s">
        <v>11</v>
      </c>
    </row>
    <row r="591" spans="1:8" x14ac:dyDescent="0.25">
      <c r="A591" s="12">
        <v>42353</v>
      </c>
      <c r="B591" s="12">
        <v>42353</v>
      </c>
      <c r="C591" s="12">
        <v>42353</v>
      </c>
      <c r="D591" s="6">
        <v>0.74305555555555547</v>
      </c>
      <c r="E591" s="6">
        <v>0.75347222222222221</v>
      </c>
      <c r="F591" s="6">
        <f t="shared" si="18"/>
        <v>1.0416666666666741E-2</v>
      </c>
      <c r="G591" s="3">
        <f t="shared" si="19"/>
        <v>2.9861111111110894E-2</v>
      </c>
      <c r="H591" t="s">
        <v>11</v>
      </c>
    </row>
    <row r="592" spans="1:8" x14ac:dyDescent="0.25">
      <c r="A592" s="12">
        <v>42353</v>
      </c>
      <c r="B592" s="12">
        <v>42353</v>
      </c>
      <c r="C592" s="12">
        <v>42353</v>
      </c>
      <c r="D592" s="6">
        <v>0.87916666666666676</v>
      </c>
      <c r="E592" s="6">
        <v>0.9194444444444444</v>
      </c>
      <c r="F592" s="6">
        <f t="shared" si="18"/>
        <v>4.0277777777777635E-2</v>
      </c>
      <c r="G592" s="3">
        <f t="shared" si="19"/>
        <v>2.4305555555555469E-2</v>
      </c>
      <c r="H592" t="s">
        <v>11</v>
      </c>
    </row>
    <row r="593" spans="1:8" x14ac:dyDescent="0.25">
      <c r="A593" s="12">
        <v>42353</v>
      </c>
      <c r="B593" s="12">
        <v>42353</v>
      </c>
      <c r="C593" s="12">
        <v>42353</v>
      </c>
      <c r="D593" s="6">
        <v>0.9145833333333333</v>
      </c>
      <c r="E593" s="6">
        <v>0.93055555555555547</v>
      </c>
      <c r="F593" s="6">
        <f t="shared" si="18"/>
        <v>1.5972222222222165E-2</v>
      </c>
      <c r="G593" s="3">
        <f t="shared" si="19"/>
        <v>2.7777777777777679E-3</v>
      </c>
      <c r="H593" t="s">
        <v>11</v>
      </c>
    </row>
    <row r="594" spans="1:8" x14ac:dyDescent="0.25">
      <c r="A594" s="12">
        <v>42353</v>
      </c>
      <c r="B594" s="12">
        <v>42353</v>
      </c>
      <c r="C594" s="12">
        <v>42353</v>
      </c>
      <c r="D594" s="6">
        <v>0.98958333333333337</v>
      </c>
      <c r="E594" s="6">
        <v>1.0083333333333333</v>
      </c>
      <c r="F594" s="6">
        <f t="shared" si="18"/>
        <v>1.8749999999999933E-2</v>
      </c>
      <c r="G594" s="3">
        <f t="shared" si="19"/>
        <v>5.5555555555556191E-3</v>
      </c>
      <c r="H594" t="s">
        <v>11</v>
      </c>
    </row>
    <row r="595" spans="1:8" x14ac:dyDescent="0.25">
      <c r="A595" s="12">
        <v>42353</v>
      </c>
      <c r="B595" s="12">
        <v>42353</v>
      </c>
      <c r="C595" s="12">
        <v>42353</v>
      </c>
      <c r="D595" s="6">
        <v>0.23750000000000002</v>
      </c>
      <c r="E595" s="6">
        <v>0.26180555555555557</v>
      </c>
      <c r="F595" s="6">
        <f t="shared" si="18"/>
        <v>2.4305555555555552E-2</v>
      </c>
      <c r="G595" s="3">
        <f t="shared" si="19"/>
        <v>8.3333333333333315E-3</v>
      </c>
      <c r="H595" t="s">
        <v>11</v>
      </c>
    </row>
    <row r="596" spans="1:8" x14ac:dyDescent="0.25">
      <c r="A596" s="12">
        <v>42353</v>
      </c>
      <c r="B596" s="12">
        <v>42353</v>
      </c>
      <c r="C596" s="12">
        <v>42353</v>
      </c>
      <c r="D596" s="6">
        <v>0.4284722222222222</v>
      </c>
      <c r="E596" s="6">
        <v>0.46111111111111108</v>
      </c>
      <c r="F596" s="6">
        <f t="shared" si="18"/>
        <v>3.2638888888888884E-2</v>
      </c>
      <c r="G596" s="3">
        <f t="shared" si="19"/>
        <v>6.9444444444446418E-3</v>
      </c>
      <c r="H596" t="s">
        <v>11</v>
      </c>
    </row>
    <row r="597" spans="1:8" x14ac:dyDescent="0.25">
      <c r="A597" s="12">
        <v>42353</v>
      </c>
      <c r="B597" s="12">
        <v>42353</v>
      </c>
      <c r="C597" s="12">
        <v>42353</v>
      </c>
      <c r="D597" s="6">
        <v>0.75138888888888899</v>
      </c>
      <c r="E597" s="6">
        <v>0.77708333333333324</v>
      </c>
      <c r="F597" s="6">
        <f t="shared" si="18"/>
        <v>2.5694444444444242E-2</v>
      </c>
      <c r="G597" s="3">
        <f t="shared" si="19"/>
        <v>7.6388888888886397E-3</v>
      </c>
      <c r="H597" t="s">
        <v>11</v>
      </c>
    </row>
    <row r="598" spans="1:8" x14ac:dyDescent="0.25">
      <c r="A598" s="12">
        <v>42353</v>
      </c>
      <c r="B598" s="12">
        <v>42353</v>
      </c>
      <c r="C598" s="12">
        <v>42353</v>
      </c>
      <c r="D598" s="6">
        <v>0.82638888888888884</v>
      </c>
      <c r="E598" s="6">
        <v>0.84444444444444444</v>
      </c>
      <c r="F598" s="6">
        <f t="shared" si="18"/>
        <v>1.8055555555555602E-2</v>
      </c>
      <c r="G598" s="3">
        <f t="shared" si="19"/>
        <v>4.1666666666666519E-3</v>
      </c>
      <c r="H598" t="s">
        <v>11</v>
      </c>
    </row>
    <row r="599" spans="1:8" x14ac:dyDescent="0.25">
      <c r="A599" s="12">
        <v>42353</v>
      </c>
      <c r="B599" s="12">
        <v>42353</v>
      </c>
      <c r="C599" s="12">
        <v>42353</v>
      </c>
      <c r="D599" s="6">
        <v>0.64513888888888882</v>
      </c>
      <c r="E599" s="6">
        <v>0.66736111111111107</v>
      </c>
      <c r="F599" s="6">
        <f t="shared" si="18"/>
        <v>2.2222222222222254E-2</v>
      </c>
      <c r="G599" s="3">
        <f t="shared" si="19"/>
        <v>2.0833333333333537E-3</v>
      </c>
      <c r="H599" t="s">
        <v>11</v>
      </c>
    </row>
    <row r="600" spans="1:8" x14ac:dyDescent="0.25">
      <c r="A600" s="12">
        <v>42353</v>
      </c>
      <c r="B600" s="12">
        <v>42353</v>
      </c>
      <c r="C600" s="12">
        <v>42353</v>
      </c>
      <c r="D600" s="6">
        <v>0.10902777777777778</v>
      </c>
      <c r="E600" s="6">
        <v>0.12916666666666668</v>
      </c>
      <c r="F600" s="6">
        <f t="shared" si="18"/>
        <v>2.0138888888888901E-2</v>
      </c>
      <c r="G600" s="3">
        <f t="shared" si="19"/>
        <v>1.3888888888888562E-3</v>
      </c>
      <c r="H600" t="s">
        <v>11</v>
      </c>
    </row>
    <row r="601" spans="1:8" x14ac:dyDescent="0.25">
      <c r="A601" s="12">
        <v>42353</v>
      </c>
      <c r="B601" s="12">
        <v>42353</v>
      </c>
      <c r="C601" s="12">
        <v>42353</v>
      </c>
      <c r="D601" s="6">
        <v>0.34652777777777777</v>
      </c>
      <c r="E601" s="6">
        <v>0.36527777777777781</v>
      </c>
      <c r="F601" s="6">
        <f t="shared" si="18"/>
        <v>1.8750000000000044E-2</v>
      </c>
      <c r="G601" s="3">
        <f t="shared" si="19"/>
        <v>6.9444444444444198E-4</v>
      </c>
      <c r="H601" t="s">
        <v>11</v>
      </c>
    </row>
    <row r="602" spans="1:8" x14ac:dyDescent="0.25">
      <c r="A602" s="12">
        <v>42353</v>
      </c>
      <c r="B602" s="12">
        <v>42353</v>
      </c>
      <c r="C602" s="12">
        <v>42353</v>
      </c>
      <c r="D602" s="6">
        <v>0.59791666666666665</v>
      </c>
      <c r="E602" s="6">
        <v>0.61597222222222225</v>
      </c>
      <c r="F602" s="6">
        <f t="shared" si="18"/>
        <v>1.8055555555555602E-2</v>
      </c>
      <c r="G602" s="3">
        <f t="shared" si="19"/>
        <v>2.6388888888888906E-2</v>
      </c>
      <c r="H602" t="s">
        <v>11</v>
      </c>
    </row>
    <row r="603" spans="1:8" x14ac:dyDescent="0.25">
      <c r="A603" s="12">
        <v>42353</v>
      </c>
      <c r="B603" s="12">
        <v>42353</v>
      </c>
      <c r="C603" s="12">
        <v>42353</v>
      </c>
      <c r="D603" s="6">
        <v>0.87152777777777779</v>
      </c>
      <c r="E603" s="6">
        <v>0.9159722222222223</v>
      </c>
      <c r="F603" s="6">
        <f t="shared" si="18"/>
        <v>4.4444444444444509E-2</v>
      </c>
      <c r="G603" s="3">
        <f t="shared" si="19"/>
        <v>2.6388888888888906E-2</v>
      </c>
      <c r="H603" t="s">
        <v>11</v>
      </c>
    </row>
    <row r="604" spans="1:8" x14ac:dyDescent="0.25">
      <c r="A604" s="12">
        <v>42353</v>
      </c>
      <c r="B604" s="12">
        <v>42353</v>
      </c>
      <c r="C604" s="12">
        <v>42353</v>
      </c>
      <c r="D604" s="6">
        <v>0.61805555555555558</v>
      </c>
      <c r="E604" s="6">
        <v>0.63611111111111118</v>
      </c>
      <c r="F604" s="6">
        <f t="shared" si="18"/>
        <v>1.8055555555555602E-2</v>
      </c>
      <c r="G604" s="3">
        <f t="shared" si="19"/>
        <v>3.4722222222222099E-3</v>
      </c>
      <c r="H604" t="s">
        <v>11</v>
      </c>
    </row>
    <row r="605" spans="1:8" x14ac:dyDescent="0.25">
      <c r="A605" s="12">
        <v>42353</v>
      </c>
      <c r="B605" s="12">
        <v>42353</v>
      </c>
      <c r="C605" s="12">
        <v>42353</v>
      </c>
      <c r="D605" s="6">
        <v>0.67708333333333337</v>
      </c>
      <c r="E605" s="6">
        <v>0.69166666666666676</v>
      </c>
      <c r="F605" s="6">
        <f t="shared" si="18"/>
        <v>1.4583333333333393E-2</v>
      </c>
      <c r="G605" s="3">
        <f t="shared" si="19"/>
        <v>9.7222222222221877E-3</v>
      </c>
      <c r="H605" t="s">
        <v>11</v>
      </c>
    </row>
    <row r="606" spans="1:8" x14ac:dyDescent="0.25">
      <c r="A606" s="12">
        <v>42353</v>
      </c>
      <c r="B606" s="12">
        <v>42353</v>
      </c>
      <c r="C606" s="12">
        <v>42353</v>
      </c>
      <c r="D606" s="6">
        <v>0.66249999999999998</v>
      </c>
      <c r="E606" s="6">
        <v>0.68680555555555556</v>
      </c>
      <c r="F606" s="6">
        <f t="shared" si="18"/>
        <v>2.430555555555558E-2</v>
      </c>
      <c r="G606" s="3">
        <f t="shared" si="19"/>
        <v>4.2361111111110961E-2</v>
      </c>
      <c r="H606" t="s">
        <v>11</v>
      </c>
    </row>
    <row r="607" spans="1:8" x14ac:dyDescent="0.25">
      <c r="A607" s="12">
        <v>42353</v>
      </c>
      <c r="B607" s="12">
        <v>42353</v>
      </c>
      <c r="C607" s="12">
        <v>42353</v>
      </c>
      <c r="D607" s="6">
        <v>0.71319444444444446</v>
      </c>
      <c r="E607" s="6">
        <v>0.77986111111111101</v>
      </c>
      <c r="F607" s="6">
        <f t="shared" si="18"/>
        <v>6.6666666666666541E-2</v>
      </c>
      <c r="G607" s="3">
        <f t="shared" si="19"/>
        <v>4.5833333333333282E-2</v>
      </c>
      <c r="H607" t="s">
        <v>11</v>
      </c>
    </row>
    <row r="608" spans="1:8" x14ac:dyDescent="0.25">
      <c r="A608" s="12">
        <v>42353</v>
      </c>
      <c r="B608" s="12">
        <v>42353</v>
      </c>
      <c r="C608" s="12">
        <v>42353</v>
      </c>
      <c r="D608" s="6">
        <v>0.6972222222222223</v>
      </c>
      <c r="E608" s="6">
        <v>0.71805555555555556</v>
      </c>
      <c r="F608" s="6">
        <f t="shared" si="18"/>
        <v>2.0833333333333259E-2</v>
      </c>
      <c r="G608" s="3">
        <f t="shared" si="19"/>
        <v>1.3888888888888284E-3</v>
      </c>
      <c r="H608" t="s">
        <v>11</v>
      </c>
    </row>
    <row r="609" spans="1:8" x14ac:dyDescent="0.25">
      <c r="A609" s="12">
        <v>42353</v>
      </c>
      <c r="B609" s="12">
        <v>42353</v>
      </c>
      <c r="C609" s="12">
        <v>42353</v>
      </c>
      <c r="D609" s="6">
        <v>0.37916666666666665</v>
      </c>
      <c r="E609" s="6">
        <v>0.39861111111111108</v>
      </c>
      <c r="F609" s="6">
        <f t="shared" si="18"/>
        <v>1.9444444444444431E-2</v>
      </c>
      <c r="G609" s="3">
        <f t="shared" si="19"/>
        <v>3.4722222222221544E-3</v>
      </c>
      <c r="H609" t="s">
        <v>11</v>
      </c>
    </row>
    <row r="610" spans="1:8" x14ac:dyDescent="0.25">
      <c r="A610" s="12">
        <v>42353</v>
      </c>
      <c r="B610" s="12">
        <v>42353</v>
      </c>
      <c r="C610" s="12">
        <v>42353</v>
      </c>
      <c r="D610" s="6">
        <v>0.41388888888888892</v>
      </c>
      <c r="E610" s="6">
        <v>0.4368055555555555</v>
      </c>
      <c r="F610" s="6">
        <f t="shared" si="18"/>
        <v>2.2916666666666585E-2</v>
      </c>
      <c r="G610" s="3">
        <f t="shared" si="19"/>
        <v>9.0277777777776902E-3</v>
      </c>
      <c r="H610" t="s">
        <v>11</v>
      </c>
    </row>
    <row r="611" spans="1:8" x14ac:dyDescent="0.25">
      <c r="A611" s="12">
        <v>42353</v>
      </c>
      <c r="B611" s="12">
        <v>42353</v>
      </c>
      <c r="C611" s="12">
        <v>42353</v>
      </c>
      <c r="D611" s="6">
        <v>0.27847222222222223</v>
      </c>
      <c r="E611" s="6">
        <v>0.29236111111111113</v>
      </c>
      <c r="F611" s="6">
        <f t="shared" si="18"/>
        <v>1.3888888888888895E-2</v>
      </c>
      <c r="G611" s="3">
        <f t="shared" si="19"/>
        <v>6.2499999999999223E-3</v>
      </c>
      <c r="H611" t="s">
        <v>11</v>
      </c>
    </row>
    <row r="612" spans="1:8" x14ac:dyDescent="0.25">
      <c r="A612" s="12">
        <v>42353</v>
      </c>
      <c r="B612" s="12">
        <v>42353</v>
      </c>
      <c r="C612" s="12">
        <v>42353</v>
      </c>
      <c r="D612" s="6">
        <v>0.80625000000000002</v>
      </c>
      <c r="E612" s="6">
        <v>0.82638888888888884</v>
      </c>
      <c r="F612" s="6">
        <f t="shared" si="18"/>
        <v>2.0138888888888817E-2</v>
      </c>
      <c r="G612" s="3">
        <f t="shared" si="19"/>
        <v>5.5555555555556468E-3</v>
      </c>
      <c r="H612" t="s">
        <v>11</v>
      </c>
    </row>
    <row r="613" spans="1:8" x14ac:dyDescent="0.25">
      <c r="A613" s="12">
        <v>42353</v>
      </c>
      <c r="B613" s="12">
        <v>42353</v>
      </c>
      <c r="C613" s="12">
        <v>42353</v>
      </c>
      <c r="D613" s="6">
        <v>0.46388888888888885</v>
      </c>
      <c r="E613" s="6">
        <v>0.48958333333333331</v>
      </c>
      <c r="F613" s="6">
        <f t="shared" si="18"/>
        <v>2.5694444444444464E-2</v>
      </c>
      <c r="G613" s="3">
        <f t="shared" si="19"/>
        <v>1.4583333333333393E-2</v>
      </c>
      <c r="H613" t="s">
        <v>11</v>
      </c>
    </row>
    <row r="614" spans="1:8" x14ac:dyDescent="0.25">
      <c r="A614" s="12">
        <v>42353</v>
      </c>
      <c r="B614" s="12">
        <v>42353</v>
      </c>
      <c r="C614" s="12">
        <v>42353</v>
      </c>
      <c r="D614" s="6">
        <v>0.50763888888888886</v>
      </c>
      <c r="E614" s="6">
        <v>0.51874999999999993</v>
      </c>
      <c r="F614" s="6">
        <f t="shared" si="18"/>
        <v>1.1111111111111072E-2</v>
      </c>
      <c r="G614" s="3">
        <f t="shared" si="19"/>
        <v>6.9444444444445308E-3</v>
      </c>
      <c r="H614" t="s">
        <v>11</v>
      </c>
    </row>
    <row r="615" spans="1:8" x14ac:dyDescent="0.25">
      <c r="A615" s="12">
        <v>42353</v>
      </c>
      <c r="B615" s="12">
        <v>42353</v>
      </c>
      <c r="C615" s="12">
        <v>42353</v>
      </c>
      <c r="D615" s="6">
        <v>0.56527777777777777</v>
      </c>
      <c r="E615" s="6">
        <v>0.58333333333333337</v>
      </c>
      <c r="F615" s="6">
        <f t="shared" si="18"/>
        <v>1.8055555555555602E-2</v>
      </c>
      <c r="G615" s="3">
        <f t="shared" si="19"/>
        <v>4.1666666666666519E-3</v>
      </c>
      <c r="H615" t="s">
        <v>11</v>
      </c>
    </row>
    <row r="616" spans="1:8" x14ac:dyDescent="0.25">
      <c r="A616" s="12">
        <v>42353</v>
      </c>
      <c r="B616" s="12">
        <v>42353</v>
      </c>
      <c r="C616" s="12">
        <v>42353</v>
      </c>
      <c r="D616" s="6">
        <v>0.94027777777777777</v>
      </c>
      <c r="E616" s="6">
        <v>0.96250000000000002</v>
      </c>
      <c r="F616" s="6">
        <f t="shared" si="18"/>
        <v>2.2222222222222254E-2</v>
      </c>
      <c r="G616" s="3">
        <f t="shared" si="19"/>
        <v>2.083333333333437E-3</v>
      </c>
      <c r="H616" t="s">
        <v>11</v>
      </c>
    </row>
    <row r="617" spans="1:8" x14ac:dyDescent="0.25">
      <c r="A617" s="12">
        <v>42353</v>
      </c>
      <c r="B617" s="12">
        <v>42353</v>
      </c>
      <c r="C617" s="12">
        <v>42353</v>
      </c>
      <c r="D617" s="6">
        <v>0.99097222222222225</v>
      </c>
      <c r="E617" s="6">
        <v>1.0111111111111111</v>
      </c>
      <c r="F617" s="6">
        <f t="shared" si="18"/>
        <v>2.0138888888888817E-2</v>
      </c>
      <c r="G617" s="3">
        <f t="shared" si="19"/>
        <v>8.3333333333334147E-3</v>
      </c>
      <c r="H617" t="s">
        <v>11</v>
      </c>
    </row>
    <row r="618" spans="1:8" x14ac:dyDescent="0.25">
      <c r="A618" s="12">
        <v>42353</v>
      </c>
      <c r="B618" s="12">
        <v>42353</v>
      </c>
      <c r="C618" s="12">
        <v>42353</v>
      </c>
      <c r="D618" s="6">
        <v>0.69166666666666676</v>
      </c>
      <c r="E618" s="6">
        <v>0.72013888888888899</v>
      </c>
      <c r="F618" s="6">
        <f t="shared" si="18"/>
        <v>2.8472222222222232E-2</v>
      </c>
      <c r="G618" s="3">
        <f t="shared" si="19"/>
        <v>6.9444444444444198E-4</v>
      </c>
      <c r="H618" t="s">
        <v>11</v>
      </c>
    </row>
    <row r="619" spans="1:8" x14ac:dyDescent="0.25">
      <c r="A619" s="12">
        <v>42353</v>
      </c>
      <c r="B619" s="12">
        <v>42353</v>
      </c>
      <c r="C619" s="12">
        <v>42353</v>
      </c>
      <c r="D619" s="6">
        <v>0.67499999999999993</v>
      </c>
      <c r="E619" s="6">
        <v>0.70416666666666661</v>
      </c>
      <c r="F619" s="6">
        <f t="shared" si="18"/>
        <v>2.9166666666666674E-2</v>
      </c>
      <c r="G619" s="3">
        <f t="shared" si="19"/>
        <v>6.9444444444445308E-3</v>
      </c>
      <c r="H619" t="s">
        <v>11</v>
      </c>
    </row>
    <row r="620" spans="1:8" x14ac:dyDescent="0.25">
      <c r="A620" s="12">
        <v>42353</v>
      </c>
      <c r="B620" s="12">
        <v>42353</v>
      </c>
      <c r="C620" s="12">
        <v>42353</v>
      </c>
      <c r="D620" s="6">
        <v>0.70277777777777783</v>
      </c>
      <c r="E620" s="6">
        <v>0.72499999999999998</v>
      </c>
      <c r="F620" s="6">
        <f t="shared" si="18"/>
        <v>2.2222222222222143E-2</v>
      </c>
      <c r="G620" s="3">
        <f t="shared" si="19"/>
        <v>2.0833333333332149E-3</v>
      </c>
      <c r="H620" t="s">
        <v>11</v>
      </c>
    </row>
    <row r="621" spans="1:8" x14ac:dyDescent="0.25">
      <c r="A621" s="12">
        <v>42353</v>
      </c>
      <c r="B621" s="12">
        <v>42353</v>
      </c>
      <c r="C621" s="12">
        <v>42353</v>
      </c>
      <c r="D621" s="6">
        <v>0.76944444444444438</v>
      </c>
      <c r="E621" s="6">
        <v>0.7895833333333333</v>
      </c>
      <c r="F621" s="6">
        <f t="shared" si="18"/>
        <v>2.0138888888888928E-2</v>
      </c>
      <c r="G621" s="3">
        <f t="shared" si="19"/>
        <v>6.9444444444445308E-3</v>
      </c>
      <c r="H621" t="s">
        <v>11</v>
      </c>
    </row>
    <row r="622" spans="1:8" x14ac:dyDescent="0.25">
      <c r="A622" s="12">
        <v>42353</v>
      </c>
      <c r="B622" s="12">
        <v>42353</v>
      </c>
      <c r="C622" s="12">
        <v>42353</v>
      </c>
      <c r="D622" s="6">
        <v>0.98125000000000007</v>
      </c>
      <c r="E622" s="6">
        <v>0.99444444444444446</v>
      </c>
      <c r="F622" s="6">
        <f t="shared" si="18"/>
        <v>1.3194444444444398E-2</v>
      </c>
      <c r="G622" s="3">
        <f t="shared" si="19"/>
        <v>2.0833333333333426E-2</v>
      </c>
      <c r="H622" t="s">
        <v>11</v>
      </c>
    </row>
    <row r="623" spans="1:8" x14ac:dyDescent="0.25">
      <c r="A623" s="12">
        <v>42353</v>
      </c>
      <c r="B623" s="12">
        <v>42353</v>
      </c>
      <c r="C623" s="12">
        <v>42353</v>
      </c>
      <c r="D623" s="6">
        <v>0.28541666666666665</v>
      </c>
      <c r="E623" s="6">
        <v>0.31944444444444448</v>
      </c>
      <c r="F623" s="6">
        <f t="shared" si="18"/>
        <v>3.4027777777777823E-2</v>
      </c>
      <c r="G623" s="3">
        <f t="shared" si="19"/>
        <v>1.3888888888888895E-2</v>
      </c>
      <c r="H623" t="s">
        <v>11</v>
      </c>
    </row>
    <row r="624" spans="1:8" x14ac:dyDescent="0.25">
      <c r="A624" s="12">
        <v>42353</v>
      </c>
      <c r="B624" s="12">
        <v>42353</v>
      </c>
      <c r="C624" s="12">
        <v>42353</v>
      </c>
      <c r="D624" s="6">
        <v>0.53819444444444442</v>
      </c>
      <c r="E624" s="6">
        <v>0.55833333333333335</v>
      </c>
      <c r="F624" s="6">
        <f t="shared" si="18"/>
        <v>2.0138888888888928E-2</v>
      </c>
      <c r="G624" s="3">
        <f t="shared" si="19"/>
        <v>2.0833333333333259E-3</v>
      </c>
      <c r="H624" t="s">
        <v>11</v>
      </c>
    </row>
    <row r="625" spans="1:8" x14ac:dyDescent="0.25">
      <c r="A625" s="12">
        <v>42353</v>
      </c>
      <c r="B625" s="12">
        <v>42353</v>
      </c>
      <c r="C625" s="12">
        <v>42353</v>
      </c>
      <c r="D625" s="6">
        <v>0.78333333333333333</v>
      </c>
      <c r="E625" s="6">
        <v>0.80138888888888893</v>
      </c>
      <c r="F625" s="6">
        <f t="shared" si="18"/>
        <v>1.8055555555555602E-2</v>
      </c>
      <c r="G625" s="3">
        <f t="shared" si="19"/>
        <v>2.7777777777776569E-3</v>
      </c>
      <c r="H625" t="s">
        <v>11</v>
      </c>
    </row>
    <row r="626" spans="1:8" x14ac:dyDescent="0.25">
      <c r="A626" s="12">
        <v>42353</v>
      </c>
      <c r="B626" s="12">
        <v>42353</v>
      </c>
      <c r="C626" s="12">
        <v>42353</v>
      </c>
      <c r="D626" s="6">
        <v>0.6972222222222223</v>
      </c>
      <c r="E626" s="6">
        <v>0.71805555555555556</v>
      </c>
      <c r="F626" s="6">
        <f t="shared" si="18"/>
        <v>2.0833333333333259E-2</v>
      </c>
      <c r="G626" s="3">
        <f t="shared" si="19"/>
        <v>6.9444444444444198E-4</v>
      </c>
      <c r="H626" t="s">
        <v>11</v>
      </c>
    </row>
    <row r="627" spans="1:8" x14ac:dyDescent="0.25">
      <c r="A627" s="12">
        <v>42353</v>
      </c>
      <c r="B627" s="12">
        <v>42353</v>
      </c>
      <c r="C627" s="12">
        <v>42353</v>
      </c>
      <c r="D627" s="6">
        <v>0.73125000000000007</v>
      </c>
      <c r="E627" s="6">
        <v>0.75277777777777777</v>
      </c>
      <c r="F627" s="6">
        <f t="shared" si="18"/>
        <v>2.1527777777777701E-2</v>
      </c>
      <c r="G627" s="3">
        <f t="shared" si="19"/>
        <v>4.1666666666665408E-3</v>
      </c>
      <c r="H627" t="s">
        <v>11</v>
      </c>
    </row>
    <row r="628" spans="1:8" x14ac:dyDescent="0.25">
      <c r="A628" s="12">
        <v>42353</v>
      </c>
      <c r="B628" s="12">
        <v>42353</v>
      </c>
      <c r="C628" s="12">
        <v>42353</v>
      </c>
      <c r="D628" s="6">
        <v>0.81597222222222221</v>
      </c>
      <c r="E628" s="6">
        <v>0.83333333333333337</v>
      </c>
      <c r="F628" s="6">
        <f t="shared" si="18"/>
        <v>1.736111111111116E-2</v>
      </c>
      <c r="G628" s="3">
        <f t="shared" si="19"/>
        <v>2.7777777777776569E-3</v>
      </c>
      <c r="H628" t="s">
        <v>11</v>
      </c>
    </row>
    <row r="629" spans="1:8" x14ac:dyDescent="0.25">
      <c r="A629" s="12">
        <v>42353</v>
      </c>
      <c r="B629" s="12">
        <v>42353</v>
      </c>
      <c r="C629" s="12">
        <v>42353</v>
      </c>
      <c r="D629" s="6">
        <v>0.80625000000000002</v>
      </c>
      <c r="E629" s="6">
        <v>0.82638888888888884</v>
      </c>
      <c r="F629" s="6">
        <f t="shared" si="18"/>
        <v>2.0138888888888817E-2</v>
      </c>
      <c r="G629" s="3">
        <f t="shared" si="19"/>
        <v>1.1102230246251565E-16</v>
      </c>
      <c r="H629" t="s">
        <v>11</v>
      </c>
    </row>
    <row r="630" spans="1:8" x14ac:dyDescent="0.25">
      <c r="A630" s="12">
        <v>42353</v>
      </c>
      <c r="B630" s="12">
        <v>42353</v>
      </c>
      <c r="C630" s="12">
        <v>42353</v>
      </c>
      <c r="D630" s="6">
        <v>0.82152777777777775</v>
      </c>
      <c r="E630" s="6">
        <v>0.84166666666666667</v>
      </c>
      <c r="F630" s="6">
        <f t="shared" si="18"/>
        <v>2.0138888888888928E-2</v>
      </c>
      <c r="G630" s="3">
        <f t="shared" si="19"/>
        <v>1.388888888888884E-3</v>
      </c>
      <c r="H630" t="s">
        <v>11</v>
      </c>
    </row>
    <row r="631" spans="1:8" x14ac:dyDescent="0.25">
      <c r="A631" s="12">
        <v>42353</v>
      </c>
      <c r="B631" s="12">
        <v>42353</v>
      </c>
      <c r="C631" s="12">
        <v>42353</v>
      </c>
      <c r="D631" s="6">
        <v>0.8881944444444444</v>
      </c>
      <c r="E631" s="6">
        <v>0.90694444444444444</v>
      </c>
      <c r="F631" s="6">
        <f t="shared" si="18"/>
        <v>1.8750000000000044E-2</v>
      </c>
      <c r="G631" s="3">
        <f t="shared" si="19"/>
        <v>7.6388888888888618E-3</v>
      </c>
      <c r="H631" t="s">
        <v>11</v>
      </c>
    </row>
    <row r="632" spans="1:8" x14ac:dyDescent="0.25">
      <c r="A632" s="12">
        <v>42353</v>
      </c>
      <c r="B632" s="12">
        <v>42353</v>
      </c>
      <c r="C632" s="12">
        <v>42353</v>
      </c>
      <c r="D632" s="6">
        <v>0.99305555555555547</v>
      </c>
      <c r="E632" s="6">
        <v>1.0041666666666667</v>
      </c>
      <c r="F632" s="6">
        <f t="shared" si="18"/>
        <v>1.1111111111111183E-2</v>
      </c>
      <c r="G632" s="3">
        <f t="shared" si="19"/>
        <v>6.9444444444443643E-3</v>
      </c>
      <c r="H632" t="s">
        <v>11</v>
      </c>
    </row>
    <row r="633" spans="1:8" x14ac:dyDescent="0.25">
      <c r="A633" s="12">
        <v>42353</v>
      </c>
      <c r="B633" s="12">
        <v>42353</v>
      </c>
      <c r="C633" s="12">
        <v>42353</v>
      </c>
      <c r="D633" s="6">
        <v>6.1111111111111116E-2</v>
      </c>
      <c r="E633" s="6">
        <v>7.9166666666666663E-2</v>
      </c>
      <c r="F633" s="6">
        <f t="shared" ref="F633:F688" si="20">E633-D633</f>
        <v>1.8055555555555547E-2</v>
      </c>
      <c r="G633" s="3">
        <f t="shared" si="19"/>
        <v>2.0833333333333537E-3</v>
      </c>
      <c r="H633" t="s">
        <v>11</v>
      </c>
    </row>
    <row r="634" spans="1:8" x14ac:dyDescent="0.25">
      <c r="A634" s="12">
        <v>42353</v>
      </c>
      <c r="B634" s="12">
        <v>42353</v>
      </c>
      <c r="C634" s="12">
        <v>42353</v>
      </c>
      <c r="D634" s="6">
        <v>0.1875</v>
      </c>
      <c r="E634" s="6">
        <v>0.2076388888888889</v>
      </c>
      <c r="F634" s="6">
        <f t="shared" si="20"/>
        <v>2.0138888888888901E-2</v>
      </c>
      <c r="G634" s="3">
        <f t="shared" si="19"/>
        <v>2.7755575615628914E-17</v>
      </c>
      <c r="H634" t="s">
        <v>11</v>
      </c>
    </row>
    <row r="635" spans="1:8" x14ac:dyDescent="0.25">
      <c r="A635" s="12">
        <v>42353</v>
      </c>
      <c r="B635" s="12">
        <v>42353</v>
      </c>
      <c r="C635" s="12">
        <v>42353</v>
      </c>
      <c r="D635" s="6">
        <v>0.32500000000000001</v>
      </c>
      <c r="E635" s="6">
        <v>0.34513888888888888</v>
      </c>
      <c r="F635" s="6">
        <f t="shared" si="20"/>
        <v>2.0138888888888873E-2</v>
      </c>
      <c r="G635" s="3">
        <f t="shared" si="19"/>
        <v>3.4722222222222099E-3</v>
      </c>
      <c r="H635" t="s">
        <v>11</v>
      </c>
    </row>
    <row r="636" spans="1:8" x14ac:dyDescent="0.25">
      <c r="A636" s="12">
        <v>42353</v>
      </c>
      <c r="B636" s="12">
        <v>42353</v>
      </c>
      <c r="C636" s="12">
        <v>42353</v>
      </c>
      <c r="D636" s="6">
        <v>0.34791666666666665</v>
      </c>
      <c r="E636" s="6">
        <v>0.36458333333333331</v>
      </c>
      <c r="F636" s="6">
        <f t="shared" si="20"/>
        <v>1.6666666666666663E-2</v>
      </c>
      <c r="G636" s="3">
        <f t="shared" si="19"/>
        <v>3.4722222222222654E-3</v>
      </c>
      <c r="H636" t="s">
        <v>11</v>
      </c>
    </row>
    <row r="637" spans="1:8" x14ac:dyDescent="0.25">
      <c r="A637" s="12">
        <v>42353</v>
      </c>
      <c r="B637" s="12">
        <v>42353</v>
      </c>
      <c r="C637" s="12">
        <v>42353</v>
      </c>
      <c r="D637" s="6">
        <v>0.67708333333333337</v>
      </c>
      <c r="E637" s="6">
        <v>0.6972222222222223</v>
      </c>
      <c r="F637" s="6">
        <f t="shared" si="20"/>
        <v>2.0138888888888928E-2</v>
      </c>
      <c r="G637" s="3">
        <f t="shared" si="19"/>
        <v>4.1666666666666519E-3</v>
      </c>
      <c r="H637" t="s">
        <v>11</v>
      </c>
    </row>
    <row r="638" spans="1:8" x14ac:dyDescent="0.25">
      <c r="A638" s="12">
        <v>42353</v>
      </c>
      <c r="B638" s="12">
        <v>42353</v>
      </c>
      <c r="C638" s="12">
        <v>42353</v>
      </c>
      <c r="D638" s="6">
        <v>0.69513888888888886</v>
      </c>
      <c r="E638" s="6">
        <v>0.71944444444444444</v>
      </c>
      <c r="F638" s="6">
        <f t="shared" si="20"/>
        <v>2.430555555555558E-2</v>
      </c>
      <c r="G638" s="3">
        <f t="shared" si="19"/>
        <v>2.0833333333333259E-3</v>
      </c>
      <c r="H638" t="s">
        <v>11</v>
      </c>
    </row>
    <row r="639" spans="1:8" x14ac:dyDescent="0.25">
      <c r="A639" s="12">
        <v>42353</v>
      </c>
      <c r="B639" s="12">
        <v>42353</v>
      </c>
      <c r="C639" s="12">
        <v>42353</v>
      </c>
      <c r="D639" s="6">
        <v>0.78611111111111109</v>
      </c>
      <c r="E639" s="6">
        <v>0.8125</v>
      </c>
      <c r="F639" s="6">
        <f t="shared" si="20"/>
        <v>2.6388888888888906E-2</v>
      </c>
      <c r="G639" s="3">
        <f t="shared" si="19"/>
        <v>6.9444444444445308E-3</v>
      </c>
      <c r="H639" t="s">
        <v>11</v>
      </c>
    </row>
    <row r="640" spans="1:8" x14ac:dyDescent="0.25">
      <c r="A640" s="12">
        <v>42353</v>
      </c>
      <c r="B640" s="12">
        <v>42353</v>
      </c>
      <c r="C640" s="12">
        <v>42353</v>
      </c>
      <c r="D640" s="6">
        <v>0.84236111111111101</v>
      </c>
      <c r="E640" s="6">
        <v>0.87569444444444444</v>
      </c>
      <c r="F640" s="6">
        <f t="shared" si="20"/>
        <v>3.3333333333333437E-2</v>
      </c>
      <c r="G640" s="3">
        <f t="shared" si="19"/>
        <v>1.5277777777777835E-2</v>
      </c>
      <c r="H640" t="s">
        <v>11</v>
      </c>
    </row>
    <row r="641" spans="1:8" x14ac:dyDescent="0.25">
      <c r="A641" s="12">
        <v>42353</v>
      </c>
      <c r="B641" s="12">
        <v>42353</v>
      </c>
      <c r="C641" s="12">
        <v>42353</v>
      </c>
      <c r="D641" s="6">
        <v>0.87777777777777777</v>
      </c>
      <c r="E641" s="6">
        <v>0.89583333333333337</v>
      </c>
      <c r="F641" s="6">
        <f t="shared" si="20"/>
        <v>1.8055555555555602E-2</v>
      </c>
      <c r="G641" s="3">
        <f t="shared" si="19"/>
        <v>4.1666666666666172E-3</v>
      </c>
      <c r="H641" t="s">
        <v>11</v>
      </c>
    </row>
    <row r="642" spans="1:8" x14ac:dyDescent="0.25">
      <c r="A642" s="12">
        <v>42353</v>
      </c>
      <c r="B642" s="12">
        <v>42353</v>
      </c>
      <c r="C642" s="12">
        <v>42353</v>
      </c>
      <c r="D642" s="6">
        <v>4.5138888888888888E-2</v>
      </c>
      <c r="E642" s="6">
        <v>6.7361111111111108E-2</v>
      </c>
      <c r="F642" s="6">
        <f t="shared" si="20"/>
        <v>2.222222222222222E-2</v>
      </c>
      <c r="G642" s="3">
        <f t="shared" ref="G642:G687" si="21">ABS(F643-F642)</f>
        <v>6.9444444444442116E-4</v>
      </c>
      <c r="H642" t="s">
        <v>11</v>
      </c>
    </row>
    <row r="643" spans="1:8" x14ac:dyDescent="0.25">
      <c r="A643" s="12">
        <v>42353</v>
      </c>
      <c r="B643" s="12">
        <v>42353</v>
      </c>
      <c r="C643" s="12">
        <v>42353</v>
      </c>
      <c r="D643" s="6">
        <v>0.3666666666666667</v>
      </c>
      <c r="E643" s="6">
        <v>0.38958333333333334</v>
      </c>
      <c r="F643" s="6">
        <f t="shared" si="20"/>
        <v>2.2916666666666641E-2</v>
      </c>
      <c r="G643" s="3">
        <f t="shared" si="21"/>
        <v>1.1805555555555569E-2</v>
      </c>
      <c r="H643" t="s">
        <v>11</v>
      </c>
    </row>
    <row r="644" spans="1:8" x14ac:dyDescent="0.25">
      <c r="A644" s="12">
        <v>42353</v>
      </c>
      <c r="B644" s="12">
        <v>42353</v>
      </c>
      <c r="C644" s="12">
        <v>42353</v>
      </c>
      <c r="D644" s="6">
        <v>0.42083333333333334</v>
      </c>
      <c r="E644" s="6">
        <v>0.45555555555555555</v>
      </c>
      <c r="F644" s="6">
        <f t="shared" si="20"/>
        <v>3.472222222222221E-2</v>
      </c>
      <c r="G644" s="3">
        <f t="shared" si="21"/>
        <v>1.5277777777777779E-2</v>
      </c>
      <c r="H644" t="s">
        <v>11</v>
      </c>
    </row>
    <row r="645" spans="1:8" x14ac:dyDescent="0.25">
      <c r="A645" s="12">
        <v>42353</v>
      </c>
      <c r="B645" s="12">
        <v>42353</v>
      </c>
      <c r="C645" s="12">
        <v>42353</v>
      </c>
      <c r="D645" s="6">
        <v>0.47500000000000003</v>
      </c>
      <c r="E645" s="6">
        <v>0.49444444444444446</v>
      </c>
      <c r="F645" s="6">
        <f t="shared" si="20"/>
        <v>1.9444444444444431E-2</v>
      </c>
      <c r="G645" s="3">
        <f t="shared" si="21"/>
        <v>3.4722222222223764E-3</v>
      </c>
      <c r="H645" t="s">
        <v>11</v>
      </c>
    </row>
    <row r="646" spans="1:8" x14ac:dyDescent="0.25">
      <c r="A646" s="12">
        <v>42353</v>
      </c>
      <c r="B646" s="12">
        <v>42353</v>
      </c>
      <c r="C646" s="12">
        <v>42353</v>
      </c>
      <c r="D646" s="6">
        <v>0.64513888888888882</v>
      </c>
      <c r="E646" s="6">
        <v>0.66805555555555562</v>
      </c>
      <c r="F646" s="6">
        <f t="shared" si="20"/>
        <v>2.2916666666666807E-2</v>
      </c>
      <c r="G646" s="3">
        <f t="shared" si="21"/>
        <v>6.94444444444553E-4</v>
      </c>
      <c r="H646" t="s">
        <v>11</v>
      </c>
    </row>
    <row r="647" spans="1:8" x14ac:dyDescent="0.25">
      <c r="A647" s="12">
        <v>42353</v>
      </c>
      <c r="B647" s="12">
        <v>42353</v>
      </c>
      <c r="C647" s="12">
        <v>42353</v>
      </c>
      <c r="D647" s="6">
        <v>0.70416666666666661</v>
      </c>
      <c r="E647" s="6">
        <v>0.72638888888888886</v>
      </c>
      <c r="F647" s="6">
        <f t="shared" si="20"/>
        <v>2.2222222222222254E-2</v>
      </c>
      <c r="G647" s="3">
        <f t="shared" si="21"/>
        <v>6.9444444444444198E-3</v>
      </c>
      <c r="H647" t="s">
        <v>11</v>
      </c>
    </row>
    <row r="648" spans="1:8" x14ac:dyDescent="0.25">
      <c r="A648" s="12">
        <v>42353</v>
      </c>
      <c r="B648" s="12">
        <v>42353</v>
      </c>
      <c r="C648" s="12">
        <v>42353</v>
      </c>
      <c r="D648" s="6">
        <v>0.95486111111111116</v>
      </c>
      <c r="E648" s="6">
        <v>0.98402777777777783</v>
      </c>
      <c r="F648" s="6">
        <f t="shared" si="20"/>
        <v>2.9166666666666674E-2</v>
      </c>
      <c r="G648" s="3">
        <f t="shared" si="21"/>
        <v>6.9444444444445308E-3</v>
      </c>
      <c r="H648" t="s">
        <v>11</v>
      </c>
    </row>
    <row r="649" spans="1:8" x14ac:dyDescent="0.25">
      <c r="A649" s="12">
        <v>42353</v>
      </c>
      <c r="B649" s="12">
        <v>42353</v>
      </c>
      <c r="C649" s="12">
        <v>42353</v>
      </c>
      <c r="D649" s="6">
        <v>0.59027777777777779</v>
      </c>
      <c r="E649" s="6">
        <v>0.61249999999999993</v>
      </c>
      <c r="F649" s="6">
        <f t="shared" si="20"/>
        <v>2.2222222222222143E-2</v>
      </c>
      <c r="G649" s="3">
        <f t="shared" si="21"/>
        <v>0</v>
      </c>
      <c r="H649" t="s">
        <v>11</v>
      </c>
    </row>
    <row r="650" spans="1:8" x14ac:dyDescent="0.25">
      <c r="A650" s="12">
        <v>42353</v>
      </c>
      <c r="B650" s="12">
        <v>42353</v>
      </c>
      <c r="C650" s="12">
        <v>42353</v>
      </c>
      <c r="D650" s="6">
        <v>0.94930555555555562</v>
      </c>
      <c r="E650" s="6">
        <v>0.97152777777777777</v>
      </c>
      <c r="F650" s="6">
        <f t="shared" si="20"/>
        <v>2.2222222222222143E-2</v>
      </c>
      <c r="G650" s="3">
        <f t="shared" si="21"/>
        <v>3.4722222222222099E-3</v>
      </c>
      <c r="H650" t="s">
        <v>11</v>
      </c>
    </row>
    <row r="651" spans="1:8" x14ac:dyDescent="0.25">
      <c r="A651" s="12">
        <v>42353</v>
      </c>
      <c r="B651" s="12">
        <v>42353</v>
      </c>
      <c r="C651" s="12">
        <v>42353</v>
      </c>
      <c r="D651" s="6">
        <v>0.8222222222222223</v>
      </c>
      <c r="E651" s="6">
        <v>0.84097222222222223</v>
      </c>
      <c r="F651" s="6">
        <f t="shared" si="20"/>
        <v>1.8749999999999933E-2</v>
      </c>
      <c r="G651" s="3">
        <f t="shared" si="21"/>
        <v>5.5555555555555358E-3</v>
      </c>
      <c r="H651" t="s">
        <v>11</v>
      </c>
    </row>
    <row r="652" spans="1:8" x14ac:dyDescent="0.25">
      <c r="A652" s="12">
        <v>42353</v>
      </c>
      <c r="B652" s="12">
        <v>42353</v>
      </c>
      <c r="C652" s="12">
        <v>42353</v>
      </c>
      <c r="D652" s="6">
        <v>0.41388888888888892</v>
      </c>
      <c r="E652" s="6">
        <v>0.42708333333333331</v>
      </c>
      <c r="F652" s="6">
        <f t="shared" si="20"/>
        <v>1.3194444444444398E-2</v>
      </c>
      <c r="G652" s="3">
        <f t="shared" si="21"/>
        <v>6.94444444444553E-4</v>
      </c>
      <c r="H652" t="s">
        <v>11</v>
      </c>
    </row>
    <row r="653" spans="1:8" x14ac:dyDescent="0.25">
      <c r="A653" s="12">
        <v>42353</v>
      </c>
      <c r="B653" s="12">
        <v>42353</v>
      </c>
      <c r="C653" s="12">
        <v>42353</v>
      </c>
      <c r="D653" s="6">
        <v>0.57291666666666663</v>
      </c>
      <c r="E653" s="6">
        <v>0.58680555555555558</v>
      </c>
      <c r="F653" s="6">
        <f t="shared" si="20"/>
        <v>1.3888888888888951E-2</v>
      </c>
      <c r="G653" s="3">
        <f t="shared" si="21"/>
        <v>2.7777777777777679E-3</v>
      </c>
      <c r="H653" t="s">
        <v>11</v>
      </c>
    </row>
    <row r="654" spans="1:8" x14ac:dyDescent="0.25">
      <c r="A654" s="12">
        <v>42353</v>
      </c>
      <c r="B654" s="12">
        <v>42353</v>
      </c>
      <c r="C654" s="12">
        <v>42353</v>
      </c>
      <c r="D654" s="6">
        <v>0.84166666666666667</v>
      </c>
      <c r="E654" s="6">
        <v>0.85833333333333339</v>
      </c>
      <c r="F654" s="6">
        <f t="shared" si="20"/>
        <v>1.6666666666666718E-2</v>
      </c>
      <c r="G654" s="3">
        <f t="shared" si="21"/>
        <v>1.5972222222222165E-2</v>
      </c>
      <c r="H654" t="s">
        <v>11</v>
      </c>
    </row>
    <row r="655" spans="1:8" x14ac:dyDescent="0.25">
      <c r="A655" s="12">
        <v>42353</v>
      </c>
      <c r="B655" s="12">
        <v>42353</v>
      </c>
      <c r="C655" s="12">
        <v>42353</v>
      </c>
      <c r="D655" s="6">
        <v>0.43333333333333335</v>
      </c>
      <c r="E655" s="6">
        <v>0.46597222222222223</v>
      </c>
      <c r="F655" s="6">
        <f t="shared" si="20"/>
        <v>3.2638888888888884E-2</v>
      </c>
      <c r="G655" s="3">
        <f t="shared" si="21"/>
        <v>1.5972222222222276E-2</v>
      </c>
      <c r="H655" t="s">
        <v>11</v>
      </c>
    </row>
    <row r="656" spans="1:8" x14ac:dyDescent="0.25">
      <c r="A656" s="12">
        <v>42353</v>
      </c>
      <c r="B656" s="12">
        <v>42353</v>
      </c>
      <c r="C656" s="12">
        <v>42353</v>
      </c>
      <c r="D656" s="6">
        <v>1.0208333333333333</v>
      </c>
      <c r="E656" s="6">
        <v>1.0374999999999999</v>
      </c>
      <c r="F656" s="6">
        <f t="shared" si="20"/>
        <v>1.6666666666666607E-2</v>
      </c>
      <c r="G656" s="3">
        <f t="shared" si="21"/>
        <v>7.6388888888889728E-3</v>
      </c>
      <c r="H656" t="s">
        <v>11</v>
      </c>
    </row>
    <row r="657" spans="1:8" x14ac:dyDescent="0.25">
      <c r="A657" s="12">
        <v>42353</v>
      </c>
      <c r="B657" s="12">
        <v>42353</v>
      </c>
      <c r="C657" s="12">
        <v>42353</v>
      </c>
      <c r="D657" s="6">
        <v>0.55347222222222225</v>
      </c>
      <c r="E657" s="6">
        <v>0.57777777777777783</v>
      </c>
      <c r="F657" s="6">
        <f t="shared" si="20"/>
        <v>2.430555555555558E-2</v>
      </c>
      <c r="G657" s="3">
        <f t="shared" si="21"/>
        <v>2.083333333333437E-3</v>
      </c>
      <c r="H657" t="s">
        <v>11</v>
      </c>
    </row>
    <row r="658" spans="1:8" x14ac:dyDescent="0.25">
      <c r="A658" s="12">
        <v>42353</v>
      </c>
      <c r="B658" s="12">
        <v>42353</v>
      </c>
      <c r="C658" s="12">
        <v>42353</v>
      </c>
      <c r="D658" s="6">
        <v>0.57500000000000007</v>
      </c>
      <c r="E658" s="6">
        <v>0.59722222222222221</v>
      </c>
      <c r="F658" s="6">
        <f t="shared" si="20"/>
        <v>2.2222222222222143E-2</v>
      </c>
      <c r="G658" s="3">
        <f t="shared" si="21"/>
        <v>2.7777777777776569E-3</v>
      </c>
      <c r="H658" t="s">
        <v>11</v>
      </c>
    </row>
    <row r="659" spans="1:8" x14ac:dyDescent="0.25">
      <c r="A659" s="12">
        <v>42353</v>
      </c>
      <c r="B659" s="12">
        <v>42353</v>
      </c>
      <c r="C659" s="12">
        <v>42353</v>
      </c>
      <c r="D659" s="6">
        <v>0.65694444444444444</v>
      </c>
      <c r="E659" s="6">
        <v>0.67638888888888893</v>
      </c>
      <c r="F659" s="6">
        <f t="shared" si="20"/>
        <v>1.9444444444444486E-2</v>
      </c>
      <c r="G659" s="3">
        <f t="shared" si="21"/>
        <v>2.0833333333333259E-3</v>
      </c>
      <c r="H659" t="s">
        <v>11</v>
      </c>
    </row>
    <row r="660" spans="1:8" x14ac:dyDescent="0.25">
      <c r="A660" s="12">
        <v>42353</v>
      </c>
      <c r="B660" s="12">
        <v>42353</v>
      </c>
      <c r="C660" s="12">
        <v>42353</v>
      </c>
      <c r="D660" s="6">
        <v>0.78472222222222221</v>
      </c>
      <c r="E660" s="6">
        <v>0.80625000000000002</v>
      </c>
      <c r="F660" s="6">
        <f t="shared" si="20"/>
        <v>2.1527777777777812E-2</v>
      </c>
      <c r="G660" s="3">
        <f t="shared" si="21"/>
        <v>2.083333333333437E-3</v>
      </c>
      <c r="H660" t="s">
        <v>11</v>
      </c>
    </row>
    <row r="661" spans="1:8" x14ac:dyDescent="0.25">
      <c r="A661" s="12">
        <v>42353</v>
      </c>
      <c r="B661" s="12">
        <v>42353</v>
      </c>
      <c r="C661" s="12">
        <v>42353</v>
      </c>
      <c r="D661" s="6">
        <v>0.94791666666666663</v>
      </c>
      <c r="E661" s="6">
        <v>0.96736111111111101</v>
      </c>
      <c r="F661" s="6">
        <f t="shared" si="20"/>
        <v>1.9444444444444375E-2</v>
      </c>
      <c r="G661" s="3">
        <f t="shared" si="21"/>
        <v>7.6388888888887507E-3</v>
      </c>
      <c r="H661" t="s">
        <v>11</v>
      </c>
    </row>
    <row r="662" spans="1:8" x14ac:dyDescent="0.25">
      <c r="A662" s="12">
        <v>42353</v>
      </c>
      <c r="B662" s="12">
        <v>42353</v>
      </c>
      <c r="C662" s="12">
        <v>42353</v>
      </c>
      <c r="D662" s="6">
        <v>1.0062499999999999</v>
      </c>
      <c r="E662" s="6">
        <v>1.0180555555555555</v>
      </c>
      <c r="F662" s="6">
        <f t="shared" si="20"/>
        <v>1.1805555555555625E-2</v>
      </c>
      <c r="G662" s="3">
        <f t="shared" si="21"/>
        <v>1.7361111111111049E-2</v>
      </c>
      <c r="H662" t="s">
        <v>11</v>
      </c>
    </row>
    <row r="663" spans="1:8" x14ac:dyDescent="0.25">
      <c r="A663" s="12">
        <v>42353</v>
      </c>
      <c r="B663" s="12">
        <v>42353</v>
      </c>
      <c r="C663" s="12">
        <v>42353</v>
      </c>
      <c r="D663" s="6">
        <v>0.45277777777777778</v>
      </c>
      <c r="E663" s="6">
        <v>0.48194444444444445</v>
      </c>
      <c r="F663" s="6">
        <f t="shared" si="20"/>
        <v>2.9166666666666674E-2</v>
      </c>
      <c r="G663" s="3">
        <f t="shared" si="21"/>
        <v>1.0416666666666519E-2</v>
      </c>
      <c r="H663" t="s">
        <v>11</v>
      </c>
    </row>
    <row r="664" spans="1:8" x14ac:dyDescent="0.25">
      <c r="A664" s="12">
        <v>42353</v>
      </c>
      <c r="B664" s="12">
        <v>42353</v>
      </c>
      <c r="C664" s="12">
        <v>42353</v>
      </c>
      <c r="D664" s="6">
        <v>0.77430555555555547</v>
      </c>
      <c r="E664" s="6">
        <v>0.79305555555555562</v>
      </c>
      <c r="F664" s="6">
        <f t="shared" si="20"/>
        <v>1.8750000000000155E-2</v>
      </c>
      <c r="G664" s="3">
        <f t="shared" si="21"/>
        <v>6.9444444444421993E-4</v>
      </c>
      <c r="H664" t="s">
        <v>11</v>
      </c>
    </row>
    <row r="665" spans="1:8" x14ac:dyDescent="0.25">
      <c r="A665" s="12">
        <v>42353</v>
      </c>
      <c r="B665" s="12">
        <v>42353</v>
      </c>
      <c r="C665" s="12">
        <v>42353</v>
      </c>
      <c r="D665" s="6">
        <v>0.95277777777777783</v>
      </c>
      <c r="E665" s="6">
        <v>0.97222222222222221</v>
      </c>
      <c r="F665" s="6">
        <f t="shared" si="20"/>
        <v>1.9444444444444375E-2</v>
      </c>
      <c r="G665" s="3"/>
      <c r="H665" t="s">
        <v>11</v>
      </c>
    </row>
    <row r="666" spans="1:8" x14ac:dyDescent="0.25">
      <c r="A666" s="12">
        <v>42353</v>
      </c>
      <c r="B666" s="12">
        <v>42353</v>
      </c>
      <c r="C666" s="12">
        <v>42353</v>
      </c>
      <c r="D666" s="6">
        <v>0.53749999999999998</v>
      </c>
      <c r="E666" s="6">
        <v>0.55069444444444449</v>
      </c>
      <c r="F666" s="6">
        <f t="shared" si="20"/>
        <v>1.3194444444444509E-2</v>
      </c>
      <c r="G666" s="3">
        <f t="shared" si="21"/>
        <v>1.388888888888884E-3</v>
      </c>
      <c r="H666" t="s">
        <v>8</v>
      </c>
    </row>
    <row r="667" spans="1:8" x14ac:dyDescent="0.25">
      <c r="A667" s="12">
        <v>42353</v>
      </c>
      <c r="B667" s="12">
        <v>42353</v>
      </c>
      <c r="C667" s="12">
        <v>42353</v>
      </c>
      <c r="D667" s="6">
        <v>0.89166666666666661</v>
      </c>
      <c r="E667" s="6">
        <v>0.90347222222222223</v>
      </c>
      <c r="F667" s="6">
        <f t="shared" si="20"/>
        <v>1.1805555555555625E-2</v>
      </c>
      <c r="G667" s="3">
        <f t="shared" si="21"/>
        <v>2.7777777777777679E-3</v>
      </c>
      <c r="H667" t="s">
        <v>8</v>
      </c>
    </row>
    <row r="668" spans="1:8" x14ac:dyDescent="0.25">
      <c r="A668" s="12">
        <v>42353</v>
      </c>
      <c r="B668" s="12">
        <v>42353</v>
      </c>
      <c r="C668" s="12">
        <v>42353</v>
      </c>
      <c r="D668" s="6">
        <v>0.59166666666666667</v>
      </c>
      <c r="E668" s="6">
        <v>0.60625000000000007</v>
      </c>
      <c r="F668" s="6">
        <f t="shared" si="20"/>
        <v>1.4583333333333393E-2</v>
      </c>
      <c r="G668" s="3">
        <f t="shared" si="21"/>
        <v>5.5555555555556468E-3</v>
      </c>
      <c r="H668" t="s">
        <v>8</v>
      </c>
    </row>
    <row r="669" spans="1:8" x14ac:dyDescent="0.25">
      <c r="A669" s="12">
        <v>42353</v>
      </c>
      <c r="B669" s="12">
        <v>42353</v>
      </c>
      <c r="C669" s="12">
        <v>42353</v>
      </c>
      <c r="D669" s="6">
        <v>0.77777777777777779</v>
      </c>
      <c r="E669" s="6">
        <v>0.78680555555555554</v>
      </c>
      <c r="F669" s="6">
        <f t="shared" si="20"/>
        <v>9.0277777777777457E-3</v>
      </c>
      <c r="G669" s="3">
        <f t="shared" si="21"/>
        <v>1.4583333333333282E-2</v>
      </c>
      <c r="H669" t="s">
        <v>8</v>
      </c>
    </row>
    <row r="670" spans="1:8" x14ac:dyDescent="0.25">
      <c r="A670" s="12">
        <v>42353</v>
      </c>
      <c r="B670" s="12">
        <v>42353</v>
      </c>
      <c r="C670" s="12">
        <v>42353</v>
      </c>
      <c r="D670" s="6">
        <v>0.87013888888888891</v>
      </c>
      <c r="E670" s="6">
        <v>0.89374999999999993</v>
      </c>
      <c r="F670" s="6">
        <f t="shared" si="20"/>
        <v>2.3611111111111027E-2</v>
      </c>
      <c r="G670" s="3">
        <f t="shared" si="21"/>
        <v>9.0277777777777457E-3</v>
      </c>
      <c r="H670" t="s">
        <v>8</v>
      </c>
    </row>
    <row r="671" spans="1:8" x14ac:dyDescent="0.25">
      <c r="A671" s="12">
        <v>42353</v>
      </c>
      <c r="B671" s="12">
        <v>42353</v>
      </c>
      <c r="C671" s="12">
        <v>42353</v>
      </c>
      <c r="D671" s="6">
        <v>0.92361111111111116</v>
      </c>
      <c r="E671" s="6">
        <v>0.93819444444444444</v>
      </c>
      <c r="F671" s="6">
        <f t="shared" si="20"/>
        <v>1.4583333333333282E-2</v>
      </c>
      <c r="G671" s="3">
        <f t="shared" si="21"/>
        <v>3.4722222222222099E-3</v>
      </c>
      <c r="H671" t="s">
        <v>8</v>
      </c>
    </row>
    <row r="672" spans="1:8" x14ac:dyDescent="0.25">
      <c r="A672" s="12">
        <v>42353</v>
      </c>
      <c r="B672" s="12">
        <v>42353</v>
      </c>
      <c r="C672" s="12">
        <v>42353</v>
      </c>
      <c r="D672" s="6">
        <v>0.84027777777777779</v>
      </c>
      <c r="E672" s="6">
        <v>0.85138888888888886</v>
      </c>
      <c r="F672" s="6">
        <f t="shared" si="20"/>
        <v>1.1111111111111072E-2</v>
      </c>
      <c r="G672" s="3">
        <f t="shared" si="21"/>
        <v>1.388888888888995E-3</v>
      </c>
      <c r="H672" t="s">
        <v>8</v>
      </c>
    </row>
    <row r="673" spans="1:8" x14ac:dyDescent="0.25">
      <c r="A673" s="12">
        <v>42353</v>
      </c>
      <c r="B673" s="12">
        <v>42353</v>
      </c>
      <c r="C673" s="12">
        <v>42353</v>
      </c>
      <c r="D673" s="6">
        <v>0.86319444444444438</v>
      </c>
      <c r="E673" s="6">
        <v>0.87569444444444444</v>
      </c>
      <c r="F673" s="6">
        <f t="shared" si="20"/>
        <v>1.2500000000000067E-2</v>
      </c>
      <c r="G673" s="3">
        <f t="shared" si="21"/>
        <v>9.7222222222220767E-3</v>
      </c>
      <c r="H673" t="s">
        <v>8</v>
      </c>
    </row>
    <row r="674" spans="1:8" x14ac:dyDescent="0.25">
      <c r="A674" s="12">
        <v>42353</v>
      </c>
      <c r="B674" s="12">
        <v>42353</v>
      </c>
      <c r="C674" s="12">
        <v>42353</v>
      </c>
      <c r="D674" s="6">
        <v>0.57500000000000007</v>
      </c>
      <c r="E674" s="6">
        <v>0.59722222222222221</v>
      </c>
      <c r="F674" s="6">
        <f t="shared" si="20"/>
        <v>2.2222222222222143E-2</v>
      </c>
      <c r="G674" s="3">
        <f t="shared" si="21"/>
        <v>1.1805555555555403E-2</v>
      </c>
      <c r="H674" t="s">
        <v>8</v>
      </c>
    </row>
    <row r="675" spans="1:8" x14ac:dyDescent="0.25">
      <c r="A675" s="12">
        <v>42353</v>
      </c>
      <c r="B675" s="12">
        <v>42353</v>
      </c>
      <c r="C675" s="12">
        <v>42353</v>
      </c>
      <c r="D675" s="6">
        <v>0.87083333333333324</v>
      </c>
      <c r="E675" s="6">
        <v>0.88124999999999998</v>
      </c>
      <c r="F675" s="6">
        <f t="shared" si="20"/>
        <v>1.0416666666666741E-2</v>
      </c>
      <c r="G675" s="3">
        <f t="shared" si="21"/>
        <v>1.5972222222222165E-2</v>
      </c>
      <c r="H675" t="s">
        <v>8</v>
      </c>
    </row>
    <row r="676" spans="1:8" x14ac:dyDescent="0.25">
      <c r="A676" s="12">
        <v>42353</v>
      </c>
      <c r="B676" s="12">
        <v>42353</v>
      </c>
      <c r="C676" s="12">
        <v>42353</v>
      </c>
      <c r="D676" s="6">
        <v>0.74652777777777779</v>
      </c>
      <c r="E676" s="6">
        <v>0.7729166666666667</v>
      </c>
      <c r="F676" s="6">
        <f t="shared" si="20"/>
        <v>2.6388888888888906E-2</v>
      </c>
      <c r="G676" s="3">
        <f t="shared" si="21"/>
        <v>1.3194444444444509E-2</v>
      </c>
      <c r="H676" t="s">
        <v>8</v>
      </c>
    </row>
    <row r="677" spans="1:8" x14ac:dyDescent="0.25">
      <c r="A677" s="12">
        <v>42353</v>
      </c>
      <c r="B677" s="12">
        <v>42353</v>
      </c>
      <c r="C677" s="12">
        <v>42353</v>
      </c>
      <c r="D677" s="6">
        <v>0.87777777777777777</v>
      </c>
      <c r="E677" s="6">
        <v>0.89097222222222217</v>
      </c>
      <c r="F677" s="6">
        <f t="shared" si="20"/>
        <v>1.3194444444444398E-2</v>
      </c>
      <c r="G677" s="3">
        <f t="shared" si="21"/>
        <v>6.2500000000000333E-3</v>
      </c>
      <c r="H677" t="s">
        <v>8</v>
      </c>
    </row>
    <row r="678" spans="1:8" x14ac:dyDescent="0.25">
      <c r="A678" s="12">
        <v>42353</v>
      </c>
      <c r="B678" s="12">
        <v>42353</v>
      </c>
      <c r="C678" s="12">
        <v>42353</v>
      </c>
      <c r="D678" s="6">
        <v>0.3666666666666667</v>
      </c>
      <c r="E678" s="6">
        <v>0.38611111111111113</v>
      </c>
      <c r="F678" s="6">
        <f t="shared" si="20"/>
        <v>1.9444444444444431E-2</v>
      </c>
      <c r="G678" s="3">
        <f t="shared" si="21"/>
        <v>1.8055555555555547E-2</v>
      </c>
      <c r="H678" t="s">
        <v>8</v>
      </c>
    </row>
    <row r="679" spans="1:8" x14ac:dyDescent="0.25">
      <c r="A679" s="12">
        <v>42353</v>
      </c>
      <c r="B679" s="12">
        <v>42353</v>
      </c>
      <c r="C679" s="12">
        <v>42353</v>
      </c>
      <c r="D679" s="6">
        <v>0.42083333333333334</v>
      </c>
      <c r="E679" s="6">
        <v>0.45833333333333331</v>
      </c>
      <c r="F679" s="6">
        <f t="shared" si="20"/>
        <v>3.7499999999999978E-2</v>
      </c>
      <c r="G679" s="3">
        <f t="shared" si="21"/>
        <v>1.7361111111111049E-2</v>
      </c>
      <c r="H679" t="s">
        <v>8</v>
      </c>
    </row>
    <row r="680" spans="1:8" x14ac:dyDescent="0.25">
      <c r="A680" s="12">
        <v>42353</v>
      </c>
      <c r="B680" s="12">
        <v>42353</v>
      </c>
      <c r="C680" s="12">
        <v>42353</v>
      </c>
      <c r="D680" s="6">
        <v>0.64513888888888882</v>
      </c>
      <c r="E680" s="6">
        <v>0.66527777777777775</v>
      </c>
      <c r="F680" s="6">
        <f t="shared" si="20"/>
        <v>2.0138888888888928E-2</v>
      </c>
      <c r="G680" s="3">
        <f t="shared" si="21"/>
        <v>1.388888888888884E-3</v>
      </c>
      <c r="H680" t="s">
        <v>8</v>
      </c>
    </row>
    <row r="681" spans="1:8" x14ac:dyDescent="0.25">
      <c r="A681" s="12">
        <v>42353</v>
      </c>
      <c r="B681" s="12">
        <v>42353</v>
      </c>
      <c r="C681" s="12">
        <v>42353</v>
      </c>
      <c r="D681" s="6">
        <v>0.66388888888888886</v>
      </c>
      <c r="E681" s="6">
        <v>0.68263888888888891</v>
      </c>
      <c r="F681" s="6">
        <f t="shared" si="20"/>
        <v>1.8750000000000044E-2</v>
      </c>
      <c r="G681" s="3">
        <f t="shared" si="21"/>
        <v>6.2500000000000888E-3</v>
      </c>
      <c r="H681" t="s">
        <v>8</v>
      </c>
    </row>
    <row r="682" spans="1:8" x14ac:dyDescent="0.25">
      <c r="A682" s="12">
        <v>42353</v>
      </c>
      <c r="B682" s="12">
        <v>42353</v>
      </c>
      <c r="C682" s="12">
        <v>42353</v>
      </c>
      <c r="D682" s="6">
        <v>0.71388888888888891</v>
      </c>
      <c r="E682" s="6">
        <v>0.72638888888888886</v>
      </c>
      <c r="F682" s="6">
        <f t="shared" si="20"/>
        <v>1.2499999999999956E-2</v>
      </c>
      <c r="G682" s="3">
        <f t="shared" si="21"/>
        <v>2.7777777777777679E-3</v>
      </c>
      <c r="H682" t="s">
        <v>8</v>
      </c>
    </row>
    <row r="683" spans="1:8" x14ac:dyDescent="0.25">
      <c r="A683" s="12">
        <v>42353</v>
      </c>
      <c r="B683" s="12">
        <v>42353</v>
      </c>
      <c r="C683" s="12">
        <v>42353</v>
      </c>
      <c r="D683" s="6">
        <v>0.51527777777777783</v>
      </c>
      <c r="E683" s="6">
        <v>0.52500000000000002</v>
      </c>
      <c r="F683" s="6">
        <f t="shared" si="20"/>
        <v>9.7222222222221877E-3</v>
      </c>
      <c r="G683" s="3">
        <f t="shared" si="21"/>
        <v>1.5972222222222276E-2</v>
      </c>
      <c r="H683" t="s">
        <v>8</v>
      </c>
    </row>
    <row r="684" spans="1:8" x14ac:dyDescent="0.25">
      <c r="A684" s="12">
        <v>42353</v>
      </c>
      <c r="B684" s="12">
        <v>42353</v>
      </c>
      <c r="C684" s="12">
        <v>42353</v>
      </c>
      <c r="D684" s="6">
        <v>0.79999999999999993</v>
      </c>
      <c r="E684" s="6">
        <v>0.8256944444444444</v>
      </c>
      <c r="F684" s="6">
        <f t="shared" si="20"/>
        <v>2.5694444444444464E-2</v>
      </c>
      <c r="G684" s="3">
        <f t="shared" si="21"/>
        <v>2.083333333333337E-2</v>
      </c>
      <c r="H684" t="s">
        <v>8</v>
      </c>
    </row>
    <row r="685" spans="1:8" x14ac:dyDescent="0.25">
      <c r="A685" s="12">
        <v>42353</v>
      </c>
      <c r="B685" s="12">
        <v>42353</v>
      </c>
      <c r="C685" s="12">
        <v>42353</v>
      </c>
      <c r="D685" s="6">
        <v>0.65</v>
      </c>
      <c r="E685" s="6">
        <v>0.65486111111111112</v>
      </c>
      <c r="F685" s="6">
        <f t="shared" si="20"/>
        <v>4.8611111111110938E-3</v>
      </c>
      <c r="G685" s="3">
        <f t="shared" si="21"/>
        <v>5.5555555555555913E-3</v>
      </c>
      <c r="H685" t="s">
        <v>8</v>
      </c>
    </row>
    <row r="686" spans="1:8" x14ac:dyDescent="0.25">
      <c r="A686" s="12">
        <v>42353</v>
      </c>
      <c r="B686" s="12">
        <v>42353</v>
      </c>
      <c r="C686" s="12">
        <v>42353</v>
      </c>
      <c r="D686" s="6">
        <v>0.3034722222222222</v>
      </c>
      <c r="E686" s="6">
        <v>0.31388888888888888</v>
      </c>
      <c r="F686" s="6">
        <f t="shared" si="20"/>
        <v>1.0416666666666685E-2</v>
      </c>
      <c r="G686" s="3">
        <f t="shared" si="21"/>
        <v>1.3888888888888284E-3</v>
      </c>
      <c r="H686" t="s">
        <v>8</v>
      </c>
    </row>
    <row r="687" spans="1:8" x14ac:dyDescent="0.25">
      <c r="A687" s="12">
        <v>42353</v>
      </c>
      <c r="B687" s="12">
        <v>42353</v>
      </c>
      <c r="C687" s="12">
        <v>42353</v>
      </c>
      <c r="D687" s="6">
        <v>0.52569444444444446</v>
      </c>
      <c r="E687" s="6">
        <v>0.53749999999999998</v>
      </c>
      <c r="F687" s="6">
        <f t="shared" si="20"/>
        <v>1.1805555555555514E-2</v>
      </c>
      <c r="G687" s="3">
        <f t="shared" si="21"/>
        <v>2.7777777777777679E-3</v>
      </c>
      <c r="H687" t="s">
        <v>8</v>
      </c>
    </row>
    <row r="688" spans="1:8" x14ac:dyDescent="0.25">
      <c r="A688" s="12">
        <v>42353</v>
      </c>
      <c r="B688" s="12">
        <v>42353</v>
      </c>
      <c r="C688" s="12">
        <v>42353</v>
      </c>
      <c r="D688" s="6">
        <v>0.95972222222222225</v>
      </c>
      <c r="E688" s="6">
        <v>0.97430555555555554</v>
      </c>
      <c r="F688" s="6">
        <f t="shared" si="20"/>
        <v>1.4583333333333282E-2</v>
      </c>
      <c r="H688" t="s">
        <v>8</v>
      </c>
    </row>
    <row r="689" spans="1:10" x14ac:dyDescent="0.25">
      <c r="A689" s="12">
        <v>42353</v>
      </c>
      <c r="B689" s="12">
        <v>42353</v>
      </c>
      <c r="C689" s="12"/>
    </row>
    <row r="690" spans="1:10" x14ac:dyDescent="0.25">
      <c r="A690" s="12">
        <v>42353</v>
      </c>
      <c r="B690" s="12">
        <v>42353</v>
      </c>
      <c r="C690" s="12"/>
    </row>
    <row r="691" spans="1:10" x14ac:dyDescent="0.25">
      <c r="A691" s="12">
        <v>42353</v>
      </c>
      <c r="B691" s="12">
        <v>42353</v>
      </c>
      <c r="C691" s="12"/>
    </row>
    <row r="692" spans="1:10" x14ac:dyDescent="0.25">
      <c r="A692" s="12">
        <v>42353</v>
      </c>
      <c r="B692" s="12">
        <v>42353</v>
      </c>
      <c r="C692" s="12"/>
    </row>
    <row r="693" spans="1:10" x14ac:dyDescent="0.25">
      <c r="A693" s="12">
        <v>42353</v>
      </c>
      <c r="B693" s="12">
        <v>42353</v>
      </c>
      <c r="C693" s="12"/>
    </row>
    <row r="694" spans="1:10" x14ac:dyDescent="0.25">
      <c r="A694" s="12">
        <v>42353</v>
      </c>
      <c r="B694" s="12">
        <v>42353</v>
      </c>
      <c r="C694" s="12"/>
    </row>
    <row r="695" spans="1:10" s="6" customFormat="1" x14ac:dyDescent="0.25">
      <c r="A695" s="12">
        <v>42353</v>
      </c>
      <c r="B695" s="12">
        <v>42353</v>
      </c>
      <c r="C695" s="12"/>
      <c r="F695"/>
      <c r="G695"/>
      <c r="H695"/>
      <c r="I695"/>
      <c r="J695"/>
    </row>
    <row r="696" spans="1:10" s="6" customFormat="1" x14ac:dyDescent="0.25">
      <c r="A696" s="12">
        <v>42353</v>
      </c>
      <c r="B696" s="12">
        <v>42353</v>
      </c>
      <c r="C696" s="12"/>
      <c r="F696"/>
      <c r="G696"/>
      <c r="H696"/>
      <c r="I696"/>
      <c r="J696"/>
    </row>
    <row r="697" spans="1:10" s="6" customFormat="1" x14ac:dyDescent="0.25">
      <c r="A697" s="12">
        <v>42353</v>
      </c>
      <c r="B697" s="12">
        <v>42353</v>
      </c>
      <c r="C697" s="12"/>
      <c r="F697"/>
      <c r="G697"/>
      <c r="H697"/>
      <c r="I697"/>
      <c r="J697"/>
    </row>
    <row r="698" spans="1:10" s="6" customFormat="1" x14ac:dyDescent="0.25">
      <c r="A698" s="12">
        <v>42353</v>
      </c>
      <c r="B698" s="12">
        <v>42353</v>
      </c>
      <c r="C698" s="12"/>
      <c r="F698"/>
      <c r="G698"/>
      <c r="H698"/>
      <c r="I698"/>
      <c r="J698"/>
    </row>
    <row r="699" spans="1:10" s="6" customFormat="1" x14ac:dyDescent="0.25">
      <c r="A699" s="12">
        <v>42353</v>
      </c>
      <c r="B699" s="12">
        <v>42353</v>
      </c>
      <c r="C699" s="12"/>
      <c r="F699"/>
      <c r="G699"/>
      <c r="H699"/>
      <c r="I699"/>
      <c r="J699"/>
    </row>
    <row r="700" spans="1:10" s="6" customFormat="1" x14ac:dyDescent="0.25">
      <c r="A700" s="12">
        <v>42353</v>
      </c>
      <c r="B700" s="12">
        <v>42353</v>
      </c>
      <c r="C700" s="12"/>
      <c r="F700"/>
      <c r="G700"/>
      <c r="H700"/>
      <c r="I700"/>
      <c r="J700"/>
    </row>
    <row r="701" spans="1:10" s="6" customFormat="1" x14ac:dyDescent="0.25">
      <c r="A701" s="12">
        <v>42353</v>
      </c>
      <c r="B701" s="12">
        <v>42353</v>
      </c>
      <c r="C701" s="12"/>
      <c r="F701"/>
      <c r="G701"/>
      <c r="H701"/>
      <c r="I701"/>
      <c r="J701"/>
    </row>
    <row r="702" spans="1:10" s="6" customFormat="1" x14ac:dyDescent="0.25">
      <c r="A702" s="12">
        <v>42353</v>
      </c>
      <c r="B702" s="12">
        <v>42353</v>
      </c>
      <c r="C702" s="12"/>
      <c r="F702"/>
      <c r="G702"/>
      <c r="H702"/>
      <c r="I702"/>
      <c r="J702"/>
    </row>
    <row r="703" spans="1:10" s="6" customFormat="1" x14ac:dyDescent="0.25">
      <c r="A703" s="12">
        <v>42353</v>
      </c>
      <c r="B703" s="12">
        <v>42353</v>
      </c>
      <c r="C703" s="12"/>
      <c r="F703"/>
      <c r="G703"/>
      <c r="H703"/>
      <c r="I703"/>
      <c r="J703"/>
    </row>
    <row r="704" spans="1:10" s="6" customFormat="1" x14ac:dyDescent="0.25">
      <c r="A704" s="12">
        <v>42353</v>
      </c>
      <c r="B704" s="12">
        <v>42353</v>
      </c>
      <c r="C704" s="12"/>
      <c r="F704"/>
      <c r="G704"/>
      <c r="H704"/>
      <c r="I704"/>
      <c r="J704"/>
    </row>
    <row r="705" spans="1:10" s="6" customFormat="1" x14ac:dyDescent="0.25">
      <c r="A705" s="12">
        <v>42353</v>
      </c>
      <c r="B705" s="12">
        <v>42353</v>
      </c>
      <c r="C705" s="12"/>
      <c r="F705"/>
      <c r="G705"/>
      <c r="H705"/>
      <c r="I705"/>
      <c r="J705"/>
    </row>
    <row r="706" spans="1:10" s="6" customFormat="1" x14ac:dyDescent="0.25">
      <c r="A706" s="12">
        <v>42353</v>
      </c>
      <c r="B706" s="12">
        <v>42353</v>
      </c>
      <c r="C706" s="12"/>
      <c r="F706"/>
      <c r="G706"/>
      <c r="H706"/>
      <c r="I706"/>
      <c r="J706"/>
    </row>
    <row r="707" spans="1:10" s="6" customFormat="1" x14ac:dyDescent="0.25">
      <c r="A707" s="12">
        <v>42353</v>
      </c>
      <c r="B707" s="12">
        <v>42353</v>
      </c>
      <c r="C707" s="12"/>
      <c r="F707"/>
      <c r="G707"/>
      <c r="H707"/>
      <c r="I707"/>
      <c r="J707"/>
    </row>
    <row r="708" spans="1:10" s="6" customFormat="1" x14ac:dyDescent="0.25">
      <c r="A708" s="12">
        <v>42353</v>
      </c>
      <c r="B708" s="12">
        <v>42353</v>
      </c>
      <c r="C708" s="12"/>
      <c r="F708"/>
      <c r="G708"/>
      <c r="H708"/>
      <c r="I708"/>
      <c r="J708"/>
    </row>
    <row r="709" spans="1:10" s="6" customFormat="1" x14ac:dyDescent="0.25">
      <c r="A709" s="12">
        <v>42353</v>
      </c>
      <c r="B709" s="12">
        <v>42353</v>
      </c>
      <c r="C709" s="12"/>
      <c r="F709"/>
      <c r="G709"/>
      <c r="H709"/>
      <c r="I709"/>
      <c r="J709"/>
    </row>
    <row r="710" spans="1:10" s="6" customFormat="1" x14ac:dyDescent="0.25">
      <c r="A710" s="12">
        <v>42353</v>
      </c>
      <c r="B710" s="12">
        <v>42353</v>
      </c>
      <c r="C710" s="12"/>
      <c r="F710"/>
      <c r="G710"/>
      <c r="H710"/>
      <c r="I710"/>
      <c r="J710"/>
    </row>
    <row r="711" spans="1:10" s="6" customFormat="1" x14ac:dyDescent="0.25">
      <c r="A711" s="12">
        <v>42353</v>
      </c>
      <c r="B711" s="12">
        <v>42353</v>
      </c>
      <c r="C711" s="12"/>
      <c r="F711"/>
      <c r="G711"/>
      <c r="H711"/>
      <c r="I711"/>
      <c r="J711"/>
    </row>
    <row r="712" spans="1:10" s="6" customFormat="1" x14ac:dyDescent="0.25">
      <c r="A712" s="12">
        <v>42353</v>
      </c>
      <c r="B712" s="12">
        <v>42353</v>
      </c>
      <c r="C712" s="12"/>
      <c r="F712"/>
      <c r="G712"/>
      <c r="H712"/>
      <c r="I712"/>
      <c r="J712"/>
    </row>
    <row r="713" spans="1:10" s="6" customFormat="1" x14ac:dyDescent="0.25">
      <c r="A713" s="12">
        <v>42353</v>
      </c>
      <c r="B713" s="12">
        <v>42353</v>
      </c>
      <c r="C713" s="12"/>
      <c r="F713"/>
      <c r="G713"/>
      <c r="H713"/>
      <c r="I713"/>
      <c r="J713"/>
    </row>
    <row r="714" spans="1:10" s="6" customFormat="1" x14ac:dyDescent="0.25">
      <c r="A714" s="12">
        <v>42353</v>
      </c>
      <c r="B714" s="12">
        <v>42353</v>
      </c>
      <c r="C714" s="12"/>
      <c r="F714"/>
      <c r="G714"/>
      <c r="H714"/>
      <c r="I714"/>
      <c r="J714"/>
    </row>
    <row r="715" spans="1:10" s="6" customFormat="1" x14ac:dyDescent="0.25">
      <c r="A715" s="12">
        <v>42353</v>
      </c>
      <c r="B715" s="12">
        <v>42353</v>
      </c>
      <c r="C715" s="12"/>
      <c r="F715"/>
      <c r="G715"/>
      <c r="H715"/>
      <c r="I715"/>
      <c r="J715"/>
    </row>
    <row r="716" spans="1:10" s="6" customFormat="1" x14ac:dyDescent="0.25">
      <c r="A716" s="12">
        <v>42353</v>
      </c>
      <c r="B716" s="12">
        <v>42353</v>
      </c>
      <c r="C716" s="12"/>
      <c r="F716"/>
      <c r="G716"/>
      <c r="H716"/>
      <c r="I716"/>
      <c r="J716"/>
    </row>
    <row r="717" spans="1:10" s="6" customFormat="1" x14ac:dyDescent="0.25">
      <c r="A717" s="12">
        <v>42353</v>
      </c>
      <c r="B717" s="12">
        <v>42353</v>
      </c>
      <c r="C717" s="12"/>
      <c r="F717"/>
      <c r="G717"/>
      <c r="H717"/>
      <c r="I717"/>
      <c r="J717"/>
    </row>
    <row r="718" spans="1:10" s="6" customFormat="1" x14ac:dyDescent="0.25">
      <c r="A718" s="12">
        <v>42353</v>
      </c>
      <c r="B718" s="12">
        <v>42353</v>
      </c>
      <c r="C718" s="12"/>
      <c r="F718"/>
      <c r="G718"/>
      <c r="H718"/>
      <c r="I718"/>
      <c r="J718"/>
    </row>
    <row r="719" spans="1:10" s="6" customFormat="1" x14ac:dyDescent="0.25">
      <c r="A719" s="12">
        <v>42353</v>
      </c>
      <c r="B719" s="12">
        <v>42353</v>
      </c>
      <c r="C719" s="12"/>
      <c r="F719"/>
      <c r="G719"/>
      <c r="H719"/>
      <c r="I719"/>
      <c r="J719"/>
    </row>
    <row r="720" spans="1:10" s="6" customFormat="1" x14ac:dyDescent="0.25">
      <c r="A720" s="12">
        <v>42353</v>
      </c>
      <c r="B720" s="12">
        <v>42353</v>
      </c>
      <c r="C720" s="12"/>
      <c r="F720"/>
      <c r="G720"/>
      <c r="H720"/>
      <c r="I720"/>
      <c r="J720"/>
    </row>
    <row r="721" spans="1:10" s="6" customFormat="1" x14ac:dyDescent="0.25">
      <c r="A721" s="12">
        <v>42353</v>
      </c>
      <c r="B721" s="12">
        <v>42353</v>
      </c>
      <c r="C721" s="12"/>
      <c r="F721"/>
      <c r="G721"/>
      <c r="H721"/>
      <c r="I721"/>
      <c r="J721"/>
    </row>
    <row r="722" spans="1:10" s="6" customFormat="1" x14ac:dyDescent="0.25">
      <c r="A722" s="12">
        <v>42353</v>
      </c>
      <c r="B722" s="12">
        <v>42353</v>
      </c>
      <c r="C722" s="12"/>
      <c r="F722"/>
      <c r="G722"/>
      <c r="H722"/>
      <c r="I722"/>
      <c r="J722"/>
    </row>
    <row r="723" spans="1:10" s="6" customFormat="1" x14ac:dyDescent="0.25">
      <c r="A723" s="12">
        <v>42353</v>
      </c>
      <c r="B723" s="12">
        <v>42353</v>
      </c>
      <c r="C723" s="12"/>
      <c r="F723"/>
      <c r="G723"/>
      <c r="H723"/>
      <c r="I723"/>
      <c r="J723"/>
    </row>
    <row r="724" spans="1:10" s="6" customFormat="1" x14ac:dyDescent="0.25">
      <c r="A724" s="12">
        <v>42353</v>
      </c>
      <c r="B724" s="12">
        <v>42353</v>
      </c>
      <c r="C724" s="12"/>
      <c r="F724"/>
      <c r="G724"/>
      <c r="H724"/>
      <c r="I724"/>
      <c r="J724"/>
    </row>
    <row r="725" spans="1:10" s="6" customFormat="1" x14ac:dyDescent="0.25">
      <c r="A725" s="12">
        <v>42353</v>
      </c>
      <c r="B725" s="12">
        <v>42353</v>
      </c>
      <c r="C725" s="12"/>
      <c r="F725"/>
      <c r="G725"/>
      <c r="H725"/>
      <c r="I725"/>
      <c r="J725"/>
    </row>
    <row r="726" spans="1:10" s="6" customFormat="1" x14ac:dyDescent="0.25">
      <c r="A726" s="12">
        <v>42353</v>
      </c>
      <c r="B726" s="12">
        <v>42353</v>
      </c>
      <c r="C726" s="12"/>
      <c r="F726"/>
      <c r="G726"/>
      <c r="H726"/>
      <c r="I726"/>
      <c r="J726"/>
    </row>
    <row r="727" spans="1:10" s="6" customFormat="1" x14ac:dyDescent="0.25">
      <c r="A727" s="12">
        <v>42353</v>
      </c>
      <c r="B727" s="12">
        <v>42353</v>
      </c>
      <c r="C727" s="12"/>
      <c r="F727"/>
      <c r="G727"/>
      <c r="H727"/>
      <c r="I727"/>
      <c r="J727"/>
    </row>
    <row r="728" spans="1:10" s="6" customFormat="1" x14ac:dyDescent="0.25">
      <c r="A728" s="12">
        <v>42353</v>
      </c>
      <c r="B728" s="12">
        <v>42353</v>
      </c>
      <c r="C728" s="12"/>
      <c r="F728"/>
      <c r="G728"/>
      <c r="H728"/>
      <c r="I728"/>
      <c r="J728"/>
    </row>
    <row r="729" spans="1:10" s="6" customFormat="1" x14ac:dyDescent="0.25">
      <c r="A729" s="12">
        <v>42353</v>
      </c>
      <c r="B729" s="12">
        <v>42353</v>
      </c>
      <c r="C729" s="12"/>
      <c r="F729"/>
      <c r="G729"/>
      <c r="H729"/>
      <c r="I729"/>
      <c r="J729"/>
    </row>
    <row r="730" spans="1:10" s="6" customFormat="1" x14ac:dyDescent="0.25">
      <c r="A730" s="12">
        <v>42353</v>
      </c>
      <c r="B730" s="12">
        <v>42353</v>
      </c>
      <c r="C730" s="12"/>
      <c r="F730"/>
      <c r="G730"/>
      <c r="H730"/>
      <c r="I730"/>
      <c r="J730"/>
    </row>
    <row r="731" spans="1:10" s="6" customFormat="1" x14ac:dyDescent="0.25">
      <c r="A731" s="12">
        <v>42353</v>
      </c>
      <c r="B731" s="12">
        <v>42353</v>
      </c>
      <c r="C731" s="12"/>
      <c r="F731"/>
      <c r="G731"/>
      <c r="H731"/>
      <c r="I731"/>
      <c r="J731"/>
    </row>
    <row r="732" spans="1:10" s="6" customFormat="1" x14ac:dyDescent="0.25">
      <c r="A732" s="12">
        <v>42353</v>
      </c>
      <c r="B732" s="12">
        <v>42353</v>
      </c>
      <c r="C732" s="12"/>
      <c r="F732"/>
      <c r="G732"/>
      <c r="H732"/>
      <c r="I732"/>
      <c r="J732"/>
    </row>
    <row r="733" spans="1:10" s="6" customFormat="1" x14ac:dyDescent="0.25">
      <c r="A733" s="12">
        <v>42353</v>
      </c>
      <c r="B733" s="12">
        <v>42353</v>
      </c>
      <c r="C733" s="12"/>
      <c r="F733"/>
      <c r="G733"/>
      <c r="H733"/>
      <c r="I733"/>
      <c r="J733"/>
    </row>
    <row r="734" spans="1:10" s="6" customFormat="1" x14ac:dyDescent="0.25">
      <c r="A734" s="12">
        <v>42353</v>
      </c>
      <c r="B734" s="12">
        <v>42353</v>
      </c>
      <c r="C734" s="12"/>
      <c r="F734"/>
      <c r="G734"/>
      <c r="H734"/>
      <c r="I734"/>
      <c r="J734"/>
    </row>
    <row r="735" spans="1:10" s="6" customFormat="1" x14ac:dyDescent="0.25">
      <c r="A735" s="12">
        <v>42353</v>
      </c>
      <c r="B735" s="12">
        <v>42353</v>
      </c>
      <c r="C735" s="12"/>
      <c r="F735"/>
      <c r="G735"/>
      <c r="H735"/>
      <c r="I735"/>
      <c r="J735"/>
    </row>
    <row r="736" spans="1:10" s="6" customFormat="1" x14ac:dyDescent="0.25">
      <c r="A736" s="12">
        <v>42353</v>
      </c>
      <c r="B736" s="12">
        <v>42353</v>
      </c>
      <c r="C736" s="12"/>
      <c r="F736"/>
      <c r="G736"/>
      <c r="H736"/>
      <c r="I736"/>
      <c r="J736"/>
    </row>
    <row r="737" spans="1:10" s="6" customFormat="1" x14ac:dyDescent="0.25">
      <c r="A737" s="12">
        <v>42353</v>
      </c>
      <c r="B737" s="12">
        <v>42353</v>
      </c>
      <c r="C737" s="12"/>
      <c r="F737"/>
      <c r="G737"/>
      <c r="H737"/>
      <c r="I737"/>
      <c r="J737"/>
    </row>
    <row r="738" spans="1:10" s="6" customFormat="1" x14ac:dyDescent="0.25">
      <c r="A738" s="12">
        <v>42353</v>
      </c>
      <c r="B738" s="12">
        <v>42353</v>
      </c>
      <c r="C738" s="12"/>
      <c r="F738"/>
      <c r="G738"/>
      <c r="H738"/>
      <c r="I738"/>
      <c r="J738"/>
    </row>
    <row r="739" spans="1:10" s="6" customFormat="1" x14ac:dyDescent="0.25">
      <c r="A739" s="12">
        <v>42353</v>
      </c>
      <c r="B739" s="12">
        <v>42353</v>
      </c>
      <c r="C739" s="12"/>
      <c r="F739"/>
      <c r="G739"/>
      <c r="H739"/>
      <c r="I739"/>
      <c r="J739"/>
    </row>
    <row r="740" spans="1:10" s="6" customFormat="1" x14ac:dyDescent="0.25">
      <c r="A740" s="12">
        <v>42353</v>
      </c>
      <c r="B740" s="12">
        <v>42353</v>
      </c>
      <c r="C740" s="12"/>
      <c r="F740"/>
      <c r="G740"/>
      <c r="H740"/>
      <c r="I740"/>
      <c r="J740"/>
    </row>
    <row r="741" spans="1:10" s="6" customFormat="1" x14ac:dyDescent="0.25">
      <c r="A741" s="12">
        <v>42353</v>
      </c>
      <c r="B741" s="12">
        <v>42353</v>
      </c>
      <c r="C741" s="12"/>
      <c r="F741"/>
      <c r="G741"/>
      <c r="H741"/>
      <c r="I741"/>
      <c r="J741"/>
    </row>
    <row r="742" spans="1:10" s="6" customFormat="1" x14ac:dyDescent="0.25">
      <c r="A742" s="12">
        <v>42353</v>
      </c>
      <c r="B742" s="12">
        <v>42353</v>
      </c>
      <c r="C742" s="12"/>
      <c r="F742"/>
      <c r="G742"/>
      <c r="H742"/>
      <c r="I742"/>
      <c r="J742"/>
    </row>
    <row r="743" spans="1:10" s="6" customFormat="1" x14ac:dyDescent="0.25">
      <c r="A743" s="12">
        <v>42353</v>
      </c>
      <c r="B743" s="12">
        <v>42353</v>
      </c>
      <c r="C743" s="12"/>
      <c r="F743"/>
      <c r="G743"/>
      <c r="H743"/>
      <c r="I743"/>
      <c r="J743"/>
    </row>
    <row r="744" spans="1:10" s="6" customFormat="1" x14ac:dyDescent="0.25">
      <c r="A744" s="12">
        <v>42353</v>
      </c>
      <c r="B744" s="12">
        <v>42353</v>
      </c>
      <c r="C744" s="12"/>
      <c r="F744"/>
      <c r="G744"/>
      <c r="H744"/>
      <c r="I744"/>
      <c r="J744"/>
    </row>
    <row r="745" spans="1:10" s="6" customFormat="1" x14ac:dyDescent="0.25">
      <c r="A745" s="12">
        <v>42353</v>
      </c>
      <c r="B745" s="12">
        <v>42353</v>
      </c>
      <c r="C745" s="12"/>
      <c r="F745"/>
      <c r="G745"/>
      <c r="H745"/>
      <c r="I745"/>
      <c r="J745"/>
    </row>
    <row r="746" spans="1:10" s="6" customFormat="1" x14ac:dyDescent="0.25">
      <c r="A746" s="12">
        <v>42353</v>
      </c>
      <c r="B746" s="12">
        <v>42353</v>
      </c>
      <c r="C746" s="12"/>
      <c r="F746"/>
      <c r="G746"/>
      <c r="H746"/>
      <c r="I746"/>
      <c r="J746"/>
    </row>
    <row r="747" spans="1:10" s="6" customFormat="1" x14ac:dyDescent="0.25">
      <c r="A747" s="12">
        <v>42353</v>
      </c>
      <c r="B747" s="12">
        <v>42353</v>
      </c>
      <c r="C747" s="12"/>
      <c r="F747"/>
      <c r="G747"/>
      <c r="H747"/>
      <c r="I747"/>
      <c r="J747"/>
    </row>
    <row r="748" spans="1:10" s="6" customFormat="1" x14ac:dyDescent="0.25">
      <c r="A748" s="12">
        <v>42353</v>
      </c>
      <c r="B748" s="12">
        <v>42353</v>
      </c>
      <c r="C748" s="12"/>
      <c r="F748"/>
      <c r="G748"/>
      <c r="H748"/>
      <c r="I748"/>
      <c r="J748"/>
    </row>
    <row r="749" spans="1:10" s="6" customFormat="1" x14ac:dyDescent="0.25">
      <c r="A749" s="12">
        <v>42353</v>
      </c>
      <c r="B749" s="12">
        <v>42353</v>
      </c>
      <c r="C749" s="12"/>
      <c r="F749"/>
      <c r="G749"/>
      <c r="H749"/>
      <c r="I749"/>
      <c r="J749"/>
    </row>
    <row r="750" spans="1:10" s="6" customFormat="1" x14ac:dyDescent="0.25">
      <c r="A750" s="12">
        <v>42353</v>
      </c>
      <c r="B750" s="12">
        <v>42353</v>
      </c>
      <c r="C750" s="12"/>
      <c r="F750"/>
      <c r="G750"/>
      <c r="H750"/>
      <c r="I750"/>
      <c r="J750"/>
    </row>
    <row r="751" spans="1:10" s="6" customFormat="1" x14ac:dyDescent="0.25">
      <c r="A751" s="12">
        <v>42353</v>
      </c>
      <c r="B751" s="12">
        <v>42353</v>
      </c>
      <c r="C751" s="12"/>
      <c r="F751"/>
      <c r="G751"/>
      <c r="H751"/>
      <c r="I751"/>
      <c r="J751"/>
    </row>
    <row r="752" spans="1:10" s="6" customFormat="1" x14ac:dyDescent="0.25">
      <c r="A752" s="12">
        <v>42353</v>
      </c>
      <c r="B752" s="12">
        <v>42353</v>
      </c>
      <c r="C752" s="12"/>
      <c r="F752"/>
      <c r="G752"/>
      <c r="H752"/>
      <c r="I752"/>
      <c r="J752"/>
    </row>
    <row r="753" spans="1:10" s="6" customFormat="1" x14ac:dyDescent="0.25">
      <c r="A753" s="12">
        <v>42353</v>
      </c>
      <c r="B753" s="12">
        <v>42353</v>
      </c>
      <c r="C753" s="12"/>
      <c r="F753"/>
      <c r="G753"/>
      <c r="H753"/>
      <c r="I753"/>
      <c r="J753"/>
    </row>
    <row r="754" spans="1:10" s="6" customFormat="1" x14ac:dyDescent="0.25">
      <c r="A754" s="12">
        <v>42353</v>
      </c>
      <c r="B754" s="12">
        <v>42353</v>
      </c>
      <c r="C754" s="12"/>
      <c r="F754"/>
      <c r="G754"/>
      <c r="H754"/>
      <c r="I754"/>
      <c r="J754"/>
    </row>
    <row r="755" spans="1:10" s="6" customFormat="1" x14ac:dyDescent="0.25">
      <c r="A755" s="12">
        <v>42353</v>
      </c>
      <c r="B755" s="12">
        <v>42353</v>
      </c>
      <c r="C755" s="12"/>
      <c r="F755"/>
      <c r="G755"/>
      <c r="H755"/>
      <c r="I755"/>
      <c r="J755"/>
    </row>
    <row r="756" spans="1:10" s="6" customFormat="1" x14ac:dyDescent="0.25">
      <c r="A756" s="12">
        <v>42353</v>
      </c>
      <c r="B756" s="12">
        <v>42353</v>
      </c>
      <c r="C756" s="12"/>
      <c r="F756"/>
      <c r="G756"/>
      <c r="H756"/>
      <c r="I756"/>
      <c r="J756"/>
    </row>
    <row r="757" spans="1:10" s="6" customFormat="1" x14ac:dyDescent="0.25">
      <c r="A757" s="12">
        <v>42353</v>
      </c>
      <c r="B757" s="12">
        <v>42353</v>
      </c>
      <c r="C757" s="12"/>
      <c r="F757"/>
      <c r="G757"/>
      <c r="H757"/>
      <c r="I757"/>
      <c r="J757"/>
    </row>
    <row r="758" spans="1:10" s="6" customFormat="1" x14ac:dyDescent="0.25">
      <c r="A758" s="12">
        <v>42353</v>
      </c>
      <c r="B758" s="12">
        <v>42353</v>
      </c>
      <c r="C758" s="12"/>
      <c r="F758"/>
      <c r="G758"/>
      <c r="H758"/>
      <c r="I758"/>
      <c r="J758"/>
    </row>
    <row r="759" spans="1:10" s="6" customFormat="1" x14ac:dyDescent="0.25">
      <c r="A759" s="12">
        <v>42353</v>
      </c>
      <c r="B759" s="12">
        <v>42353</v>
      </c>
      <c r="C759" s="12"/>
      <c r="F759"/>
      <c r="G759"/>
      <c r="H759"/>
      <c r="I759"/>
      <c r="J759"/>
    </row>
    <row r="760" spans="1:10" s="6" customFormat="1" x14ac:dyDescent="0.25">
      <c r="A760" s="12">
        <v>42353</v>
      </c>
      <c r="B760" s="12">
        <v>42353</v>
      </c>
      <c r="C760" s="12"/>
      <c r="F760"/>
      <c r="G760"/>
      <c r="H760"/>
      <c r="I760"/>
      <c r="J760"/>
    </row>
    <row r="761" spans="1:10" s="6" customFormat="1" x14ac:dyDescent="0.25">
      <c r="A761" s="12">
        <v>42353</v>
      </c>
      <c r="B761" s="12">
        <v>42353</v>
      </c>
      <c r="C761" s="12"/>
      <c r="F761"/>
      <c r="G761"/>
      <c r="H761"/>
      <c r="I761"/>
      <c r="J761"/>
    </row>
    <row r="762" spans="1:10" s="6" customFormat="1" x14ac:dyDescent="0.25">
      <c r="A762" s="12">
        <v>42353</v>
      </c>
      <c r="B762" s="12">
        <v>42353</v>
      </c>
      <c r="C762" s="12"/>
      <c r="F762"/>
      <c r="G762"/>
      <c r="H762"/>
      <c r="I762"/>
      <c r="J762"/>
    </row>
    <row r="763" spans="1:10" s="6" customFormat="1" x14ac:dyDescent="0.25">
      <c r="A763" s="12">
        <v>42353</v>
      </c>
      <c r="B763" s="12">
        <v>42353</v>
      </c>
      <c r="C763" s="12"/>
      <c r="F763"/>
      <c r="G763"/>
      <c r="H763"/>
      <c r="I763"/>
      <c r="J763"/>
    </row>
    <row r="764" spans="1:10" s="6" customFormat="1" x14ac:dyDescent="0.25">
      <c r="A764" s="12">
        <v>42353</v>
      </c>
      <c r="B764" s="12">
        <v>42353</v>
      </c>
      <c r="C764" s="12"/>
      <c r="F764"/>
      <c r="G764"/>
      <c r="H764"/>
      <c r="I764"/>
      <c r="J764"/>
    </row>
    <row r="765" spans="1:10" s="6" customFormat="1" x14ac:dyDescent="0.25">
      <c r="A765" s="12">
        <v>42353</v>
      </c>
      <c r="B765" s="12">
        <v>42353</v>
      </c>
      <c r="C765" s="12"/>
      <c r="F765"/>
      <c r="G765"/>
      <c r="H765"/>
      <c r="I765"/>
      <c r="J765"/>
    </row>
    <row r="766" spans="1:10" s="6" customFormat="1" x14ac:dyDescent="0.25">
      <c r="A766" s="12">
        <v>42353</v>
      </c>
      <c r="B766" s="12">
        <v>42353</v>
      </c>
      <c r="C766" s="12"/>
      <c r="F766"/>
      <c r="G766"/>
      <c r="H766"/>
      <c r="I766"/>
      <c r="J766"/>
    </row>
    <row r="767" spans="1:10" s="6" customFormat="1" x14ac:dyDescent="0.25">
      <c r="A767" s="12">
        <v>42353</v>
      </c>
      <c r="B767" s="12">
        <v>42353</v>
      </c>
      <c r="C767" s="12"/>
      <c r="F767"/>
      <c r="G767"/>
      <c r="H767"/>
      <c r="I767"/>
      <c r="J767"/>
    </row>
    <row r="768" spans="1:10" s="6" customFormat="1" x14ac:dyDescent="0.25">
      <c r="A768" s="12">
        <v>42353</v>
      </c>
      <c r="B768" s="12">
        <v>42353</v>
      </c>
      <c r="C768" s="12"/>
      <c r="F768"/>
      <c r="G768"/>
      <c r="H768"/>
      <c r="I768"/>
      <c r="J768"/>
    </row>
    <row r="769" spans="1:10" s="6" customFormat="1" x14ac:dyDescent="0.25">
      <c r="A769" s="12">
        <v>42353</v>
      </c>
      <c r="B769" s="12">
        <v>42353</v>
      </c>
      <c r="C769" s="12"/>
      <c r="F769"/>
      <c r="G769"/>
      <c r="H769"/>
      <c r="I769"/>
      <c r="J769"/>
    </row>
    <row r="770" spans="1:10" s="6" customFormat="1" x14ac:dyDescent="0.25">
      <c r="A770" s="12">
        <v>42353</v>
      </c>
      <c r="B770" s="12">
        <v>42353</v>
      </c>
      <c r="C770" s="12"/>
      <c r="F770"/>
      <c r="G770"/>
      <c r="H770"/>
      <c r="I770"/>
      <c r="J770"/>
    </row>
    <row r="771" spans="1:10" s="6" customFormat="1" x14ac:dyDescent="0.25">
      <c r="A771" s="12">
        <v>42353</v>
      </c>
      <c r="B771" s="12">
        <v>42353</v>
      </c>
      <c r="C771" s="12"/>
      <c r="F771"/>
      <c r="G771"/>
      <c r="H771"/>
      <c r="I771"/>
      <c r="J771"/>
    </row>
    <row r="772" spans="1:10" s="6" customFormat="1" x14ac:dyDescent="0.25">
      <c r="A772" s="12">
        <v>42353</v>
      </c>
      <c r="B772" s="12">
        <v>42353</v>
      </c>
      <c r="C772" s="12"/>
      <c r="F772"/>
      <c r="G772"/>
      <c r="H772"/>
      <c r="I772"/>
      <c r="J772"/>
    </row>
    <row r="773" spans="1:10" s="6" customFormat="1" x14ac:dyDescent="0.25">
      <c r="A773" s="12">
        <v>42353</v>
      </c>
      <c r="B773" s="12">
        <v>42353</v>
      </c>
      <c r="C773" s="12"/>
      <c r="F773"/>
      <c r="G773"/>
      <c r="H773"/>
      <c r="I773"/>
      <c r="J773"/>
    </row>
    <row r="774" spans="1:10" s="6" customFormat="1" x14ac:dyDescent="0.25">
      <c r="A774" s="12">
        <v>42353</v>
      </c>
      <c r="B774" s="12">
        <v>42353</v>
      </c>
      <c r="C774" s="12"/>
      <c r="F774"/>
      <c r="G774"/>
      <c r="H774"/>
      <c r="I774"/>
      <c r="J774"/>
    </row>
    <row r="775" spans="1:10" s="6" customFormat="1" x14ac:dyDescent="0.25">
      <c r="A775" s="12">
        <v>42353</v>
      </c>
      <c r="B775" s="12">
        <v>42353</v>
      </c>
      <c r="C775" s="12"/>
      <c r="F775"/>
      <c r="G775"/>
      <c r="H775"/>
      <c r="I775"/>
      <c r="J775"/>
    </row>
    <row r="776" spans="1:10" s="6" customFormat="1" x14ac:dyDescent="0.25">
      <c r="A776" s="12">
        <v>42353</v>
      </c>
      <c r="B776" s="12">
        <v>42353</v>
      </c>
      <c r="C776" s="12"/>
      <c r="F776"/>
      <c r="G776"/>
      <c r="H776"/>
      <c r="I776"/>
      <c r="J776"/>
    </row>
    <row r="777" spans="1:10" s="6" customFormat="1" x14ac:dyDescent="0.25">
      <c r="A777" s="12">
        <v>42353</v>
      </c>
      <c r="B777" s="12">
        <v>42353</v>
      </c>
      <c r="C777" s="12"/>
      <c r="F777"/>
      <c r="G777"/>
      <c r="H777"/>
      <c r="I777"/>
      <c r="J777"/>
    </row>
    <row r="778" spans="1:10" s="6" customFormat="1" x14ac:dyDescent="0.25">
      <c r="A778" s="12">
        <v>42353</v>
      </c>
      <c r="B778" s="12">
        <v>42353</v>
      </c>
      <c r="C778" s="12"/>
      <c r="F778"/>
      <c r="G778"/>
      <c r="H778"/>
      <c r="I778"/>
      <c r="J778"/>
    </row>
    <row r="779" spans="1:10" s="6" customFormat="1" x14ac:dyDescent="0.25">
      <c r="A779" s="12">
        <v>42353</v>
      </c>
      <c r="B779" s="12">
        <v>42353</v>
      </c>
      <c r="C779" s="12"/>
      <c r="F779"/>
      <c r="G779"/>
      <c r="H779"/>
      <c r="I779"/>
      <c r="J779"/>
    </row>
    <row r="780" spans="1:10" s="6" customFormat="1" x14ac:dyDescent="0.25">
      <c r="A780" s="12">
        <v>42353</v>
      </c>
      <c r="B780" s="12">
        <v>42353</v>
      </c>
      <c r="C780" s="12"/>
      <c r="F780"/>
      <c r="G780"/>
      <c r="H780"/>
      <c r="I780"/>
      <c r="J780"/>
    </row>
    <row r="781" spans="1:10" s="6" customFormat="1" x14ac:dyDescent="0.25">
      <c r="A781" s="12">
        <v>42353</v>
      </c>
      <c r="B781" s="12">
        <v>42353</v>
      </c>
      <c r="C781" s="12"/>
      <c r="F781"/>
      <c r="G781"/>
      <c r="H781"/>
      <c r="I781"/>
      <c r="J781"/>
    </row>
    <row r="782" spans="1:10" s="6" customFormat="1" x14ac:dyDescent="0.25">
      <c r="A782" s="12">
        <v>42353</v>
      </c>
      <c r="B782" s="12">
        <v>42353</v>
      </c>
      <c r="C782" s="12"/>
      <c r="F782"/>
      <c r="G782"/>
      <c r="H782"/>
      <c r="I782"/>
      <c r="J782"/>
    </row>
    <row r="783" spans="1:10" s="6" customFormat="1" x14ac:dyDescent="0.25">
      <c r="A783" s="12">
        <v>42353</v>
      </c>
      <c r="B783" s="12">
        <v>42353</v>
      </c>
      <c r="C783" s="12"/>
      <c r="F783"/>
      <c r="G783"/>
      <c r="H783"/>
      <c r="I783"/>
      <c r="J783"/>
    </row>
    <row r="784" spans="1:10" s="6" customFormat="1" x14ac:dyDescent="0.25">
      <c r="A784" s="12">
        <v>42353</v>
      </c>
      <c r="B784" s="12">
        <v>42353</v>
      </c>
      <c r="C784" s="12"/>
      <c r="F784"/>
      <c r="G784"/>
      <c r="H784"/>
      <c r="I784"/>
      <c r="J784"/>
    </row>
    <row r="785" spans="1:10" s="6" customFormat="1" x14ac:dyDescent="0.25">
      <c r="A785" s="12">
        <v>42353</v>
      </c>
      <c r="B785" s="12">
        <v>42353</v>
      </c>
      <c r="C785" s="12"/>
      <c r="F785"/>
      <c r="G785"/>
      <c r="H785"/>
      <c r="I785"/>
      <c r="J785"/>
    </row>
    <row r="786" spans="1:10" s="6" customFormat="1" x14ac:dyDescent="0.25">
      <c r="A786" s="12">
        <v>42353</v>
      </c>
      <c r="B786" s="12">
        <v>42353</v>
      </c>
      <c r="C786" s="12"/>
      <c r="F786"/>
      <c r="G786"/>
      <c r="H786"/>
      <c r="I786"/>
      <c r="J786"/>
    </row>
    <row r="787" spans="1:10" s="6" customFormat="1" x14ac:dyDescent="0.25">
      <c r="A787" s="12">
        <v>42353</v>
      </c>
      <c r="B787" s="12">
        <v>42353</v>
      </c>
      <c r="C787" s="12"/>
      <c r="F787"/>
      <c r="G787"/>
      <c r="H787"/>
      <c r="I787"/>
      <c r="J787"/>
    </row>
    <row r="788" spans="1:10" s="6" customFormat="1" x14ac:dyDescent="0.25">
      <c r="A788" s="12">
        <v>42353</v>
      </c>
      <c r="B788" s="12">
        <v>42353</v>
      </c>
      <c r="C788" s="12"/>
      <c r="F788"/>
      <c r="G788"/>
      <c r="H788"/>
      <c r="I788"/>
      <c r="J788"/>
    </row>
    <row r="789" spans="1:10" s="6" customFormat="1" x14ac:dyDescent="0.25">
      <c r="A789" s="12">
        <v>42353</v>
      </c>
      <c r="B789" s="12">
        <v>42353</v>
      </c>
      <c r="C789" s="12"/>
      <c r="F789"/>
      <c r="G789"/>
      <c r="H789"/>
      <c r="I789"/>
      <c r="J789"/>
    </row>
    <row r="790" spans="1:10" s="6" customFormat="1" x14ac:dyDescent="0.25">
      <c r="A790" s="12">
        <v>42353</v>
      </c>
      <c r="B790" s="12">
        <v>42353</v>
      </c>
      <c r="C790" s="12"/>
      <c r="F790"/>
      <c r="G790"/>
      <c r="H790"/>
      <c r="I790"/>
      <c r="J790"/>
    </row>
    <row r="791" spans="1:10" s="6" customFormat="1" x14ac:dyDescent="0.25">
      <c r="A791" s="12">
        <v>42353</v>
      </c>
      <c r="B791" s="12">
        <v>42353</v>
      </c>
      <c r="C791" s="12"/>
      <c r="F791"/>
      <c r="G791"/>
      <c r="H791"/>
      <c r="I791"/>
      <c r="J791"/>
    </row>
    <row r="792" spans="1:10" s="6" customFormat="1" x14ac:dyDescent="0.25">
      <c r="A792" s="12">
        <v>42353</v>
      </c>
      <c r="B792" s="12">
        <v>42353</v>
      </c>
      <c r="C792" s="12"/>
      <c r="F792"/>
      <c r="G792"/>
      <c r="H792"/>
      <c r="I792"/>
      <c r="J792"/>
    </row>
    <row r="793" spans="1:10" s="6" customFormat="1" x14ac:dyDescent="0.25">
      <c r="A793" s="12">
        <v>42353</v>
      </c>
      <c r="B793" s="12">
        <v>42353</v>
      </c>
      <c r="C793" s="12"/>
      <c r="F793"/>
      <c r="G793"/>
      <c r="H793"/>
      <c r="I793"/>
      <c r="J793"/>
    </row>
    <row r="794" spans="1:10" s="6" customFormat="1" x14ac:dyDescent="0.25">
      <c r="A794" s="12">
        <v>42353</v>
      </c>
      <c r="B794" s="12">
        <v>42353</v>
      </c>
      <c r="C794" s="12"/>
      <c r="F794"/>
      <c r="G794"/>
      <c r="H794"/>
      <c r="I794"/>
      <c r="J794"/>
    </row>
    <row r="795" spans="1:10" s="6" customFormat="1" x14ac:dyDescent="0.25">
      <c r="A795" s="12">
        <v>42353</v>
      </c>
      <c r="B795" s="12">
        <v>42353</v>
      </c>
      <c r="C795" s="12"/>
      <c r="F795"/>
      <c r="G795"/>
      <c r="H795"/>
      <c r="I795"/>
      <c r="J795"/>
    </row>
    <row r="796" spans="1:10" s="6" customFormat="1" x14ac:dyDescent="0.25">
      <c r="A796" s="12">
        <v>42353</v>
      </c>
      <c r="B796" s="12">
        <v>42353</v>
      </c>
      <c r="C796" s="12"/>
      <c r="F796"/>
      <c r="G796"/>
      <c r="H796"/>
      <c r="I796"/>
      <c r="J796"/>
    </row>
    <row r="797" spans="1:10" s="6" customFormat="1" x14ac:dyDescent="0.25">
      <c r="A797" s="12">
        <v>42353</v>
      </c>
      <c r="B797" s="12">
        <v>42353</v>
      </c>
      <c r="C797" s="12"/>
      <c r="F797"/>
      <c r="G797"/>
      <c r="H797"/>
      <c r="I797"/>
      <c r="J797"/>
    </row>
    <row r="798" spans="1:10" s="6" customFormat="1" x14ac:dyDescent="0.25">
      <c r="A798" s="12">
        <v>42353</v>
      </c>
      <c r="B798" s="12">
        <v>42353</v>
      </c>
      <c r="C798" s="12"/>
      <c r="F798"/>
      <c r="G798"/>
      <c r="H798"/>
      <c r="I798"/>
      <c r="J798"/>
    </row>
    <row r="799" spans="1:10" s="6" customFormat="1" x14ac:dyDescent="0.25">
      <c r="A799" s="12">
        <v>42353</v>
      </c>
      <c r="B799" s="12">
        <v>42353</v>
      </c>
      <c r="C799" s="12"/>
      <c r="F799"/>
      <c r="G799"/>
      <c r="H799"/>
      <c r="I799"/>
      <c r="J799"/>
    </row>
    <row r="800" spans="1:10" s="6" customFormat="1" x14ac:dyDescent="0.25">
      <c r="A800" s="12">
        <v>42353</v>
      </c>
      <c r="B800" s="12">
        <v>42353</v>
      </c>
      <c r="C800" s="12"/>
      <c r="F800"/>
      <c r="G800"/>
      <c r="H800"/>
      <c r="I800"/>
      <c r="J800"/>
    </row>
    <row r="801" spans="1:10" s="6" customFormat="1" x14ac:dyDescent="0.25">
      <c r="A801" s="12">
        <v>42353</v>
      </c>
      <c r="B801" s="12">
        <v>42353</v>
      </c>
      <c r="C801" s="12"/>
      <c r="F801"/>
      <c r="G801"/>
      <c r="H801"/>
      <c r="I801"/>
      <c r="J801"/>
    </row>
    <row r="802" spans="1:10" s="6" customFormat="1" x14ac:dyDescent="0.25">
      <c r="A802" s="12">
        <v>42353</v>
      </c>
      <c r="B802" s="12">
        <v>42353</v>
      </c>
      <c r="C802" s="12"/>
      <c r="F802"/>
      <c r="G802"/>
      <c r="H802"/>
      <c r="I802"/>
      <c r="J802"/>
    </row>
    <row r="803" spans="1:10" s="6" customFormat="1" x14ac:dyDescent="0.25">
      <c r="A803" s="12">
        <v>42353</v>
      </c>
      <c r="B803" s="12">
        <v>42353</v>
      </c>
      <c r="C803" s="12"/>
      <c r="F803"/>
      <c r="G803"/>
      <c r="H803"/>
      <c r="I803"/>
      <c r="J803"/>
    </row>
    <row r="804" spans="1:10" s="6" customFormat="1" x14ac:dyDescent="0.25">
      <c r="A804" s="12">
        <v>42353</v>
      </c>
      <c r="B804" s="12">
        <v>42353</v>
      </c>
      <c r="C804" s="12"/>
      <c r="F804"/>
      <c r="G804"/>
      <c r="H804"/>
      <c r="I804"/>
      <c r="J804"/>
    </row>
    <row r="805" spans="1:10" s="6" customFormat="1" x14ac:dyDescent="0.25">
      <c r="A805" s="12">
        <v>42353</v>
      </c>
      <c r="B805" s="12">
        <v>42353</v>
      </c>
      <c r="C805" s="12"/>
      <c r="F805"/>
      <c r="G805"/>
      <c r="H805"/>
      <c r="I805"/>
      <c r="J805"/>
    </row>
    <row r="806" spans="1:10" s="6" customFormat="1" x14ac:dyDescent="0.25">
      <c r="A806" s="12">
        <v>42353</v>
      </c>
      <c r="B806" s="12">
        <v>42353</v>
      </c>
      <c r="C806" s="12"/>
      <c r="F806"/>
      <c r="G806"/>
      <c r="H806"/>
      <c r="I806"/>
      <c r="J806"/>
    </row>
    <row r="807" spans="1:10" s="6" customFormat="1" x14ac:dyDescent="0.25">
      <c r="A807" s="12">
        <v>42353</v>
      </c>
      <c r="B807" s="12">
        <v>42353</v>
      </c>
      <c r="C807" s="12"/>
      <c r="F807"/>
      <c r="G807"/>
      <c r="H807"/>
      <c r="I807"/>
      <c r="J807"/>
    </row>
    <row r="808" spans="1:10" s="6" customFormat="1" x14ac:dyDescent="0.25">
      <c r="A808" s="12">
        <v>42353</v>
      </c>
      <c r="B808" s="12">
        <v>42353</v>
      </c>
      <c r="C808" s="12"/>
      <c r="F808"/>
      <c r="G808"/>
      <c r="H808"/>
      <c r="I808"/>
      <c r="J808"/>
    </row>
    <row r="809" spans="1:10" s="6" customFormat="1" x14ac:dyDescent="0.25">
      <c r="A809" s="12">
        <v>42353</v>
      </c>
      <c r="B809" s="12">
        <v>42353</v>
      </c>
      <c r="C809" s="12"/>
      <c r="F809"/>
      <c r="G809"/>
      <c r="H809"/>
      <c r="I809"/>
      <c r="J809"/>
    </row>
    <row r="810" spans="1:10" s="6" customFormat="1" x14ac:dyDescent="0.25">
      <c r="A810" s="12">
        <v>42353</v>
      </c>
      <c r="B810" s="12">
        <v>42353</v>
      </c>
      <c r="C810" s="12"/>
      <c r="F810"/>
      <c r="G810"/>
      <c r="H810"/>
      <c r="I810"/>
      <c r="J810"/>
    </row>
    <row r="811" spans="1:10" s="6" customFormat="1" x14ac:dyDescent="0.25">
      <c r="A811" s="12">
        <v>42353</v>
      </c>
      <c r="B811" s="12">
        <v>42353</v>
      </c>
      <c r="C811" s="12"/>
      <c r="F811"/>
      <c r="G811"/>
      <c r="H811"/>
      <c r="I811"/>
      <c r="J811"/>
    </row>
    <row r="812" spans="1:10" s="6" customFormat="1" x14ac:dyDescent="0.25">
      <c r="A812" s="12">
        <v>42353</v>
      </c>
      <c r="B812" s="12">
        <v>42353</v>
      </c>
      <c r="C812" s="12"/>
      <c r="F812"/>
      <c r="G812"/>
      <c r="H812"/>
      <c r="I812"/>
      <c r="J812"/>
    </row>
    <row r="813" spans="1:10" s="6" customFormat="1" x14ac:dyDescent="0.25">
      <c r="A813" s="12">
        <v>42353</v>
      </c>
      <c r="B813" s="12">
        <v>42353</v>
      </c>
      <c r="C813" s="12"/>
      <c r="F813"/>
      <c r="G813"/>
      <c r="H813"/>
      <c r="I813"/>
      <c r="J813"/>
    </row>
    <row r="814" spans="1:10" s="6" customFormat="1" x14ac:dyDescent="0.25">
      <c r="A814" s="12">
        <v>42353</v>
      </c>
      <c r="B814" s="12">
        <v>42353</v>
      </c>
      <c r="C814" s="12"/>
      <c r="F814"/>
      <c r="G814"/>
      <c r="H814"/>
      <c r="I814"/>
      <c r="J814"/>
    </row>
    <row r="815" spans="1:10" s="6" customFormat="1" x14ac:dyDescent="0.25">
      <c r="A815" s="12">
        <v>42353</v>
      </c>
      <c r="B815" s="12">
        <v>42353</v>
      </c>
      <c r="C815" s="12"/>
      <c r="F815"/>
      <c r="G815"/>
      <c r="H815"/>
      <c r="I815"/>
      <c r="J815"/>
    </row>
    <row r="816" spans="1:10" s="6" customFormat="1" x14ac:dyDescent="0.25">
      <c r="A816" s="12">
        <v>42353</v>
      </c>
      <c r="B816" s="12">
        <v>42353</v>
      </c>
      <c r="C816" s="12"/>
      <c r="F816"/>
      <c r="G816"/>
      <c r="H816"/>
      <c r="I816"/>
      <c r="J816"/>
    </row>
    <row r="817" spans="1:10" s="6" customFormat="1" x14ac:dyDescent="0.25">
      <c r="A817" s="12">
        <v>42353</v>
      </c>
      <c r="B817" s="12">
        <v>42353</v>
      </c>
      <c r="C817" s="12"/>
      <c r="F817"/>
      <c r="G817"/>
      <c r="H817"/>
      <c r="I817"/>
      <c r="J817"/>
    </row>
    <row r="818" spans="1:10" s="6" customFormat="1" x14ac:dyDescent="0.25">
      <c r="A818" s="12">
        <v>42353</v>
      </c>
      <c r="B818" s="12">
        <v>42353</v>
      </c>
      <c r="C818" s="12"/>
      <c r="F818"/>
      <c r="G818"/>
      <c r="H818"/>
      <c r="I818"/>
      <c r="J818"/>
    </row>
    <row r="819" spans="1:10" s="6" customFormat="1" x14ac:dyDescent="0.25">
      <c r="A819" s="12">
        <v>42353</v>
      </c>
      <c r="B819" s="12">
        <v>42353</v>
      </c>
      <c r="C819" s="12"/>
      <c r="F819"/>
      <c r="G819"/>
      <c r="H819"/>
      <c r="I819"/>
      <c r="J819"/>
    </row>
    <row r="820" spans="1:10" s="6" customFormat="1" x14ac:dyDescent="0.25">
      <c r="A820" s="12">
        <v>42353</v>
      </c>
      <c r="B820" s="12">
        <v>42353</v>
      </c>
      <c r="C820" s="12"/>
      <c r="F820"/>
      <c r="G820"/>
      <c r="H820"/>
      <c r="I820"/>
      <c r="J820"/>
    </row>
    <row r="821" spans="1:10" s="6" customFormat="1" x14ac:dyDescent="0.25">
      <c r="A821" s="12">
        <v>42353</v>
      </c>
      <c r="B821" s="12">
        <v>42353</v>
      </c>
      <c r="C821" s="12"/>
      <c r="F821"/>
      <c r="G821"/>
      <c r="H821"/>
      <c r="I821"/>
      <c r="J821"/>
    </row>
    <row r="822" spans="1:10" s="6" customFormat="1" x14ac:dyDescent="0.25">
      <c r="A822" s="12">
        <v>42353</v>
      </c>
      <c r="B822" s="12">
        <v>42353</v>
      </c>
      <c r="C822" s="12"/>
      <c r="F822"/>
      <c r="G822"/>
      <c r="H822"/>
      <c r="I822"/>
      <c r="J822"/>
    </row>
    <row r="823" spans="1:10" s="6" customFormat="1" x14ac:dyDescent="0.25">
      <c r="A823" s="12">
        <v>42353</v>
      </c>
      <c r="B823" s="12">
        <v>42353</v>
      </c>
      <c r="C823" s="12"/>
      <c r="F823"/>
      <c r="G823"/>
      <c r="H823"/>
      <c r="I823"/>
      <c r="J823"/>
    </row>
    <row r="824" spans="1:10" s="6" customFormat="1" x14ac:dyDescent="0.25">
      <c r="A824" s="12">
        <v>42353</v>
      </c>
      <c r="B824" s="12">
        <v>42353</v>
      </c>
      <c r="C824" s="12"/>
      <c r="F824"/>
      <c r="G824"/>
      <c r="H824"/>
      <c r="I824"/>
      <c r="J824"/>
    </row>
    <row r="825" spans="1:10" s="6" customFormat="1" x14ac:dyDescent="0.25">
      <c r="A825" s="12">
        <v>42353</v>
      </c>
      <c r="B825" s="12">
        <v>42353</v>
      </c>
      <c r="C825" s="12"/>
      <c r="F825"/>
      <c r="G825"/>
      <c r="H825"/>
      <c r="I825"/>
      <c r="J825"/>
    </row>
    <row r="826" spans="1:10" s="6" customFormat="1" x14ac:dyDescent="0.25">
      <c r="A826" s="12">
        <v>42353</v>
      </c>
      <c r="B826" s="12">
        <v>42353</v>
      </c>
      <c r="C826" s="12"/>
      <c r="F826"/>
      <c r="G826"/>
      <c r="H826"/>
      <c r="I826"/>
      <c r="J826"/>
    </row>
    <row r="827" spans="1:10" s="6" customFormat="1" x14ac:dyDescent="0.25">
      <c r="A827" s="12">
        <v>42353</v>
      </c>
      <c r="B827" s="12">
        <v>42353</v>
      </c>
      <c r="C827" s="12"/>
      <c r="F827"/>
      <c r="G827"/>
      <c r="H827"/>
      <c r="I827"/>
      <c r="J827"/>
    </row>
    <row r="828" spans="1:10" s="6" customFormat="1" x14ac:dyDescent="0.25">
      <c r="A828" s="12">
        <v>42353</v>
      </c>
      <c r="B828" s="12">
        <v>42353</v>
      </c>
      <c r="C828" s="12"/>
      <c r="F828"/>
      <c r="G828"/>
      <c r="H828"/>
      <c r="I828"/>
      <c r="J828"/>
    </row>
    <row r="829" spans="1:10" s="6" customFormat="1" x14ac:dyDescent="0.25">
      <c r="A829" s="12">
        <v>42353</v>
      </c>
      <c r="B829" s="12">
        <v>42353</v>
      </c>
      <c r="C829" s="12"/>
      <c r="F829"/>
      <c r="G829"/>
      <c r="H829"/>
      <c r="I829"/>
      <c r="J829"/>
    </row>
    <row r="830" spans="1:10" s="6" customFormat="1" x14ac:dyDescent="0.25">
      <c r="A830" s="12">
        <v>42353</v>
      </c>
      <c r="B830" s="12">
        <v>42353</v>
      </c>
      <c r="C830" s="12"/>
      <c r="F830"/>
      <c r="G830"/>
      <c r="H830"/>
      <c r="I830"/>
      <c r="J830"/>
    </row>
    <row r="831" spans="1:10" s="6" customFormat="1" x14ac:dyDescent="0.25">
      <c r="A831" s="12">
        <v>42353</v>
      </c>
      <c r="B831" s="12">
        <v>42353</v>
      </c>
      <c r="C831" s="12"/>
      <c r="F831"/>
      <c r="G831"/>
      <c r="H831"/>
      <c r="I831"/>
      <c r="J831"/>
    </row>
    <row r="832" spans="1:10" s="6" customFormat="1" x14ac:dyDescent="0.25">
      <c r="A832" s="12">
        <v>42353</v>
      </c>
      <c r="B832" s="12">
        <v>42353</v>
      </c>
      <c r="C832" s="12"/>
      <c r="F832"/>
      <c r="G832"/>
      <c r="H832"/>
      <c r="I832"/>
      <c r="J832"/>
    </row>
    <row r="833" spans="1:10" s="6" customFormat="1" x14ac:dyDescent="0.25">
      <c r="A833" s="12">
        <v>42353</v>
      </c>
      <c r="B833" s="12">
        <v>42353</v>
      </c>
      <c r="C833" s="12"/>
      <c r="F833"/>
      <c r="G833"/>
      <c r="H833"/>
      <c r="I833"/>
      <c r="J833"/>
    </row>
    <row r="834" spans="1:10" s="6" customFormat="1" x14ac:dyDescent="0.25">
      <c r="A834" s="12">
        <v>42353</v>
      </c>
      <c r="B834" s="12">
        <v>42353</v>
      </c>
      <c r="C834" s="12"/>
      <c r="F834"/>
      <c r="G834"/>
      <c r="H834"/>
      <c r="I834"/>
      <c r="J834"/>
    </row>
    <row r="835" spans="1:10" s="6" customFormat="1" x14ac:dyDescent="0.25">
      <c r="A835" s="12">
        <v>42353</v>
      </c>
      <c r="B835" s="12">
        <v>42353</v>
      </c>
      <c r="C835" s="12"/>
      <c r="F835"/>
      <c r="G835"/>
      <c r="H835"/>
      <c r="I835"/>
      <c r="J835"/>
    </row>
    <row r="836" spans="1:10" s="6" customFormat="1" x14ac:dyDescent="0.25">
      <c r="A836" s="12">
        <v>42353</v>
      </c>
      <c r="B836" s="12">
        <v>42353</v>
      </c>
      <c r="C836" s="12"/>
      <c r="F836"/>
      <c r="G836"/>
      <c r="H836"/>
      <c r="I836"/>
      <c r="J836"/>
    </row>
    <row r="837" spans="1:10" s="6" customFormat="1" x14ac:dyDescent="0.25">
      <c r="A837" s="12">
        <v>42353</v>
      </c>
      <c r="B837" s="12">
        <v>42353</v>
      </c>
      <c r="C837" s="12"/>
      <c r="F837"/>
      <c r="G837"/>
      <c r="H837"/>
      <c r="I837"/>
      <c r="J837"/>
    </row>
    <row r="838" spans="1:10" s="6" customFormat="1" x14ac:dyDescent="0.25">
      <c r="A838" s="12">
        <v>42353</v>
      </c>
      <c r="B838" s="12">
        <v>42353</v>
      </c>
      <c r="C838" s="12"/>
      <c r="F838"/>
      <c r="G838"/>
      <c r="H838"/>
      <c r="I838"/>
      <c r="J838"/>
    </row>
    <row r="839" spans="1:10" s="6" customFormat="1" x14ac:dyDescent="0.25">
      <c r="A839" s="12">
        <v>42353</v>
      </c>
      <c r="B839" s="12">
        <v>42353</v>
      </c>
      <c r="C839" s="12"/>
      <c r="F839"/>
      <c r="G839"/>
      <c r="H839"/>
      <c r="I839"/>
      <c r="J839"/>
    </row>
    <row r="840" spans="1:10" s="6" customFormat="1" x14ac:dyDescent="0.25">
      <c r="A840" s="12">
        <v>42353</v>
      </c>
      <c r="B840" s="12">
        <v>42353</v>
      </c>
      <c r="C840" s="12"/>
      <c r="F840"/>
      <c r="G840"/>
      <c r="H840"/>
      <c r="I840"/>
      <c r="J840"/>
    </row>
    <row r="841" spans="1:10" s="6" customFormat="1" x14ac:dyDescent="0.25">
      <c r="A841" s="12">
        <v>42353</v>
      </c>
      <c r="B841" s="12">
        <v>42353</v>
      </c>
      <c r="C841" s="12"/>
      <c r="F841"/>
      <c r="G841"/>
      <c r="H841"/>
      <c r="I841"/>
      <c r="J841"/>
    </row>
    <row r="842" spans="1:10" s="6" customFormat="1" x14ac:dyDescent="0.25">
      <c r="A842" s="12">
        <v>42353</v>
      </c>
      <c r="B842" s="12">
        <v>42353</v>
      </c>
      <c r="C842" s="12"/>
      <c r="F842"/>
      <c r="G842"/>
      <c r="H842"/>
      <c r="I842"/>
      <c r="J842"/>
    </row>
    <row r="843" spans="1:10" s="6" customFormat="1" x14ac:dyDescent="0.25">
      <c r="A843" s="12">
        <v>42353</v>
      </c>
      <c r="B843" s="12">
        <v>42353</v>
      </c>
      <c r="C843" s="12"/>
      <c r="F843"/>
      <c r="G843"/>
      <c r="H843"/>
      <c r="I843"/>
      <c r="J843"/>
    </row>
    <row r="844" spans="1:10" s="6" customFormat="1" x14ac:dyDescent="0.25">
      <c r="A844" s="12">
        <v>42353</v>
      </c>
      <c r="B844" s="12">
        <v>42353</v>
      </c>
      <c r="C844" s="12"/>
      <c r="F844"/>
      <c r="G844"/>
      <c r="H844"/>
      <c r="I844"/>
      <c r="J844"/>
    </row>
    <row r="845" spans="1:10" s="6" customFormat="1" x14ac:dyDescent="0.25">
      <c r="A845" s="12">
        <v>42353</v>
      </c>
      <c r="B845" s="12">
        <v>42353</v>
      </c>
      <c r="C845" s="12"/>
      <c r="F845"/>
      <c r="G845"/>
      <c r="H845"/>
      <c r="I845"/>
      <c r="J845"/>
    </row>
    <row r="846" spans="1:10" s="6" customFormat="1" x14ac:dyDescent="0.25">
      <c r="A846" s="12">
        <v>42353</v>
      </c>
      <c r="B846" s="12">
        <v>42353</v>
      </c>
      <c r="C846" s="12"/>
      <c r="F846"/>
      <c r="G846"/>
      <c r="H846"/>
      <c r="I846"/>
      <c r="J846"/>
    </row>
    <row r="847" spans="1:10" s="6" customFormat="1" x14ac:dyDescent="0.25">
      <c r="A847" s="12">
        <v>42353</v>
      </c>
      <c r="B847" s="12">
        <v>42353</v>
      </c>
      <c r="C847" s="12"/>
      <c r="F847"/>
      <c r="G847"/>
      <c r="H847"/>
      <c r="I847"/>
      <c r="J847"/>
    </row>
    <row r="848" spans="1:10" s="6" customFormat="1" x14ac:dyDescent="0.25">
      <c r="A848" s="12">
        <v>42353</v>
      </c>
      <c r="B848" s="12">
        <v>42353</v>
      </c>
      <c r="C848" s="12"/>
      <c r="F848"/>
      <c r="G848"/>
      <c r="H848"/>
      <c r="I848"/>
      <c r="J848"/>
    </row>
    <row r="849" spans="1:10" s="6" customFormat="1" x14ac:dyDescent="0.25">
      <c r="A849" s="12">
        <v>42353</v>
      </c>
      <c r="B849" s="12">
        <v>42353</v>
      </c>
      <c r="C849" s="12"/>
      <c r="F849"/>
      <c r="G849"/>
      <c r="H849"/>
      <c r="I849"/>
      <c r="J849"/>
    </row>
    <row r="850" spans="1:10" s="6" customFormat="1" x14ac:dyDescent="0.25">
      <c r="A850" s="12">
        <v>42353</v>
      </c>
      <c r="B850" s="12">
        <v>42353</v>
      </c>
      <c r="C850" s="12"/>
      <c r="F850"/>
      <c r="G850"/>
      <c r="H850"/>
      <c r="I850"/>
      <c r="J850"/>
    </row>
    <row r="851" spans="1:10" s="6" customFormat="1" x14ac:dyDescent="0.25">
      <c r="A851" s="12">
        <v>42353</v>
      </c>
      <c r="B851" s="12">
        <v>42353</v>
      </c>
      <c r="C851" s="12"/>
      <c r="F851"/>
      <c r="G851"/>
      <c r="H851"/>
      <c r="I851"/>
      <c r="J851"/>
    </row>
    <row r="852" spans="1:10" s="6" customFormat="1" x14ac:dyDescent="0.25">
      <c r="A852" s="12">
        <v>42353</v>
      </c>
      <c r="B852" s="12">
        <v>42353</v>
      </c>
      <c r="C852" s="12"/>
      <c r="F852"/>
      <c r="G852"/>
      <c r="H852"/>
      <c r="I852"/>
      <c r="J852"/>
    </row>
    <row r="853" spans="1:10" s="6" customFormat="1" x14ac:dyDescent="0.25">
      <c r="A853" s="12">
        <v>42353</v>
      </c>
      <c r="B853" s="12">
        <v>42353</v>
      </c>
      <c r="C853" s="12"/>
      <c r="F853"/>
      <c r="G853"/>
      <c r="H853"/>
      <c r="I853"/>
      <c r="J853"/>
    </row>
    <row r="854" spans="1:10" s="6" customFormat="1" x14ac:dyDescent="0.25">
      <c r="A854" s="12">
        <v>42353</v>
      </c>
      <c r="B854" s="12">
        <v>42353</v>
      </c>
      <c r="C854" s="12"/>
      <c r="F854"/>
      <c r="G854"/>
      <c r="H854"/>
      <c r="I854"/>
      <c r="J854"/>
    </row>
    <row r="855" spans="1:10" s="6" customFormat="1" x14ac:dyDescent="0.25">
      <c r="A855" s="12">
        <v>42353</v>
      </c>
      <c r="B855" s="12">
        <v>42353</v>
      </c>
      <c r="C855" s="12"/>
      <c r="F855"/>
      <c r="G855"/>
      <c r="H855"/>
      <c r="I855"/>
      <c r="J855"/>
    </row>
    <row r="856" spans="1:10" s="6" customFormat="1" x14ac:dyDescent="0.25">
      <c r="A856" s="12">
        <v>42353</v>
      </c>
      <c r="B856" s="12">
        <v>42353</v>
      </c>
      <c r="C856" s="12"/>
      <c r="F856"/>
      <c r="G856"/>
      <c r="H856"/>
      <c r="I856"/>
      <c r="J856"/>
    </row>
    <row r="857" spans="1:10" s="6" customFormat="1" x14ac:dyDescent="0.25">
      <c r="A857" s="12">
        <v>42353</v>
      </c>
      <c r="B857" s="12">
        <v>42353</v>
      </c>
      <c r="C857" s="12"/>
      <c r="F857"/>
      <c r="G857"/>
      <c r="H857"/>
      <c r="I857"/>
      <c r="J857"/>
    </row>
    <row r="858" spans="1:10" s="6" customFormat="1" x14ac:dyDescent="0.25">
      <c r="A858" s="12">
        <v>42353</v>
      </c>
      <c r="B858" s="12">
        <v>42353</v>
      </c>
      <c r="C858" s="12"/>
      <c r="F858"/>
      <c r="G858"/>
      <c r="H858"/>
      <c r="I858"/>
      <c r="J858"/>
    </row>
    <row r="859" spans="1:10" s="6" customFormat="1" x14ac:dyDescent="0.25">
      <c r="A859" s="12">
        <v>42353</v>
      </c>
      <c r="B859" s="12">
        <v>42353</v>
      </c>
      <c r="C859" s="12"/>
      <c r="F859"/>
      <c r="G859"/>
      <c r="H859"/>
      <c r="I859"/>
      <c r="J859"/>
    </row>
    <row r="860" spans="1:10" s="6" customFormat="1" x14ac:dyDescent="0.25">
      <c r="A860" s="12">
        <v>42353</v>
      </c>
      <c r="B860" s="12">
        <v>42353</v>
      </c>
      <c r="C860" s="12"/>
      <c r="F860"/>
      <c r="G860"/>
      <c r="H860"/>
      <c r="I860"/>
      <c r="J860"/>
    </row>
    <row r="861" spans="1:10" s="6" customFormat="1" x14ac:dyDescent="0.25">
      <c r="A861" s="12">
        <v>42353</v>
      </c>
      <c r="B861" s="12">
        <v>42353</v>
      </c>
      <c r="C861" s="12"/>
      <c r="F861"/>
      <c r="G861"/>
      <c r="H861"/>
      <c r="I861"/>
      <c r="J861"/>
    </row>
    <row r="862" spans="1:10" s="6" customFormat="1" x14ac:dyDescent="0.25">
      <c r="A862" s="12">
        <v>42353</v>
      </c>
      <c r="B862" s="12">
        <v>42353</v>
      </c>
      <c r="C862" s="12"/>
      <c r="F862"/>
      <c r="G862"/>
      <c r="H862"/>
      <c r="I862"/>
      <c r="J862"/>
    </row>
    <row r="863" spans="1:10" s="6" customFormat="1" x14ac:dyDescent="0.25">
      <c r="A863" s="12">
        <v>42353</v>
      </c>
      <c r="B863" s="12">
        <v>42353</v>
      </c>
      <c r="C863" s="12"/>
      <c r="F863"/>
      <c r="G863"/>
      <c r="H863"/>
      <c r="I863"/>
      <c r="J863"/>
    </row>
    <row r="864" spans="1:10" s="6" customFormat="1" x14ac:dyDescent="0.25">
      <c r="A864" s="12">
        <v>42353</v>
      </c>
      <c r="B864" s="12">
        <v>42353</v>
      </c>
      <c r="C864" s="12"/>
      <c r="F864"/>
      <c r="G864"/>
      <c r="H864"/>
      <c r="I864"/>
      <c r="J864"/>
    </row>
    <row r="865" spans="1:10" s="6" customFormat="1" x14ac:dyDescent="0.25">
      <c r="A865" s="12">
        <v>42353</v>
      </c>
      <c r="B865" s="12">
        <v>42353</v>
      </c>
      <c r="C865" s="12"/>
      <c r="F865"/>
      <c r="G865"/>
      <c r="H865"/>
      <c r="I865"/>
      <c r="J865"/>
    </row>
    <row r="866" spans="1:10" s="6" customFormat="1" x14ac:dyDescent="0.25">
      <c r="A866" s="12">
        <v>42353</v>
      </c>
      <c r="B866" s="12">
        <v>42353</v>
      </c>
      <c r="C866" s="12"/>
      <c r="F866"/>
      <c r="G866"/>
      <c r="H866"/>
      <c r="I866"/>
      <c r="J866"/>
    </row>
    <row r="867" spans="1:10" s="6" customFormat="1" x14ac:dyDescent="0.25">
      <c r="A867" s="12">
        <v>42353</v>
      </c>
      <c r="B867" s="12">
        <v>42353</v>
      </c>
      <c r="C867" s="12"/>
      <c r="F867"/>
      <c r="G867"/>
      <c r="H867"/>
      <c r="I867"/>
      <c r="J867"/>
    </row>
    <row r="868" spans="1:10" s="6" customFormat="1" x14ac:dyDescent="0.25">
      <c r="A868" s="12">
        <v>42353</v>
      </c>
      <c r="B868" s="12">
        <v>42353</v>
      </c>
      <c r="C868" s="12"/>
      <c r="F868"/>
      <c r="G868"/>
      <c r="H868"/>
      <c r="I868"/>
      <c r="J868"/>
    </row>
    <row r="869" spans="1:10" s="6" customFormat="1" x14ac:dyDescent="0.25">
      <c r="A869" s="12">
        <v>42353</v>
      </c>
      <c r="B869" s="12">
        <v>42353</v>
      </c>
      <c r="C869" s="12"/>
      <c r="F869"/>
      <c r="G869"/>
      <c r="H869"/>
      <c r="I869"/>
      <c r="J869"/>
    </row>
    <row r="870" spans="1:10" s="6" customFormat="1" x14ac:dyDescent="0.25">
      <c r="A870" s="12">
        <v>42353</v>
      </c>
      <c r="B870" s="12">
        <v>42353</v>
      </c>
      <c r="C870" s="12"/>
      <c r="F870"/>
      <c r="G870"/>
      <c r="H870"/>
      <c r="I870"/>
      <c r="J870"/>
    </row>
    <row r="871" spans="1:10" s="6" customFormat="1" x14ac:dyDescent="0.25">
      <c r="A871" s="12">
        <v>42353</v>
      </c>
      <c r="B871" s="12">
        <v>42353</v>
      </c>
      <c r="C871" s="12"/>
      <c r="F871"/>
      <c r="G871"/>
      <c r="H871"/>
      <c r="I871"/>
      <c r="J871"/>
    </row>
    <row r="872" spans="1:10" s="6" customFormat="1" x14ac:dyDescent="0.25">
      <c r="A872" s="12">
        <v>42353</v>
      </c>
      <c r="B872" s="12">
        <v>42353</v>
      </c>
      <c r="C872" s="12"/>
      <c r="F872"/>
      <c r="G872"/>
      <c r="H872"/>
      <c r="I872"/>
      <c r="J872"/>
    </row>
    <row r="873" spans="1:10" s="6" customFormat="1" x14ac:dyDescent="0.25">
      <c r="A873" s="12">
        <v>42353</v>
      </c>
      <c r="B873" s="12">
        <v>42353</v>
      </c>
      <c r="C873" s="12"/>
      <c r="F873"/>
      <c r="G873"/>
      <c r="H873"/>
      <c r="I873"/>
      <c r="J873"/>
    </row>
    <row r="874" spans="1:10" s="6" customFormat="1" x14ac:dyDescent="0.25">
      <c r="A874" s="12">
        <v>42353</v>
      </c>
      <c r="B874" s="12">
        <v>42353</v>
      </c>
      <c r="C874" s="12"/>
      <c r="F874"/>
      <c r="G874"/>
      <c r="H874"/>
      <c r="I874"/>
      <c r="J874"/>
    </row>
    <row r="875" spans="1:10" s="6" customFormat="1" x14ac:dyDescent="0.25">
      <c r="A875" s="12">
        <v>42353</v>
      </c>
      <c r="B875" s="12">
        <v>42353</v>
      </c>
      <c r="C875" s="12"/>
      <c r="F875"/>
      <c r="G875"/>
      <c r="H875"/>
      <c r="I875"/>
      <c r="J875"/>
    </row>
    <row r="876" spans="1:10" s="6" customFormat="1" x14ac:dyDescent="0.25">
      <c r="A876" s="12">
        <v>42353</v>
      </c>
      <c r="B876" s="12">
        <v>42353</v>
      </c>
      <c r="C876" s="12"/>
      <c r="F876"/>
      <c r="G876"/>
      <c r="H876"/>
      <c r="I876"/>
      <c r="J876"/>
    </row>
    <row r="877" spans="1:10" s="6" customFormat="1" x14ac:dyDescent="0.25">
      <c r="A877" s="12">
        <v>42353</v>
      </c>
      <c r="B877" s="12">
        <v>42353</v>
      </c>
      <c r="C877" s="12"/>
      <c r="F877"/>
      <c r="G877"/>
      <c r="H877"/>
      <c r="I877"/>
      <c r="J877"/>
    </row>
    <row r="878" spans="1:10" s="6" customFormat="1" x14ac:dyDescent="0.25">
      <c r="A878" s="12">
        <v>42353</v>
      </c>
      <c r="B878" s="12">
        <v>42353</v>
      </c>
      <c r="C878" s="12"/>
      <c r="F878"/>
      <c r="G878"/>
      <c r="H878"/>
      <c r="I878"/>
      <c r="J878"/>
    </row>
    <row r="879" spans="1:10" s="6" customFormat="1" x14ac:dyDescent="0.25">
      <c r="A879" s="12">
        <v>42353</v>
      </c>
      <c r="B879" s="12">
        <v>42353</v>
      </c>
      <c r="C879" s="12"/>
      <c r="F879"/>
      <c r="G879"/>
      <c r="H879"/>
      <c r="I879"/>
      <c r="J879"/>
    </row>
    <row r="880" spans="1:10" s="6" customFormat="1" x14ac:dyDescent="0.25">
      <c r="A880" s="12">
        <v>42353</v>
      </c>
      <c r="B880" s="12">
        <v>42353</v>
      </c>
      <c r="C880" s="12"/>
      <c r="F880"/>
      <c r="G880"/>
      <c r="H880"/>
      <c r="I880"/>
      <c r="J880"/>
    </row>
    <row r="881" spans="1:10" s="6" customFormat="1" x14ac:dyDescent="0.25">
      <c r="A881" s="12">
        <v>42353</v>
      </c>
      <c r="B881" s="12">
        <v>42353</v>
      </c>
      <c r="C881" s="12"/>
      <c r="F881"/>
      <c r="G881"/>
      <c r="H881"/>
      <c r="I881"/>
      <c r="J881"/>
    </row>
    <row r="882" spans="1:10" s="6" customFormat="1" x14ac:dyDescent="0.25">
      <c r="A882" s="12">
        <v>42353</v>
      </c>
      <c r="B882" s="12">
        <v>42353</v>
      </c>
      <c r="C882" s="12"/>
      <c r="F882"/>
      <c r="G882"/>
      <c r="H882"/>
      <c r="I882"/>
      <c r="J882"/>
    </row>
    <row r="883" spans="1:10" s="6" customFormat="1" x14ac:dyDescent="0.25">
      <c r="A883" s="12">
        <v>42353</v>
      </c>
      <c r="B883" s="12">
        <v>42353</v>
      </c>
      <c r="C883" s="12"/>
      <c r="F883"/>
      <c r="G883"/>
      <c r="H883"/>
      <c r="I883"/>
      <c r="J883"/>
    </row>
    <row r="884" spans="1:10" s="6" customFormat="1" x14ac:dyDescent="0.25">
      <c r="A884" s="12">
        <v>42353</v>
      </c>
      <c r="B884" s="12">
        <v>42353</v>
      </c>
      <c r="C884" s="12"/>
      <c r="F884"/>
      <c r="G884"/>
      <c r="H884"/>
      <c r="I884"/>
      <c r="J884"/>
    </row>
    <row r="885" spans="1:10" s="6" customFormat="1" x14ac:dyDescent="0.25">
      <c r="A885" s="12">
        <v>42353</v>
      </c>
      <c r="B885" s="12">
        <v>42353</v>
      </c>
      <c r="C885" s="12"/>
      <c r="F885"/>
      <c r="G885"/>
      <c r="H885"/>
      <c r="I885"/>
      <c r="J885"/>
    </row>
    <row r="886" spans="1:10" s="6" customFormat="1" x14ac:dyDescent="0.25">
      <c r="A886" s="12">
        <v>42353</v>
      </c>
      <c r="B886" s="12">
        <v>42353</v>
      </c>
      <c r="C886" s="12"/>
      <c r="F886"/>
      <c r="G886"/>
      <c r="H886"/>
      <c r="I886"/>
      <c r="J886"/>
    </row>
    <row r="887" spans="1:10" s="6" customFormat="1" x14ac:dyDescent="0.25">
      <c r="A887" s="12">
        <v>42353</v>
      </c>
      <c r="B887" s="12">
        <v>42353</v>
      </c>
      <c r="C887" s="12"/>
      <c r="F887"/>
      <c r="G887"/>
      <c r="H887"/>
      <c r="I887"/>
      <c r="J887"/>
    </row>
    <row r="888" spans="1:10" s="6" customFormat="1" x14ac:dyDescent="0.25">
      <c r="A888" s="12">
        <v>42353</v>
      </c>
      <c r="B888" s="12">
        <v>42353</v>
      </c>
      <c r="C888" s="12"/>
      <c r="F888"/>
      <c r="G888"/>
      <c r="H888"/>
      <c r="I888"/>
      <c r="J888"/>
    </row>
    <row r="889" spans="1:10" s="6" customFormat="1" x14ac:dyDescent="0.25">
      <c r="A889" s="12">
        <v>42353</v>
      </c>
      <c r="B889" s="12">
        <v>42353</v>
      </c>
      <c r="C889" s="12"/>
      <c r="F889"/>
      <c r="G889"/>
      <c r="H889"/>
      <c r="I889"/>
      <c r="J889"/>
    </row>
    <row r="890" spans="1:10" s="6" customFormat="1" x14ac:dyDescent="0.25">
      <c r="A890" s="12">
        <v>42353</v>
      </c>
      <c r="B890" s="12">
        <v>42353</v>
      </c>
      <c r="C890" s="12"/>
      <c r="F890"/>
      <c r="G890"/>
      <c r="H890"/>
      <c r="I890"/>
      <c r="J890"/>
    </row>
    <row r="891" spans="1:10" s="6" customFormat="1" x14ac:dyDescent="0.25">
      <c r="A891" s="12">
        <v>42353</v>
      </c>
      <c r="B891" s="12">
        <v>42353</v>
      </c>
      <c r="C891" s="12"/>
      <c r="F891"/>
      <c r="G891"/>
      <c r="H891"/>
      <c r="I891"/>
      <c r="J891"/>
    </row>
    <row r="892" spans="1:10" s="6" customFormat="1" x14ac:dyDescent="0.25">
      <c r="A892" s="12">
        <v>42353</v>
      </c>
      <c r="B892" s="12">
        <v>42353</v>
      </c>
      <c r="C892" s="12"/>
      <c r="F892"/>
      <c r="G892"/>
      <c r="H892"/>
      <c r="I892"/>
      <c r="J892"/>
    </row>
    <row r="893" spans="1:10" s="6" customFormat="1" x14ac:dyDescent="0.25">
      <c r="A893" s="12">
        <v>42353</v>
      </c>
      <c r="B893" s="12">
        <v>42353</v>
      </c>
      <c r="C893" s="12"/>
      <c r="F893"/>
      <c r="G893"/>
      <c r="H893"/>
      <c r="I893"/>
      <c r="J893"/>
    </row>
    <row r="894" spans="1:10" s="6" customFormat="1" x14ac:dyDescent="0.25">
      <c r="A894" s="12">
        <v>42353</v>
      </c>
      <c r="B894" s="12">
        <v>42353</v>
      </c>
      <c r="C894" s="12"/>
      <c r="F894"/>
      <c r="G894"/>
      <c r="H894"/>
      <c r="I894"/>
      <c r="J894"/>
    </row>
    <row r="895" spans="1:10" s="6" customFormat="1" x14ac:dyDescent="0.25">
      <c r="A895" s="12">
        <v>42353</v>
      </c>
      <c r="B895" s="12">
        <v>42353</v>
      </c>
      <c r="C895" s="12"/>
      <c r="F895"/>
      <c r="G895"/>
      <c r="H895"/>
      <c r="I895"/>
      <c r="J895"/>
    </row>
    <row r="896" spans="1:10" s="6" customFormat="1" x14ac:dyDescent="0.25">
      <c r="A896" s="12">
        <v>42353</v>
      </c>
      <c r="B896" s="12">
        <v>42353</v>
      </c>
      <c r="C896" s="12"/>
      <c r="F896"/>
      <c r="G896"/>
      <c r="H896"/>
      <c r="I896"/>
      <c r="J896"/>
    </row>
    <row r="897" spans="1:10" s="6" customFormat="1" x14ac:dyDescent="0.25">
      <c r="A897" s="12">
        <v>42353</v>
      </c>
      <c r="B897" s="12">
        <v>42353</v>
      </c>
      <c r="C897" s="12"/>
      <c r="F897"/>
      <c r="G897"/>
      <c r="H897"/>
      <c r="I897"/>
      <c r="J897"/>
    </row>
    <row r="898" spans="1:10" s="6" customFormat="1" x14ac:dyDescent="0.25">
      <c r="A898" s="12">
        <v>42353</v>
      </c>
      <c r="B898" s="12">
        <v>42353</v>
      </c>
      <c r="C898" s="12"/>
      <c r="F898"/>
      <c r="G898"/>
      <c r="H898"/>
      <c r="I898"/>
      <c r="J898"/>
    </row>
    <row r="899" spans="1:10" s="6" customFormat="1" x14ac:dyDescent="0.25">
      <c r="A899" s="12">
        <v>42353</v>
      </c>
      <c r="B899" s="12">
        <v>42353</v>
      </c>
      <c r="C899" s="12"/>
      <c r="F899"/>
      <c r="G899"/>
      <c r="H899"/>
      <c r="I899"/>
      <c r="J899"/>
    </row>
    <row r="900" spans="1:10" s="6" customFormat="1" x14ac:dyDescent="0.25">
      <c r="A900" s="12">
        <v>42353</v>
      </c>
      <c r="B900" s="12">
        <v>42353</v>
      </c>
      <c r="C900" s="12"/>
      <c r="F900"/>
      <c r="G900"/>
      <c r="H900"/>
      <c r="I900"/>
      <c r="J900"/>
    </row>
    <row r="901" spans="1:10" s="6" customFormat="1" x14ac:dyDescent="0.25">
      <c r="A901" s="12">
        <v>42353</v>
      </c>
      <c r="B901" s="12">
        <v>42353</v>
      </c>
      <c r="C901" s="12"/>
      <c r="F901"/>
      <c r="G901"/>
      <c r="H901"/>
      <c r="I901"/>
      <c r="J901"/>
    </row>
    <row r="902" spans="1:10" s="6" customFormat="1" x14ac:dyDescent="0.25">
      <c r="A902" s="12">
        <v>42353</v>
      </c>
      <c r="B902" s="12">
        <v>42353</v>
      </c>
      <c r="C902" s="12"/>
      <c r="F902"/>
      <c r="G902"/>
      <c r="H902"/>
      <c r="I902"/>
      <c r="J902"/>
    </row>
    <row r="903" spans="1:10" s="6" customFormat="1" x14ac:dyDescent="0.25">
      <c r="A903" s="12">
        <v>42353</v>
      </c>
      <c r="B903" s="12">
        <v>42353</v>
      </c>
      <c r="C903" s="12"/>
      <c r="F903"/>
      <c r="G903"/>
      <c r="H903"/>
      <c r="I903"/>
      <c r="J903"/>
    </row>
  </sheetData>
  <sortState ref="C2:F698">
    <sortCondition ref="F2:F698" customList="CBC,BMPNL,CMPNL,TROPI,PROTIM,HDIMER,CSF GRST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606"/>
  <sheetViews>
    <sheetView workbookViewId="0">
      <selection activeCell="F7" sqref="F7"/>
    </sheetView>
  </sheetViews>
  <sheetFormatPr defaultRowHeight="15" x14ac:dyDescent="0.25"/>
  <cols>
    <col min="1" max="1" width="19" style="2" customWidth="1"/>
    <col min="2" max="2" width="16.140625" style="2" customWidth="1"/>
    <col min="3" max="5" width="20.85546875" style="1" customWidth="1"/>
    <col min="12" max="12" width="12" bestFit="1" customWidth="1"/>
    <col min="13" max="13" width="17" bestFit="1" customWidth="1"/>
  </cols>
  <sheetData>
    <row r="1" spans="1:13" s="1" customFormat="1" x14ac:dyDescent="0.25">
      <c r="A1" s="2" t="s">
        <v>4</v>
      </c>
      <c r="B1" s="2" t="s">
        <v>5</v>
      </c>
      <c r="C1" s="1" t="s">
        <v>13</v>
      </c>
      <c r="D1" s="1" t="s">
        <v>30</v>
      </c>
      <c r="E1" s="1" t="s">
        <v>2</v>
      </c>
    </row>
    <row r="2" spans="1:13" x14ac:dyDescent="0.25">
      <c r="A2" s="7">
        <v>0.49861111111111112</v>
      </c>
      <c r="B2" s="7">
        <v>0.51250000000000007</v>
      </c>
      <c r="C2" s="7">
        <f>B2-A2</f>
        <v>1.3888888888888951E-2</v>
      </c>
      <c r="D2" s="7">
        <f>ABS(C3-C2)</f>
        <v>1.0416666666666741E-2</v>
      </c>
      <c r="E2" s="1" t="s">
        <v>29</v>
      </c>
    </row>
    <row r="3" spans="1:13" x14ac:dyDescent="0.25">
      <c r="A3" s="7">
        <v>0.17847222222222223</v>
      </c>
      <c r="B3" s="7">
        <v>0.18194444444444444</v>
      </c>
      <c r="C3" s="7">
        <f t="shared" ref="C3:C66" si="0">B3-A3</f>
        <v>3.4722222222222099E-3</v>
      </c>
      <c r="D3" s="7">
        <f t="shared" ref="D3:D66" si="1">ABS(C4-C3)</f>
        <v>9.7222222222222432E-3</v>
      </c>
      <c r="E3" s="1" t="s">
        <v>29</v>
      </c>
      <c r="J3" s="1" t="s">
        <v>7</v>
      </c>
      <c r="K3" s="1" t="s">
        <v>15</v>
      </c>
      <c r="L3" s="1" t="s">
        <v>17</v>
      </c>
      <c r="M3" s="1" t="s">
        <v>16</v>
      </c>
    </row>
    <row r="4" spans="1:13" x14ac:dyDescent="0.25">
      <c r="A4" s="7">
        <v>0.44166666666666665</v>
      </c>
      <c r="B4" s="7">
        <v>0.4548611111111111</v>
      </c>
      <c r="C4" s="7">
        <f t="shared" si="0"/>
        <v>1.3194444444444453E-2</v>
      </c>
      <c r="D4" s="7">
        <f t="shared" si="1"/>
        <v>5.5511151231257827E-17</v>
      </c>
      <c r="E4" s="1" t="s">
        <v>29</v>
      </c>
      <c r="H4" s="20">
        <v>42370</v>
      </c>
      <c r="I4" t="s">
        <v>19</v>
      </c>
      <c r="J4" t="s">
        <v>29</v>
      </c>
      <c r="K4">
        <f>COUNTIF(E2:E606,J4)</f>
        <v>223</v>
      </c>
      <c r="L4" s="3">
        <f>AVERAGE(C2:C224)</f>
        <v>1.0715620328849025E-2</v>
      </c>
      <c r="M4" s="3">
        <f>AVERAGE(D2:D223)</f>
        <v>8.4522022022021932E-3</v>
      </c>
    </row>
    <row r="5" spans="1:13" x14ac:dyDescent="0.25">
      <c r="A5" s="7">
        <v>0.58263888888888882</v>
      </c>
      <c r="B5" s="7">
        <v>0.59583333333333333</v>
      </c>
      <c r="C5" s="7">
        <f t="shared" si="0"/>
        <v>1.3194444444444509E-2</v>
      </c>
      <c r="D5" s="7">
        <f t="shared" si="1"/>
        <v>9.0277777777779677E-3</v>
      </c>
      <c r="E5" s="1" t="s">
        <v>29</v>
      </c>
      <c r="H5" s="20">
        <v>42370</v>
      </c>
      <c r="I5" t="s">
        <v>19</v>
      </c>
      <c r="J5" t="s">
        <v>9</v>
      </c>
      <c r="K5">
        <f>COUNTIF(E2:E606,J5)</f>
        <v>63</v>
      </c>
      <c r="L5" s="3">
        <f>AVERAGE(C225:C287)</f>
        <v>2.0205026455026445E-2</v>
      </c>
      <c r="M5" s="3">
        <f>AVERAGE(D225:D286)</f>
        <v>9.6998207885304662E-3</v>
      </c>
    </row>
    <row r="6" spans="1:13" x14ac:dyDescent="0.25">
      <c r="A6" s="7">
        <v>0.70277777777777783</v>
      </c>
      <c r="B6" s="7">
        <v>0.70694444444444438</v>
      </c>
      <c r="C6" s="7">
        <f t="shared" si="0"/>
        <v>4.1666666666665408E-3</v>
      </c>
      <c r="D6" s="7">
        <f t="shared" si="1"/>
        <v>4.1666666666668739E-3</v>
      </c>
      <c r="E6" s="1" t="s">
        <v>29</v>
      </c>
      <c r="H6" s="20">
        <v>42370</v>
      </c>
      <c r="I6" t="s">
        <v>19</v>
      </c>
      <c r="J6" t="s">
        <v>10</v>
      </c>
      <c r="K6">
        <f>COUNTIF(E2:E606,J6)</f>
        <v>175</v>
      </c>
      <c r="L6" s="3">
        <f>AVERAGE(C288:C462)</f>
        <v>1.8956349206349192E-2</v>
      </c>
      <c r="M6" s="3">
        <f>AVERAGE(D288:D461)</f>
        <v>5.3679757343550469E-3</v>
      </c>
    </row>
    <row r="7" spans="1:13" x14ac:dyDescent="0.25">
      <c r="A7" s="7">
        <v>0.64236111111111105</v>
      </c>
      <c r="B7" s="7">
        <v>0.65069444444444446</v>
      </c>
      <c r="C7" s="7">
        <f t="shared" si="0"/>
        <v>8.3333333333334147E-3</v>
      </c>
      <c r="D7" s="7">
        <f t="shared" si="1"/>
        <v>4.1666666666666519E-3</v>
      </c>
      <c r="E7" s="1" t="s">
        <v>29</v>
      </c>
      <c r="H7" s="20">
        <v>42370</v>
      </c>
      <c r="I7" t="s">
        <v>19</v>
      </c>
      <c r="J7" t="s">
        <v>11</v>
      </c>
      <c r="K7">
        <f>COUNTIF(E2:E606,J7)</f>
        <v>115</v>
      </c>
      <c r="L7" s="3">
        <f>AVERAGE(C463:C577)</f>
        <v>2.1938405797101469E-2</v>
      </c>
      <c r="M7" s="3">
        <f>AVERAGE(D463:D576)</f>
        <v>5.0682261208577035E-3</v>
      </c>
    </row>
    <row r="8" spans="1:13" x14ac:dyDescent="0.25">
      <c r="A8" s="7">
        <v>0.63194444444444442</v>
      </c>
      <c r="B8" s="7">
        <v>0.64444444444444449</v>
      </c>
      <c r="C8" s="7">
        <f t="shared" si="0"/>
        <v>1.2500000000000067E-2</v>
      </c>
      <c r="D8" s="7">
        <f t="shared" si="1"/>
        <v>1.041666666666663E-2</v>
      </c>
      <c r="E8" s="1" t="s">
        <v>29</v>
      </c>
      <c r="H8" s="20">
        <v>42370</v>
      </c>
      <c r="I8" t="s">
        <v>19</v>
      </c>
      <c r="J8" t="s">
        <v>8</v>
      </c>
      <c r="K8">
        <f>COUNTIF(E2:E606,J8)</f>
        <v>29</v>
      </c>
      <c r="L8" s="3">
        <f>AVERAGE(C578:C606)</f>
        <v>1.5804597701149399E-2</v>
      </c>
      <c r="M8" s="3">
        <f>AVERAGE(D578:D605)</f>
        <v>6.0763888888888933E-3</v>
      </c>
    </row>
    <row r="9" spans="1:13" x14ac:dyDescent="0.25">
      <c r="A9" s="7">
        <v>0.70763888888888893</v>
      </c>
      <c r="B9" s="7">
        <v>0.73055555555555562</v>
      </c>
      <c r="C9" s="7">
        <f t="shared" si="0"/>
        <v>2.2916666666666696E-2</v>
      </c>
      <c r="D9" s="7">
        <f t="shared" si="1"/>
        <v>1.6666666666666718E-2</v>
      </c>
      <c r="E9" s="1" t="s">
        <v>29</v>
      </c>
    </row>
    <row r="10" spans="1:13" x14ac:dyDescent="0.25">
      <c r="A10" s="7">
        <v>0.72916666666666663</v>
      </c>
      <c r="B10" s="7">
        <v>0.73541666666666661</v>
      </c>
      <c r="C10" s="7">
        <f t="shared" si="0"/>
        <v>6.2499999999999778E-3</v>
      </c>
      <c r="D10" s="7">
        <f t="shared" si="1"/>
        <v>3.4722222222220989E-3</v>
      </c>
      <c r="E10" s="1" t="s">
        <v>29</v>
      </c>
    </row>
    <row r="11" spans="1:13" x14ac:dyDescent="0.25">
      <c r="A11" s="7">
        <v>0.84513888888888899</v>
      </c>
      <c r="B11" s="7">
        <v>0.85486111111111107</v>
      </c>
      <c r="C11" s="7">
        <f t="shared" si="0"/>
        <v>9.7222222222220767E-3</v>
      </c>
      <c r="D11" s="7">
        <f t="shared" si="1"/>
        <v>6.2499999999998113E-3</v>
      </c>
      <c r="E11" s="1" t="s">
        <v>29</v>
      </c>
    </row>
    <row r="12" spans="1:13" x14ac:dyDescent="0.25">
      <c r="A12" s="7">
        <v>0.4770833333333333</v>
      </c>
      <c r="B12" s="7">
        <v>0.48055555555555557</v>
      </c>
      <c r="C12" s="7">
        <f t="shared" si="0"/>
        <v>3.4722222222222654E-3</v>
      </c>
      <c r="D12" s="7">
        <f t="shared" si="1"/>
        <v>1.4583333333333337E-2</v>
      </c>
      <c r="E12" s="1" t="s">
        <v>29</v>
      </c>
    </row>
    <row r="13" spans="1:13" x14ac:dyDescent="0.25">
      <c r="A13" s="7">
        <v>0.46111111111111108</v>
      </c>
      <c r="B13" s="7">
        <v>0.47916666666666669</v>
      </c>
      <c r="C13" s="7">
        <f t="shared" si="0"/>
        <v>1.8055555555555602E-2</v>
      </c>
      <c r="D13" s="7">
        <f t="shared" si="1"/>
        <v>8.3333333333334147E-3</v>
      </c>
      <c r="E13" s="1" t="s">
        <v>29</v>
      </c>
    </row>
    <row r="14" spans="1:13" x14ac:dyDescent="0.25">
      <c r="A14" s="7">
        <v>0.52638888888888891</v>
      </c>
      <c r="B14" s="7">
        <v>0.53611111111111109</v>
      </c>
      <c r="C14" s="7">
        <f t="shared" si="0"/>
        <v>9.7222222222221877E-3</v>
      </c>
      <c r="D14" s="7">
        <f t="shared" si="1"/>
        <v>1.5972222222222276E-2</v>
      </c>
      <c r="E14" s="1" t="s">
        <v>29</v>
      </c>
    </row>
    <row r="15" spans="1:13" x14ac:dyDescent="0.25">
      <c r="A15" s="7">
        <v>0.59097222222222223</v>
      </c>
      <c r="B15" s="7">
        <v>0.6166666666666667</v>
      </c>
      <c r="C15" s="7">
        <f t="shared" si="0"/>
        <v>2.5694444444444464E-2</v>
      </c>
      <c r="D15" s="7">
        <f t="shared" si="1"/>
        <v>1.8750000000000044E-2</v>
      </c>
      <c r="E15" s="1" t="s">
        <v>29</v>
      </c>
    </row>
    <row r="16" spans="1:13" x14ac:dyDescent="0.25">
      <c r="A16" s="7">
        <v>0.69652777777777775</v>
      </c>
      <c r="B16" s="7">
        <v>0.70347222222222217</v>
      </c>
      <c r="C16" s="7">
        <f t="shared" si="0"/>
        <v>6.9444444444444198E-3</v>
      </c>
      <c r="D16" s="7">
        <f t="shared" si="1"/>
        <v>1.7361111111111049E-2</v>
      </c>
      <c r="E16" s="1" t="s">
        <v>29</v>
      </c>
    </row>
    <row r="17" spans="1:5" x14ac:dyDescent="0.25">
      <c r="A17" s="7">
        <v>0.78263888888888899</v>
      </c>
      <c r="B17" s="7">
        <v>0.80694444444444446</v>
      </c>
      <c r="C17" s="7">
        <f t="shared" si="0"/>
        <v>2.4305555555555469E-2</v>
      </c>
      <c r="D17" s="7">
        <f t="shared" si="1"/>
        <v>1.2499999999999956E-2</v>
      </c>
      <c r="E17" s="1" t="s">
        <v>29</v>
      </c>
    </row>
    <row r="18" spans="1:5" x14ac:dyDescent="0.25">
      <c r="A18" s="7">
        <v>0.48333333333333334</v>
      </c>
      <c r="B18" s="7">
        <v>0.49513888888888885</v>
      </c>
      <c r="C18" s="7">
        <f t="shared" si="0"/>
        <v>1.1805555555555514E-2</v>
      </c>
      <c r="D18" s="7">
        <f t="shared" si="1"/>
        <v>6.9444444444438647E-4</v>
      </c>
      <c r="E18" s="1" t="s">
        <v>29</v>
      </c>
    </row>
    <row r="19" spans="1:5" x14ac:dyDescent="0.25">
      <c r="A19" s="7">
        <v>0.49652777777777773</v>
      </c>
      <c r="B19" s="7">
        <v>0.50763888888888886</v>
      </c>
      <c r="C19" s="7">
        <f t="shared" si="0"/>
        <v>1.1111111111111127E-2</v>
      </c>
      <c r="D19" s="7">
        <f t="shared" si="1"/>
        <v>3.4722222222221544E-3</v>
      </c>
      <c r="E19" s="1" t="s">
        <v>29</v>
      </c>
    </row>
    <row r="20" spans="1:5" x14ac:dyDescent="0.25">
      <c r="A20" s="7">
        <v>0.53749999999999998</v>
      </c>
      <c r="B20" s="7">
        <v>0.54513888888888895</v>
      </c>
      <c r="C20" s="7">
        <f t="shared" si="0"/>
        <v>7.6388888888889728E-3</v>
      </c>
      <c r="D20" s="7">
        <f t="shared" si="1"/>
        <v>2.083333333333437E-3</v>
      </c>
      <c r="E20" s="1" t="s">
        <v>29</v>
      </c>
    </row>
    <row r="21" spans="1:5" x14ac:dyDescent="0.25">
      <c r="A21" s="7">
        <v>0.59444444444444444</v>
      </c>
      <c r="B21" s="7">
        <v>0.6</v>
      </c>
      <c r="C21" s="7">
        <f t="shared" si="0"/>
        <v>5.5555555555555358E-3</v>
      </c>
      <c r="D21" s="7">
        <f t="shared" si="1"/>
        <v>1.388888888888884E-3</v>
      </c>
      <c r="E21" s="1" t="s">
        <v>29</v>
      </c>
    </row>
    <row r="22" spans="1:5" x14ac:dyDescent="0.25">
      <c r="A22" s="7">
        <v>0.80486111111111114</v>
      </c>
      <c r="B22" s="7">
        <v>0.80902777777777779</v>
      </c>
      <c r="C22" s="7">
        <f t="shared" si="0"/>
        <v>4.1666666666666519E-3</v>
      </c>
      <c r="D22" s="7">
        <f t="shared" si="1"/>
        <v>4.8611111111112049E-3</v>
      </c>
      <c r="E22" s="1" t="s">
        <v>29</v>
      </c>
    </row>
    <row r="23" spans="1:5" x14ac:dyDescent="0.25">
      <c r="A23" s="7">
        <v>0.84166666666666667</v>
      </c>
      <c r="B23" s="7">
        <v>0.85069444444444453</v>
      </c>
      <c r="C23" s="7">
        <f t="shared" si="0"/>
        <v>9.0277777777778567E-3</v>
      </c>
      <c r="D23" s="7">
        <f t="shared" si="1"/>
        <v>4.8611111111109828E-3</v>
      </c>
      <c r="E23" s="1" t="s">
        <v>29</v>
      </c>
    </row>
    <row r="24" spans="1:5" x14ac:dyDescent="0.25">
      <c r="A24" s="7">
        <v>0.9506944444444444</v>
      </c>
      <c r="B24" s="7">
        <v>0.96458333333333324</v>
      </c>
      <c r="C24" s="7">
        <f t="shared" si="0"/>
        <v>1.388888888888884E-2</v>
      </c>
      <c r="D24" s="7">
        <f t="shared" si="1"/>
        <v>6.9444444444444198E-3</v>
      </c>
      <c r="E24" s="1" t="s">
        <v>29</v>
      </c>
    </row>
    <row r="25" spans="1:5" x14ac:dyDescent="0.25">
      <c r="A25" s="7">
        <v>0.97499999999999998</v>
      </c>
      <c r="B25" s="7">
        <v>0.9819444444444444</v>
      </c>
      <c r="C25" s="7">
        <f t="shared" si="0"/>
        <v>6.9444444444444198E-3</v>
      </c>
      <c r="D25" s="7">
        <f t="shared" si="1"/>
        <v>6.9444444444444198E-4</v>
      </c>
      <c r="E25" s="1" t="s">
        <v>29</v>
      </c>
    </row>
    <row r="26" spans="1:5" x14ac:dyDescent="0.25">
      <c r="A26" s="7">
        <v>0.12847222222222224</v>
      </c>
      <c r="B26" s="7">
        <v>0.13472222222222222</v>
      </c>
      <c r="C26" s="7">
        <f t="shared" si="0"/>
        <v>6.2499999999999778E-3</v>
      </c>
      <c r="D26" s="7">
        <f t="shared" si="1"/>
        <v>2.7777777777777679E-3</v>
      </c>
      <c r="E26" s="1" t="s">
        <v>29</v>
      </c>
    </row>
    <row r="27" spans="1:5" x14ac:dyDescent="0.25">
      <c r="A27" s="7">
        <v>0.4201388888888889</v>
      </c>
      <c r="B27" s="7">
        <v>0.4236111111111111</v>
      </c>
      <c r="C27" s="7">
        <f t="shared" si="0"/>
        <v>3.4722222222222099E-3</v>
      </c>
      <c r="D27" s="7">
        <f t="shared" si="1"/>
        <v>2.8472222222222177E-2</v>
      </c>
      <c r="E27" s="1" t="s">
        <v>29</v>
      </c>
    </row>
    <row r="28" spans="1:5" x14ac:dyDescent="0.25">
      <c r="A28" s="7">
        <v>0.48680555555555555</v>
      </c>
      <c r="B28" s="7">
        <v>0.51874999999999993</v>
      </c>
      <c r="C28" s="7">
        <f t="shared" si="0"/>
        <v>3.1944444444444386E-2</v>
      </c>
      <c r="D28" s="7">
        <f t="shared" si="1"/>
        <v>2.0138888888888762E-2</v>
      </c>
      <c r="E28" s="1" t="s">
        <v>29</v>
      </c>
    </row>
    <row r="29" spans="1:5" x14ac:dyDescent="0.25">
      <c r="A29" s="7">
        <v>0.54097222222222219</v>
      </c>
      <c r="B29" s="7">
        <v>0.55277777777777781</v>
      </c>
      <c r="C29" s="7">
        <f t="shared" si="0"/>
        <v>1.1805555555555625E-2</v>
      </c>
      <c r="D29" s="7">
        <f t="shared" si="1"/>
        <v>7.6388888888889728E-3</v>
      </c>
      <c r="E29" s="1" t="s">
        <v>29</v>
      </c>
    </row>
    <row r="30" spans="1:5" x14ac:dyDescent="0.25">
      <c r="A30" s="7">
        <v>0.60486111111111118</v>
      </c>
      <c r="B30" s="7">
        <v>0.60902777777777783</v>
      </c>
      <c r="C30" s="7">
        <f t="shared" si="0"/>
        <v>4.1666666666666519E-3</v>
      </c>
      <c r="D30" s="7">
        <f t="shared" si="1"/>
        <v>6.94444444444553E-4</v>
      </c>
      <c r="E30" s="1" t="s">
        <v>29</v>
      </c>
    </row>
    <row r="31" spans="1:5" x14ac:dyDescent="0.25">
      <c r="A31" s="7">
        <v>0.70347222222222217</v>
      </c>
      <c r="B31" s="7">
        <v>0.70833333333333337</v>
      </c>
      <c r="C31" s="7">
        <f t="shared" si="0"/>
        <v>4.8611111111112049E-3</v>
      </c>
      <c r="D31" s="7">
        <f t="shared" si="1"/>
        <v>0</v>
      </c>
      <c r="E31" s="1" t="s">
        <v>29</v>
      </c>
    </row>
    <row r="32" spans="1:5" x14ac:dyDescent="0.25">
      <c r="A32" s="7">
        <v>0.6694444444444444</v>
      </c>
      <c r="B32" s="7">
        <v>0.6743055555555556</v>
      </c>
      <c r="C32" s="7">
        <f t="shared" si="0"/>
        <v>4.8611111111112049E-3</v>
      </c>
      <c r="D32" s="7">
        <f t="shared" si="1"/>
        <v>1.3194444444444398E-2</v>
      </c>
      <c r="E32" s="1" t="s">
        <v>29</v>
      </c>
    </row>
    <row r="33" spans="1:5" x14ac:dyDescent="0.25">
      <c r="A33" s="7">
        <v>0.71597222222222223</v>
      </c>
      <c r="B33" s="7">
        <v>0.73402777777777783</v>
      </c>
      <c r="C33" s="7">
        <f t="shared" si="0"/>
        <v>1.8055555555555602E-2</v>
      </c>
      <c r="D33" s="7">
        <f t="shared" si="1"/>
        <v>6.2500000000000888E-3</v>
      </c>
      <c r="E33" s="1" t="s">
        <v>29</v>
      </c>
    </row>
    <row r="34" spans="1:5" x14ac:dyDescent="0.25">
      <c r="A34" s="7">
        <v>0.79583333333333339</v>
      </c>
      <c r="B34" s="7">
        <v>0.80763888888888891</v>
      </c>
      <c r="C34" s="7">
        <f t="shared" si="0"/>
        <v>1.1805555555555514E-2</v>
      </c>
      <c r="D34" s="7">
        <f t="shared" si="1"/>
        <v>6.94444444444553E-4</v>
      </c>
      <c r="E34" s="1" t="s">
        <v>29</v>
      </c>
    </row>
    <row r="35" spans="1:5" x14ac:dyDescent="0.25">
      <c r="A35" s="7">
        <v>0.79513888888888884</v>
      </c>
      <c r="B35" s="7">
        <v>0.80763888888888891</v>
      </c>
      <c r="C35" s="7">
        <f t="shared" si="0"/>
        <v>1.2500000000000067E-2</v>
      </c>
      <c r="D35" s="7">
        <f t="shared" si="1"/>
        <v>4.1666666666667629E-3</v>
      </c>
      <c r="E35" s="1" t="s">
        <v>29</v>
      </c>
    </row>
    <row r="36" spans="1:5" x14ac:dyDescent="0.25">
      <c r="A36" s="7">
        <v>0.90416666666666667</v>
      </c>
      <c r="B36" s="7">
        <v>0.91249999999999998</v>
      </c>
      <c r="C36" s="7">
        <f t="shared" si="0"/>
        <v>8.3333333333333037E-3</v>
      </c>
      <c r="D36" s="7">
        <f t="shared" si="1"/>
        <v>1.2500000000000067E-2</v>
      </c>
      <c r="E36" s="1" t="s">
        <v>29</v>
      </c>
    </row>
    <row r="37" spans="1:5" x14ac:dyDescent="0.25">
      <c r="A37" s="7">
        <v>0.9604166666666667</v>
      </c>
      <c r="B37" s="7">
        <v>0.98125000000000007</v>
      </c>
      <c r="C37" s="7">
        <f t="shared" si="0"/>
        <v>2.083333333333337E-2</v>
      </c>
      <c r="D37" s="7">
        <f t="shared" si="1"/>
        <v>1.5972222222222165E-2</v>
      </c>
      <c r="E37" s="1" t="s">
        <v>29</v>
      </c>
    </row>
    <row r="38" spans="1:5" x14ac:dyDescent="0.25">
      <c r="A38" s="7">
        <v>1.0111111111111111</v>
      </c>
      <c r="B38" s="7">
        <v>1.0159722222222223</v>
      </c>
      <c r="C38" s="7">
        <f t="shared" si="0"/>
        <v>4.8611111111112049E-3</v>
      </c>
      <c r="D38" s="7">
        <f t="shared" si="1"/>
        <v>1.3194444444444342E-2</v>
      </c>
      <c r="E38" s="1" t="s">
        <v>29</v>
      </c>
    </row>
    <row r="39" spans="1:5" x14ac:dyDescent="0.25">
      <c r="A39" s="7">
        <v>0.36944444444444446</v>
      </c>
      <c r="B39" s="7">
        <v>0.38750000000000001</v>
      </c>
      <c r="C39" s="7">
        <f t="shared" si="0"/>
        <v>1.8055555555555547E-2</v>
      </c>
      <c r="D39" s="7">
        <f t="shared" si="1"/>
        <v>4.8611111111110938E-3</v>
      </c>
      <c r="E39" s="1" t="s">
        <v>29</v>
      </c>
    </row>
    <row r="40" spans="1:5" x14ac:dyDescent="0.25">
      <c r="A40" s="7">
        <v>0.26041666666666669</v>
      </c>
      <c r="B40" s="7">
        <v>0.28333333333333333</v>
      </c>
      <c r="C40" s="7">
        <f t="shared" si="0"/>
        <v>2.2916666666666641E-2</v>
      </c>
      <c r="D40" s="7">
        <f t="shared" si="1"/>
        <v>1.1805555555555458E-2</v>
      </c>
      <c r="E40" s="1" t="s">
        <v>29</v>
      </c>
    </row>
    <row r="41" spans="1:5" x14ac:dyDescent="0.25">
      <c r="A41" s="7">
        <v>0.40138888888888885</v>
      </c>
      <c r="B41" s="7">
        <v>0.41250000000000003</v>
      </c>
      <c r="C41" s="7">
        <f t="shared" si="0"/>
        <v>1.1111111111111183E-2</v>
      </c>
      <c r="D41" s="7">
        <f t="shared" si="1"/>
        <v>6.9444444444443643E-3</v>
      </c>
      <c r="E41" s="1" t="s">
        <v>29</v>
      </c>
    </row>
    <row r="42" spans="1:5" x14ac:dyDescent="0.25">
      <c r="A42" s="7">
        <v>0.4826388888888889</v>
      </c>
      <c r="B42" s="7">
        <v>0.50069444444444444</v>
      </c>
      <c r="C42" s="7">
        <f t="shared" si="0"/>
        <v>1.8055555555555547E-2</v>
      </c>
      <c r="D42" s="7">
        <f t="shared" si="1"/>
        <v>4.8611111111110383E-3</v>
      </c>
      <c r="E42" s="1" t="s">
        <v>29</v>
      </c>
    </row>
    <row r="43" spans="1:5" x14ac:dyDescent="0.25">
      <c r="A43" s="7">
        <v>0.66527777777777775</v>
      </c>
      <c r="B43" s="7">
        <v>0.67847222222222225</v>
      </c>
      <c r="C43" s="7">
        <f t="shared" si="0"/>
        <v>1.3194444444444509E-2</v>
      </c>
      <c r="D43" s="7">
        <f t="shared" si="1"/>
        <v>8.3333333333334147E-3</v>
      </c>
      <c r="E43" s="1" t="s">
        <v>29</v>
      </c>
    </row>
    <row r="44" spans="1:5" x14ac:dyDescent="0.25">
      <c r="A44" s="7">
        <v>0.67361111111111116</v>
      </c>
      <c r="B44" s="7">
        <v>0.67847222222222225</v>
      </c>
      <c r="C44" s="7">
        <f t="shared" si="0"/>
        <v>4.8611111111110938E-3</v>
      </c>
      <c r="D44" s="7">
        <f t="shared" si="1"/>
        <v>6.9444444444444198E-4</v>
      </c>
      <c r="E44" s="1" t="s">
        <v>29</v>
      </c>
    </row>
    <row r="45" spans="1:5" x14ac:dyDescent="0.25">
      <c r="A45" s="7">
        <v>0.78194444444444444</v>
      </c>
      <c r="B45" s="7">
        <v>0.78749999999999998</v>
      </c>
      <c r="C45" s="7">
        <f t="shared" si="0"/>
        <v>5.5555555555555358E-3</v>
      </c>
      <c r="D45" s="7">
        <f t="shared" si="1"/>
        <v>2.0833333333332149E-3</v>
      </c>
      <c r="E45" s="1" t="s">
        <v>29</v>
      </c>
    </row>
    <row r="46" spans="1:5" x14ac:dyDescent="0.25">
      <c r="A46" s="7">
        <v>0.88888888888888884</v>
      </c>
      <c r="B46" s="7">
        <v>0.89236111111111116</v>
      </c>
      <c r="C46" s="7">
        <f t="shared" si="0"/>
        <v>3.4722222222223209E-3</v>
      </c>
      <c r="D46" s="7">
        <f t="shared" si="1"/>
        <v>1.3194444444444398E-2</v>
      </c>
      <c r="E46" s="1" t="s">
        <v>29</v>
      </c>
    </row>
    <row r="47" spans="1:5" x14ac:dyDescent="0.25">
      <c r="A47" s="7">
        <v>0.93819444444444444</v>
      </c>
      <c r="B47" s="7">
        <v>0.95486111111111116</v>
      </c>
      <c r="C47" s="7">
        <f t="shared" si="0"/>
        <v>1.6666666666666718E-2</v>
      </c>
      <c r="D47" s="7">
        <f t="shared" si="1"/>
        <v>1.1111111111111155E-2</v>
      </c>
      <c r="E47" s="1" t="s">
        <v>29</v>
      </c>
    </row>
    <row r="48" spans="1:5" x14ac:dyDescent="0.25">
      <c r="A48" s="7">
        <v>0.12361111111111112</v>
      </c>
      <c r="B48" s="7">
        <v>0.12916666666666668</v>
      </c>
      <c r="C48" s="7">
        <f t="shared" si="0"/>
        <v>5.5555555555555636E-3</v>
      </c>
      <c r="D48" s="7">
        <f t="shared" si="1"/>
        <v>1.3877787807814457E-17</v>
      </c>
      <c r="E48" s="1" t="s">
        <v>29</v>
      </c>
    </row>
    <row r="49" spans="1:5" x14ac:dyDescent="0.25">
      <c r="A49" s="7">
        <v>0.10347222222222223</v>
      </c>
      <c r="B49" s="7">
        <v>0.10902777777777778</v>
      </c>
      <c r="C49" s="7">
        <f t="shared" si="0"/>
        <v>5.5555555555555497E-3</v>
      </c>
      <c r="D49" s="7">
        <f t="shared" si="1"/>
        <v>4.9305555555555561E-2</v>
      </c>
      <c r="E49" s="1" t="s">
        <v>29</v>
      </c>
    </row>
    <row r="50" spans="1:5" x14ac:dyDescent="0.25">
      <c r="A50" s="7">
        <v>0.24374999999999999</v>
      </c>
      <c r="B50" s="7">
        <v>0.2986111111111111</v>
      </c>
      <c r="C50" s="7">
        <f t="shared" si="0"/>
        <v>5.486111111111111E-2</v>
      </c>
      <c r="D50" s="7">
        <f t="shared" si="1"/>
        <v>4.7916666666666691E-2</v>
      </c>
      <c r="E50" s="1" t="s">
        <v>29</v>
      </c>
    </row>
    <row r="51" spans="1:5" x14ac:dyDescent="0.25">
      <c r="A51" s="7">
        <v>0.61597222222222225</v>
      </c>
      <c r="B51" s="7">
        <v>0.62291666666666667</v>
      </c>
      <c r="C51" s="7">
        <f t="shared" si="0"/>
        <v>6.9444444444444198E-3</v>
      </c>
      <c r="D51" s="7">
        <f t="shared" si="1"/>
        <v>6.9444444444444198E-3</v>
      </c>
      <c r="E51" s="1" t="s">
        <v>29</v>
      </c>
    </row>
    <row r="52" spans="1:5" x14ac:dyDescent="0.25">
      <c r="A52" s="7">
        <v>0.74444444444444446</v>
      </c>
      <c r="B52" s="7">
        <v>0.7583333333333333</v>
      </c>
      <c r="C52" s="7">
        <f t="shared" si="0"/>
        <v>1.388888888888884E-2</v>
      </c>
      <c r="D52" s="7">
        <f t="shared" si="1"/>
        <v>6.2499999999999778E-3</v>
      </c>
      <c r="E52" s="1" t="s">
        <v>29</v>
      </c>
    </row>
    <row r="53" spans="1:5" x14ac:dyDescent="0.25">
      <c r="A53" s="7">
        <v>0.89861111111111114</v>
      </c>
      <c r="B53" s="7">
        <v>0.90625</v>
      </c>
      <c r="C53" s="7">
        <f t="shared" si="0"/>
        <v>7.6388888888888618E-3</v>
      </c>
      <c r="D53" s="7">
        <f t="shared" si="1"/>
        <v>2.7777777777776569E-3</v>
      </c>
      <c r="E53" s="1" t="s">
        <v>29</v>
      </c>
    </row>
    <row r="54" spans="1:5" x14ac:dyDescent="0.25">
      <c r="A54" s="7">
        <v>0.96180555555555547</v>
      </c>
      <c r="B54" s="7">
        <v>0.96666666666666667</v>
      </c>
      <c r="C54" s="7">
        <f t="shared" si="0"/>
        <v>4.8611111111112049E-3</v>
      </c>
      <c r="D54" s="7">
        <f t="shared" si="1"/>
        <v>6.2499999999999015E-3</v>
      </c>
      <c r="E54" s="1" t="s">
        <v>29</v>
      </c>
    </row>
    <row r="55" spans="1:5" x14ac:dyDescent="0.25">
      <c r="A55" s="7">
        <v>5.0694444444444452E-2</v>
      </c>
      <c r="B55" s="7">
        <v>6.1805555555555558E-2</v>
      </c>
      <c r="C55" s="7">
        <f t="shared" si="0"/>
        <v>1.1111111111111106E-2</v>
      </c>
      <c r="D55" s="7">
        <f t="shared" si="1"/>
        <v>1.3888888888888631E-3</v>
      </c>
      <c r="E55" s="1" t="s">
        <v>29</v>
      </c>
    </row>
    <row r="56" spans="1:5" x14ac:dyDescent="0.25">
      <c r="A56" s="7">
        <v>0.33124999999999999</v>
      </c>
      <c r="B56" s="7">
        <v>0.34097222222222223</v>
      </c>
      <c r="C56" s="7">
        <f t="shared" si="0"/>
        <v>9.7222222222222432E-3</v>
      </c>
      <c r="D56" s="7">
        <f t="shared" si="1"/>
        <v>5.5555555555555913E-3</v>
      </c>
      <c r="E56" s="1" t="s">
        <v>29</v>
      </c>
    </row>
    <row r="57" spans="1:5" x14ac:dyDescent="0.25">
      <c r="A57" s="7">
        <v>0.34722222222222227</v>
      </c>
      <c r="B57" s="7">
        <v>0.35138888888888892</v>
      </c>
      <c r="C57" s="7">
        <f t="shared" si="0"/>
        <v>4.1666666666666519E-3</v>
      </c>
      <c r="D57" s="7">
        <f t="shared" si="1"/>
        <v>2.2222222222222199E-2</v>
      </c>
      <c r="E57" s="1" t="s">
        <v>29</v>
      </c>
    </row>
    <row r="58" spans="1:5" x14ac:dyDescent="0.25">
      <c r="A58" s="7">
        <v>0.4069444444444445</v>
      </c>
      <c r="B58" s="7">
        <v>0.43333333333333335</v>
      </c>
      <c r="C58" s="7">
        <f t="shared" si="0"/>
        <v>2.6388888888888851E-2</v>
      </c>
      <c r="D58" s="7">
        <f t="shared" si="1"/>
        <v>1.1805555555555514E-2</v>
      </c>
      <c r="E58" s="1" t="s">
        <v>29</v>
      </c>
    </row>
    <row r="59" spans="1:5" x14ac:dyDescent="0.25">
      <c r="A59" s="7">
        <v>0.47152777777777777</v>
      </c>
      <c r="B59" s="7">
        <v>0.4861111111111111</v>
      </c>
      <c r="C59" s="7">
        <f t="shared" si="0"/>
        <v>1.4583333333333337E-2</v>
      </c>
      <c r="D59" s="7">
        <f t="shared" si="1"/>
        <v>7.6388888888888618E-3</v>
      </c>
      <c r="E59" s="1" t="s">
        <v>29</v>
      </c>
    </row>
    <row r="60" spans="1:5" x14ac:dyDescent="0.25">
      <c r="A60" s="7">
        <v>0.48888888888888887</v>
      </c>
      <c r="B60" s="7">
        <v>0.49583333333333335</v>
      </c>
      <c r="C60" s="7">
        <f t="shared" si="0"/>
        <v>6.9444444444444753E-3</v>
      </c>
      <c r="D60" s="7">
        <f t="shared" si="1"/>
        <v>1.3888888888889395E-3</v>
      </c>
      <c r="E60" s="1" t="s">
        <v>29</v>
      </c>
    </row>
    <row r="61" spans="1:5" x14ac:dyDescent="0.25">
      <c r="A61" s="7">
        <v>0.60486111111111118</v>
      </c>
      <c r="B61" s="7">
        <v>0.61041666666666672</v>
      </c>
      <c r="C61" s="7">
        <f t="shared" si="0"/>
        <v>5.5555555555555358E-3</v>
      </c>
      <c r="D61" s="7">
        <f t="shared" si="1"/>
        <v>6.9444444444444198E-4</v>
      </c>
      <c r="E61" s="1" t="s">
        <v>29</v>
      </c>
    </row>
    <row r="62" spans="1:5" x14ac:dyDescent="0.25">
      <c r="A62" s="7">
        <v>0.67361111111111116</v>
      </c>
      <c r="B62" s="7">
        <v>0.67847222222222225</v>
      </c>
      <c r="C62" s="7">
        <f t="shared" si="0"/>
        <v>4.8611111111110938E-3</v>
      </c>
      <c r="D62" s="7">
        <f t="shared" si="1"/>
        <v>8.3333333333333037E-3</v>
      </c>
      <c r="E62" s="1" t="s">
        <v>29</v>
      </c>
    </row>
    <row r="63" spans="1:5" x14ac:dyDescent="0.25">
      <c r="A63" s="7">
        <v>0.75138888888888899</v>
      </c>
      <c r="B63" s="7">
        <v>0.76458333333333339</v>
      </c>
      <c r="C63" s="7">
        <f t="shared" si="0"/>
        <v>1.3194444444444398E-2</v>
      </c>
      <c r="D63" s="7">
        <f t="shared" si="1"/>
        <v>8.3333333333333037E-3</v>
      </c>
      <c r="E63" s="1" t="s">
        <v>29</v>
      </c>
    </row>
    <row r="64" spans="1:5" x14ac:dyDescent="0.25">
      <c r="A64" s="7">
        <v>0.8354166666666667</v>
      </c>
      <c r="B64" s="7">
        <v>0.84027777777777779</v>
      </c>
      <c r="C64" s="7">
        <f t="shared" si="0"/>
        <v>4.8611111111110938E-3</v>
      </c>
      <c r="D64" s="7">
        <f t="shared" si="1"/>
        <v>5.5555555555555358E-3</v>
      </c>
      <c r="E64" s="1" t="s">
        <v>29</v>
      </c>
    </row>
    <row r="65" spans="1:5" x14ac:dyDescent="0.25">
      <c r="A65" s="7">
        <v>0.81874999999999998</v>
      </c>
      <c r="B65" s="7">
        <v>0.82916666666666661</v>
      </c>
      <c r="C65" s="7">
        <f t="shared" si="0"/>
        <v>1.041666666666663E-2</v>
      </c>
      <c r="D65" s="7">
        <f t="shared" si="1"/>
        <v>5.5555555555555358E-3</v>
      </c>
      <c r="E65" s="1" t="s">
        <v>29</v>
      </c>
    </row>
    <row r="66" spans="1:5" x14ac:dyDescent="0.25">
      <c r="A66" s="7">
        <v>0.82361111111111107</v>
      </c>
      <c r="B66" s="7">
        <v>0.82847222222222217</v>
      </c>
      <c r="C66" s="7">
        <f t="shared" si="0"/>
        <v>4.8611111111110938E-3</v>
      </c>
      <c r="D66" s="7">
        <f t="shared" si="1"/>
        <v>5.5555555555556468E-3</v>
      </c>
      <c r="E66" s="1" t="s">
        <v>29</v>
      </c>
    </row>
    <row r="67" spans="1:5" x14ac:dyDescent="0.25">
      <c r="A67" s="7">
        <v>0.86249999999999993</v>
      </c>
      <c r="B67" s="7">
        <v>0.87291666666666667</v>
      </c>
      <c r="C67" s="7">
        <f t="shared" ref="C67:C128" si="2">B67-A67</f>
        <v>1.0416666666666741E-2</v>
      </c>
      <c r="D67" s="7">
        <f t="shared" ref="D67:D130" si="3">ABS(C68-C67)</f>
        <v>9.0277777777777457E-3</v>
      </c>
      <c r="E67" s="1" t="s">
        <v>29</v>
      </c>
    </row>
    <row r="68" spans="1:5" x14ac:dyDescent="0.25">
      <c r="A68" s="7">
        <v>0.88055555555555554</v>
      </c>
      <c r="B68" s="7">
        <v>0.88194444444444453</v>
      </c>
      <c r="C68" s="7">
        <f t="shared" si="2"/>
        <v>1.388888888888995E-3</v>
      </c>
      <c r="D68" s="7">
        <f t="shared" si="3"/>
        <v>2.7777777777776569E-3</v>
      </c>
      <c r="E68" s="1" t="s">
        <v>29</v>
      </c>
    </row>
    <row r="69" spans="1:5" x14ac:dyDescent="0.25">
      <c r="A69" s="7">
        <v>0.5229166666666667</v>
      </c>
      <c r="B69" s="7">
        <v>0.52708333333333335</v>
      </c>
      <c r="C69" s="7">
        <f t="shared" si="2"/>
        <v>4.1666666666666519E-3</v>
      </c>
      <c r="D69" s="7">
        <f t="shared" si="3"/>
        <v>2.0833333333333259E-3</v>
      </c>
      <c r="E69" s="1" t="s">
        <v>29</v>
      </c>
    </row>
    <row r="70" spans="1:5" x14ac:dyDescent="0.25">
      <c r="A70" s="7">
        <v>0.52986111111111112</v>
      </c>
      <c r="B70" s="7">
        <v>0.53611111111111109</v>
      </c>
      <c r="C70" s="7">
        <f t="shared" si="2"/>
        <v>6.2499999999999778E-3</v>
      </c>
      <c r="D70" s="7">
        <f t="shared" si="3"/>
        <v>4.8611111111109828E-3</v>
      </c>
      <c r="E70" s="1" t="s">
        <v>29</v>
      </c>
    </row>
    <row r="71" spans="1:5" x14ac:dyDescent="0.25">
      <c r="A71" s="7">
        <v>0.70138888888888884</v>
      </c>
      <c r="B71" s="7">
        <v>0.70277777777777783</v>
      </c>
      <c r="C71" s="7">
        <f t="shared" si="2"/>
        <v>1.388888888888995E-3</v>
      </c>
      <c r="D71" s="7">
        <f t="shared" si="3"/>
        <v>1.2499999999999845E-2</v>
      </c>
      <c r="E71" s="1" t="s">
        <v>29</v>
      </c>
    </row>
    <row r="72" spans="1:5" x14ac:dyDescent="0.25">
      <c r="A72" s="7">
        <v>0.87013888888888891</v>
      </c>
      <c r="B72" s="7">
        <v>0.88402777777777775</v>
      </c>
      <c r="C72" s="7">
        <f t="shared" si="2"/>
        <v>1.388888888888884E-2</v>
      </c>
      <c r="D72" s="7">
        <f t="shared" si="3"/>
        <v>9.7222222222222987E-3</v>
      </c>
      <c r="E72" s="1" t="s">
        <v>29</v>
      </c>
    </row>
    <row r="73" spans="1:5" x14ac:dyDescent="0.25">
      <c r="A73" s="7">
        <v>0.98333333333333339</v>
      </c>
      <c r="B73" s="7">
        <v>0.98749999999999993</v>
      </c>
      <c r="C73" s="7">
        <f t="shared" si="2"/>
        <v>4.1666666666665408E-3</v>
      </c>
      <c r="D73" s="7">
        <f t="shared" si="3"/>
        <v>1.3888888888889006E-2</v>
      </c>
      <c r="E73" s="1" t="s">
        <v>29</v>
      </c>
    </row>
    <row r="74" spans="1:5" x14ac:dyDescent="0.25">
      <c r="A74" s="7">
        <v>0.2638888888888889</v>
      </c>
      <c r="B74" s="7">
        <v>0.28194444444444444</v>
      </c>
      <c r="C74" s="7">
        <f t="shared" si="2"/>
        <v>1.8055555555555547E-2</v>
      </c>
      <c r="D74" s="7">
        <f t="shared" si="3"/>
        <v>9.0277777777777457E-3</v>
      </c>
      <c r="E74" s="1" t="s">
        <v>29</v>
      </c>
    </row>
    <row r="75" spans="1:5" x14ac:dyDescent="0.25">
      <c r="A75" s="7">
        <v>0.38055555555555554</v>
      </c>
      <c r="B75" s="7">
        <v>0.38958333333333334</v>
      </c>
      <c r="C75" s="7">
        <f t="shared" si="2"/>
        <v>9.0277777777778012E-3</v>
      </c>
      <c r="D75" s="7">
        <f t="shared" si="3"/>
        <v>6.9444444444444753E-3</v>
      </c>
      <c r="E75" s="1" t="s">
        <v>29</v>
      </c>
    </row>
    <row r="76" spans="1:5" x14ac:dyDescent="0.25">
      <c r="A76" s="7">
        <v>0.4770833333333333</v>
      </c>
      <c r="B76" s="7">
        <v>0.49305555555555558</v>
      </c>
      <c r="C76" s="7">
        <f t="shared" si="2"/>
        <v>1.5972222222222276E-2</v>
      </c>
      <c r="D76" s="7">
        <f t="shared" si="3"/>
        <v>1.3888888888887729E-3</v>
      </c>
      <c r="E76" s="1" t="s">
        <v>29</v>
      </c>
    </row>
    <row r="77" spans="1:5" x14ac:dyDescent="0.25">
      <c r="A77" s="7">
        <v>0.62777777777777777</v>
      </c>
      <c r="B77" s="7">
        <v>0.64513888888888882</v>
      </c>
      <c r="C77" s="7">
        <f t="shared" si="2"/>
        <v>1.7361111111111049E-2</v>
      </c>
      <c r="D77" s="7">
        <f t="shared" si="3"/>
        <v>9.0277777777777457E-3</v>
      </c>
      <c r="E77" s="1" t="s">
        <v>29</v>
      </c>
    </row>
    <row r="78" spans="1:5" x14ac:dyDescent="0.25">
      <c r="A78" s="7">
        <v>0.69444444444444453</v>
      </c>
      <c r="B78" s="7">
        <v>0.70277777777777783</v>
      </c>
      <c r="C78" s="7">
        <f t="shared" si="2"/>
        <v>8.3333333333333037E-3</v>
      </c>
      <c r="D78" s="7">
        <f t="shared" si="3"/>
        <v>1.041666666666663E-2</v>
      </c>
      <c r="E78" s="1" t="s">
        <v>29</v>
      </c>
    </row>
    <row r="79" spans="1:5" x14ac:dyDescent="0.25">
      <c r="A79" s="7">
        <v>0.77083333333333337</v>
      </c>
      <c r="B79" s="7">
        <v>0.7895833333333333</v>
      </c>
      <c r="C79" s="7">
        <f t="shared" si="2"/>
        <v>1.8749999999999933E-2</v>
      </c>
      <c r="D79" s="7">
        <f t="shared" si="3"/>
        <v>1.24999999999999E-2</v>
      </c>
      <c r="E79" s="1" t="s">
        <v>29</v>
      </c>
    </row>
    <row r="80" spans="1:5" x14ac:dyDescent="0.25">
      <c r="A80" s="7">
        <v>0.46736111111111112</v>
      </c>
      <c r="B80" s="7">
        <v>0.47361111111111115</v>
      </c>
      <c r="C80" s="7">
        <f t="shared" si="2"/>
        <v>6.2500000000000333E-3</v>
      </c>
      <c r="D80" s="7">
        <f t="shared" si="3"/>
        <v>4.0972222222222188E-2</v>
      </c>
      <c r="E80" s="1" t="s">
        <v>29</v>
      </c>
    </row>
    <row r="81" spans="1:5" x14ac:dyDescent="0.25">
      <c r="A81" s="7">
        <v>0.25416666666666665</v>
      </c>
      <c r="B81" s="7">
        <v>0.30138888888888887</v>
      </c>
      <c r="C81" s="7">
        <f t="shared" si="2"/>
        <v>4.7222222222222221E-2</v>
      </c>
      <c r="D81" s="7">
        <f t="shared" si="3"/>
        <v>4.1666666666666671E-2</v>
      </c>
      <c r="E81" s="1" t="s">
        <v>29</v>
      </c>
    </row>
    <row r="82" spans="1:5" x14ac:dyDescent="0.25">
      <c r="A82" s="7">
        <v>4.4444444444444446E-2</v>
      </c>
      <c r="B82" s="7">
        <v>4.9999999999999996E-2</v>
      </c>
      <c r="C82" s="7">
        <f t="shared" si="2"/>
        <v>5.5555555555555497E-3</v>
      </c>
      <c r="D82" s="7">
        <f t="shared" si="3"/>
        <v>8.3333333333334009E-3</v>
      </c>
      <c r="E82" s="1" t="s">
        <v>29</v>
      </c>
    </row>
    <row r="83" spans="1:5" x14ac:dyDescent="0.25">
      <c r="A83" s="7">
        <v>0.36736111111111108</v>
      </c>
      <c r="B83" s="7">
        <v>0.38125000000000003</v>
      </c>
      <c r="C83" s="7">
        <f t="shared" si="2"/>
        <v>1.3888888888888951E-2</v>
      </c>
      <c r="D83" s="7">
        <f t="shared" si="3"/>
        <v>4.1666666666665408E-3</v>
      </c>
      <c r="E83" s="1" t="s">
        <v>29</v>
      </c>
    </row>
    <row r="84" spans="1:5" x14ac:dyDescent="0.25">
      <c r="A84" s="7">
        <v>0.3756944444444445</v>
      </c>
      <c r="B84" s="7">
        <v>0.39374999999999999</v>
      </c>
      <c r="C84" s="7">
        <f t="shared" si="2"/>
        <v>1.8055555555555491E-2</v>
      </c>
      <c r="D84" s="7">
        <f t="shared" si="3"/>
        <v>2.0833333333332704E-3</v>
      </c>
      <c r="E84" s="1" t="s">
        <v>29</v>
      </c>
    </row>
    <row r="85" spans="1:5" x14ac:dyDescent="0.25">
      <c r="A85" s="7">
        <v>0.4604166666666667</v>
      </c>
      <c r="B85" s="7">
        <v>0.47638888888888892</v>
      </c>
      <c r="C85" s="7">
        <f t="shared" si="2"/>
        <v>1.5972222222222221E-2</v>
      </c>
      <c r="D85" s="7">
        <f t="shared" si="3"/>
        <v>9.7222222222221322E-3</v>
      </c>
      <c r="E85" s="1" t="s">
        <v>29</v>
      </c>
    </row>
    <row r="86" spans="1:5" x14ac:dyDescent="0.25">
      <c r="A86" s="7">
        <v>0.58263888888888882</v>
      </c>
      <c r="B86" s="7">
        <v>0.58888888888888891</v>
      </c>
      <c r="C86" s="7">
        <f t="shared" si="2"/>
        <v>6.2500000000000888E-3</v>
      </c>
      <c r="D86" s="7">
        <f t="shared" si="3"/>
        <v>4.1666666666665408E-3</v>
      </c>
      <c r="E86" s="1" t="s">
        <v>29</v>
      </c>
    </row>
    <row r="87" spans="1:5" x14ac:dyDescent="0.25">
      <c r="A87" s="7">
        <v>0.62430555555555556</v>
      </c>
      <c r="B87" s="7">
        <v>0.63472222222222219</v>
      </c>
      <c r="C87" s="7">
        <f t="shared" si="2"/>
        <v>1.041666666666663E-2</v>
      </c>
      <c r="D87" s="7">
        <f t="shared" si="3"/>
        <v>0</v>
      </c>
      <c r="E87" s="1" t="s">
        <v>29</v>
      </c>
    </row>
    <row r="88" spans="1:5" x14ac:dyDescent="0.25">
      <c r="A88" s="7">
        <v>0.66805555555555562</v>
      </c>
      <c r="B88" s="7">
        <v>0.67847222222222225</v>
      </c>
      <c r="C88" s="7">
        <f t="shared" si="2"/>
        <v>1.041666666666663E-2</v>
      </c>
      <c r="D88" s="7">
        <f t="shared" si="3"/>
        <v>4.8611111111109828E-3</v>
      </c>
      <c r="E88" s="1" t="s">
        <v>29</v>
      </c>
    </row>
    <row r="89" spans="1:5" x14ac:dyDescent="0.25">
      <c r="A89" s="7">
        <v>0.75902777777777775</v>
      </c>
      <c r="B89" s="7">
        <v>0.76458333333333339</v>
      </c>
      <c r="C89" s="7">
        <f t="shared" si="2"/>
        <v>5.5555555555556468E-3</v>
      </c>
      <c r="D89" s="7">
        <f t="shared" si="3"/>
        <v>1.6666666666666552E-2</v>
      </c>
      <c r="E89" s="1" t="s">
        <v>29</v>
      </c>
    </row>
    <row r="90" spans="1:5" x14ac:dyDescent="0.25">
      <c r="A90" s="7">
        <v>0.26180555555555557</v>
      </c>
      <c r="B90" s="7">
        <v>0.28402777777777777</v>
      </c>
      <c r="C90" s="7">
        <f t="shared" si="2"/>
        <v>2.2222222222222199E-2</v>
      </c>
      <c r="D90" s="7">
        <f t="shared" si="3"/>
        <v>1.7361111111111105E-2</v>
      </c>
      <c r="E90" s="1" t="s">
        <v>29</v>
      </c>
    </row>
    <row r="91" spans="1:5" x14ac:dyDescent="0.25">
      <c r="A91" s="7">
        <v>0.77638888888888891</v>
      </c>
      <c r="B91" s="7">
        <v>0.78125</v>
      </c>
      <c r="C91" s="7">
        <f t="shared" si="2"/>
        <v>4.8611111111110938E-3</v>
      </c>
      <c r="D91" s="7">
        <f t="shared" si="3"/>
        <v>2.0833333333333259E-3</v>
      </c>
      <c r="E91" s="1" t="s">
        <v>29</v>
      </c>
    </row>
    <row r="92" spans="1:5" x14ac:dyDescent="0.25">
      <c r="A92" s="7">
        <v>0.86736111111111114</v>
      </c>
      <c r="B92" s="7">
        <v>0.87013888888888891</v>
      </c>
      <c r="C92" s="7">
        <f t="shared" si="2"/>
        <v>2.7777777777777679E-3</v>
      </c>
      <c r="D92" s="7">
        <f t="shared" si="3"/>
        <v>3.4722222222223209E-3</v>
      </c>
      <c r="E92" s="1" t="s">
        <v>29</v>
      </c>
    </row>
    <row r="93" spans="1:5" x14ac:dyDescent="0.25">
      <c r="A93" s="7">
        <v>0.88888888888888884</v>
      </c>
      <c r="B93" s="7">
        <v>0.89513888888888893</v>
      </c>
      <c r="C93" s="7">
        <f t="shared" si="2"/>
        <v>6.2500000000000888E-3</v>
      </c>
      <c r="D93" s="7">
        <f t="shared" si="3"/>
        <v>9.7144514654701197E-17</v>
      </c>
      <c r="E93" s="1" t="s">
        <v>29</v>
      </c>
    </row>
    <row r="94" spans="1:5" x14ac:dyDescent="0.25">
      <c r="A94" s="7">
        <v>0.11041666666666666</v>
      </c>
      <c r="B94" s="7">
        <v>0.11666666666666665</v>
      </c>
      <c r="C94" s="7">
        <f t="shared" si="2"/>
        <v>6.2499999999999917E-3</v>
      </c>
      <c r="D94" s="7">
        <f t="shared" si="3"/>
        <v>4.8611111111111355E-3</v>
      </c>
      <c r="E94" s="1" t="s">
        <v>29</v>
      </c>
    </row>
    <row r="95" spans="1:5" x14ac:dyDescent="0.25">
      <c r="A95" s="7">
        <v>0.34652777777777777</v>
      </c>
      <c r="B95" s="7">
        <v>0.3576388888888889</v>
      </c>
      <c r="C95" s="7">
        <f t="shared" si="2"/>
        <v>1.1111111111111127E-2</v>
      </c>
      <c r="D95" s="7">
        <f t="shared" si="3"/>
        <v>6.2499999999999223E-3</v>
      </c>
      <c r="E95" s="1" t="s">
        <v>29</v>
      </c>
    </row>
    <row r="96" spans="1:5" x14ac:dyDescent="0.25">
      <c r="A96" s="7">
        <v>0.54722222222222217</v>
      </c>
      <c r="B96" s="7">
        <v>0.55208333333333337</v>
      </c>
      <c r="C96" s="7">
        <f t="shared" si="2"/>
        <v>4.8611111111112049E-3</v>
      </c>
      <c r="D96" s="7">
        <f t="shared" si="3"/>
        <v>7.6388888888887507E-3</v>
      </c>
      <c r="E96" s="1" t="s">
        <v>29</v>
      </c>
    </row>
    <row r="97" spans="1:5" x14ac:dyDescent="0.25">
      <c r="A97" s="7">
        <v>0.65</v>
      </c>
      <c r="B97" s="7">
        <v>0.66249999999999998</v>
      </c>
      <c r="C97" s="7">
        <f t="shared" si="2"/>
        <v>1.2499999999999956E-2</v>
      </c>
      <c r="D97" s="7">
        <f t="shared" si="3"/>
        <v>4.8611111111109828E-3</v>
      </c>
      <c r="E97" s="1" t="s">
        <v>29</v>
      </c>
    </row>
    <row r="98" spans="1:5" x14ac:dyDescent="0.25">
      <c r="A98" s="7">
        <v>0.81458333333333333</v>
      </c>
      <c r="B98" s="7">
        <v>0.8222222222222223</v>
      </c>
      <c r="C98" s="7">
        <f t="shared" si="2"/>
        <v>7.6388888888889728E-3</v>
      </c>
      <c r="D98" s="7">
        <f t="shared" si="3"/>
        <v>2.7777777777777124E-3</v>
      </c>
      <c r="E98" s="1" t="s">
        <v>29</v>
      </c>
    </row>
    <row r="99" spans="1:5" x14ac:dyDescent="0.25">
      <c r="A99" s="7">
        <v>0.17083333333333331</v>
      </c>
      <c r="B99" s="7">
        <v>0.18124999999999999</v>
      </c>
      <c r="C99" s="7">
        <f t="shared" si="2"/>
        <v>1.0416666666666685E-2</v>
      </c>
      <c r="D99" s="7">
        <f t="shared" si="3"/>
        <v>2.0833333333332704E-3</v>
      </c>
      <c r="E99" s="1" t="s">
        <v>29</v>
      </c>
    </row>
    <row r="100" spans="1:5" x14ac:dyDescent="0.25">
      <c r="A100" s="7">
        <v>0.50486111111111109</v>
      </c>
      <c r="B100" s="7">
        <v>0.51736111111111105</v>
      </c>
      <c r="C100" s="7">
        <f t="shared" si="2"/>
        <v>1.2499999999999956E-2</v>
      </c>
      <c r="D100" s="7">
        <f t="shared" si="3"/>
        <v>9.7222222222221877E-3</v>
      </c>
      <c r="E100" s="1" t="s">
        <v>29</v>
      </c>
    </row>
    <row r="101" spans="1:5" x14ac:dyDescent="0.25">
      <c r="A101" s="7">
        <v>0.1277777777777778</v>
      </c>
      <c r="B101" s="7">
        <v>0.13055555555555556</v>
      </c>
      <c r="C101" s="7">
        <f t="shared" si="2"/>
        <v>2.7777777777777679E-3</v>
      </c>
      <c r="D101" s="7">
        <f t="shared" si="3"/>
        <v>1.4583333333333393E-2</v>
      </c>
      <c r="E101" s="1" t="s">
        <v>29</v>
      </c>
    </row>
    <row r="102" spans="1:5" x14ac:dyDescent="0.25">
      <c r="A102" s="7">
        <v>0.90972222222222221</v>
      </c>
      <c r="B102" s="7">
        <v>0.92708333333333337</v>
      </c>
      <c r="C102" s="7">
        <f t="shared" si="2"/>
        <v>1.736111111111116E-2</v>
      </c>
      <c r="D102" s="7">
        <f t="shared" si="3"/>
        <v>1.3194444444444495E-2</v>
      </c>
      <c r="E102" s="1" t="s">
        <v>29</v>
      </c>
    </row>
    <row r="103" spans="1:5" x14ac:dyDescent="0.25">
      <c r="A103" s="7">
        <v>7.9861111111111105E-2</v>
      </c>
      <c r="B103" s="7">
        <v>8.4027777777777771E-2</v>
      </c>
      <c r="C103" s="7">
        <f t="shared" si="2"/>
        <v>4.1666666666666657E-3</v>
      </c>
      <c r="D103" s="7">
        <f t="shared" si="3"/>
        <v>6.9444444444444337E-3</v>
      </c>
      <c r="E103" s="1" t="s">
        <v>29</v>
      </c>
    </row>
    <row r="104" spans="1:5" x14ac:dyDescent="0.25">
      <c r="A104" s="7">
        <v>0.14583333333333334</v>
      </c>
      <c r="B104" s="7">
        <v>0.15694444444444444</v>
      </c>
      <c r="C104" s="7">
        <f t="shared" si="2"/>
        <v>1.1111111111111099E-2</v>
      </c>
      <c r="D104" s="7">
        <f t="shared" si="3"/>
        <v>3.4722222222221821E-3</v>
      </c>
      <c r="E104" s="1" t="s">
        <v>29</v>
      </c>
    </row>
    <row r="105" spans="1:5" x14ac:dyDescent="0.25">
      <c r="A105" s="7">
        <v>0.38472222222222219</v>
      </c>
      <c r="B105" s="7">
        <v>0.3923611111111111</v>
      </c>
      <c r="C105" s="7">
        <f t="shared" si="2"/>
        <v>7.6388888888889173E-3</v>
      </c>
      <c r="D105" s="7">
        <f t="shared" si="3"/>
        <v>3.4722222222222654E-3</v>
      </c>
      <c r="E105" s="1" t="s">
        <v>29</v>
      </c>
    </row>
    <row r="106" spans="1:5" x14ac:dyDescent="0.25">
      <c r="A106" s="7">
        <v>0.55208333333333337</v>
      </c>
      <c r="B106" s="7">
        <v>0.55625000000000002</v>
      </c>
      <c r="C106" s="7">
        <f t="shared" si="2"/>
        <v>4.1666666666666519E-3</v>
      </c>
      <c r="D106" s="7">
        <f t="shared" si="3"/>
        <v>4.8611111111112049E-3</v>
      </c>
      <c r="E106" s="1" t="s">
        <v>29</v>
      </c>
    </row>
    <row r="107" spans="1:5" x14ac:dyDescent="0.25">
      <c r="A107" s="7">
        <v>0.57847222222222217</v>
      </c>
      <c r="B107" s="7">
        <v>0.58750000000000002</v>
      </c>
      <c r="C107" s="7">
        <f t="shared" si="2"/>
        <v>9.0277777777778567E-3</v>
      </c>
      <c r="D107" s="7">
        <f t="shared" si="3"/>
        <v>6.9444444444444198E-3</v>
      </c>
      <c r="E107" s="1" t="s">
        <v>29</v>
      </c>
    </row>
    <row r="108" spans="1:5" x14ac:dyDescent="0.25">
      <c r="A108" s="7">
        <v>0.66597222222222219</v>
      </c>
      <c r="B108" s="7">
        <v>0.68194444444444446</v>
      </c>
      <c r="C108" s="7">
        <f t="shared" si="2"/>
        <v>1.5972222222222276E-2</v>
      </c>
      <c r="D108" s="7">
        <f t="shared" si="3"/>
        <v>1.3194444444444398E-2</v>
      </c>
      <c r="E108" s="1" t="s">
        <v>29</v>
      </c>
    </row>
    <row r="109" spans="1:5" x14ac:dyDescent="0.25">
      <c r="A109" s="7">
        <v>0.73611111111111116</v>
      </c>
      <c r="B109" s="7">
        <v>0.76527777777777783</v>
      </c>
      <c r="C109" s="7">
        <f t="shared" si="2"/>
        <v>2.9166666666666674E-2</v>
      </c>
      <c r="D109" s="7">
        <f t="shared" si="3"/>
        <v>2.5694444444444575E-2</v>
      </c>
      <c r="E109" s="1" t="s">
        <v>29</v>
      </c>
    </row>
    <row r="110" spans="1:5" x14ac:dyDescent="0.25">
      <c r="A110" s="7">
        <v>0.90763888888888899</v>
      </c>
      <c r="B110" s="7">
        <v>0.91111111111111109</v>
      </c>
      <c r="C110" s="7">
        <f t="shared" si="2"/>
        <v>3.4722222222220989E-3</v>
      </c>
      <c r="D110" s="7">
        <f t="shared" si="3"/>
        <v>1.388888888889106E-3</v>
      </c>
      <c r="E110" s="1" t="s">
        <v>29</v>
      </c>
    </row>
    <row r="111" spans="1:5" x14ac:dyDescent="0.25">
      <c r="A111" s="7">
        <v>1.0180555555555555</v>
      </c>
      <c r="B111" s="7">
        <v>1.0229166666666667</v>
      </c>
      <c r="C111" s="7">
        <f t="shared" si="2"/>
        <v>4.8611111111112049E-3</v>
      </c>
      <c r="D111" s="7">
        <f t="shared" si="3"/>
        <v>1.388888888888995E-3</v>
      </c>
      <c r="E111" s="1" t="s">
        <v>29</v>
      </c>
    </row>
    <row r="112" spans="1:5" x14ac:dyDescent="0.25">
      <c r="A112" s="7">
        <v>0.13125000000000001</v>
      </c>
      <c r="B112" s="7">
        <v>0.13472222222222222</v>
      </c>
      <c r="C112" s="7">
        <f t="shared" si="2"/>
        <v>3.4722222222222099E-3</v>
      </c>
      <c r="D112" s="7">
        <f t="shared" si="3"/>
        <v>6.2499999999999778E-3</v>
      </c>
      <c r="E112" s="1" t="s">
        <v>29</v>
      </c>
    </row>
    <row r="113" spans="1:5" x14ac:dyDescent="0.25">
      <c r="A113" s="7">
        <v>0.39305555555555555</v>
      </c>
      <c r="B113" s="7">
        <v>0.40277777777777773</v>
      </c>
      <c r="C113" s="7">
        <f t="shared" si="2"/>
        <v>9.7222222222221877E-3</v>
      </c>
      <c r="D113" s="7">
        <f t="shared" si="3"/>
        <v>1.041666666666663E-2</v>
      </c>
      <c r="E113" s="1" t="s">
        <v>29</v>
      </c>
    </row>
    <row r="114" spans="1:5" x14ac:dyDescent="0.25">
      <c r="A114" s="7">
        <v>0.54236111111111118</v>
      </c>
      <c r="B114" s="7">
        <v>0.5625</v>
      </c>
      <c r="C114" s="7">
        <f t="shared" si="2"/>
        <v>2.0138888888888817E-2</v>
      </c>
      <c r="D114" s="7">
        <f t="shared" si="3"/>
        <v>3.4722222222220989E-3</v>
      </c>
      <c r="E114" s="1" t="s">
        <v>29</v>
      </c>
    </row>
    <row r="115" spans="1:5" x14ac:dyDescent="0.25">
      <c r="A115" s="7">
        <v>0.6</v>
      </c>
      <c r="B115" s="7">
        <v>0.6166666666666667</v>
      </c>
      <c r="C115" s="7">
        <f t="shared" si="2"/>
        <v>1.6666666666666718E-2</v>
      </c>
      <c r="D115" s="7">
        <f t="shared" si="3"/>
        <v>1.1805555555555514E-2</v>
      </c>
      <c r="E115" s="1" t="s">
        <v>29</v>
      </c>
    </row>
    <row r="116" spans="1:5" x14ac:dyDescent="0.25">
      <c r="A116" s="7">
        <v>0.66388888888888886</v>
      </c>
      <c r="B116" s="7">
        <v>0.66875000000000007</v>
      </c>
      <c r="C116" s="7">
        <f t="shared" si="2"/>
        <v>4.8611111111112049E-3</v>
      </c>
      <c r="D116" s="7">
        <f t="shared" si="3"/>
        <v>1.388888888888884E-3</v>
      </c>
      <c r="E116" s="1" t="s">
        <v>29</v>
      </c>
    </row>
    <row r="117" spans="1:5" x14ac:dyDescent="0.25">
      <c r="A117" s="7">
        <v>0.72777777777777775</v>
      </c>
      <c r="B117" s="7">
        <v>0.73125000000000007</v>
      </c>
      <c r="C117" s="7">
        <f t="shared" si="2"/>
        <v>3.4722222222223209E-3</v>
      </c>
      <c r="D117" s="7">
        <f t="shared" si="3"/>
        <v>6.2499999999999778E-3</v>
      </c>
      <c r="E117" s="1" t="s">
        <v>29</v>
      </c>
    </row>
    <row r="118" spans="1:5" x14ac:dyDescent="0.25">
      <c r="A118" s="7">
        <v>0.75486111111111109</v>
      </c>
      <c r="B118" s="7">
        <v>0.76458333333333339</v>
      </c>
      <c r="C118" s="7">
        <f t="shared" si="2"/>
        <v>9.7222222222222987E-3</v>
      </c>
      <c r="D118" s="7">
        <f t="shared" si="3"/>
        <v>5.5555555555555358E-3</v>
      </c>
      <c r="E118" s="1" t="s">
        <v>29</v>
      </c>
    </row>
    <row r="119" spans="1:5" x14ac:dyDescent="0.25">
      <c r="A119" s="7">
        <v>0.88888888888888884</v>
      </c>
      <c r="B119" s="7">
        <v>0.8930555555555556</v>
      </c>
      <c r="C119" s="7">
        <f t="shared" si="2"/>
        <v>4.1666666666667629E-3</v>
      </c>
      <c r="D119" s="7">
        <f t="shared" si="3"/>
        <v>5.5555555555554664E-3</v>
      </c>
      <c r="E119" s="1" t="s">
        <v>29</v>
      </c>
    </row>
    <row r="120" spans="1:5" x14ac:dyDescent="0.25">
      <c r="A120" s="7">
        <v>8.3333333333333329E-2</v>
      </c>
      <c r="B120" s="7">
        <v>9.3055555555555558E-2</v>
      </c>
      <c r="C120" s="7">
        <f t="shared" si="2"/>
        <v>9.7222222222222293E-3</v>
      </c>
      <c r="D120" s="7">
        <f t="shared" si="3"/>
        <v>1.3888888888888978E-3</v>
      </c>
      <c r="E120" s="1" t="s">
        <v>29</v>
      </c>
    </row>
    <row r="121" spans="1:5" x14ac:dyDescent="0.25">
      <c r="A121" s="7">
        <v>0.10069444444444443</v>
      </c>
      <c r="B121" s="7">
        <v>0.11180555555555556</v>
      </c>
      <c r="C121" s="7">
        <f t="shared" si="2"/>
        <v>1.1111111111111127E-2</v>
      </c>
      <c r="D121" s="7">
        <f t="shared" si="3"/>
        <v>6.9444444444444753E-3</v>
      </c>
      <c r="E121" s="1" t="s">
        <v>29</v>
      </c>
    </row>
    <row r="122" spans="1:5" x14ac:dyDescent="0.25">
      <c r="A122" s="7">
        <v>0.31041666666666667</v>
      </c>
      <c r="B122" s="7">
        <v>0.31458333333333333</v>
      </c>
      <c r="C122" s="7">
        <f t="shared" si="2"/>
        <v>4.1666666666666519E-3</v>
      </c>
      <c r="D122" s="7">
        <f t="shared" si="3"/>
        <v>6.9444444444445308E-3</v>
      </c>
      <c r="E122" s="1" t="s">
        <v>29</v>
      </c>
    </row>
    <row r="123" spans="1:5" x14ac:dyDescent="0.25">
      <c r="A123" s="7">
        <v>0.57291666666666663</v>
      </c>
      <c r="B123" s="7">
        <v>0.58402777777777781</v>
      </c>
      <c r="C123" s="7">
        <f t="shared" si="2"/>
        <v>1.1111111111111183E-2</v>
      </c>
      <c r="D123" s="7">
        <f t="shared" si="3"/>
        <v>1.388888888888884E-3</v>
      </c>
      <c r="E123" s="1" t="s">
        <v>29</v>
      </c>
    </row>
    <row r="124" spans="1:5" x14ac:dyDescent="0.25">
      <c r="A124" s="7">
        <v>0.77708333333333324</v>
      </c>
      <c r="B124" s="7">
        <v>0.7895833333333333</v>
      </c>
      <c r="C124" s="7">
        <f t="shared" si="2"/>
        <v>1.2500000000000067E-2</v>
      </c>
      <c r="D124" s="7">
        <f t="shared" si="3"/>
        <v>7.6388888888890838E-3</v>
      </c>
      <c r="E124" s="1" t="s">
        <v>29</v>
      </c>
    </row>
    <row r="125" spans="1:5" x14ac:dyDescent="0.25">
      <c r="A125" s="7">
        <v>0.95972222222222225</v>
      </c>
      <c r="B125" s="7">
        <v>0.96458333333333324</v>
      </c>
      <c r="C125" s="7">
        <f t="shared" si="2"/>
        <v>4.8611111111109828E-3</v>
      </c>
      <c r="D125" s="7">
        <f t="shared" si="3"/>
        <v>1.6653345369377348E-16</v>
      </c>
      <c r="E125" s="1" t="s">
        <v>29</v>
      </c>
    </row>
    <row r="126" spans="1:5" x14ac:dyDescent="0.25">
      <c r="A126" s="7">
        <v>0.31597222222222221</v>
      </c>
      <c r="B126" s="7">
        <v>0.32083333333333336</v>
      </c>
      <c r="C126" s="7">
        <f t="shared" si="2"/>
        <v>4.8611111111111494E-3</v>
      </c>
      <c r="D126" s="7">
        <f t="shared" si="3"/>
        <v>0</v>
      </c>
      <c r="E126" s="1" t="s">
        <v>29</v>
      </c>
    </row>
    <row r="127" spans="1:5" x14ac:dyDescent="0.25">
      <c r="A127" s="7">
        <v>0.45416666666666666</v>
      </c>
      <c r="B127" s="7">
        <v>0.45902777777777781</v>
      </c>
      <c r="C127" s="7">
        <f t="shared" si="2"/>
        <v>4.8611111111111494E-3</v>
      </c>
      <c r="D127" s="7">
        <f t="shared" si="3"/>
        <v>8.3333333333332482E-3</v>
      </c>
      <c r="E127" s="1" t="s">
        <v>29</v>
      </c>
    </row>
    <row r="128" spans="1:5" x14ac:dyDescent="0.25">
      <c r="A128" s="7">
        <v>0.59236111111111112</v>
      </c>
      <c r="B128" s="7">
        <v>0.60555555555555551</v>
      </c>
      <c r="C128" s="7">
        <f t="shared" si="2"/>
        <v>1.3194444444444398E-2</v>
      </c>
      <c r="D128" s="7">
        <f t="shared" si="3"/>
        <v>2.7777777777777679E-3</v>
      </c>
      <c r="E128" s="1" t="s">
        <v>29</v>
      </c>
    </row>
    <row r="129" spans="1:5" x14ac:dyDescent="0.25">
      <c r="A129" s="7">
        <v>0.95000000000000007</v>
      </c>
      <c r="B129" s="7">
        <v>0.9604166666666667</v>
      </c>
      <c r="C129" s="7">
        <f t="shared" ref="C129:C190" si="4">B129-A129</f>
        <v>1.041666666666663E-2</v>
      </c>
      <c r="D129" s="7">
        <f t="shared" si="3"/>
        <v>0</v>
      </c>
      <c r="E129" s="1" t="s">
        <v>29</v>
      </c>
    </row>
    <row r="130" spans="1:5" x14ac:dyDescent="0.25">
      <c r="A130" s="7">
        <v>0.99930555555555556</v>
      </c>
      <c r="B130" s="7">
        <v>1.0097222222222222</v>
      </c>
      <c r="C130" s="7">
        <f t="shared" si="4"/>
        <v>1.041666666666663E-2</v>
      </c>
      <c r="D130" s="7">
        <f t="shared" si="3"/>
        <v>5.5555555555555358E-3</v>
      </c>
      <c r="E130" s="1" t="s">
        <v>29</v>
      </c>
    </row>
    <row r="131" spans="1:5" x14ac:dyDescent="0.25">
      <c r="A131" s="7">
        <v>0.35972222222222222</v>
      </c>
      <c r="B131" s="7">
        <v>0.36458333333333331</v>
      </c>
      <c r="C131" s="7">
        <f t="shared" si="4"/>
        <v>4.8611111111110938E-3</v>
      </c>
      <c r="D131" s="7">
        <f t="shared" ref="D131:D194" si="5">ABS(C132-C131)</f>
        <v>6.9444444444444198E-4</v>
      </c>
      <c r="E131" s="1" t="s">
        <v>29</v>
      </c>
    </row>
    <row r="132" spans="1:5" x14ac:dyDescent="0.25">
      <c r="A132" s="7">
        <v>0.38541666666666669</v>
      </c>
      <c r="B132" s="7">
        <v>0.38958333333333334</v>
      </c>
      <c r="C132" s="7">
        <f t="shared" si="4"/>
        <v>4.1666666666666519E-3</v>
      </c>
      <c r="D132" s="7">
        <f t="shared" si="5"/>
        <v>4.8611111111110938E-3</v>
      </c>
      <c r="E132" s="1" t="s">
        <v>29</v>
      </c>
    </row>
    <row r="133" spans="1:5" x14ac:dyDescent="0.25">
      <c r="A133" s="7">
        <v>0.56180555555555556</v>
      </c>
      <c r="B133" s="7">
        <v>0.5708333333333333</v>
      </c>
      <c r="C133" s="7">
        <f t="shared" si="4"/>
        <v>9.0277777777777457E-3</v>
      </c>
      <c r="D133" s="7">
        <f t="shared" si="5"/>
        <v>1.5277777777777946E-2</v>
      </c>
      <c r="E133" s="1" t="s">
        <v>29</v>
      </c>
    </row>
    <row r="134" spans="1:5" x14ac:dyDescent="0.25">
      <c r="A134" s="7">
        <v>0.7402777777777777</v>
      </c>
      <c r="B134" s="7">
        <v>0.76458333333333339</v>
      </c>
      <c r="C134" s="7">
        <f t="shared" si="4"/>
        <v>2.4305555555555691E-2</v>
      </c>
      <c r="D134" s="7">
        <f t="shared" si="5"/>
        <v>1.6666666666666829E-2</v>
      </c>
      <c r="E134" s="1" t="s">
        <v>29</v>
      </c>
    </row>
    <row r="135" spans="1:5" x14ac:dyDescent="0.25">
      <c r="A135" s="7">
        <v>0.83194444444444438</v>
      </c>
      <c r="B135" s="7">
        <v>0.83958333333333324</v>
      </c>
      <c r="C135" s="7">
        <f t="shared" si="4"/>
        <v>7.6388888888888618E-3</v>
      </c>
      <c r="D135" s="7">
        <f t="shared" si="5"/>
        <v>3.4722222222220989E-3</v>
      </c>
      <c r="E135" s="1" t="s">
        <v>29</v>
      </c>
    </row>
    <row r="136" spans="1:5" x14ac:dyDescent="0.25">
      <c r="A136" s="7">
        <v>0.8520833333333333</v>
      </c>
      <c r="B136" s="7">
        <v>0.85625000000000007</v>
      </c>
      <c r="C136" s="7">
        <f t="shared" si="4"/>
        <v>4.1666666666667629E-3</v>
      </c>
      <c r="D136" s="7">
        <f t="shared" si="5"/>
        <v>2.0833333333333259E-3</v>
      </c>
      <c r="E136" s="1" t="s">
        <v>29</v>
      </c>
    </row>
    <row r="137" spans="1:5" x14ac:dyDescent="0.25">
      <c r="A137" s="7">
        <v>1.0097222222222222</v>
      </c>
      <c r="B137" s="7">
        <v>1.0159722222222223</v>
      </c>
      <c r="C137" s="7">
        <f t="shared" si="4"/>
        <v>6.2500000000000888E-3</v>
      </c>
      <c r="D137" s="7">
        <f t="shared" si="5"/>
        <v>6.2499999999998668E-3</v>
      </c>
      <c r="E137" s="1" t="s">
        <v>29</v>
      </c>
    </row>
    <row r="138" spans="1:5" x14ac:dyDescent="0.25">
      <c r="A138" s="7">
        <v>0.25694444444444448</v>
      </c>
      <c r="B138" s="7">
        <v>0.26944444444444443</v>
      </c>
      <c r="C138" s="7">
        <f t="shared" si="4"/>
        <v>1.2499999999999956E-2</v>
      </c>
      <c r="D138" s="7">
        <f t="shared" si="5"/>
        <v>6.9444444444444198E-3</v>
      </c>
      <c r="E138" s="1" t="s">
        <v>29</v>
      </c>
    </row>
    <row r="139" spans="1:5" x14ac:dyDescent="0.25">
      <c r="A139" s="7">
        <v>0.32361111111111113</v>
      </c>
      <c r="B139" s="7">
        <v>0.32916666666666666</v>
      </c>
      <c r="C139" s="7">
        <f t="shared" si="4"/>
        <v>5.5555555555555358E-3</v>
      </c>
      <c r="D139" s="7">
        <f t="shared" si="5"/>
        <v>2.6388888888888906E-2</v>
      </c>
      <c r="E139" s="1" t="s">
        <v>29</v>
      </c>
    </row>
    <row r="140" spans="1:5" x14ac:dyDescent="0.25">
      <c r="A140" s="7">
        <v>0.3923611111111111</v>
      </c>
      <c r="B140" s="7">
        <v>0.42430555555555555</v>
      </c>
      <c r="C140" s="7">
        <f t="shared" si="4"/>
        <v>3.1944444444444442E-2</v>
      </c>
      <c r="D140" s="7">
        <f t="shared" si="5"/>
        <v>2.5694444444444409E-2</v>
      </c>
      <c r="E140" s="1" t="s">
        <v>29</v>
      </c>
    </row>
    <row r="141" spans="1:5" x14ac:dyDescent="0.25">
      <c r="A141" s="7">
        <v>0.46875</v>
      </c>
      <c r="B141" s="7">
        <v>0.47500000000000003</v>
      </c>
      <c r="C141" s="7">
        <f t="shared" si="4"/>
        <v>6.2500000000000333E-3</v>
      </c>
      <c r="D141" s="7">
        <f t="shared" si="5"/>
        <v>4.1666666666665964E-3</v>
      </c>
      <c r="E141" s="1" t="s">
        <v>29</v>
      </c>
    </row>
    <row r="142" spans="1:5" x14ac:dyDescent="0.25">
      <c r="A142" s="7">
        <v>0.60902777777777783</v>
      </c>
      <c r="B142" s="7">
        <v>0.61944444444444446</v>
      </c>
      <c r="C142" s="7">
        <f t="shared" si="4"/>
        <v>1.041666666666663E-2</v>
      </c>
      <c r="D142" s="7">
        <f t="shared" si="5"/>
        <v>1.0416666666666741E-2</v>
      </c>
      <c r="E142" s="1" t="s">
        <v>29</v>
      </c>
    </row>
    <row r="143" spans="1:5" x14ac:dyDescent="0.25">
      <c r="A143" s="7">
        <v>0.63541666666666663</v>
      </c>
      <c r="B143" s="7">
        <v>0.65625</v>
      </c>
      <c r="C143" s="7">
        <f t="shared" si="4"/>
        <v>2.083333333333337E-2</v>
      </c>
      <c r="D143" s="7">
        <f t="shared" si="5"/>
        <v>1.6666666666666829E-2</v>
      </c>
      <c r="E143" s="1" t="s">
        <v>29</v>
      </c>
    </row>
    <row r="144" spans="1:5" x14ac:dyDescent="0.25">
      <c r="A144" s="7">
        <v>0.77013888888888893</v>
      </c>
      <c r="B144" s="7">
        <v>0.77430555555555547</v>
      </c>
      <c r="C144" s="7">
        <f t="shared" si="4"/>
        <v>4.1666666666665408E-3</v>
      </c>
      <c r="D144" s="7">
        <f t="shared" si="5"/>
        <v>8.3333333333334147E-3</v>
      </c>
      <c r="E144" s="1" t="s">
        <v>29</v>
      </c>
    </row>
    <row r="145" spans="1:5" x14ac:dyDescent="0.25">
      <c r="A145" s="7">
        <v>0.80208333333333337</v>
      </c>
      <c r="B145" s="7">
        <v>0.81458333333333333</v>
      </c>
      <c r="C145" s="7">
        <f t="shared" si="4"/>
        <v>1.2499999999999956E-2</v>
      </c>
      <c r="D145" s="7">
        <f t="shared" si="5"/>
        <v>4.1666666666666519E-3</v>
      </c>
      <c r="E145" s="1" t="s">
        <v>29</v>
      </c>
    </row>
    <row r="146" spans="1:5" x14ac:dyDescent="0.25">
      <c r="A146" s="7">
        <v>0.83333333333333337</v>
      </c>
      <c r="B146" s="7">
        <v>0.84166666666666667</v>
      </c>
      <c r="C146" s="7">
        <f t="shared" si="4"/>
        <v>8.3333333333333037E-3</v>
      </c>
      <c r="D146" s="7">
        <f t="shared" si="5"/>
        <v>2.0833333333333259E-3</v>
      </c>
      <c r="E146" s="1" t="s">
        <v>29</v>
      </c>
    </row>
    <row r="147" spans="1:5" x14ac:dyDescent="0.25">
      <c r="A147" s="7">
        <v>0.3923611111111111</v>
      </c>
      <c r="B147" s="7">
        <v>0.40277777777777773</v>
      </c>
      <c r="C147" s="7">
        <f t="shared" si="4"/>
        <v>1.041666666666663E-2</v>
      </c>
      <c r="D147" s="7">
        <f t="shared" si="5"/>
        <v>1.5277777777777835E-2</v>
      </c>
      <c r="E147" s="1" t="s">
        <v>29</v>
      </c>
    </row>
    <row r="148" spans="1:5" x14ac:dyDescent="0.25">
      <c r="A148" s="7">
        <v>0.4680555555555555</v>
      </c>
      <c r="B148" s="7">
        <v>0.49374999999999997</v>
      </c>
      <c r="C148" s="7">
        <f t="shared" si="4"/>
        <v>2.5694444444444464E-2</v>
      </c>
      <c r="D148" s="7">
        <f t="shared" si="5"/>
        <v>1.9444444444444375E-2</v>
      </c>
      <c r="E148" s="1" t="s">
        <v>29</v>
      </c>
    </row>
    <row r="149" spans="1:5" x14ac:dyDescent="0.25">
      <c r="A149" s="7">
        <v>0.54166666666666663</v>
      </c>
      <c r="B149" s="7">
        <v>0.54791666666666672</v>
      </c>
      <c r="C149" s="7">
        <f t="shared" si="4"/>
        <v>6.2500000000000888E-3</v>
      </c>
      <c r="D149" s="7">
        <f t="shared" si="5"/>
        <v>1.805555555555538E-2</v>
      </c>
      <c r="E149" s="1" t="s">
        <v>29</v>
      </c>
    </row>
    <row r="150" spans="1:5" x14ac:dyDescent="0.25">
      <c r="A150" s="7">
        <v>0.58402777777777781</v>
      </c>
      <c r="B150" s="7">
        <v>0.60833333333333328</v>
      </c>
      <c r="C150" s="7">
        <f t="shared" si="4"/>
        <v>2.4305555555555469E-2</v>
      </c>
      <c r="D150" s="7">
        <f t="shared" si="5"/>
        <v>1.805555555555538E-2</v>
      </c>
      <c r="E150" s="1" t="s">
        <v>29</v>
      </c>
    </row>
    <row r="151" spans="1:5" x14ac:dyDescent="0.25">
      <c r="A151" s="7">
        <v>0.6069444444444444</v>
      </c>
      <c r="B151" s="7">
        <v>0.61319444444444449</v>
      </c>
      <c r="C151" s="7">
        <f t="shared" si="4"/>
        <v>6.2500000000000888E-3</v>
      </c>
      <c r="D151" s="7">
        <f t="shared" si="5"/>
        <v>6.94444444444553E-4</v>
      </c>
      <c r="E151" s="1" t="s">
        <v>29</v>
      </c>
    </row>
    <row r="152" spans="1:5" x14ac:dyDescent="0.25">
      <c r="A152" s="7">
        <v>0.66111111111111109</v>
      </c>
      <c r="B152" s="7">
        <v>0.66666666666666663</v>
      </c>
      <c r="C152" s="7">
        <f t="shared" si="4"/>
        <v>5.5555555555555358E-3</v>
      </c>
      <c r="D152" s="7">
        <f t="shared" si="5"/>
        <v>0</v>
      </c>
      <c r="E152" s="1" t="s">
        <v>29</v>
      </c>
    </row>
    <row r="153" spans="1:5" x14ac:dyDescent="0.25">
      <c r="A153" s="7">
        <v>0.87708333333333333</v>
      </c>
      <c r="B153" s="7">
        <v>0.88263888888888886</v>
      </c>
      <c r="C153" s="7">
        <f t="shared" si="4"/>
        <v>5.5555555555555358E-3</v>
      </c>
      <c r="D153" s="7">
        <f t="shared" si="5"/>
        <v>6.9444444444433095E-4</v>
      </c>
      <c r="E153" s="1" t="s">
        <v>29</v>
      </c>
    </row>
    <row r="154" spans="1:5" x14ac:dyDescent="0.25">
      <c r="A154" s="7">
        <v>0.90277777777777779</v>
      </c>
      <c r="B154" s="7">
        <v>0.90763888888888899</v>
      </c>
      <c r="C154" s="7">
        <f t="shared" si="4"/>
        <v>4.8611111111112049E-3</v>
      </c>
      <c r="D154" s="7">
        <f t="shared" si="5"/>
        <v>3.4722222222220989E-3</v>
      </c>
      <c r="E154" s="1" t="s">
        <v>29</v>
      </c>
    </row>
    <row r="155" spans="1:5" x14ac:dyDescent="0.25">
      <c r="A155" s="7">
        <v>0.90902777777777777</v>
      </c>
      <c r="B155" s="7">
        <v>0.91736111111111107</v>
      </c>
      <c r="C155" s="7">
        <f t="shared" si="4"/>
        <v>8.3333333333333037E-3</v>
      </c>
      <c r="D155" s="7">
        <f t="shared" si="5"/>
        <v>3.4722222222222099E-3</v>
      </c>
      <c r="E155" s="1" t="s">
        <v>29</v>
      </c>
    </row>
    <row r="156" spans="1:5" x14ac:dyDescent="0.25">
      <c r="A156" s="7">
        <v>0.9145833333333333</v>
      </c>
      <c r="B156" s="7">
        <v>0.9194444444444444</v>
      </c>
      <c r="C156" s="7">
        <f t="shared" si="4"/>
        <v>4.8611111111110938E-3</v>
      </c>
      <c r="D156" s="7">
        <f t="shared" si="5"/>
        <v>4.0277777777777773E-2</v>
      </c>
      <c r="E156" s="1" t="s">
        <v>29</v>
      </c>
    </row>
    <row r="157" spans="1:5" x14ac:dyDescent="0.25">
      <c r="A157" s="7">
        <v>0.17222222222222225</v>
      </c>
      <c r="B157" s="7">
        <v>0.21736111111111112</v>
      </c>
      <c r="C157" s="7">
        <f t="shared" si="4"/>
        <v>4.5138888888888867E-2</v>
      </c>
      <c r="D157" s="7">
        <f t="shared" si="5"/>
        <v>3.9583333333333331E-2</v>
      </c>
      <c r="E157" s="1" t="s">
        <v>29</v>
      </c>
    </row>
    <row r="158" spans="1:5" x14ac:dyDescent="0.25">
      <c r="A158" s="7">
        <v>0.16041666666666668</v>
      </c>
      <c r="B158" s="7">
        <v>0.16597222222222222</v>
      </c>
      <c r="C158" s="7">
        <f t="shared" si="4"/>
        <v>5.5555555555555358E-3</v>
      </c>
      <c r="D158" s="7">
        <f t="shared" si="5"/>
        <v>3.0555555555555558E-2</v>
      </c>
      <c r="E158" s="1" t="s">
        <v>29</v>
      </c>
    </row>
    <row r="159" spans="1:5" x14ac:dyDescent="0.25">
      <c r="A159" s="7">
        <v>0.39374999999999999</v>
      </c>
      <c r="B159" s="7">
        <v>0.42986111111111108</v>
      </c>
      <c r="C159" s="7">
        <f t="shared" si="4"/>
        <v>3.6111111111111094E-2</v>
      </c>
      <c r="D159" s="7">
        <f t="shared" si="5"/>
        <v>2.0138888888888817E-2</v>
      </c>
      <c r="E159" s="1" t="s">
        <v>29</v>
      </c>
    </row>
    <row r="160" spans="1:5" x14ac:dyDescent="0.25">
      <c r="A160" s="7">
        <v>0.68125000000000002</v>
      </c>
      <c r="B160" s="7">
        <v>0.6972222222222223</v>
      </c>
      <c r="C160" s="7">
        <f t="shared" si="4"/>
        <v>1.5972222222222276E-2</v>
      </c>
      <c r="D160" s="7">
        <f t="shared" si="5"/>
        <v>1.388888888888995E-3</v>
      </c>
      <c r="E160" s="1" t="s">
        <v>29</v>
      </c>
    </row>
    <row r="161" spans="1:5" x14ac:dyDescent="0.25">
      <c r="A161" s="7">
        <v>0.68958333333333333</v>
      </c>
      <c r="B161" s="7">
        <v>0.70416666666666661</v>
      </c>
      <c r="C161" s="7">
        <f t="shared" si="4"/>
        <v>1.4583333333333282E-2</v>
      </c>
      <c r="D161" s="7">
        <f t="shared" si="5"/>
        <v>1.1805555555555514E-2</v>
      </c>
      <c r="E161" s="1" t="s">
        <v>29</v>
      </c>
    </row>
    <row r="162" spans="1:5" x14ac:dyDescent="0.25">
      <c r="A162" s="7">
        <v>0.82847222222222217</v>
      </c>
      <c r="B162" s="7">
        <v>0.83124999999999993</v>
      </c>
      <c r="C162" s="7">
        <f t="shared" si="4"/>
        <v>2.7777777777777679E-3</v>
      </c>
      <c r="D162" s="7">
        <f t="shared" si="5"/>
        <v>1.4583333333333282E-2</v>
      </c>
      <c r="E162" s="1" t="s">
        <v>29</v>
      </c>
    </row>
    <row r="163" spans="1:5" x14ac:dyDescent="0.25">
      <c r="A163" s="7">
        <v>0.86388888888888893</v>
      </c>
      <c r="B163" s="7">
        <v>0.88124999999999998</v>
      </c>
      <c r="C163" s="7">
        <f t="shared" si="4"/>
        <v>1.7361111111111049E-2</v>
      </c>
      <c r="D163" s="7">
        <f t="shared" si="5"/>
        <v>4.1666666666666519E-3</v>
      </c>
      <c r="E163" s="1" t="s">
        <v>29</v>
      </c>
    </row>
    <row r="164" spans="1:5" x14ac:dyDescent="0.25">
      <c r="A164" s="7">
        <v>0.87777777777777777</v>
      </c>
      <c r="B164" s="7">
        <v>0.89097222222222217</v>
      </c>
      <c r="C164" s="7">
        <f t="shared" si="4"/>
        <v>1.3194444444444398E-2</v>
      </c>
      <c r="D164" s="7">
        <f t="shared" si="5"/>
        <v>4.1666666666667629E-3</v>
      </c>
      <c r="E164" s="1" t="s">
        <v>29</v>
      </c>
    </row>
    <row r="165" spans="1:5" x14ac:dyDescent="0.25">
      <c r="A165" s="7">
        <v>0.94444444444444453</v>
      </c>
      <c r="B165" s="7">
        <v>0.95347222222222217</v>
      </c>
      <c r="C165" s="7">
        <f t="shared" si="4"/>
        <v>9.0277777777776347E-3</v>
      </c>
      <c r="D165" s="7">
        <f t="shared" si="5"/>
        <v>2.0833333333331039E-3</v>
      </c>
      <c r="E165" s="1" t="s">
        <v>29</v>
      </c>
    </row>
    <row r="166" spans="1:5" x14ac:dyDescent="0.25">
      <c r="A166" s="7">
        <v>0.77569444444444446</v>
      </c>
      <c r="B166" s="7">
        <v>0.78263888888888899</v>
      </c>
      <c r="C166" s="7">
        <f t="shared" si="4"/>
        <v>6.9444444444445308E-3</v>
      </c>
      <c r="D166" s="7">
        <f t="shared" si="5"/>
        <v>4.8611111111110938E-3</v>
      </c>
      <c r="E166" s="1" t="s">
        <v>29</v>
      </c>
    </row>
    <row r="167" spans="1:5" x14ac:dyDescent="0.25">
      <c r="A167" s="7">
        <v>0.87430555555555556</v>
      </c>
      <c r="B167" s="7">
        <v>0.87638888888888899</v>
      </c>
      <c r="C167" s="7">
        <f t="shared" si="4"/>
        <v>2.083333333333437E-3</v>
      </c>
      <c r="D167" s="7">
        <f t="shared" si="5"/>
        <v>2.7777777777777679E-3</v>
      </c>
      <c r="E167" s="1" t="s">
        <v>29</v>
      </c>
    </row>
    <row r="168" spans="1:5" x14ac:dyDescent="0.25">
      <c r="A168" s="7">
        <v>0.88541666666666663</v>
      </c>
      <c r="B168" s="7">
        <v>0.89027777777777783</v>
      </c>
      <c r="C168" s="7">
        <f t="shared" si="4"/>
        <v>4.8611111111112049E-3</v>
      </c>
      <c r="D168" s="7">
        <f t="shared" si="5"/>
        <v>6.9444444444466402E-4</v>
      </c>
      <c r="E168" s="1" t="s">
        <v>29</v>
      </c>
    </row>
    <row r="169" spans="1:5" x14ac:dyDescent="0.25">
      <c r="A169" s="7">
        <v>0.89513888888888893</v>
      </c>
      <c r="B169" s="7">
        <v>0.89930555555555547</v>
      </c>
      <c r="C169" s="7">
        <f t="shared" si="4"/>
        <v>4.1666666666665408E-3</v>
      </c>
      <c r="D169" s="7">
        <f t="shared" si="5"/>
        <v>7.6388888888890144E-3</v>
      </c>
      <c r="E169" s="1" t="s">
        <v>29</v>
      </c>
    </row>
    <row r="170" spans="1:5" x14ac:dyDescent="0.25">
      <c r="A170" s="7">
        <v>7.6388888888888895E-2</v>
      </c>
      <c r="B170" s="7">
        <v>8.819444444444445E-2</v>
      </c>
      <c r="C170" s="7">
        <f t="shared" si="4"/>
        <v>1.1805555555555555E-2</v>
      </c>
      <c r="D170" s="7">
        <f t="shared" si="5"/>
        <v>3.4722222222222515E-3</v>
      </c>
      <c r="E170" s="1" t="s">
        <v>29</v>
      </c>
    </row>
    <row r="171" spans="1:5" x14ac:dyDescent="0.25">
      <c r="A171" s="7">
        <v>0.59305555555555556</v>
      </c>
      <c r="B171" s="7">
        <v>0.60138888888888886</v>
      </c>
      <c r="C171" s="7">
        <f t="shared" si="4"/>
        <v>8.3333333333333037E-3</v>
      </c>
      <c r="D171" s="7">
        <f t="shared" si="5"/>
        <v>5.5555555555556468E-3</v>
      </c>
      <c r="E171" s="1" t="s">
        <v>29</v>
      </c>
    </row>
    <row r="172" spans="1:5" x14ac:dyDescent="0.25">
      <c r="A172" s="7">
        <v>0.76388888888888884</v>
      </c>
      <c r="B172" s="7">
        <v>0.77777777777777779</v>
      </c>
      <c r="C172" s="7">
        <f t="shared" si="4"/>
        <v>1.3888888888888951E-2</v>
      </c>
      <c r="D172" s="7">
        <f t="shared" si="5"/>
        <v>1.1111111111111183E-2</v>
      </c>
      <c r="E172" s="1" t="s">
        <v>29</v>
      </c>
    </row>
    <row r="173" spans="1:5" x14ac:dyDescent="0.25">
      <c r="A173" s="7">
        <v>0.73888888888888893</v>
      </c>
      <c r="B173" s="7">
        <v>0.7416666666666667</v>
      </c>
      <c r="C173" s="7">
        <f t="shared" si="4"/>
        <v>2.7777777777777679E-3</v>
      </c>
      <c r="D173" s="7">
        <f t="shared" si="5"/>
        <v>6.9444444444444198E-4</v>
      </c>
      <c r="E173" s="1" t="s">
        <v>29</v>
      </c>
    </row>
    <row r="174" spans="1:5" x14ac:dyDescent="0.25">
      <c r="A174" s="7">
        <v>0.42152777777777778</v>
      </c>
      <c r="B174" s="7">
        <v>0.42499999999999999</v>
      </c>
      <c r="C174" s="7">
        <f t="shared" si="4"/>
        <v>3.4722222222222099E-3</v>
      </c>
      <c r="D174" s="7">
        <f t="shared" si="5"/>
        <v>2.0833333333333259E-3</v>
      </c>
      <c r="E174" s="1" t="s">
        <v>29</v>
      </c>
    </row>
    <row r="175" spans="1:5" x14ac:dyDescent="0.25">
      <c r="A175" s="7">
        <v>0.60902777777777783</v>
      </c>
      <c r="B175" s="7">
        <v>0.61458333333333337</v>
      </c>
      <c r="C175" s="7">
        <f t="shared" si="4"/>
        <v>5.5555555555555358E-3</v>
      </c>
      <c r="D175" s="7">
        <f t="shared" si="5"/>
        <v>6.9444444444444198E-4</v>
      </c>
      <c r="E175" s="1" t="s">
        <v>29</v>
      </c>
    </row>
    <row r="176" spans="1:5" x14ac:dyDescent="0.25">
      <c r="A176" s="7">
        <v>0.64166666666666672</v>
      </c>
      <c r="B176" s="7">
        <v>0.64652777777777781</v>
      </c>
      <c r="C176" s="7">
        <f t="shared" si="4"/>
        <v>4.8611111111110938E-3</v>
      </c>
      <c r="D176" s="7">
        <f t="shared" si="5"/>
        <v>6.9444444444444198E-4</v>
      </c>
      <c r="E176" s="1" t="s">
        <v>29</v>
      </c>
    </row>
    <row r="177" spans="1:5" x14ac:dyDescent="0.25">
      <c r="A177" s="7">
        <v>0.64583333333333337</v>
      </c>
      <c r="B177" s="7">
        <v>0.65</v>
      </c>
      <c r="C177" s="7">
        <f t="shared" si="4"/>
        <v>4.1666666666666519E-3</v>
      </c>
      <c r="D177" s="7">
        <f t="shared" si="5"/>
        <v>8.3333333333333037E-3</v>
      </c>
      <c r="E177" s="1" t="s">
        <v>29</v>
      </c>
    </row>
    <row r="178" spans="1:5" x14ac:dyDescent="0.25">
      <c r="A178" s="7">
        <v>0.3263888888888889</v>
      </c>
      <c r="B178" s="7">
        <v>0.33888888888888885</v>
      </c>
      <c r="C178" s="7">
        <f t="shared" si="4"/>
        <v>1.2499999999999956E-2</v>
      </c>
      <c r="D178" s="7">
        <f t="shared" si="5"/>
        <v>8.3333333333333037E-3</v>
      </c>
      <c r="E178" s="1" t="s">
        <v>29</v>
      </c>
    </row>
    <row r="179" spans="1:5" x14ac:dyDescent="0.25">
      <c r="A179" s="7">
        <v>0.6118055555555556</v>
      </c>
      <c r="B179" s="7">
        <v>0.61597222222222225</v>
      </c>
      <c r="C179" s="7">
        <f t="shared" si="4"/>
        <v>4.1666666666666519E-3</v>
      </c>
      <c r="D179" s="7">
        <f t="shared" si="5"/>
        <v>3.4722222222222376E-3</v>
      </c>
      <c r="E179" s="1" t="s">
        <v>29</v>
      </c>
    </row>
    <row r="180" spans="1:5" x14ac:dyDescent="0.25">
      <c r="A180" s="7">
        <v>4.5138888888888888E-2</v>
      </c>
      <c r="B180" s="7">
        <v>5.2777777777777778E-2</v>
      </c>
      <c r="C180" s="7">
        <f t="shared" si="4"/>
        <v>7.6388888888888895E-3</v>
      </c>
      <c r="D180" s="7">
        <f t="shared" si="5"/>
        <v>2.7777777777777957E-3</v>
      </c>
      <c r="E180" s="1" t="s">
        <v>29</v>
      </c>
    </row>
    <row r="181" spans="1:5" x14ac:dyDescent="0.25">
      <c r="A181" s="7">
        <v>0.31111111111111112</v>
      </c>
      <c r="B181" s="7">
        <v>0.31597222222222221</v>
      </c>
      <c r="C181" s="7">
        <f t="shared" si="4"/>
        <v>4.8611111111110938E-3</v>
      </c>
      <c r="D181" s="7">
        <f t="shared" si="5"/>
        <v>1.1805555555555514E-2</v>
      </c>
      <c r="E181" s="1" t="s">
        <v>29</v>
      </c>
    </row>
    <row r="182" spans="1:5" x14ac:dyDescent="0.25">
      <c r="A182" s="7">
        <v>0.50347222222222221</v>
      </c>
      <c r="B182" s="7">
        <v>0.52013888888888882</v>
      </c>
      <c r="C182" s="7">
        <f t="shared" si="4"/>
        <v>1.6666666666666607E-2</v>
      </c>
      <c r="D182" s="7">
        <f t="shared" si="5"/>
        <v>1.1111111111111072E-2</v>
      </c>
      <c r="E182" s="1" t="s">
        <v>29</v>
      </c>
    </row>
    <row r="183" spans="1:5" x14ac:dyDescent="0.25">
      <c r="A183" s="7">
        <v>0.64583333333333337</v>
      </c>
      <c r="B183" s="7">
        <v>0.65138888888888891</v>
      </c>
      <c r="C183" s="7">
        <f t="shared" si="4"/>
        <v>5.5555555555555358E-3</v>
      </c>
      <c r="D183" s="7">
        <f t="shared" si="5"/>
        <v>1.2499999999999956E-2</v>
      </c>
      <c r="E183" s="1" t="s">
        <v>29</v>
      </c>
    </row>
    <row r="184" spans="1:5" x14ac:dyDescent="0.25">
      <c r="A184" s="7">
        <v>0.61597222222222225</v>
      </c>
      <c r="B184" s="7">
        <v>0.63402777777777775</v>
      </c>
      <c r="C184" s="7">
        <f t="shared" si="4"/>
        <v>1.8055555555555491E-2</v>
      </c>
      <c r="D184" s="7">
        <f t="shared" si="5"/>
        <v>1.3194444444444398E-2</v>
      </c>
      <c r="E184" s="1" t="s">
        <v>29</v>
      </c>
    </row>
    <row r="185" spans="1:5" x14ac:dyDescent="0.25">
      <c r="A185" s="7">
        <v>0.63472222222222219</v>
      </c>
      <c r="B185" s="7">
        <v>0.63958333333333328</v>
      </c>
      <c r="C185" s="7">
        <f t="shared" si="4"/>
        <v>4.8611111111110938E-3</v>
      </c>
      <c r="D185" s="7">
        <f t="shared" si="5"/>
        <v>1.388888888888884E-3</v>
      </c>
      <c r="E185" s="1" t="s">
        <v>29</v>
      </c>
    </row>
    <row r="186" spans="1:5" x14ac:dyDescent="0.25">
      <c r="A186" s="7">
        <v>0.68472222222222223</v>
      </c>
      <c r="B186" s="7">
        <v>0.68819444444444444</v>
      </c>
      <c r="C186" s="7">
        <f t="shared" si="4"/>
        <v>3.4722222222222099E-3</v>
      </c>
      <c r="D186" s="7">
        <f t="shared" si="5"/>
        <v>1.388888888888884E-3</v>
      </c>
      <c r="E186" s="1" t="s">
        <v>29</v>
      </c>
    </row>
    <row r="187" spans="1:5" x14ac:dyDescent="0.25">
      <c r="A187" s="7">
        <v>0.80138888888888893</v>
      </c>
      <c r="B187" s="7">
        <v>0.80625000000000002</v>
      </c>
      <c r="C187" s="7">
        <f t="shared" si="4"/>
        <v>4.8611111111110938E-3</v>
      </c>
      <c r="D187" s="7">
        <f t="shared" si="5"/>
        <v>4.8611111111110938E-3</v>
      </c>
      <c r="E187" s="1" t="s">
        <v>29</v>
      </c>
    </row>
    <row r="188" spans="1:5" x14ac:dyDescent="0.25">
      <c r="A188" s="7">
        <v>0.81319444444444444</v>
      </c>
      <c r="B188" s="7">
        <v>0.82291666666666663</v>
      </c>
      <c r="C188" s="7">
        <f t="shared" si="4"/>
        <v>9.7222222222221877E-3</v>
      </c>
      <c r="D188" s="7">
        <f t="shared" si="5"/>
        <v>4.1666666666666241E-3</v>
      </c>
      <c r="E188" s="1" t="s">
        <v>29</v>
      </c>
    </row>
    <row r="189" spans="1:5" x14ac:dyDescent="0.25">
      <c r="A189" s="7">
        <v>0.13680555555555554</v>
      </c>
      <c r="B189" s="7">
        <v>0.1423611111111111</v>
      </c>
      <c r="C189" s="7">
        <f t="shared" si="4"/>
        <v>5.5555555555555636E-3</v>
      </c>
      <c r="D189" s="7">
        <f t="shared" si="5"/>
        <v>2.0833333333333537E-3</v>
      </c>
      <c r="E189" s="1" t="s">
        <v>29</v>
      </c>
    </row>
    <row r="190" spans="1:5" x14ac:dyDescent="0.25">
      <c r="A190" s="7">
        <v>0.3833333333333333</v>
      </c>
      <c r="B190" s="7">
        <v>0.39097222222222222</v>
      </c>
      <c r="C190" s="7">
        <f t="shared" si="4"/>
        <v>7.6388888888889173E-3</v>
      </c>
      <c r="D190" s="7">
        <f t="shared" si="5"/>
        <v>6.2499999999999223E-3</v>
      </c>
      <c r="E190" s="1" t="s">
        <v>29</v>
      </c>
    </row>
    <row r="191" spans="1:5" x14ac:dyDescent="0.25">
      <c r="A191" s="7">
        <v>0.4604166666666667</v>
      </c>
      <c r="B191" s="7">
        <v>0.47430555555555554</v>
      </c>
      <c r="C191" s="7">
        <f t="shared" ref="C191:C254" si="6">B191-A191</f>
        <v>1.388888888888884E-2</v>
      </c>
      <c r="D191" s="7">
        <f t="shared" si="5"/>
        <v>6.9444444444444198E-3</v>
      </c>
      <c r="E191" s="1" t="s">
        <v>29</v>
      </c>
    </row>
    <row r="192" spans="1:5" x14ac:dyDescent="0.25">
      <c r="A192" s="7">
        <v>0.51527777777777783</v>
      </c>
      <c r="B192" s="7">
        <v>0.53611111111111109</v>
      </c>
      <c r="C192" s="7">
        <f t="shared" si="6"/>
        <v>2.0833333333333259E-2</v>
      </c>
      <c r="D192" s="7">
        <f t="shared" si="5"/>
        <v>1.736111111111116E-2</v>
      </c>
      <c r="E192" s="1" t="s">
        <v>29</v>
      </c>
    </row>
    <row r="193" spans="1:5" x14ac:dyDescent="0.25">
      <c r="A193" s="7">
        <v>0.57916666666666672</v>
      </c>
      <c r="B193" s="7">
        <v>0.58263888888888882</v>
      </c>
      <c r="C193" s="7">
        <f t="shared" si="6"/>
        <v>3.4722222222220989E-3</v>
      </c>
      <c r="D193" s="7">
        <f t="shared" si="5"/>
        <v>2.7777777777777901E-2</v>
      </c>
      <c r="E193" s="1" t="s">
        <v>29</v>
      </c>
    </row>
    <row r="194" spans="1:5" x14ac:dyDescent="0.25">
      <c r="A194" s="7">
        <v>0.71805555555555556</v>
      </c>
      <c r="B194" s="7">
        <v>0.74930555555555556</v>
      </c>
      <c r="C194" s="7">
        <f t="shared" si="6"/>
        <v>3.125E-2</v>
      </c>
      <c r="D194" s="7">
        <f t="shared" si="5"/>
        <v>2.4999999999999911E-2</v>
      </c>
      <c r="E194" s="1" t="s">
        <v>29</v>
      </c>
    </row>
    <row r="195" spans="1:5" x14ac:dyDescent="0.25">
      <c r="A195" s="7">
        <v>0.87083333333333324</v>
      </c>
      <c r="B195" s="7">
        <v>0.87708333333333333</v>
      </c>
      <c r="C195" s="7">
        <f t="shared" si="6"/>
        <v>6.2500000000000888E-3</v>
      </c>
      <c r="D195" s="7">
        <f t="shared" ref="D195:D223" si="7">ABS(C196-C195)</f>
        <v>1.1805555555555458E-2</v>
      </c>
      <c r="E195" s="1" t="s">
        <v>29</v>
      </c>
    </row>
    <row r="196" spans="1:5" x14ac:dyDescent="0.25">
      <c r="A196" s="7">
        <v>0.33958333333333335</v>
      </c>
      <c r="B196" s="7">
        <v>0.3576388888888889</v>
      </c>
      <c r="C196" s="7">
        <f t="shared" si="6"/>
        <v>1.8055555555555547E-2</v>
      </c>
      <c r="D196" s="7">
        <f t="shared" si="7"/>
        <v>1.1805555555555569E-2</v>
      </c>
      <c r="E196" s="1" t="s">
        <v>29</v>
      </c>
    </row>
    <row r="197" spans="1:5" x14ac:dyDescent="0.25">
      <c r="A197" s="7">
        <v>0.3888888888888889</v>
      </c>
      <c r="B197" s="7">
        <v>0.39513888888888887</v>
      </c>
      <c r="C197" s="7">
        <f t="shared" si="6"/>
        <v>6.2499999999999778E-3</v>
      </c>
      <c r="D197" s="7">
        <f t="shared" si="7"/>
        <v>1.3888888888888284E-3</v>
      </c>
      <c r="E197" s="1" t="s">
        <v>29</v>
      </c>
    </row>
    <row r="198" spans="1:5" x14ac:dyDescent="0.25">
      <c r="A198" s="7">
        <v>0.46597222222222223</v>
      </c>
      <c r="B198" s="7">
        <v>0.47083333333333338</v>
      </c>
      <c r="C198" s="7">
        <f t="shared" si="6"/>
        <v>4.8611111111111494E-3</v>
      </c>
      <c r="D198" s="7">
        <f t="shared" si="7"/>
        <v>2.7777777777777679E-3</v>
      </c>
      <c r="E198" s="1" t="s">
        <v>29</v>
      </c>
    </row>
    <row r="199" spans="1:5" x14ac:dyDescent="0.25">
      <c r="A199" s="7">
        <v>0.49791666666666662</v>
      </c>
      <c r="B199" s="7">
        <v>0.50555555555555554</v>
      </c>
      <c r="C199" s="7">
        <f t="shared" si="6"/>
        <v>7.6388888888889173E-3</v>
      </c>
      <c r="D199" s="7">
        <f t="shared" si="7"/>
        <v>1.3888888888889395E-3</v>
      </c>
      <c r="E199" s="1" t="s">
        <v>29</v>
      </c>
    </row>
    <row r="200" spans="1:5" x14ac:dyDescent="0.25">
      <c r="A200" s="7">
        <v>0.55347222222222225</v>
      </c>
      <c r="B200" s="7">
        <v>0.55972222222222223</v>
      </c>
      <c r="C200" s="7">
        <f t="shared" si="6"/>
        <v>6.2499999999999778E-3</v>
      </c>
      <c r="D200" s="7">
        <f t="shared" si="7"/>
        <v>6.2499999999999778E-3</v>
      </c>
      <c r="E200" s="1" t="s">
        <v>29</v>
      </c>
    </row>
    <row r="201" spans="1:5" x14ac:dyDescent="0.25">
      <c r="A201" s="7">
        <v>0.57500000000000007</v>
      </c>
      <c r="B201" s="7">
        <v>0.58750000000000002</v>
      </c>
      <c r="C201" s="7">
        <f t="shared" si="6"/>
        <v>1.2499999999999956E-2</v>
      </c>
      <c r="D201" s="7">
        <f t="shared" si="7"/>
        <v>9.0277777777776347E-3</v>
      </c>
      <c r="E201" s="1" t="s">
        <v>29</v>
      </c>
    </row>
    <row r="202" spans="1:5" x14ac:dyDescent="0.25">
      <c r="A202" s="7">
        <v>0.57013888888888886</v>
      </c>
      <c r="B202" s="7">
        <v>0.57361111111111118</v>
      </c>
      <c r="C202" s="7">
        <f t="shared" si="6"/>
        <v>3.4722222222223209E-3</v>
      </c>
      <c r="D202" s="7">
        <f t="shared" si="7"/>
        <v>5.5555555555555358E-3</v>
      </c>
      <c r="E202" s="1" t="s">
        <v>29</v>
      </c>
    </row>
    <row r="203" spans="1:5" x14ac:dyDescent="0.25">
      <c r="A203" s="7">
        <v>0.74791666666666667</v>
      </c>
      <c r="B203" s="7">
        <v>0.75694444444444453</v>
      </c>
      <c r="C203" s="7">
        <f t="shared" si="6"/>
        <v>9.0277777777778567E-3</v>
      </c>
      <c r="D203" s="7">
        <f t="shared" si="7"/>
        <v>2.0833333333332149E-3</v>
      </c>
      <c r="E203" s="1" t="s">
        <v>29</v>
      </c>
    </row>
    <row r="204" spans="1:5" x14ac:dyDescent="0.25">
      <c r="A204" s="7">
        <v>0.7729166666666667</v>
      </c>
      <c r="B204" s="7">
        <v>0.78402777777777777</v>
      </c>
      <c r="C204" s="7">
        <f t="shared" si="6"/>
        <v>1.1111111111111072E-2</v>
      </c>
      <c r="D204" s="7">
        <f t="shared" si="7"/>
        <v>2.7777777777777679E-3</v>
      </c>
      <c r="E204" s="1" t="s">
        <v>29</v>
      </c>
    </row>
    <row r="205" spans="1:5" x14ac:dyDescent="0.25">
      <c r="A205" s="7">
        <v>0.84375</v>
      </c>
      <c r="B205" s="7">
        <v>0.8520833333333333</v>
      </c>
      <c r="C205" s="7">
        <f t="shared" si="6"/>
        <v>8.3333333333333037E-3</v>
      </c>
      <c r="D205" s="7">
        <f t="shared" si="7"/>
        <v>2.2916666666666669E-2</v>
      </c>
      <c r="E205" s="1" t="s">
        <v>29</v>
      </c>
    </row>
    <row r="206" spans="1:5" x14ac:dyDescent="0.25">
      <c r="A206" s="7">
        <v>0.24027777777777778</v>
      </c>
      <c r="B206" s="7">
        <v>0.27152777777777776</v>
      </c>
      <c r="C206" s="7">
        <f t="shared" si="6"/>
        <v>3.1249999999999972E-2</v>
      </c>
      <c r="D206" s="7">
        <f t="shared" si="7"/>
        <v>1.5277777777777696E-2</v>
      </c>
      <c r="E206" s="1" t="s">
        <v>29</v>
      </c>
    </row>
    <row r="207" spans="1:5" x14ac:dyDescent="0.25">
      <c r="A207" s="7">
        <v>0.33263888888888887</v>
      </c>
      <c r="B207" s="7">
        <v>0.34861111111111115</v>
      </c>
      <c r="C207" s="7">
        <f t="shared" si="6"/>
        <v>1.5972222222222276E-2</v>
      </c>
      <c r="D207" s="7">
        <f t="shared" si="7"/>
        <v>4.1666666666667074E-3</v>
      </c>
      <c r="E207" s="1" t="s">
        <v>29</v>
      </c>
    </row>
    <row r="208" spans="1:5" x14ac:dyDescent="0.25">
      <c r="A208" s="7">
        <v>0.40069444444444446</v>
      </c>
      <c r="B208" s="7">
        <v>0.41250000000000003</v>
      </c>
      <c r="C208" s="7">
        <f t="shared" si="6"/>
        <v>1.1805555555555569E-2</v>
      </c>
      <c r="D208" s="7">
        <f t="shared" si="7"/>
        <v>7.6388888888889173E-3</v>
      </c>
      <c r="E208" s="1" t="s">
        <v>29</v>
      </c>
    </row>
    <row r="209" spans="1:5" x14ac:dyDescent="0.25">
      <c r="A209" s="7">
        <v>0.47430555555555554</v>
      </c>
      <c r="B209" s="7">
        <v>0.47847222222222219</v>
      </c>
      <c r="C209" s="7">
        <f t="shared" si="6"/>
        <v>4.1666666666666519E-3</v>
      </c>
      <c r="D209" s="7">
        <f t="shared" si="7"/>
        <v>2.0833333333333259E-3</v>
      </c>
      <c r="E209" s="1" t="s">
        <v>29</v>
      </c>
    </row>
    <row r="210" spans="1:5" x14ac:dyDescent="0.25">
      <c r="A210" s="7">
        <v>0.58472222222222225</v>
      </c>
      <c r="B210" s="7">
        <v>0.59097222222222223</v>
      </c>
      <c r="C210" s="7">
        <f t="shared" si="6"/>
        <v>6.2499999999999778E-3</v>
      </c>
      <c r="D210" s="7">
        <f t="shared" si="7"/>
        <v>1.3888888888887729E-3</v>
      </c>
      <c r="E210" s="1" t="s">
        <v>29</v>
      </c>
    </row>
    <row r="211" spans="1:5" x14ac:dyDescent="0.25">
      <c r="A211" s="7">
        <v>0.7715277777777777</v>
      </c>
      <c r="B211" s="7">
        <v>0.77638888888888891</v>
      </c>
      <c r="C211" s="7">
        <f t="shared" si="6"/>
        <v>4.8611111111112049E-3</v>
      </c>
      <c r="D211" s="7">
        <f t="shared" si="7"/>
        <v>1.0416666666666519E-2</v>
      </c>
      <c r="E211" s="1" t="s">
        <v>29</v>
      </c>
    </row>
    <row r="212" spans="1:5" x14ac:dyDescent="0.25">
      <c r="A212" s="7">
        <v>0.80625000000000002</v>
      </c>
      <c r="B212" s="7">
        <v>0.82152777777777775</v>
      </c>
      <c r="C212" s="7">
        <f t="shared" si="6"/>
        <v>1.5277777777777724E-2</v>
      </c>
      <c r="D212" s="7">
        <f t="shared" si="7"/>
        <v>1.0416666666666685E-2</v>
      </c>
      <c r="E212" s="1" t="s">
        <v>29</v>
      </c>
    </row>
    <row r="213" spans="1:5" x14ac:dyDescent="0.25">
      <c r="A213" s="7">
        <v>0.3888888888888889</v>
      </c>
      <c r="B213" s="7">
        <v>0.4145833333333333</v>
      </c>
      <c r="C213" s="7">
        <f t="shared" si="6"/>
        <v>2.5694444444444409E-2</v>
      </c>
      <c r="D213" s="7">
        <f t="shared" si="7"/>
        <v>1.1111111111111127E-2</v>
      </c>
      <c r="E213" s="1" t="s">
        <v>29</v>
      </c>
    </row>
    <row r="214" spans="1:5" x14ac:dyDescent="0.25">
      <c r="A214" s="7">
        <v>0.51388888888888895</v>
      </c>
      <c r="B214" s="7">
        <v>0.52847222222222223</v>
      </c>
      <c r="C214" s="7">
        <f t="shared" si="6"/>
        <v>1.4583333333333282E-2</v>
      </c>
      <c r="D214" s="7">
        <f t="shared" si="7"/>
        <v>8.3333333333333037E-3</v>
      </c>
      <c r="E214" s="1" t="s">
        <v>29</v>
      </c>
    </row>
    <row r="215" spans="1:5" x14ac:dyDescent="0.25">
      <c r="A215" s="7">
        <v>0.53263888888888888</v>
      </c>
      <c r="B215" s="7">
        <v>0.53888888888888886</v>
      </c>
      <c r="C215" s="7">
        <f t="shared" si="6"/>
        <v>6.2499999999999778E-3</v>
      </c>
      <c r="D215" s="7">
        <f t="shared" si="7"/>
        <v>0</v>
      </c>
      <c r="E215" s="1" t="s">
        <v>29</v>
      </c>
    </row>
    <row r="216" spans="1:5" x14ac:dyDescent="0.25">
      <c r="A216" s="7">
        <v>0.56527777777777777</v>
      </c>
      <c r="B216" s="7">
        <v>0.57152777777777775</v>
      </c>
      <c r="C216" s="7">
        <f t="shared" si="6"/>
        <v>6.2499999999999778E-3</v>
      </c>
      <c r="D216" s="7">
        <f t="shared" si="7"/>
        <v>7.6388888888888618E-3</v>
      </c>
      <c r="E216" s="1" t="s">
        <v>29</v>
      </c>
    </row>
    <row r="217" spans="1:5" x14ac:dyDescent="0.25">
      <c r="A217" s="7">
        <v>0.6166666666666667</v>
      </c>
      <c r="B217" s="7">
        <v>0.63055555555555554</v>
      </c>
      <c r="C217" s="7">
        <f t="shared" si="6"/>
        <v>1.388888888888884E-2</v>
      </c>
      <c r="D217" s="7">
        <f t="shared" si="7"/>
        <v>4.8611111111109828E-3</v>
      </c>
      <c r="E217" s="1" t="s">
        <v>29</v>
      </c>
    </row>
    <row r="218" spans="1:5" x14ac:dyDescent="0.25">
      <c r="A218" s="7">
        <v>0.64374999999999993</v>
      </c>
      <c r="B218" s="7">
        <v>0.65277777777777779</v>
      </c>
      <c r="C218" s="7">
        <f t="shared" si="6"/>
        <v>9.0277777777778567E-3</v>
      </c>
      <c r="D218" s="7">
        <f t="shared" si="7"/>
        <v>1.2499999999999845E-2</v>
      </c>
      <c r="E218" s="1" t="s">
        <v>29</v>
      </c>
    </row>
    <row r="219" spans="1:5" x14ac:dyDescent="0.25">
      <c r="A219" s="7">
        <v>0.69444444444444453</v>
      </c>
      <c r="B219" s="7">
        <v>0.71597222222222223</v>
      </c>
      <c r="C219" s="7">
        <f t="shared" si="6"/>
        <v>2.1527777777777701E-2</v>
      </c>
      <c r="D219" s="7">
        <f t="shared" si="7"/>
        <v>1.2499999999999845E-2</v>
      </c>
      <c r="E219" s="1" t="s">
        <v>29</v>
      </c>
    </row>
    <row r="220" spans="1:5" x14ac:dyDescent="0.25">
      <c r="A220" s="7">
        <v>0.72222222222222221</v>
      </c>
      <c r="B220" s="7">
        <v>0.73125000000000007</v>
      </c>
      <c r="C220" s="7">
        <f t="shared" si="6"/>
        <v>9.0277777777778567E-3</v>
      </c>
      <c r="D220" s="7">
        <f t="shared" si="7"/>
        <v>2.0833333333333259E-3</v>
      </c>
      <c r="E220" s="1" t="s">
        <v>29</v>
      </c>
    </row>
    <row r="221" spans="1:5" x14ac:dyDescent="0.25">
      <c r="A221" s="7">
        <v>0.75486111111111109</v>
      </c>
      <c r="B221" s="7">
        <v>0.76180555555555562</v>
      </c>
      <c r="C221" s="7">
        <f t="shared" si="6"/>
        <v>6.9444444444445308E-3</v>
      </c>
      <c r="D221" s="7">
        <f t="shared" si="7"/>
        <v>4.8611111111108718E-3</v>
      </c>
      <c r="E221" s="1" t="s">
        <v>29</v>
      </c>
    </row>
    <row r="222" spans="1:5" x14ac:dyDescent="0.25">
      <c r="A222" s="7">
        <v>0.82500000000000007</v>
      </c>
      <c r="B222" s="7">
        <v>0.83680555555555547</v>
      </c>
      <c r="C222" s="7">
        <f t="shared" si="6"/>
        <v>1.1805555555555403E-2</v>
      </c>
      <c r="D222" s="7">
        <f t="shared" si="7"/>
        <v>6.2499999999998668E-3</v>
      </c>
      <c r="E222" s="1" t="s">
        <v>29</v>
      </c>
    </row>
    <row r="223" spans="1:5" x14ac:dyDescent="0.25">
      <c r="A223" s="7">
        <v>0.88888888888888884</v>
      </c>
      <c r="B223" s="7">
        <v>0.89444444444444438</v>
      </c>
      <c r="C223" s="7">
        <f t="shared" si="6"/>
        <v>5.5555555555555358E-3</v>
      </c>
      <c r="D223" s="7">
        <f t="shared" si="7"/>
        <v>1.388888888888884E-3</v>
      </c>
      <c r="E223" s="1" t="s">
        <v>29</v>
      </c>
    </row>
    <row r="224" spans="1:5" x14ac:dyDescent="0.25">
      <c r="A224" s="7">
        <v>0.97222222222222221</v>
      </c>
      <c r="B224" s="7">
        <v>0.97638888888888886</v>
      </c>
      <c r="C224" s="7">
        <f t="shared" si="6"/>
        <v>4.1666666666666519E-3</v>
      </c>
      <c r="D224" s="7"/>
      <c r="E224" s="1" t="s">
        <v>29</v>
      </c>
    </row>
    <row r="225" spans="1:5" x14ac:dyDescent="0.25">
      <c r="A225" s="7">
        <v>0.17847222222222223</v>
      </c>
      <c r="B225" s="7">
        <v>0.1875</v>
      </c>
      <c r="C225" s="7">
        <f t="shared" si="6"/>
        <v>9.0277777777777735E-3</v>
      </c>
      <c r="D225" s="7">
        <f>ABS(C226-C225)</f>
        <v>6.2500000000000611E-3</v>
      </c>
      <c r="E225" s="1" t="s">
        <v>9</v>
      </c>
    </row>
    <row r="226" spans="1:5" x14ac:dyDescent="0.25">
      <c r="A226" s="7">
        <v>0.64236111111111105</v>
      </c>
      <c r="B226" s="7">
        <v>0.65763888888888888</v>
      </c>
      <c r="C226" s="7">
        <f t="shared" si="6"/>
        <v>1.5277777777777835E-2</v>
      </c>
      <c r="D226" s="7">
        <f t="shared" ref="D226:D286" si="8">ABS(C227-C226)</f>
        <v>2.77777777777799E-3</v>
      </c>
      <c r="E226" s="1" t="s">
        <v>9</v>
      </c>
    </row>
    <row r="227" spans="1:5" x14ac:dyDescent="0.25">
      <c r="A227" s="7">
        <v>0.84513888888888899</v>
      </c>
      <c r="B227" s="7">
        <v>0.85763888888888884</v>
      </c>
      <c r="C227" s="7">
        <f t="shared" si="6"/>
        <v>1.2499999999999845E-2</v>
      </c>
      <c r="D227" s="7">
        <f t="shared" si="8"/>
        <v>1.388888888888995E-3</v>
      </c>
      <c r="E227" s="1" t="s">
        <v>9</v>
      </c>
    </row>
    <row r="228" spans="1:5" x14ac:dyDescent="0.25">
      <c r="A228" s="7">
        <v>0.4201388888888889</v>
      </c>
      <c r="B228" s="7">
        <v>0.43402777777777773</v>
      </c>
      <c r="C228" s="7">
        <f t="shared" si="6"/>
        <v>1.388888888888884E-2</v>
      </c>
      <c r="D228" s="7">
        <f t="shared" si="8"/>
        <v>1.3194444444444564E-2</v>
      </c>
      <c r="E228" s="1" t="s">
        <v>9</v>
      </c>
    </row>
    <row r="229" spans="1:5" x14ac:dyDescent="0.25">
      <c r="A229" s="7">
        <v>0.48680555555555555</v>
      </c>
      <c r="B229" s="7">
        <v>0.51388888888888895</v>
      </c>
      <c r="C229" s="7">
        <f t="shared" si="6"/>
        <v>2.7083333333333404E-2</v>
      </c>
      <c r="D229" s="7">
        <f t="shared" si="8"/>
        <v>1.1111111111111127E-2</v>
      </c>
      <c r="E229" s="1" t="s">
        <v>9</v>
      </c>
    </row>
    <row r="230" spans="1:5" x14ac:dyDescent="0.25">
      <c r="A230" s="7">
        <v>1.0111111111111111</v>
      </c>
      <c r="B230" s="7">
        <v>1.0270833333333333</v>
      </c>
      <c r="C230" s="7">
        <f t="shared" si="6"/>
        <v>1.5972222222222276E-2</v>
      </c>
      <c r="D230" s="7">
        <f t="shared" si="8"/>
        <v>4.8611111111110383E-3</v>
      </c>
      <c r="E230" s="1" t="s">
        <v>9</v>
      </c>
    </row>
    <row r="231" spans="1:5" x14ac:dyDescent="0.25">
      <c r="A231" s="7">
        <v>0.26041666666666669</v>
      </c>
      <c r="B231" s="7">
        <v>0.28125</v>
      </c>
      <c r="C231" s="7">
        <f t="shared" si="6"/>
        <v>2.0833333333333315E-2</v>
      </c>
      <c r="D231" s="7">
        <f t="shared" si="8"/>
        <v>7.6388888888888618E-3</v>
      </c>
      <c r="E231" s="1" t="s">
        <v>9</v>
      </c>
    </row>
    <row r="232" spans="1:5" x14ac:dyDescent="0.25">
      <c r="A232" s="7">
        <v>0.36527777777777781</v>
      </c>
      <c r="B232" s="7">
        <v>0.39374999999999999</v>
      </c>
      <c r="C232" s="7">
        <f t="shared" si="6"/>
        <v>2.8472222222222177E-2</v>
      </c>
      <c r="D232" s="7">
        <f t="shared" si="8"/>
        <v>9.7222222222221322E-3</v>
      </c>
      <c r="E232" s="1" t="s">
        <v>9</v>
      </c>
    </row>
    <row r="233" spans="1:5" x14ac:dyDescent="0.25">
      <c r="A233" s="7">
        <v>0.54999999999999993</v>
      </c>
      <c r="B233" s="7">
        <v>0.56874999999999998</v>
      </c>
      <c r="C233" s="7">
        <f t="shared" si="6"/>
        <v>1.8750000000000044E-2</v>
      </c>
      <c r="D233" s="7">
        <f t="shared" si="8"/>
        <v>5.5555555555555358E-3</v>
      </c>
      <c r="E233" s="1" t="s">
        <v>9</v>
      </c>
    </row>
    <row r="234" spans="1:5" x14ac:dyDescent="0.25">
      <c r="A234" s="7">
        <v>0.44722222222222219</v>
      </c>
      <c r="B234" s="7">
        <v>0.47152777777777777</v>
      </c>
      <c r="C234" s="7">
        <f t="shared" si="6"/>
        <v>2.430555555555558E-2</v>
      </c>
      <c r="D234" s="7">
        <f t="shared" si="8"/>
        <v>8.3333333333331927E-3</v>
      </c>
      <c r="E234" s="1" t="s">
        <v>9</v>
      </c>
    </row>
    <row r="235" spans="1:5" x14ac:dyDescent="0.25">
      <c r="A235" s="7">
        <v>0.83194444444444438</v>
      </c>
      <c r="B235" s="7">
        <v>0.84791666666666676</v>
      </c>
      <c r="C235" s="7">
        <f t="shared" si="6"/>
        <v>1.5972222222222388E-2</v>
      </c>
      <c r="D235" s="7">
        <f t="shared" si="8"/>
        <v>6.9444444444441977E-3</v>
      </c>
      <c r="E235" s="1" t="s">
        <v>9</v>
      </c>
    </row>
    <row r="236" spans="1:5" x14ac:dyDescent="0.25">
      <c r="A236" s="7">
        <v>0.67847222222222225</v>
      </c>
      <c r="B236" s="7">
        <v>0.70138888888888884</v>
      </c>
      <c r="C236" s="7">
        <f t="shared" si="6"/>
        <v>2.2916666666666585E-2</v>
      </c>
      <c r="D236" s="7">
        <f t="shared" si="8"/>
        <v>9.0277777777777457E-3</v>
      </c>
      <c r="E236" s="1" t="s">
        <v>9</v>
      </c>
    </row>
    <row r="237" spans="1:5" x14ac:dyDescent="0.25">
      <c r="A237" s="7">
        <v>0.8881944444444444</v>
      </c>
      <c r="B237" s="7">
        <v>0.90208333333333324</v>
      </c>
      <c r="C237" s="7">
        <f t="shared" si="6"/>
        <v>1.388888888888884E-2</v>
      </c>
      <c r="D237" s="7">
        <f t="shared" si="8"/>
        <v>1.3888888888888562E-3</v>
      </c>
      <c r="E237" s="1" t="s">
        <v>9</v>
      </c>
    </row>
    <row r="238" spans="1:5" x14ac:dyDescent="0.25">
      <c r="A238" s="7">
        <v>0.12361111111111112</v>
      </c>
      <c r="B238" s="7">
        <v>0.1361111111111111</v>
      </c>
      <c r="C238" s="7">
        <f t="shared" si="6"/>
        <v>1.2499999999999983E-2</v>
      </c>
      <c r="D238" s="7">
        <f t="shared" si="8"/>
        <v>1.388888888888884E-3</v>
      </c>
      <c r="E238" s="1" t="s">
        <v>9</v>
      </c>
    </row>
    <row r="239" spans="1:5" x14ac:dyDescent="0.25">
      <c r="A239" s="7">
        <v>0.10347222222222223</v>
      </c>
      <c r="B239" s="7">
        <v>0.11458333333333333</v>
      </c>
      <c r="C239" s="7">
        <f t="shared" si="6"/>
        <v>1.1111111111111099E-2</v>
      </c>
      <c r="D239" s="7">
        <f t="shared" si="8"/>
        <v>2.8472222222222232E-2</v>
      </c>
      <c r="E239" s="1" t="s">
        <v>9</v>
      </c>
    </row>
    <row r="240" spans="1:5" x14ac:dyDescent="0.25">
      <c r="A240" s="7">
        <v>0.24374999999999999</v>
      </c>
      <c r="B240" s="7">
        <v>0.28333333333333333</v>
      </c>
      <c r="C240" s="7">
        <f t="shared" si="6"/>
        <v>3.9583333333333331E-2</v>
      </c>
      <c r="D240" s="7">
        <f t="shared" si="8"/>
        <v>2.6388888888888934E-2</v>
      </c>
      <c r="E240" s="1" t="s">
        <v>9</v>
      </c>
    </row>
    <row r="241" spans="1:5" x14ac:dyDescent="0.25">
      <c r="A241" s="7">
        <v>0.89861111111111114</v>
      </c>
      <c r="B241" s="7">
        <v>0.91180555555555554</v>
      </c>
      <c r="C241" s="7">
        <f t="shared" si="6"/>
        <v>1.3194444444444398E-2</v>
      </c>
      <c r="D241" s="7">
        <f t="shared" si="8"/>
        <v>2.7777777777778165E-3</v>
      </c>
      <c r="E241" s="1" t="s">
        <v>9</v>
      </c>
    </row>
    <row r="242" spans="1:5" x14ac:dyDescent="0.25">
      <c r="A242" s="7">
        <v>5.0694444444444452E-2</v>
      </c>
      <c r="B242" s="7">
        <v>6.6666666666666666E-2</v>
      </c>
      <c r="C242" s="7">
        <f t="shared" si="6"/>
        <v>1.5972222222222214E-2</v>
      </c>
      <c r="D242" s="7">
        <f t="shared" si="8"/>
        <v>6.2499999999999847E-3</v>
      </c>
      <c r="E242" s="1" t="s">
        <v>9</v>
      </c>
    </row>
    <row r="243" spans="1:5" x14ac:dyDescent="0.25">
      <c r="A243" s="7">
        <v>0.34722222222222227</v>
      </c>
      <c r="B243" s="7">
        <v>0.36944444444444446</v>
      </c>
      <c r="C243" s="7">
        <f t="shared" si="6"/>
        <v>2.2222222222222199E-2</v>
      </c>
      <c r="D243" s="7">
        <f t="shared" si="8"/>
        <v>9.7222222222222432E-3</v>
      </c>
      <c r="E243" s="1" t="s">
        <v>9</v>
      </c>
    </row>
    <row r="244" spans="1:5" x14ac:dyDescent="0.25">
      <c r="A244" s="7">
        <v>0.45902777777777781</v>
      </c>
      <c r="B244" s="7">
        <v>0.47152777777777777</v>
      </c>
      <c r="C244" s="7">
        <f t="shared" si="6"/>
        <v>1.2499999999999956E-2</v>
      </c>
      <c r="D244" s="7">
        <f t="shared" si="8"/>
        <v>3.0555555555555669E-2</v>
      </c>
      <c r="E244" s="1" t="s">
        <v>9</v>
      </c>
    </row>
    <row r="245" spans="1:5" x14ac:dyDescent="0.25">
      <c r="A245" s="7">
        <v>0.70138888888888884</v>
      </c>
      <c r="B245" s="7">
        <v>0.74444444444444446</v>
      </c>
      <c r="C245" s="7">
        <f t="shared" si="6"/>
        <v>4.3055555555555625E-2</v>
      </c>
      <c r="D245" s="7">
        <f t="shared" si="8"/>
        <v>1.388888888888995E-3</v>
      </c>
      <c r="E245" s="1" t="s">
        <v>9</v>
      </c>
    </row>
    <row r="246" spans="1:5" x14ac:dyDescent="0.25">
      <c r="A246" s="7">
        <v>0.2638888888888889</v>
      </c>
      <c r="B246" s="7">
        <v>0.30555555555555552</v>
      </c>
      <c r="C246" s="7">
        <f t="shared" si="6"/>
        <v>4.166666666666663E-2</v>
      </c>
      <c r="D246" s="7">
        <f t="shared" si="8"/>
        <v>3.6805555555555536E-2</v>
      </c>
      <c r="E246" s="1" t="s">
        <v>9</v>
      </c>
    </row>
    <row r="247" spans="1:5" x14ac:dyDescent="0.25">
      <c r="A247" s="7">
        <v>0.4826388888888889</v>
      </c>
      <c r="B247" s="7">
        <v>0.48749999999999999</v>
      </c>
      <c r="C247" s="7">
        <f t="shared" si="6"/>
        <v>4.8611111111110938E-3</v>
      </c>
      <c r="D247" s="7">
        <f t="shared" si="8"/>
        <v>2.7083333333333348E-2</v>
      </c>
      <c r="E247" s="1" t="s">
        <v>9</v>
      </c>
    </row>
    <row r="248" spans="1:5" x14ac:dyDescent="0.25">
      <c r="A248" s="7">
        <v>0.62777777777777777</v>
      </c>
      <c r="B248" s="7">
        <v>0.65972222222222221</v>
      </c>
      <c r="C248" s="7">
        <f t="shared" si="6"/>
        <v>3.1944444444444442E-2</v>
      </c>
      <c r="D248" s="7">
        <f t="shared" si="8"/>
        <v>9.0277777777779677E-3</v>
      </c>
      <c r="E248" s="1" t="s">
        <v>9</v>
      </c>
    </row>
    <row r="249" spans="1:5" x14ac:dyDescent="0.25">
      <c r="A249" s="7">
        <v>0.69444444444444453</v>
      </c>
      <c r="B249" s="7">
        <v>0.71736111111111101</v>
      </c>
      <c r="C249" s="7">
        <f t="shared" si="6"/>
        <v>2.2916666666666474E-2</v>
      </c>
      <c r="D249" s="7">
        <f t="shared" si="8"/>
        <v>3.4722222222220434E-3</v>
      </c>
      <c r="E249" s="1" t="s">
        <v>9</v>
      </c>
    </row>
    <row r="250" spans="1:5" x14ac:dyDescent="0.25">
      <c r="A250" s="7">
        <v>0.46736111111111112</v>
      </c>
      <c r="B250" s="7">
        <v>0.48680555555555555</v>
      </c>
      <c r="C250" s="7">
        <f t="shared" si="6"/>
        <v>1.9444444444444431E-2</v>
      </c>
      <c r="D250" s="7">
        <f t="shared" si="8"/>
        <v>2.8472222222222232E-2</v>
      </c>
      <c r="E250" s="1" t="s">
        <v>9</v>
      </c>
    </row>
    <row r="251" spans="1:5" x14ac:dyDescent="0.25">
      <c r="A251" s="7">
        <v>0.25416666666666665</v>
      </c>
      <c r="B251" s="7">
        <v>0.30208333333333331</v>
      </c>
      <c r="C251" s="7">
        <f t="shared" si="6"/>
        <v>4.7916666666666663E-2</v>
      </c>
      <c r="D251" s="7">
        <f t="shared" si="8"/>
        <v>2.7083333333333293E-2</v>
      </c>
      <c r="E251" s="1" t="s">
        <v>9</v>
      </c>
    </row>
    <row r="252" spans="1:5" x14ac:dyDescent="0.25">
      <c r="A252" s="7">
        <v>0.69236111111111109</v>
      </c>
      <c r="B252" s="7">
        <v>0.71319444444444446</v>
      </c>
      <c r="C252" s="7">
        <f t="shared" si="6"/>
        <v>2.083333333333337E-2</v>
      </c>
      <c r="D252" s="7">
        <f t="shared" si="8"/>
        <v>1.3888888888889395E-3</v>
      </c>
      <c r="E252" s="1" t="s">
        <v>9</v>
      </c>
    </row>
    <row r="253" spans="1:5" x14ac:dyDescent="0.25">
      <c r="A253" s="7">
        <v>0.26180555555555557</v>
      </c>
      <c r="B253" s="7">
        <v>0.28125</v>
      </c>
      <c r="C253" s="7">
        <f t="shared" si="6"/>
        <v>1.9444444444444431E-2</v>
      </c>
      <c r="D253" s="7">
        <f t="shared" si="8"/>
        <v>1.3888888888889395E-3</v>
      </c>
      <c r="E253" s="1" t="s">
        <v>9</v>
      </c>
    </row>
    <row r="254" spans="1:5" x14ac:dyDescent="0.25">
      <c r="A254" s="7">
        <v>0.52222222222222225</v>
      </c>
      <c r="B254" s="7">
        <v>0.54027777777777775</v>
      </c>
      <c r="C254" s="7">
        <f t="shared" si="6"/>
        <v>1.8055555555555491E-2</v>
      </c>
      <c r="D254" s="7">
        <f t="shared" si="8"/>
        <v>9.0277777777778012E-3</v>
      </c>
      <c r="E254" s="1" t="s">
        <v>9</v>
      </c>
    </row>
    <row r="255" spans="1:5" x14ac:dyDescent="0.25">
      <c r="A255" s="7">
        <v>0.24930555555555556</v>
      </c>
      <c r="B255" s="7">
        <v>0.27638888888888885</v>
      </c>
      <c r="C255" s="7">
        <f t="shared" ref="C255:C318" si="9">B255-A255</f>
        <v>2.7083333333333293E-2</v>
      </c>
      <c r="D255" s="7">
        <f t="shared" si="8"/>
        <v>8.333333333333276E-3</v>
      </c>
      <c r="E255" s="1" t="s">
        <v>9</v>
      </c>
    </row>
    <row r="256" spans="1:5" x14ac:dyDescent="0.25">
      <c r="A256" s="7">
        <v>0.17083333333333331</v>
      </c>
      <c r="B256" s="7">
        <v>0.18958333333333333</v>
      </c>
      <c r="C256" s="7">
        <f t="shared" si="9"/>
        <v>1.8750000000000017E-2</v>
      </c>
      <c r="D256" s="7">
        <f t="shared" si="8"/>
        <v>2.7755575615628914E-17</v>
      </c>
      <c r="E256" s="1" t="s">
        <v>9</v>
      </c>
    </row>
    <row r="257" spans="1:5" x14ac:dyDescent="0.25">
      <c r="A257" s="7">
        <v>0.50486111111111109</v>
      </c>
      <c r="B257" s="7">
        <v>0.52361111111111114</v>
      </c>
      <c r="C257" s="7">
        <f t="shared" si="9"/>
        <v>1.8750000000000044E-2</v>
      </c>
      <c r="D257" s="7">
        <f t="shared" si="8"/>
        <v>5.5555555555556191E-3</v>
      </c>
      <c r="E257" s="1" t="s">
        <v>9</v>
      </c>
    </row>
    <row r="258" spans="1:5" x14ac:dyDescent="0.25">
      <c r="A258" s="7">
        <v>0.1277777777777778</v>
      </c>
      <c r="B258" s="7">
        <v>0.14097222222222222</v>
      </c>
      <c r="C258" s="7">
        <f t="shared" si="9"/>
        <v>1.3194444444444425E-2</v>
      </c>
      <c r="D258" s="7">
        <f t="shared" si="8"/>
        <v>1.3888888888888562E-3</v>
      </c>
      <c r="E258" s="1" t="s">
        <v>9</v>
      </c>
    </row>
    <row r="259" spans="1:5" x14ac:dyDescent="0.25">
      <c r="A259" s="7">
        <v>0.28680555555555554</v>
      </c>
      <c r="B259" s="7">
        <v>0.2986111111111111</v>
      </c>
      <c r="C259" s="7">
        <f t="shared" si="9"/>
        <v>1.1805555555555569E-2</v>
      </c>
      <c r="D259" s="7">
        <f t="shared" si="8"/>
        <v>4.1666666666667074E-3</v>
      </c>
      <c r="E259" s="1" t="s">
        <v>9</v>
      </c>
    </row>
    <row r="260" spans="1:5" x14ac:dyDescent="0.25">
      <c r="A260" s="7">
        <v>0.38472222222222219</v>
      </c>
      <c r="B260" s="7">
        <v>0.40069444444444446</v>
      </c>
      <c r="C260" s="7">
        <f t="shared" si="9"/>
        <v>1.5972222222222276E-2</v>
      </c>
      <c r="D260" s="7">
        <f t="shared" si="8"/>
        <v>1.1111111111110961E-2</v>
      </c>
      <c r="E260" s="1" t="s">
        <v>9</v>
      </c>
    </row>
    <row r="261" spans="1:5" x14ac:dyDescent="0.25">
      <c r="A261" s="7">
        <v>0.73611111111111116</v>
      </c>
      <c r="B261" s="7">
        <v>0.7631944444444444</v>
      </c>
      <c r="C261" s="7">
        <f t="shared" si="9"/>
        <v>2.7083333333333237E-2</v>
      </c>
      <c r="D261" s="7">
        <f t="shared" si="8"/>
        <v>1.3888888888888729E-2</v>
      </c>
      <c r="E261" s="1" t="s">
        <v>9</v>
      </c>
    </row>
    <row r="262" spans="1:5" x14ac:dyDescent="0.25">
      <c r="A262" s="7">
        <v>0.6</v>
      </c>
      <c r="B262" s="7">
        <v>0.61319444444444449</v>
      </c>
      <c r="C262" s="7">
        <f t="shared" si="9"/>
        <v>1.3194444444444509E-2</v>
      </c>
      <c r="D262" s="7">
        <f t="shared" si="8"/>
        <v>6.9444444444451137E-4</v>
      </c>
      <c r="E262" s="1" t="s">
        <v>9</v>
      </c>
    </row>
    <row r="263" spans="1:5" x14ac:dyDescent="0.25">
      <c r="A263" s="7">
        <v>8.3333333333333329E-2</v>
      </c>
      <c r="B263" s="7">
        <v>9.5833333333333326E-2</v>
      </c>
      <c r="C263" s="7">
        <f t="shared" si="9"/>
        <v>1.2499999999999997E-2</v>
      </c>
      <c r="D263" s="7">
        <f t="shared" si="8"/>
        <v>1.3888888888888978E-3</v>
      </c>
      <c r="E263" s="1" t="s">
        <v>9</v>
      </c>
    </row>
    <row r="264" spans="1:5" x14ac:dyDescent="0.25">
      <c r="A264" s="7">
        <v>0.31041666666666667</v>
      </c>
      <c r="B264" s="7">
        <v>0.32430555555555557</v>
      </c>
      <c r="C264" s="7">
        <f t="shared" si="9"/>
        <v>1.3888888888888895E-2</v>
      </c>
      <c r="D264" s="7">
        <f t="shared" si="8"/>
        <v>1.3888888888889395E-3</v>
      </c>
      <c r="E264" s="1" t="s">
        <v>9</v>
      </c>
    </row>
    <row r="265" spans="1:5" x14ac:dyDescent="0.25">
      <c r="A265" s="7">
        <v>0.60625000000000007</v>
      </c>
      <c r="B265" s="7">
        <v>0.61875000000000002</v>
      </c>
      <c r="C265" s="7">
        <f t="shared" si="9"/>
        <v>1.2499999999999956E-2</v>
      </c>
      <c r="D265" s="7">
        <f t="shared" si="8"/>
        <v>5.5555555555556468E-3</v>
      </c>
      <c r="E265" s="1" t="s">
        <v>9</v>
      </c>
    </row>
    <row r="266" spans="1:5" x14ac:dyDescent="0.25">
      <c r="A266" s="7">
        <v>0.77708333333333324</v>
      </c>
      <c r="B266" s="7">
        <v>0.79513888888888884</v>
      </c>
      <c r="C266" s="7">
        <f t="shared" si="9"/>
        <v>1.8055555555555602E-2</v>
      </c>
      <c r="D266" s="7">
        <f t="shared" si="8"/>
        <v>4.8611111111111494E-3</v>
      </c>
      <c r="E266" s="1" t="s">
        <v>9</v>
      </c>
    </row>
    <row r="267" spans="1:5" x14ac:dyDescent="0.25">
      <c r="A267" s="7">
        <v>0.14791666666666667</v>
      </c>
      <c r="B267" s="7">
        <v>0.16111111111111112</v>
      </c>
      <c r="C267" s="7">
        <f t="shared" si="9"/>
        <v>1.3194444444444453E-2</v>
      </c>
      <c r="D267" s="7">
        <f t="shared" si="8"/>
        <v>6.9444444444444198E-3</v>
      </c>
      <c r="E267" s="1" t="s">
        <v>9</v>
      </c>
    </row>
    <row r="268" spans="1:5" x14ac:dyDescent="0.25">
      <c r="A268" s="7">
        <v>0.2951388888888889</v>
      </c>
      <c r="B268" s="7">
        <v>0.31527777777777777</v>
      </c>
      <c r="C268" s="7">
        <f t="shared" si="9"/>
        <v>2.0138888888888873E-2</v>
      </c>
      <c r="D268" s="7">
        <f t="shared" si="8"/>
        <v>0</v>
      </c>
      <c r="E268" s="1" t="s">
        <v>9</v>
      </c>
    </row>
    <row r="269" spans="1:5" x14ac:dyDescent="0.25">
      <c r="A269" s="7">
        <v>0.31597222222222221</v>
      </c>
      <c r="B269" s="7">
        <v>0.33611111111111108</v>
      </c>
      <c r="C269" s="7">
        <f t="shared" si="9"/>
        <v>2.0138888888888873E-2</v>
      </c>
      <c r="D269" s="7">
        <f t="shared" si="8"/>
        <v>2.7777777777777124E-3</v>
      </c>
      <c r="E269" s="1" t="s">
        <v>9</v>
      </c>
    </row>
    <row r="270" spans="1:5" x14ac:dyDescent="0.25">
      <c r="A270" s="7">
        <v>0.52708333333333335</v>
      </c>
      <c r="B270" s="7">
        <v>0.54999999999999993</v>
      </c>
      <c r="C270" s="7">
        <f t="shared" si="9"/>
        <v>2.2916666666666585E-2</v>
      </c>
      <c r="D270" s="7">
        <f t="shared" si="8"/>
        <v>9.0277777777776347E-3</v>
      </c>
      <c r="E270" s="1" t="s">
        <v>9</v>
      </c>
    </row>
    <row r="271" spans="1:5" x14ac:dyDescent="0.25">
      <c r="A271" s="7">
        <v>0.91736111111111107</v>
      </c>
      <c r="B271" s="7">
        <v>0.93125000000000002</v>
      </c>
      <c r="C271" s="7">
        <f t="shared" si="9"/>
        <v>1.3888888888888951E-2</v>
      </c>
      <c r="D271" s="7">
        <f t="shared" si="8"/>
        <v>1.041666666666663E-2</v>
      </c>
      <c r="E271" s="1" t="s">
        <v>9</v>
      </c>
    </row>
    <row r="272" spans="1:5" x14ac:dyDescent="0.25">
      <c r="A272" s="7">
        <v>0.87708333333333333</v>
      </c>
      <c r="B272" s="7">
        <v>0.90138888888888891</v>
      </c>
      <c r="C272" s="7">
        <f t="shared" si="9"/>
        <v>2.430555555555558E-2</v>
      </c>
      <c r="D272" s="7">
        <f t="shared" si="8"/>
        <v>8.3333333333333037E-3</v>
      </c>
      <c r="E272" s="1" t="s">
        <v>9</v>
      </c>
    </row>
    <row r="273" spans="1:5" x14ac:dyDescent="0.25">
      <c r="A273" s="7">
        <v>0.6333333333333333</v>
      </c>
      <c r="B273" s="7">
        <v>0.64930555555555558</v>
      </c>
      <c r="C273" s="7">
        <f t="shared" si="9"/>
        <v>1.5972222222222276E-2</v>
      </c>
      <c r="D273" s="7">
        <f t="shared" si="8"/>
        <v>5.5555555555554248E-3</v>
      </c>
      <c r="E273" s="1" t="s">
        <v>9</v>
      </c>
    </row>
    <row r="274" spans="1:5" x14ac:dyDescent="0.25">
      <c r="A274" s="7">
        <v>0.4777777777777778</v>
      </c>
      <c r="B274" s="7">
        <v>0.4993055555555555</v>
      </c>
      <c r="C274" s="7">
        <f t="shared" si="9"/>
        <v>2.1527777777777701E-2</v>
      </c>
      <c r="D274" s="7">
        <f t="shared" si="8"/>
        <v>5.5555555555555358E-3</v>
      </c>
      <c r="E274" s="1" t="s">
        <v>9</v>
      </c>
    </row>
    <row r="275" spans="1:5" x14ac:dyDescent="0.25">
      <c r="A275" s="7">
        <v>0.53541666666666665</v>
      </c>
      <c r="B275" s="7">
        <v>0.55138888888888882</v>
      </c>
      <c r="C275" s="7">
        <f t="shared" si="9"/>
        <v>1.5972222222222165E-2</v>
      </c>
      <c r="D275" s="7">
        <f t="shared" si="8"/>
        <v>3.4722222222223209E-3</v>
      </c>
      <c r="E275" s="1" t="s">
        <v>9</v>
      </c>
    </row>
    <row r="276" spans="1:5" x14ac:dyDescent="0.25">
      <c r="A276" s="7">
        <v>0.5625</v>
      </c>
      <c r="B276" s="7">
        <v>0.58194444444444449</v>
      </c>
      <c r="C276" s="7">
        <f t="shared" si="9"/>
        <v>1.9444444444444486E-2</v>
      </c>
      <c r="D276" s="7">
        <f t="shared" si="8"/>
        <v>4.8611111111111494E-3</v>
      </c>
      <c r="E276" s="1" t="s">
        <v>9</v>
      </c>
    </row>
    <row r="277" spans="1:5" x14ac:dyDescent="0.25">
      <c r="A277" s="7">
        <v>0.13680555555555554</v>
      </c>
      <c r="B277" s="7">
        <v>0.15138888888888888</v>
      </c>
      <c r="C277" s="7">
        <f t="shared" si="9"/>
        <v>1.4583333333333337E-2</v>
      </c>
      <c r="D277" s="7">
        <f t="shared" si="8"/>
        <v>3.4722222222222099E-3</v>
      </c>
      <c r="E277" s="1" t="s">
        <v>9</v>
      </c>
    </row>
    <row r="278" spans="1:5" x14ac:dyDescent="0.25">
      <c r="A278" s="7">
        <v>0.3833333333333333</v>
      </c>
      <c r="B278" s="7">
        <v>0.40138888888888885</v>
      </c>
      <c r="C278" s="7">
        <f t="shared" si="9"/>
        <v>1.8055555555555547E-2</v>
      </c>
      <c r="D278" s="7">
        <f t="shared" si="8"/>
        <v>2.0833333333333814E-3</v>
      </c>
      <c r="E278" s="1" t="s">
        <v>9</v>
      </c>
    </row>
    <row r="279" spans="1:5" x14ac:dyDescent="0.25">
      <c r="A279" s="7">
        <v>0.85486111111111107</v>
      </c>
      <c r="B279" s="7">
        <v>0.87083333333333324</v>
      </c>
      <c r="C279" s="7">
        <f t="shared" si="9"/>
        <v>1.5972222222222165E-2</v>
      </c>
      <c r="D279" s="7">
        <f t="shared" si="8"/>
        <v>4.8611111111111771E-3</v>
      </c>
      <c r="E279" s="1" t="s">
        <v>9</v>
      </c>
    </row>
    <row r="280" spans="1:5" x14ac:dyDescent="0.25">
      <c r="A280" s="7">
        <v>0.22708333333333333</v>
      </c>
      <c r="B280" s="7">
        <v>0.24791666666666667</v>
      </c>
      <c r="C280" s="7">
        <f t="shared" si="9"/>
        <v>2.0833333333333343E-2</v>
      </c>
      <c r="D280" s="7">
        <f t="shared" si="8"/>
        <v>7.6388888888888895E-3</v>
      </c>
      <c r="E280" s="1" t="s">
        <v>9</v>
      </c>
    </row>
    <row r="281" spans="1:5" x14ac:dyDescent="0.25">
      <c r="A281" s="7">
        <v>0.3888888888888889</v>
      </c>
      <c r="B281" s="7">
        <v>0.40208333333333335</v>
      </c>
      <c r="C281" s="7">
        <f t="shared" si="9"/>
        <v>1.3194444444444453E-2</v>
      </c>
      <c r="D281" s="7">
        <f t="shared" si="8"/>
        <v>4.9999999999999989E-2</v>
      </c>
      <c r="E281" s="1" t="s">
        <v>9</v>
      </c>
    </row>
    <row r="282" spans="1:5" x14ac:dyDescent="0.25">
      <c r="A282" s="7">
        <v>0.46597222222222223</v>
      </c>
      <c r="B282" s="7">
        <v>0.52916666666666667</v>
      </c>
      <c r="C282" s="7">
        <f t="shared" si="9"/>
        <v>6.3194444444444442E-2</v>
      </c>
      <c r="D282" s="7">
        <f t="shared" si="8"/>
        <v>3.5416666666666763E-2</v>
      </c>
      <c r="E282" s="1" t="s">
        <v>9</v>
      </c>
    </row>
    <row r="283" spans="1:5" x14ac:dyDescent="0.25">
      <c r="A283" s="7">
        <v>0.57500000000000007</v>
      </c>
      <c r="B283" s="7">
        <v>0.60277777777777775</v>
      </c>
      <c r="C283" s="7">
        <f t="shared" si="9"/>
        <v>2.7777777777777679E-2</v>
      </c>
      <c r="D283" s="7">
        <f t="shared" si="8"/>
        <v>9.0277777777777457E-3</v>
      </c>
      <c r="E283" s="1" t="s">
        <v>9</v>
      </c>
    </row>
    <row r="284" spans="1:5" x14ac:dyDescent="0.25">
      <c r="A284" s="7">
        <v>0.74791666666666667</v>
      </c>
      <c r="B284" s="7">
        <v>0.76666666666666661</v>
      </c>
      <c r="C284" s="7">
        <f t="shared" si="9"/>
        <v>1.8749999999999933E-2</v>
      </c>
      <c r="D284" s="7">
        <f t="shared" si="8"/>
        <v>5.5555555555555358E-3</v>
      </c>
      <c r="E284" s="1" t="s">
        <v>9</v>
      </c>
    </row>
    <row r="285" spans="1:5" x14ac:dyDescent="0.25">
      <c r="A285" s="7">
        <v>0.7729166666666667</v>
      </c>
      <c r="B285" s="7">
        <v>0.78611111111111109</v>
      </c>
      <c r="C285" s="7">
        <f t="shared" si="9"/>
        <v>1.3194444444444398E-2</v>
      </c>
      <c r="D285" s="7">
        <f t="shared" si="8"/>
        <v>1.4583333333333393E-2</v>
      </c>
      <c r="E285" s="1" t="s">
        <v>9</v>
      </c>
    </row>
    <row r="286" spans="1:5" x14ac:dyDescent="0.25">
      <c r="A286" s="7">
        <v>0.3888888888888889</v>
      </c>
      <c r="B286" s="7">
        <v>0.41666666666666669</v>
      </c>
      <c r="C286" s="7">
        <f t="shared" si="9"/>
        <v>2.777777777777779E-2</v>
      </c>
      <c r="D286" s="7">
        <f t="shared" si="8"/>
        <v>1.4583333333333282E-2</v>
      </c>
      <c r="E286" s="1" t="s">
        <v>9</v>
      </c>
    </row>
    <row r="287" spans="1:5" x14ac:dyDescent="0.25">
      <c r="A287" s="7">
        <v>0.75486111111111109</v>
      </c>
      <c r="B287" s="7">
        <v>0.7680555555555556</v>
      </c>
      <c r="C287" s="7">
        <f t="shared" si="9"/>
        <v>1.3194444444444509E-2</v>
      </c>
      <c r="D287" s="7"/>
      <c r="E287" s="1" t="s">
        <v>9</v>
      </c>
    </row>
    <row r="288" spans="1:5" x14ac:dyDescent="0.25">
      <c r="A288" s="7">
        <v>0.49861111111111112</v>
      </c>
      <c r="B288" s="7">
        <v>0.51944444444444449</v>
      </c>
      <c r="C288" s="7">
        <f t="shared" si="9"/>
        <v>2.083333333333337E-2</v>
      </c>
      <c r="D288" s="7">
        <f>ABS(C289-C288)</f>
        <v>6.2500000000000333E-3</v>
      </c>
      <c r="E288" s="1" t="s">
        <v>10</v>
      </c>
    </row>
    <row r="289" spans="1:5" x14ac:dyDescent="0.25">
      <c r="A289" s="7">
        <v>0.44166666666666665</v>
      </c>
      <c r="B289" s="7">
        <v>0.45624999999999999</v>
      </c>
      <c r="C289" s="7">
        <f t="shared" si="9"/>
        <v>1.4583333333333337E-2</v>
      </c>
      <c r="D289" s="7">
        <f t="shared" ref="D289:D352" si="10">ABS(C290-C289)</f>
        <v>1.3888888888888284E-3</v>
      </c>
      <c r="E289" s="1" t="s">
        <v>10</v>
      </c>
    </row>
    <row r="290" spans="1:5" x14ac:dyDescent="0.25">
      <c r="A290" s="7">
        <v>0.58263888888888882</v>
      </c>
      <c r="B290" s="7">
        <v>0.59583333333333333</v>
      </c>
      <c r="C290" s="7">
        <f t="shared" si="9"/>
        <v>1.3194444444444509E-2</v>
      </c>
      <c r="D290" s="7">
        <f t="shared" si="10"/>
        <v>1.3888888888886619E-3</v>
      </c>
      <c r="E290" s="1" t="s">
        <v>10</v>
      </c>
    </row>
    <row r="291" spans="1:5" x14ac:dyDescent="0.25">
      <c r="A291" s="7">
        <v>0.70277777777777783</v>
      </c>
      <c r="B291" s="7">
        <v>0.71736111111111101</v>
      </c>
      <c r="C291" s="7">
        <f t="shared" si="9"/>
        <v>1.4583333333333171E-2</v>
      </c>
      <c r="D291" s="7">
        <f t="shared" si="10"/>
        <v>4.1666666666665408E-3</v>
      </c>
      <c r="E291" s="1" t="s">
        <v>10</v>
      </c>
    </row>
    <row r="292" spans="1:5" x14ac:dyDescent="0.25">
      <c r="A292" s="7">
        <v>0.40833333333333338</v>
      </c>
      <c r="B292" s="7">
        <v>0.41875000000000001</v>
      </c>
      <c r="C292" s="7">
        <f t="shared" si="9"/>
        <v>1.041666666666663E-2</v>
      </c>
      <c r="D292" s="7">
        <f t="shared" si="10"/>
        <v>6.2500000000000888E-3</v>
      </c>
      <c r="E292" s="1" t="s">
        <v>10</v>
      </c>
    </row>
    <row r="293" spans="1:5" x14ac:dyDescent="0.25">
      <c r="A293" s="7">
        <v>0.63194444444444442</v>
      </c>
      <c r="B293" s="7">
        <v>0.64861111111111114</v>
      </c>
      <c r="C293" s="7">
        <f t="shared" si="9"/>
        <v>1.6666666666666718E-2</v>
      </c>
      <c r="D293" s="7">
        <f t="shared" si="10"/>
        <v>1.6666666666666607E-2</v>
      </c>
      <c r="E293" s="1" t="s">
        <v>10</v>
      </c>
    </row>
    <row r="294" spans="1:5" x14ac:dyDescent="0.25">
      <c r="A294" s="7">
        <v>0.70763888888888893</v>
      </c>
      <c r="B294" s="7">
        <v>0.74097222222222225</v>
      </c>
      <c r="C294" s="7">
        <f t="shared" si="9"/>
        <v>3.3333333333333326E-2</v>
      </c>
      <c r="D294" s="7">
        <f t="shared" si="10"/>
        <v>1.8055555555555547E-2</v>
      </c>
      <c r="E294" s="1" t="s">
        <v>10</v>
      </c>
    </row>
    <row r="295" spans="1:5" x14ac:dyDescent="0.25">
      <c r="A295" s="7">
        <v>0.4770833333333333</v>
      </c>
      <c r="B295" s="7">
        <v>0.49236111111111108</v>
      </c>
      <c r="C295" s="7">
        <f t="shared" si="9"/>
        <v>1.5277777777777779E-2</v>
      </c>
      <c r="D295" s="7">
        <f t="shared" si="10"/>
        <v>5.5555555555555913E-3</v>
      </c>
      <c r="E295" s="1" t="s">
        <v>10</v>
      </c>
    </row>
    <row r="296" spans="1:5" x14ac:dyDescent="0.25">
      <c r="A296" s="7">
        <v>0.46111111111111108</v>
      </c>
      <c r="B296" s="7">
        <v>0.48194444444444445</v>
      </c>
      <c r="C296" s="7">
        <f t="shared" si="9"/>
        <v>2.083333333333337E-2</v>
      </c>
      <c r="D296" s="7">
        <f t="shared" si="10"/>
        <v>3.4722222222222099E-3</v>
      </c>
      <c r="E296" s="1" t="s">
        <v>10</v>
      </c>
    </row>
    <row r="297" spans="1:5" x14ac:dyDescent="0.25">
      <c r="A297" s="7">
        <v>0.52638888888888891</v>
      </c>
      <c r="B297" s="7">
        <v>0.54375000000000007</v>
      </c>
      <c r="C297" s="7">
        <f t="shared" si="9"/>
        <v>1.736111111111116E-2</v>
      </c>
      <c r="D297" s="7">
        <f t="shared" si="10"/>
        <v>1.388888888888995E-3</v>
      </c>
      <c r="E297" s="1" t="s">
        <v>10</v>
      </c>
    </row>
    <row r="298" spans="1:5" x14ac:dyDescent="0.25">
      <c r="A298" s="7">
        <v>0.59097222222222223</v>
      </c>
      <c r="B298" s="7">
        <v>0.6069444444444444</v>
      </c>
      <c r="C298" s="7">
        <f t="shared" si="9"/>
        <v>1.5972222222222165E-2</v>
      </c>
      <c r="D298" s="7">
        <f t="shared" si="10"/>
        <v>3.4722222222223209E-3</v>
      </c>
      <c r="E298" s="1" t="s">
        <v>10</v>
      </c>
    </row>
    <row r="299" spans="1:5" x14ac:dyDescent="0.25">
      <c r="A299" s="7">
        <v>0.69652777777777775</v>
      </c>
      <c r="B299" s="7">
        <v>0.71597222222222223</v>
      </c>
      <c r="C299" s="7">
        <f t="shared" si="9"/>
        <v>1.9444444444444486E-2</v>
      </c>
      <c r="D299" s="7">
        <f t="shared" si="10"/>
        <v>2.0833333333332149E-3</v>
      </c>
      <c r="E299" s="1" t="s">
        <v>10</v>
      </c>
    </row>
    <row r="300" spans="1:5" x14ac:dyDescent="0.25">
      <c r="A300" s="7">
        <v>0.78263888888888899</v>
      </c>
      <c r="B300" s="7">
        <v>0.8041666666666667</v>
      </c>
      <c r="C300" s="7">
        <f t="shared" si="9"/>
        <v>2.1527777777777701E-2</v>
      </c>
      <c r="D300" s="7">
        <f t="shared" si="10"/>
        <v>2.7777777777777124E-3</v>
      </c>
      <c r="E300" s="1" t="s">
        <v>10</v>
      </c>
    </row>
    <row r="301" spans="1:5" x14ac:dyDescent="0.25">
      <c r="A301" s="7">
        <v>0.48333333333333334</v>
      </c>
      <c r="B301" s="7">
        <v>0.50208333333333333</v>
      </c>
      <c r="C301" s="7">
        <f t="shared" si="9"/>
        <v>1.8749999999999989E-2</v>
      </c>
      <c r="D301" s="7">
        <f t="shared" si="10"/>
        <v>6.9444444444444198E-4</v>
      </c>
      <c r="E301" s="1" t="s">
        <v>10</v>
      </c>
    </row>
    <row r="302" spans="1:5" x14ac:dyDescent="0.25">
      <c r="A302" s="7">
        <v>0.49652777777777773</v>
      </c>
      <c r="B302" s="7">
        <v>0.51597222222222217</v>
      </c>
      <c r="C302" s="7">
        <f t="shared" si="9"/>
        <v>1.9444444444444431E-2</v>
      </c>
      <c r="D302" s="7">
        <f t="shared" si="10"/>
        <v>6.2500000000000333E-3</v>
      </c>
      <c r="E302" s="1" t="s">
        <v>10</v>
      </c>
    </row>
    <row r="303" spans="1:5" x14ac:dyDescent="0.25">
      <c r="A303" s="7">
        <v>0.53749999999999998</v>
      </c>
      <c r="B303" s="7">
        <v>0.56319444444444444</v>
      </c>
      <c r="C303" s="7">
        <f t="shared" si="9"/>
        <v>2.5694444444444464E-2</v>
      </c>
      <c r="D303" s="7">
        <f t="shared" si="10"/>
        <v>5.5555555555555358E-3</v>
      </c>
      <c r="E303" s="1" t="s">
        <v>10</v>
      </c>
    </row>
    <row r="304" spans="1:5" x14ac:dyDescent="0.25">
      <c r="A304" s="7">
        <v>0.59444444444444444</v>
      </c>
      <c r="B304" s="7">
        <v>0.61458333333333337</v>
      </c>
      <c r="C304" s="7">
        <f t="shared" si="9"/>
        <v>2.0138888888888928E-2</v>
      </c>
      <c r="D304" s="7">
        <f t="shared" si="10"/>
        <v>4.1666666666667629E-3</v>
      </c>
      <c r="E304" s="1" t="s">
        <v>10</v>
      </c>
    </row>
    <row r="305" spans="1:5" x14ac:dyDescent="0.25">
      <c r="A305" s="7">
        <v>0.80486111111111114</v>
      </c>
      <c r="B305" s="7">
        <v>0.8208333333333333</v>
      </c>
      <c r="C305" s="7">
        <f t="shared" si="9"/>
        <v>1.5972222222222165E-2</v>
      </c>
      <c r="D305" s="7">
        <f t="shared" si="10"/>
        <v>6.94444444444553E-4</v>
      </c>
      <c r="E305" s="1" t="s">
        <v>10</v>
      </c>
    </row>
    <row r="306" spans="1:5" x14ac:dyDescent="0.25">
      <c r="A306" s="7">
        <v>0.84166666666666667</v>
      </c>
      <c r="B306" s="7">
        <v>0.85833333333333339</v>
      </c>
      <c r="C306" s="7">
        <f t="shared" si="9"/>
        <v>1.6666666666666718E-2</v>
      </c>
      <c r="D306" s="7">
        <f t="shared" si="10"/>
        <v>6.9444444444444198E-4</v>
      </c>
      <c r="E306" s="1" t="s">
        <v>10</v>
      </c>
    </row>
    <row r="307" spans="1:5" x14ac:dyDescent="0.25">
      <c r="A307" s="7">
        <v>0.9506944444444444</v>
      </c>
      <c r="B307" s="7">
        <v>0.96666666666666667</v>
      </c>
      <c r="C307" s="7">
        <f t="shared" si="9"/>
        <v>1.5972222222222276E-2</v>
      </c>
      <c r="D307" s="7">
        <f t="shared" si="10"/>
        <v>6.94444444444553E-4</v>
      </c>
      <c r="E307" s="1" t="s">
        <v>10</v>
      </c>
    </row>
    <row r="308" spans="1:5" x14ac:dyDescent="0.25">
      <c r="A308" s="7">
        <v>0.97499999999999998</v>
      </c>
      <c r="B308" s="7">
        <v>0.9902777777777777</v>
      </c>
      <c r="C308" s="7">
        <f t="shared" si="9"/>
        <v>1.5277777777777724E-2</v>
      </c>
      <c r="D308" s="7">
        <f t="shared" si="10"/>
        <v>2.0833333333333814E-3</v>
      </c>
      <c r="E308" s="1" t="s">
        <v>10</v>
      </c>
    </row>
    <row r="309" spans="1:5" x14ac:dyDescent="0.25">
      <c r="A309" s="7">
        <v>0.12847222222222224</v>
      </c>
      <c r="B309" s="7">
        <v>0.14583333333333334</v>
      </c>
      <c r="C309" s="7">
        <f t="shared" si="9"/>
        <v>1.7361111111111105E-2</v>
      </c>
      <c r="D309" s="7">
        <f t="shared" si="10"/>
        <v>6.9444444444449749E-4</v>
      </c>
      <c r="E309" s="1" t="s">
        <v>10</v>
      </c>
    </row>
    <row r="310" spans="1:5" x14ac:dyDescent="0.25">
      <c r="A310" s="7">
        <v>0.54097222222222219</v>
      </c>
      <c r="B310" s="7">
        <v>0.55902777777777779</v>
      </c>
      <c r="C310" s="7">
        <f t="shared" si="9"/>
        <v>1.8055555555555602E-2</v>
      </c>
      <c r="D310" s="7">
        <f t="shared" si="10"/>
        <v>1.1805555555555403E-2</v>
      </c>
      <c r="E310" s="1" t="s">
        <v>10</v>
      </c>
    </row>
    <row r="311" spans="1:5" x14ac:dyDescent="0.25">
      <c r="A311" s="7">
        <v>0.60486111111111118</v>
      </c>
      <c r="B311" s="7">
        <v>0.63472222222222219</v>
      </c>
      <c r="C311" s="7">
        <f t="shared" si="9"/>
        <v>2.9861111111111005E-2</v>
      </c>
      <c r="D311" s="7">
        <f t="shared" si="10"/>
        <v>9.7222222222220767E-3</v>
      </c>
      <c r="E311" s="1" t="s">
        <v>10</v>
      </c>
    </row>
    <row r="312" spans="1:5" x14ac:dyDescent="0.25">
      <c r="A312" s="7">
        <v>0.70347222222222217</v>
      </c>
      <c r="B312" s="7">
        <v>0.72361111111111109</v>
      </c>
      <c r="C312" s="7">
        <f t="shared" si="9"/>
        <v>2.0138888888888928E-2</v>
      </c>
      <c r="D312" s="7">
        <f t="shared" si="10"/>
        <v>0</v>
      </c>
      <c r="E312" s="1" t="s">
        <v>10</v>
      </c>
    </row>
    <row r="313" spans="1:5" x14ac:dyDescent="0.25">
      <c r="A313" s="7">
        <v>0.6694444444444444</v>
      </c>
      <c r="B313" s="7">
        <v>0.68958333333333333</v>
      </c>
      <c r="C313" s="7">
        <f t="shared" si="9"/>
        <v>2.0138888888888928E-2</v>
      </c>
      <c r="D313" s="7">
        <f t="shared" si="10"/>
        <v>3.4722222222223209E-3</v>
      </c>
      <c r="E313" s="1" t="s">
        <v>10</v>
      </c>
    </row>
    <row r="314" spans="1:5" x14ac:dyDescent="0.25">
      <c r="A314" s="7">
        <v>0.71597222222222223</v>
      </c>
      <c r="B314" s="7">
        <v>0.73263888888888884</v>
      </c>
      <c r="C314" s="7">
        <f t="shared" si="9"/>
        <v>1.6666666666666607E-2</v>
      </c>
      <c r="D314" s="7">
        <f t="shared" si="10"/>
        <v>6.2499999999999778E-3</v>
      </c>
      <c r="E314" s="1" t="s">
        <v>10</v>
      </c>
    </row>
    <row r="315" spans="1:5" x14ac:dyDescent="0.25">
      <c r="A315" s="7">
        <v>0.79583333333333339</v>
      </c>
      <c r="B315" s="7">
        <v>0.81874999999999998</v>
      </c>
      <c r="C315" s="7">
        <f t="shared" si="9"/>
        <v>2.2916666666666585E-2</v>
      </c>
      <c r="D315" s="7">
        <f t="shared" si="10"/>
        <v>6.94444444444553E-4</v>
      </c>
      <c r="E315" s="1" t="s">
        <v>10</v>
      </c>
    </row>
    <row r="316" spans="1:5" x14ac:dyDescent="0.25">
      <c r="A316" s="7">
        <v>0.79513888888888884</v>
      </c>
      <c r="B316" s="7">
        <v>0.81874999999999998</v>
      </c>
      <c r="C316" s="7">
        <f t="shared" si="9"/>
        <v>2.3611111111111138E-2</v>
      </c>
      <c r="D316" s="7">
        <f t="shared" si="10"/>
        <v>6.2499999999999778E-3</v>
      </c>
      <c r="E316" s="1" t="s">
        <v>10</v>
      </c>
    </row>
    <row r="317" spans="1:5" x14ac:dyDescent="0.25">
      <c r="A317" s="7">
        <v>0.90416666666666667</v>
      </c>
      <c r="B317" s="7">
        <v>0.92152777777777783</v>
      </c>
      <c r="C317" s="7">
        <f t="shared" si="9"/>
        <v>1.736111111111116E-2</v>
      </c>
      <c r="D317" s="7">
        <f t="shared" si="10"/>
        <v>1.3888888888887729E-3</v>
      </c>
      <c r="E317" s="1" t="s">
        <v>10</v>
      </c>
    </row>
    <row r="318" spans="1:5" x14ac:dyDescent="0.25">
      <c r="A318" s="7">
        <v>0.9604166666666667</v>
      </c>
      <c r="B318" s="7">
        <v>0.97916666666666663</v>
      </c>
      <c r="C318" s="7">
        <f t="shared" si="9"/>
        <v>1.8749999999999933E-2</v>
      </c>
      <c r="D318" s="7">
        <f t="shared" si="10"/>
        <v>6.9444444444433095E-4</v>
      </c>
      <c r="E318" s="1" t="s">
        <v>10</v>
      </c>
    </row>
    <row r="319" spans="1:5" x14ac:dyDescent="0.25">
      <c r="A319" s="7">
        <v>0.40138888888888885</v>
      </c>
      <c r="B319" s="7">
        <v>0.41944444444444445</v>
      </c>
      <c r="C319" s="7">
        <f t="shared" ref="C319:C381" si="11">B319-A319</f>
        <v>1.8055555555555602E-2</v>
      </c>
      <c r="D319" s="7">
        <f t="shared" si="10"/>
        <v>9.0277777777776902E-3</v>
      </c>
      <c r="E319" s="1" t="s">
        <v>10</v>
      </c>
    </row>
    <row r="320" spans="1:5" x14ac:dyDescent="0.25">
      <c r="A320" s="7">
        <v>0.4826388888888889</v>
      </c>
      <c r="B320" s="7">
        <v>0.50972222222222219</v>
      </c>
      <c r="C320" s="7">
        <f t="shared" si="11"/>
        <v>2.7083333333333293E-2</v>
      </c>
      <c r="D320" s="7">
        <f t="shared" si="10"/>
        <v>6.2500000000000333E-3</v>
      </c>
      <c r="E320" s="1" t="s">
        <v>10</v>
      </c>
    </row>
    <row r="321" spans="1:5" x14ac:dyDescent="0.25">
      <c r="A321" s="7">
        <v>0.66527777777777775</v>
      </c>
      <c r="B321" s="7">
        <v>0.68611111111111101</v>
      </c>
      <c r="C321" s="7">
        <f t="shared" si="11"/>
        <v>2.0833333333333259E-2</v>
      </c>
      <c r="D321" s="7">
        <f t="shared" si="10"/>
        <v>3.4722222222222099E-3</v>
      </c>
      <c r="E321" s="1" t="s">
        <v>10</v>
      </c>
    </row>
    <row r="322" spans="1:5" x14ac:dyDescent="0.25">
      <c r="A322" s="7">
        <v>0.67361111111111116</v>
      </c>
      <c r="B322" s="7">
        <v>0.69097222222222221</v>
      </c>
      <c r="C322" s="7">
        <f t="shared" si="11"/>
        <v>1.7361111111111049E-2</v>
      </c>
      <c r="D322" s="7">
        <f t="shared" si="10"/>
        <v>1.388888888888884E-3</v>
      </c>
      <c r="E322" s="1" t="s">
        <v>10</v>
      </c>
    </row>
    <row r="323" spans="1:5" x14ac:dyDescent="0.25">
      <c r="A323" s="7">
        <v>0.78194444444444444</v>
      </c>
      <c r="B323" s="7">
        <v>0.79791666666666661</v>
      </c>
      <c r="C323" s="7">
        <f t="shared" si="11"/>
        <v>1.5972222222222165E-2</v>
      </c>
      <c r="D323" s="7">
        <f t="shared" si="10"/>
        <v>6.9444444444444198E-4</v>
      </c>
      <c r="E323" s="1" t="s">
        <v>10</v>
      </c>
    </row>
    <row r="324" spans="1:5" x14ac:dyDescent="0.25">
      <c r="A324" s="7">
        <v>0.93819444444444444</v>
      </c>
      <c r="B324" s="7">
        <v>0.95347222222222217</v>
      </c>
      <c r="C324" s="7">
        <f t="shared" si="11"/>
        <v>1.5277777777777724E-2</v>
      </c>
      <c r="D324" s="7">
        <f t="shared" si="10"/>
        <v>3.4722222222222099E-3</v>
      </c>
      <c r="E324" s="1" t="s">
        <v>10</v>
      </c>
    </row>
    <row r="325" spans="1:5" x14ac:dyDescent="0.25">
      <c r="A325" s="7">
        <v>0.61597222222222225</v>
      </c>
      <c r="B325" s="7">
        <v>0.63472222222222219</v>
      </c>
      <c r="C325" s="7">
        <f t="shared" si="11"/>
        <v>1.8749999999999933E-2</v>
      </c>
      <c r="D325" s="7">
        <f t="shared" si="10"/>
        <v>1.388888888888995E-3</v>
      </c>
      <c r="E325" s="1" t="s">
        <v>10</v>
      </c>
    </row>
    <row r="326" spans="1:5" x14ac:dyDescent="0.25">
      <c r="A326" s="7">
        <v>0.74444444444444446</v>
      </c>
      <c r="B326" s="7">
        <v>0.76458333333333339</v>
      </c>
      <c r="C326" s="7">
        <f t="shared" si="11"/>
        <v>2.0138888888888928E-2</v>
      </c>
      <c r="D326" s="7">
        <f t="shared" si="10"/>
        <v>6.9444444444444198E-4</v>
      </c>
      <c r="E326" s="1" t="s">
        <v>10</v>
      </c>
    </row>
    <row r="327" spans="1:5" x14ac:dyDescent="0.25">
      <c r="A327" s="7">
        <v>0.96180555555555547</v>
      </c>
      <c r="B327" s="7">
        <v>0.98263888888888884</v>
      </c>
      <c r="C327" s="7">
        <f t="shared" si="11"/>
        <v>2.083333333333337E-2</v>
      </c>
      <c r="D327" s="7">
        <f t="shared" si="10"/>
        <v>2.7777777777778234E-3</v>
      </c>
      <c r="E327" s="1" t="s">
        <v>10</v>
      </c>
    </row>
    <row r="328" spans="1:5" x14ac:dyDescent="0.25">
      <c r="A328" s="7">
        <v>0.33124999999999999</v>
      </c>
      <c r="B328" s="7">
        <v>0.34930555555555554</v>
      </c>
      <c r="C328" s="7">
        <f t="shared" si="11"/>
        <v>1.8055555555555547E-2</v>
      </c>
      <c r="D328" s="7">
        <f t="shared" si="10"/>
        <v>5.5555555555555358E-3</v>
      </c>
      <c r="E328" s="1" t="s">
        <v>10</v>
      </c>
    </row>
    <row r="329" spans="1:5" x14ac:dyDescent="0.25">
      <c r="A329" s="7">
        <v>0.4069444444444445</v>
      </c>
      <c r="B329" s="7">
        <v>0.43055555555555558</v>
      </c>
      <c r="C329" s="7">
        <f t="shared" si="11"/>
        <v>2.3611111111111083E-2</v>
      </c>
      <c r="D329" s="7">
        <f t="shared" si="10"/>
        <v>8.3333333333333037E-3</v>
      </c>
      <c r="E329" s="1" t="s">
        <v>10</v>
      </c>
    </row>
    <row r="330" spans="1:5" x14ac:dyDescent="0.25">
      <c r="A330" s="7">
        <v>0.47152777777777777</v>
      </c>
      <c r="B330" s="7">
        <v>0.48680555555555555</v>
      </c>
      <c r="C330" s="7">
        <f t="shared" si="11"/>
        <v>1.5277777777777779E-2</v>
      </c>
      <c r="D330" s="7">
        <f t="shared" si="10"/>
        <v>2.7777777777777679E-3</v>
      </c>
      <c r="E330" s="1" t="s">
        <v>10</v>
      </c>
    </row>
    <row r="331" spans="1:5" x14ac:dyDescent="0.25">
      <c r="A331" s="7">
        <v>0.48888888888888887</v>
      </c>
      <c r="B331" s="7">
        <v>0.50694444444444442</v>
      </c>
      <c r="C331" s="7">
        <f t="shared" si="11"/>
        <v>1.8055555555555547E-2</v>
      </c>
      <c r="D331" s="7">
        <f t="shared" si="10"/>
        <v>4.1666666666666519E-3</v>
      </c>
      <c r="E331" s="1" t="s">
        <v>10</v>
      </c>
    </row>
    <row r="332" spans="1:5" x14ac:dyDescent="0.25">
      <c r="A332" s="7">
        <v>0.48472222222222222</v>
      </c>
      <c r="B332" s="7">
        <v>0.50694444444444442</v>
      </c>
      <c r="C332" s="7">
        <f t="shared" si="11"/>
        <v>2.2222222222222199E-2</v>
      </c>
      <c r="D332" s="7">
        <f t="shared" si="10"/>
        <v>5.5555555555555913E-3</v>
      </c>
      <c r="E332" s="1" t="s">
        <v>10</v>
      </c>
    </row>
    <row r="333" spans="1:5" x14ac:dyDescent="0.25">
      <c r="A333" s="7">
        <v>0.60486111111111118</v>
      </c>
      <c r="B333" s="7">
        <v>0.62152777777777779</v>
      </c>
      <c r="C333" s="7">
        <f t="shared" si="11"/>
        <v>1.6666666666666607E-2</v>
      </c>
      <c r="D333" s="7">
        <f t="shared" si="10"/>
        <v>1.388888888888995E-3</v>
      </c>
      <c r="E333" s="1" t="s">
        <v>10</v>
      </c>
    </row>
    <row r="334" spans="1:5" x14ac:dyDescent="0.25">
      <c r="A334" s="7">
        <v>0.67361111111111116</v>
      </c>
      <c r="B334" s="7">
        <v>0.69166666666666676</v>
      </c>
      <c r="C334" s="7">
        <f t="shared" si="11"/>
        <v>1.8055555555555602E-2</v>
      </c>
      <c r="D334" s="7">
        <f t="shared" si="10"/>
        <v>6.9444444444466402E-4</v>
      </c>
      <c r="E334" s="1" t="s">
        <v>10</v>
      </c>
    </row>
    <row r="335" spans="1:5" x14ac:dyDescent="0.25">
      <c r="A335" s="7">
        <v>0.75138888888888899</v>
      </c>
      <c r="B335" s="7">
        <v>0.76874999999999993</v>
      </c>
      <c r="C335" s="7">
        <f t="shared" si="11"/>
        <v>1.7361111111110938E-2</v>
      </c>
      <c r="D335" s="7">
        <f t="shared" si="10"/>
        <v>2.0833333333331039E-3</v>
      </c>
      <c r="E335" s="1" t="s">
        <v>10</v>
      </c>
    </row>
    <row r="336" spans="1:5" x14ac:dyDescent="0.25">
      <c r="A336" s="7">
        <v>0.8354166666666667</v>
      </c>
      <c r="B336" s="7">
        <v>0.85069444444444453</v>
      </c>
      <c r="C336" s="7">
        <f t="shared" si="11"/>
        <v>1.5277777777777835E-2</v>
      </c>
      <c r="D336" s="7">
        <f t="shared" si="10"/>
        <v>1.388888888888884E-3</v>
      </c>
      <c r="E336" s="1" t="s">
        <v>10</v>
      </c>
    </row>
    <row r="337" spans="1:5" x14ac:dyDescent="0.25">
      <c r="A337" s="7">
        <v>0.81874999999999998</v>
      </c>
      <c r="B337" s="7">
        <v>0.8354166666666667</v>
      </c>
      <c r="C337" s="7">
        <f t="shared" si="11"/>
        <v>1.6666666666666718E-2</v>
      </c>
      <c r="D337" s="7">
        <f t="shared" si="10"/>
        <v>2.7777777777777679E-3</v>
      </c>
      <c r="E337" s="1" t="s">
        <v>10</v>
      </c>
    </row>
    <row r="338" spans="1:5" x14ac:dyDescent="0.25">
      <c r="A338" s="7">
        <v>0.82361111111111107</v>
      </c>
      <c r="B338" s="7">
        <v>0.84305555555555556</v>
      </c>
      <c r="C338" s="7">
        <f t="shared" si="11"/>
        <v>1.9444444444444486E-2</v>
      </c>
      <c r="D338" s="7">
        <f t="shared" si="10"/>
        <v>1.388888888888884E-3</v>
      </c>
      <c r="E338" s="1" t="s">
        <v>10</v>
      </c>
    </row>
    <row r="339" spans="1:5" x14ac:dyDescent="0.25">
      <c r="A339" s="7">
        <v>0.86249999999999993</v>
      </c>
      <c r="B339" s="7">
        <v>0.88055555555555554</v>
      </c>
      <c r="C339" s="7">
        <f t="shared" si="11"/>
        <v>1.8055555555555602E-2</v>
      </c>
      <c r="D339" s="7">
        <f t="shared" si="10"/>
        <v>1.388888888888995E-3</v>
      </c>
      <c r="E339" s="1" t="s">
        <v>10</v>
      </c>
    </row>
    <row r="340" spans="1:5" x14ac:dyDescent="0.25">
      <c r="A340" s="7">
        <v>0.5229166666666667</v>
      </c>
      <c r="B340" s="7">
        <v>0.5395833333333333</v>
      </c>
      <c r="C340" s="7">
        <f t="shared" si="11"/>
        <v>1.6666666666666607E-2</v>
      </c>
      <c r="D340" s="7">
        <f t="shared" si="10"/>
        <v>2.7777777777778789E-3</v>
      </c>
      <c r="E340" s="1" t="s">
        <v>10</v>
      </c>
    </row>
    <row r="341" spans="1:5" x14ac:dyDescent="0.25">
      <c r="A341" s="7">
        <v>0.52986111111111112</v>
      </c>
      <c r="B341" s="7">
        <v>0.5493055555555556</v>
      </c>
      <c r="C341" s="7">
        <f t="shared" si="11"/>
        <v>1.9444444444444486E-2</v>
      </c>
      <c r="D341" s="7">
        <f t="shared" si="10"/>
        <v>3.4722222222223209E-3</v>
      </c>
      <c r="E341" s="1" t="s">
        <v>10</v>
      </c>
    </row>
    <row r="342" spans="1:5" x14ac:dyDescent="0.25">
      <c r="A342" s="7">
        <v>0.87013888888888891</v>
      </c>
      <c r="B342" s="7">
        <v>0.88611111111111107</v>
      </c>
      <c r="C342" s="7">
        <f t="shared" si="11"/>
        <v>1.5972222222222165E-2</v>
      </c>
      <c r="D342" s="7">
        <f t="shared" si="10"/>
        <v>1.388888888888884E-3</v>
      </c>
      <c r="E342" s="1" t="s">
        <v>10</v>
      </c>
    </row>
    <row r="343" spans="1:5" x14ac:dyDescent="0.25">
      <c r="A343" s="7">
        <v>0.98333333333333339</v>
      </c>
      <c r="B343" s="7">
        <v>0.99791666666666667</v>
      </c>
      <c r="C343" s="7">
        <f t="shared" si="11"/>
        <v>1.4583333333333282E-2</v>
      </c>
      <c r="D343" s="7">
        <f t="shared" si="10"/>
        <v>4.1666666666665964E-3</v>
      </c>
      <c r="E343" s="1" t="s">
        <v>10</v>
      </c>
    </row>
    <row r="344" spans="1:5" x14ac:dyDescent="0.25">
      <c r="A344" s="7">
        <v>0.4770833333333333</v>
      </c>
      <c r="B344" s="7">
        <v>0.48749999999999999</v>
      </c>
      <c r="C344" s="7">
        <f t="shared" si="11"/>
        <v>1.0416666666666685E-2</v>
      </c>
      <c r="D344" s="7">
        <f t="shared" si="10"/>
        <v>7.6388888888888062E-3</v>
      </c>
      <c r="E344" s="1" t="s">
        <v>10</v>
      </c>
    </row>
    <row r="345" spans="1:5" x14ac:dyDescent="0.25">
      <c r="A345" s="7">
        <v>0.77083333333333337</v>
      </c>
      <c r="B345" s="7">
        <v>0.78888888888888886</v>
      </c>
      <c r="C345" s="7">
        <f t="shared" si="11"/>
        <v>1.8055555555555491E-2</v>
      </c>
      <c r="D345" s="7">
        <f t="shared" si="10"/>
        <v>1.3888888888889464E-3</v>
      </c>
      <c r="E345" s="1" t="s">
        <v>10</v>
      </c>
    </row>
    <row r="346" spans="1:5" x14ac:dyDescent="0.25">
      <c r="A346" s="7">
        <v>4.4444444444444446E-2</v>
      </c>
      <c r="B346" s="7">
        <v>6.3888888888888884E-2</v>
      </c>
      <c r="C346" s="7">
        <f t="shared" si="11"/>
        <v>1.9444444444444438E-2</v>
      </c>
      <c r="D346" s="7">
        <f t="shared" si="10"/>
        <v>2.0833333333333745E-3</v>
      </c>
      <c r="E346" s="1" t="s">
        <v>10</v>
      </c>
    </row>
    <row r="347" spans="1:5" x14ac:dyDescent="0.25">
      <c r="A347" s="7">
        <v>0.36736111111111108</v>
      </c>
      <c r="B347" s="7">
        <v>0.3888888888888889</v>
      </c>
      <c r="C347" s="7">
        <f t="shared" si="11"/>
        <v>2.1527777777777812E-2</v>
      </c>
      <c r="D347" s="7">
        <f t="shared" si="10"/>
        <v>2.0833333333332704E-3</v>
      </c>
      <c r="E347" s="1" t="s">
        <v>10</v>
      </c>
    </row>
    <row r="348" spans="1:5" x14ac:dyDescent="0.25">
      <c r="A348" s="7">
        <v>0.3756944444444445</v>
      </c>
      <c r="B348" s="7">
        <v>0.39930555555555558</v>
      </c>
      <c r="C348" s="7">
        <f t="shared" si="11"/>
        <v>2.3611111111111083E-2</v>
      </c>
      <c r="D348" s="7">
        <f t="shared" si="10"/>
        <v>3.4722222222222099E-3</v>
      </c>
      <c r="E348" s="1" t="s">
        <v>10</v>
      </c>
    </row>
    <row r="349" spans="1:5" x14ac:dyDescent="0.25">
      <c r="A349" s="7">
        <v>0.4604166666666667</v>
      </c>
      <c r="B349" s="7">
        <v>0.48055555555555557</v>
      </c>
      <c r="C349" s="7">
        <f t="shared" si="11"/>
        <v>2.0138888888888873E-2</v>
      </c>
      <c r="D349" s="7">
        <f t="shared" si="10"/>
        <v>2.7777777777777124E-3</v>
      </c>
      <c r="E349" s="1" t="s">
        <v>10</v>
      </c>
    </row>
    <row r="350" spans="1:5" x14ac:dyDescent="0.25">
      <c r="A350" s="7">
        <v>0.58263888888888882</v>
      </c>
      <c r="B350" s="7">
        <v>0.6</v>
      </c>
      <c r="C350" s="7">
        <f t="shared" si="11"/>
        <v>1.736111111111116E-2</v>
      </c>
      <c r="D350" s="7">
        <f t="shared" si="10"/>
        <v>1.1102230246251565E-16</v>
      </c>
      <c r="E350" s="1" t="s">
        <v>10</v>
      </c>
    </row>
    <row r="351" spans="1:5" x14ac:dyDescent="0.25">
      <c r="A351" s="7">
        <v>0.66805555555555562</v>
      </c>
      <c r="B351" s="7">
        <v>0.68541666666666667</v>
      </c>
      <c r="C351" s="7">
        <f t="shared" si="11"/>
        <v>1.7361111111111049E-2</v>
      </c>
      <c r="D351" s="7">
        <f t="shared" si="10"/>
        <v>2.083333333333437E-3</v>
      </c>
      <c r="E351" s="1" t="s">
        <v>10</v>
      </c>
    </row>
    <row r="352" spans="1:5" x14ac:dyDescent="0.25">
      <c r="A352" s="7">
        <v>0.75902777777777775</v>
      </c>
      <c r="B352" s="7">
        <v>0.77847222222222223</v>
      </c>
      <c r="C352" s="7">
        <f t="shared" si="11"/>
        <v>1.9444444444444486E-2</v>
      </c>
      <c r="D352" s="7">
        <f t="shared" si="10"/>
        <v>3.4722222222223209E-3</v>
      </c>
      <c r="E352" s="1" t="s">
        <v>10</v>
      </c>
    </row>
    <row r="353" spans="1:5" x14ac:dyDescent="0.25">
      <c r="A353" s="7">
        <v>0.77638888888888891</v>
      </c>
      <c r="B353" s="7">
        <v>0.79236111111111107</v>
      </c>
      <c r="C353" s="7">
        <f t="shared" si="11"/>
        <v>1.5972222222222165E-2</v>
      </c>
      <c r="D353" s="7">
        <f t="shared" ref="D353:D416" si="12">ABS(C354-C353)</f>
        <v>5.5555555555555358E-3</v>
      </c>
      <c r="E353" s="1" t="s">
        <v>10</v>
      </c>
    </row>
    <row r="354" spans="1:5" x14ac:dyDescent="0.25">
      <c r="A354" s="7">
        <v>0.86736111111111114</v>
      </c>
      <c r="B354" s="7">
        <v>0.88888888888888884</v>
      </c>
      <c r="C354" s="7">
        <f t="shared" si="11"/>
        <v>2.1527777777777701E-2</v>
      </c>
      <c r="D354" s="7">
        <f t="shared" si="12"/>
        <v>6.9444444444443088E-3</v>
      </c>
      <c r="E354" s="1" t="s">
        <v>10</v>
      </c>
    </row>
    <row r="355" spans="1:5" x14ac:dyDescent="0.25">
      <c r="A355" s="7">
        <v>0.88888888888888884</v>
      </c>
      <c r="B355" s="7">
        <v>0.90347222222222223</v>
      </c>
      <c r="C355" s="7">
        <f t="shared" si="11"/>
        <v>1.4583333333333393E-2</v>
      </c>
      <c r="D355" s="7">
        <f t="shared" si="12"/>
        <v>1.5277777777777724E-2</v>
      </c>
      <c r="E355" s="1" t="s">
        <v>10</v>
      </c>
    </row>
    <row r="356" spans="1:5" x14ac:dyDescent="0.25">
      <c r="A356" s="7">
        <v>0.11041666666666666</v>
      </c>
      <c r="B356" s="7">
        <v>0.14027777777777778</v>
      </c>
      <c r="C356" s="7">
        <f t="shared" si="11"/>
        <v>2.9861111111111116E-2</v>
      </c>
      <c r="D356" s="7">
        <f t="shared" si="12"/>
        <v>1.8749999999999989E-2</v>
      </c>
      <c r="E356" s="1" t="s">
        <v>10</v>
      </c>
    </row>
    <row r="357" spans="1:5" x14ac:dyDescent="0.25">
      <c r="A357" s="7">
        <v>0.34652777777777777</v>
      </c>
      <c r="B357" s="7">
        <v>0.3576388888888889</v>
      </c>
      <c r="C357" s="7">
        <f t="shared" si="11"/>
        <v>1.1111111111111127E-2</v>
      </c>
      <c r="D357" s="7">
        <f t="shared" si="12"/>
        <v>9.7222222222221877E-3</v>
      </c>
      <c r="E357" s="1" t="s">
        <v>10</v>
      </c>
    </row>
    <row r="358" spans="1:5" x14ac:dyDescent="0.25">
      <c r="A358" s="7">
        <v>0.42777777777777781</v>
      </c>
      <c r="B358" s="7">
        <v>0.44861111111111113</v>
      </c>
      <c r="C358" s="7">
        <f t="shared" si="11"/>
        <v>2.0833333333333315E-2</v>
      </c>
      <c r="D358" s="7">
        <f t="shared" si="12"/>
        <v>4.8611111111110383E-3</v>
      </c>
      <c r="E358" s="1" t="s">
        <v>10</v>
      </c>
    </row>
    <row r="359" spans="1:5" x14ac:dyDescent="0.25">
      <c r="A359" s="7">
        <v>0.54722222222222217</v>
      </c>
      <c r="B359" s="7">
        <v>0.56319444444444444</v>
      </c>
      <c r="C359" s="7">
        <f t="shared" si="11"/>
        <v>1.5972222222222276E-2</v>
      </c>
      <c r="D359" s="7">
        <f t="shared" si="12"/>
        <v>1.1102230246251565E-16</v>
      </c>
      <c r="E359" s="1" t="s">
        <v>10</v>
      </c>
    </row>
    <row r="360" spans="1:5" x14ac:dyDescent="0.25">
      <c r="A360" s="7">
        <v>0.65</v>
      </c>
      <c r="B360" s="7">
        <v>0.66597222222222219</v>
      </c>
      <c r="C360" s="7">
        <f t="shared" si="11"/>
        <v>1.5972222222222165E-2</v>
      </c>
      <c r="D360" s="7">
        <f t="shared" si="12"/>
        <v>1.388888888888995E-3</v>
      </c>
      <c r="E360" s="1" t="s">
        <v>10</v>
      </c>
    </row>
    <row r="361" spans="1:5" x14ac:dyDescent="0.25">
      <c r="A361" s="7">
        <v>0.71111111111111114</v>
      </c>
      <c r="B361" s="7">
        <v>0.7284722222222223</v>
      </c>
      <c r="C361" s="7">
        <f t="shared" si="11"/>
        <v>1.736111111111116E-2</v>
      </c>
      <c r="D361" s="7">
        <f t="shared" si="12"/>
        <v>1.388888888888884E-3</v>
      </c>
      <c r="E361" s="1" t="s">
        <v>10</v>
      </c>
    </row>
    <row r="362" spans="1:5" x14ac:dyDescent="0.25">
      <c r="A362" s="7">
        <v>0.81458333333333333</v>
      </c>
      <c r="B362" s="7">
        <v>0.8305555555555556</v>
      </c>
      <c r="C362" s="7">
        <f t="shared" si="11"/>
        <v>1.5972222222222276E-2</v>
      </c>
      <c r="D362" s="7">
        <f t="shared" si="12"/>
        <v>1.5277777777777724E-2</v>
      </c>
      <c r="E362" s="1" t="s">
        <v>10</v>
      </c>
    </row>
    <row r="363" spans="1:5" x14ac:dyDescent="0.25">
      <c r="A363" s="7">
        <v>0.90972222222222221</v>
      </c>
      <c r="B363" s="7">
        <v>0.94097222222222221</v>
      </c>
      <c r="C363" s="7">
        <f t="shared" si="11"/>
        <v>3.125E-2</v>
      </c>
      <c r="D363" s="7">
        <f t="shared" si="12"/>
        <v>1.5277777777777779E-2</v>
      </c>
      <c r="E363" s="1" t="s">
        <v>10</v>
      </c>
    </row>
    <row r="364" spans="1:5" x14ac:dyDescent="0.25">
      <c r="A364" s="7">
        <v>7.9861111111111105E-2</v>
      </c>
      <c r="B364" s="7">
        <v>9.5833333333333326E-2</v>
      </c>
      <c r="C364" s="7">
        <f t="shared" si="11"/>
        <v>1.5972222222222221E-2</v>
      </c>
      <c r="D364" s="7">
        <f t="shared" si="12"/>
        <v>1.388888888888884E-3</v>
      </c>
      <c r="E364" s="1" t="s">
        <v>10</v>
      </c>
    </row>
    <row r="365" spans="1:5" x14ac:dyDescent="0.25">
      <c r="A365" s="7">
        <v>0.14583333333333334</v>
      </c>
      <c r="B365" s="7">
        <v>0.16041666666666668</v>
      </c>
      <c r="C365" s="7">
        <f t="shared" si="11"/>
        <v>1.4583333333333337E-2</v>
      </c>
      <c r="D365" s="7">
        <f t="shared" si="12"/>
        <v>4.8611111111110383E-3</v>
      </c>
      <c r="E365" s="1" t="s">
        <v>10</v>
      </c>
    </row>
    <row r="366" spans="1:5" x14ac:dyDescent="0.25">
      <c r="A366" s="7">
        <v>0.55208333333333337</v>
      </c>
      <c r="B366" s="7">
        <v>0.57152777777777775</v>
      </c>
      <c r="C366" s="7">
        <f t="shared" si="11"/>
        <v>1.9444444444444375E-2</v>
      </c>
      <c r="D366" s="7">
        <f t="shared" si="12"/>
        <v>1.3888888888887729E-3</v>
      </c>
      <c r="E366" s="1" t="s">
        <v>10</v>
      </c>
    </row>
    <row r="367" spans="1:5" x14ac:dyDescent="0.25">
      <c r="A367" s="7">
        <v>0.57847222222222217</v>
      </c>
      <c r="B367" s="7">
        <v>0.59652777777777777</v>
      </c>
      <c r="C367" s="7">
        <f t="shared" si="11"/>
        <v>1.8055555555555602E-2</v>
      </c>
      <c r="D367" s="7">
        <f t="shared" si="12"/>
        <v>3.4722222222222099E-3</v>
      </c>
      <c r="E367" s="1" t="s">
        <v>10</v>
      </c>
    </row>
    <row r="368" spans="1:5" x14ac:dyDescent="0.25">
      <c r="A368" s="7">
        <v>0.66597222222222219</v>
      </c>
      <c r="B368" s="7">
        <v>0.6875</v>
      </c>
      <c r="C368" s="7">
        <f t="shared" si="11"/>
        <v>2.1527777777777812E-2</v>
      </c>
      <c r="D368" s="7">
        <f t="shared" si="12"/>
        <v>6.2500000000001998E-3</v>
      </c>
      <c r="E368" s="1" t="s">
        <v>10</v>
      </c>
    </row>
    <row r="369" spans="1:5" x14ac:dyDescent="0.25">
      <c r="A369" s="7">
        <v>0.90763888888888899</v>
      </c>
      <c r="B369" s="7">
        <v>0.92291666666666661</v>
      </c>
      <c r="C369" s="7">
        <f t="shared" si="11"/>
        <v>1.5277777777777612E-2</v>
      </c>
      <c r="D369" s="7">
        <f t="shared" si="12"/>
        <v>1.3888888888887729E-3</v>
      </c>
      <c r="E369" s="1" t="s">
        <v>10</v>
      </c>
    </row>
    <row r="370" spans="1:5" x14ac:dyDescent="0.25">
      <c r="A370" s="7">
        <v>1.0180555555555555</v>
      </c>
      <c r="B370" s="7">
        <v>1.0319444444444443</v>
      </c>
      <c r="C370" s="7">
        <f t="shared" si="11"/>
        <v>1.388888888888884E-2</v>
      </c>
      <c r="D370" s="7">
        <f t="shared" si="12"/>
        <v>2.7777777777778234E-3</v>
      </c>
      <c r="E370" s="1" t="s">
        <v>10</v>
      </c>
    </row>
    <row r="371" spans="1:5" x14ac:dyDescent="0.25">
      <c r="A371" s="7">
        <v>0.13125000000000001</v>
      </c>
      <c r="B371" s="7">
        <v>0.14791666666666667</v>
      </c>
      <c r="C371" s="7">
        <f t="shared" si="11"/>
        <v>1.6666666666666663E-2</v>
      </c>
      <c r="D371" s="7">
        <f t="shared" si="12"/>
        <v>6.9444444444444198E-4</v>
      </c>
      <c r="E371" s="1" t="s">
        <v>10</v>
      </c>
    </row>
    <row r="372" spans="1:5" x14ac:dyDescent="0.25">
      <c r="A372" s="7">
        <v>0.39305555555555555</v>
      </c>
      <c r="B372" s="7">
        <v>0.40902777777777777</v>
      </c>
      <c r="C372" s="7">
        <f t="shared" si="11"/>
        <v>1.5972222222222221E-2</v>
      </c>
      <c r="D372" s="7">
        <f t="shared" si="12"/>
        <v>8.3333333333334703E-3</v>
      </c>
      <c r="E372" s="1" t="s">
        <v>10</v>
      </c>
    </row>
    <row r="373" spans="1:5" x14ac:dyDescent="0.25">
      <c r="A373" s="7">
        <v>0.54236111111111118</v>
      </c>
      <c r="B373" s="7">
        <v>0.54999999999999993</v>
      </c>
      <c r="C373" s="7">
        <f t="shared" si="11"/>
        <v>7.6388888888887507E-3</v>
      </c>
      <c r="D373" s="7">
        <f t="shared" si="12"/>
        <v>2.3611111111111249E-2</v>
      </c>
      <c r="E373" s="1" t="s">
        <v>10</v>
      </c>
    </row>
    <row r="374" spans="1:5" x14ac:dyDescent="0.25">
      <c r="A374" s="7">
        <v>0.66388888888888886</v>
      </c>
      <c r="B374" s="7">
        <v>0.69513888888888886</v>
      </c>
      <c r="C374" s="7">
        <f t="shared" si="11"/>
        <v>3.125E-2</v>
      </c>
      <c r="D374" s="7">
        <f t="shared" si="12"/>
        <v>1.5277777777777724E-2</v>
      </c>
      <c r="E374" s="1" t="s">
        <v>10</v>
      </c>
    </row>
    <row r="375" spans="1:5" x14ac:dyDescent="0.25">
      <c r="A375" s="7">
        <v>0.72777777777777775</v>
      </c>
      <c r="B375" s="7">
        <v>0.74375000000000002</v>
      </c>
      <c r="C375" s="7">
        <f t="shared" si="11"/>
        <v>1.5972222222222276E-2</v>
      </c>
      <c r="D375" s="7">
        <f t="shared" si="12"/>
        <v>6.9444444444444198E-4</v>
      </c>
      <c r="E375" s="1" t="s">
        <v>10</v>
      </c>
    </row>
    <row r="376" spans="1:5" x14ac:dyDescent="0.25">
      <c r="A376" s="7">
        <v>0.75486111111111109</v>
      </c>
      <c r="B376" s="7">
        <v>0.77013888888888893</v>
      </c>
      <c r="C376" s="7">
        <f t="shared" si="11"/>
        <v>1.5277777777777835E-2</v>
      </c>
      <c r="D376" s="7">
        <f t="shared" si="12"/>
        <v>2.083333333333437E-3</v>
      </c>
      <c r="E376" s="1" t="s">
        <v>10</v>
      </c>
    </row>
    <row r="377" spans="1:5" x14ac:dyDescent="0.25">
      <c r="A377" s="7">
        <v>0.88888888888888884</v>
      </c>
      <c r="B377" s="7">
        <v>0.90208333333333324</v>
      </c>
      <c r="C377" s="7">
        <f t="shared" si="11"/>
        <v>1.3194444444444398E-2</v>
      </c>
      <c r="D377" s="7">
        <f t="shared" si="12"/>
        <v>3.4722222222222654E-3</v>
      </c>
      <c r="E377" s="1" t="s">
        <v>10</v>
      </c>
    </row>
    <row r="378" spans="1:5" x14ac:dyDescent="0.25">
      <c r="A378" s="7">
        <v>0.10069444444444443</v>
      </c>
      <c r="B378" s="7">
        <v>0.1173611111111111</v>
      </c>
      <c r="C378" s="7">
        <f t="shared" si="11"/>
        <v>1.6666666666666663E-2</v>
      </c>
      <c r="D378" s="7">
        <f t="shared" si="12"/>
        <v>2.0833333333332704E-3</v>
      </c>
      <c r="E378" s="1" t="s">
        <v>10</v>
      </c>
    </row>
    <row r="379" spans="1:5" x14ac:dyDescent="0.25">
      <c r="A379" s="7">
        <v>0.57291666666666663</v>
      </c>
      <c r="B379" s="7">
        <v>0.58750000000000002</v>
      </c>
      <c r="C379" s="7">
        <f t="shared" si="11"/>
        <v>1.4583333333333393E-2</v>
      </c>
      <c r="D379" s="7">
        <f t="shared" si="12"/>
        <v>0</v>
      </c>
      <c r="E379" s="1" t="s">
        <v>10</v>
      </c>
    </row>
    <row r="380" spans="1:5" x14ac:dyDescent="0.25">
      <c r="A380" s="7">
        <v>0.82152777777777775</v>
      </c>
      <c r="B380" s="7">
        <v>0.83611111111111114</v>
      </c>
      <c r="C380" s="7">
        <f t="shared" si="11"/>
        <v>1.4583333333333393E-2</v>
      </c>
      <c r="D380" s="7">
        <f t="shared" si="12"/>
        <v>2.083333333333437E-3</v>
      </c>
      <c r="E380" s="1" t="s">
        <v>10</v>
      </c>
    </row>
    <row r="381" spans="1:5" x14ac:dyDescent="0.25">
      <c r="A381" s="7">
        <v>0.95972222222222225</v>
      </c>
      <c r="B381" s="7">
        <v>0.97222222222222221</v>
      </c>
      <c r="C381" s="7">
        <f t="shared" si="11"/>
        <v>1.2499999999999956E-2</v>
      </c>
      <c r="D381" s="7">
        <f t="shared" si="12"/>
        <v>4.1666666666667074E-3</v>
      </c>
      <c r="E381" s="1" t="s">
        <v>10</v>
      </c>
    </row>
    <row r="382" spans="1:5" x14ac:dyDescent="0.25">
      <c r="A382" s="7">
        <v>4.1666666666666664E-2</v>
      </c>
      <c r="B382" s="7">
        <v>5.8333333333333327E-2</v>
      </c>
      <c r="C382" s="7">
        <f t="shared" ref="C382:C443" si="13">B382-A382</f>
        <v>1.6666666666666663E-2</v>
      </c>
      <c r="D382" s="7">
        <f t="shared" si="12"/>
        <v>6.9444444444444198E-4</v>
      </c>
      <c r="E382" s="1" t="s">
        <v>10</v>
      </c>
    </row>
    <row r="383" spans="1:5" x14ac:dyDescent="0.25">
      <c r="A383" s="7">
        <v>0.45416666666666666</v>
      </c>
      <c r="B383" s="7">
        <v>0.47152777777777777</v>
      </c>
      <c r="C383" s="7">
        <f t="shared" si="13"/>
        <v>1.7361111111111105E-2</v>
      </c>
      <c r="D383" s="7">
        <f t="shared" si="12"/>
        <v>3.4722222222222654E-3</v>
      </c>
      <c r="E383" s="1" t="s">
        <v>10</v>
      </c>
    </row>
    <row r="384" spans="1:5" x14ac:dyDescent="0.25">
      <c r="A384" s="7">
        <v>0.59236111111111112</v>
      </c>
      <c r="B384" s="7">
        <v>0.61319444444444449</v>
      </c>
      <c r="C384" s="7">
        <f t="shared" si="13"/>
        <v>2.083333333333337E-2</v>
      </c>
      <c r="D384" s="7">
        <f t="shared" si="12"/>
        <v>4.8611111111112049E-3</v>
      </c>
      <c r="E384" s="1" t="s">
        <v>10</v>
      </c>
    </row>
    <row r="385" spans="1:5" x14ac:dyDescent="0.25">
      <c r="A385" s="7">
        <v>0.95000000000000007</v>
      </c>
      <c r="B385" s="7">
        <v>0.96597222222222223</v>
      </c>
      <c r="C385" s="7">
        <f t="shared" si="13"/>
        <v>1.5972222222222165E-2</v>
      </c>
      <c r="D385" s="7">
        <f t="shared" si="12"/>
        <v>2.2222222222222143E-2</v>
      </c>
      <c r="E385" s="1" t="s">
        <v>10</v>
      </c>
    </row>
    <row r="386" spans="1:5" x14ac:dyDescent="0.25">
      <c r="A386" s="7">
        <v>0.99930555555555556</v>
      </c>
      <c r="B386" s="7">
        <v>1.0374999999999999</v>
      </c>
      <c r="C386" s="7">
        <f t="shared" si="13"/>
        <v>3.8194444444444309E-2</v>
      </c>
      <c r="D386" s="7">
        <f t="shared" si="12"/>
        <v>2.0833333333333148E-2</v>
      </c>
      <c r="E386" s="1" t="s">
        <v>10</v>
      </c>
    </row>
    <row r="387" spans="1:5" x14ac:dyDescent="0.25">
      <c r="A387" s="7">
        <v>0.35972222222222222</v>
      </c>
      <c r="B387" s="7">
        <v>0.37708333333333338</v>
      </c>
      <c r="C387" s="7">
        <f t="shared" si="13"/>
        <v>1.736111111111116E-2</v>
      </c>
      <c r="D387" s="7">
        <f t="shared" si="12"/>
        <v>2.7777777777778789E-3</v>
      </c>
      <c r="E387" s="1" t="s">
        <v>10</v>
      </c>
    </row>
    <row r="388" spans="1:5" x14ac:dyDescent="0.25">
      <c r="A388" s="7">
        <v>0.38541666666666669</v>
      </c>
      <c r="B388" s="7">
        <v>0.39999999999999997</v>
      </c>
      <c r="C388" s="7">
        <f t="shared" si="13"/>
        <v>1.4583333333333282E-2</v>
      </c>
      <c r="D388" s="7">
        <f t="shared" si="12"/>
        <v>1.1102230246251565E-16</v>
      </c>
      <c r="E388" s="1" t="s">
        <v>10</v>
      </c>
    </row>
    <row r="389" spans="1:5" x14ac:dyDescent="0.25">
      <c r="A389" s="7">
        <v>0.56180555555555556</v>
      </c>
      <c r="B389" s="7">
        <v>0.57638888888888895</v>
      </c>
      <c r="C389" s="7">
        <f t="shared" si="13"/>
        <v>1.4583333333333393E-2</v>
      </c>
      <c r="D389" s="7">
        <f t="shared" si="12"/>
        <v>2.7777777777777679E-3</v>
      </c>
      <c r="E389" s="1" t="s">
        <v>10</v>
      </c>
    </row>
    <row r="390" spans="1:5" x14ac:dyDescent="0.25">
      <c r="A390" s="7">
        <v>0.7402777777777777</v>
      </c>
      <c r="B390" s="7">
        <v>0.75763888888888886</v>
      </c>
      <c r="C390" s="7">
        <f t="shared" si="13"/>
        <v>1.736111111111116E-2</v>
      </c>
      <c r="D390" s="7">
        <f t="shared" si="12"/>
        <v>2.0833333333333259E-3</v>
      </c>
      <c r="E390" s="1" t="s">
        <v>10</v>
      </c>
    </row>
    <row r="391" spans="1:5" x14ac:dyDescent="0.25">
      <c r="A391" s="7">
        <v>0.83194444444444438</v>
      </c>
      <c r="B391" s="7">
        <v>0.85138888888888886</v>
      </c>
      <c r="C391" s="7">
        <f t="shared" si="13"/>
        <v>1.9444444444444486E-2</v>
      </c>
      <c r="D391" s="7">
        <f t="shared" si="12"/>
        <v>1.2499999999999956E-2</v>
      </c>
      <c r="E391" s="1" t="s">
        <v>10</v>
      </c>
    </row>
    <row r="392" spans="1:5" x14ac:dyDescent="0.25">
      <c r="A392" s="7">
        <v>0.8520833333333333</v>
      </c>
      <c r="B392" s="7">
        <v>0.88402777777777775</v>
      </c>
      <c r="C392" s="7">
        <f t="shared" si="13"/>
        <v>3.1944444444444442E-2</v>
      </c>
      <c r="D392" s="7">
        <f t="shared" si="12"/>
        <v>9.7222222222222987E-3</v>
      </c>
      <c r="E392" s="1" t="s">
        <v>10</v>
      </c>
    </row>
    <row r="393" spans="1:5" x14ac:dyDescent="0.25">
      <c r="A393" s="7">
        <v>1.0097222222222222</v>
      </c>
      <c r="B393" s="7">
        <v>1.0319444444444443</v>
      </c>
      <c r="C393" s="7">
        <f t="shared" si="13"/>
        <v>2.2222222222222143E-2</v>
      </c>
      <c r="D393" s="7">
        <f t="shared" si="12"/>
        <v>5.5555555555555358E-3</v>
      </c>
      <c r="E393" s="1" t="s">
        <v>10</v>
      </c>
    </row>
    <row r="394" spans="1:5" x14ac:dyDescent="0.25">
      <c r="A394" s="7">
        <v>0.25694444444444448</v>
      </c>
      <c r="B394" s="7">
        <v>0.27361111111111108</v>
      </c>
      <c r="C394" s="7">
        <f t="shared" si="13"/>
        <v>1.6666666666666607E-2</v>
      </c>
      <c r="D394" s="7">
        <f t="shared" si="12"/>
        <v>3.4722222222222654E-3</v>
      </c>
      <c r="E394" s="1" t="s">
        <v>10</v>
      </c>
    </row>
    <row r="395" spans="1:5" x14ac:dyDescent="0.25">
      <c r="A395" s="7">
        <v>0.32361111111111113</v>
      </c>
      <c r="B395" s="7">
        <v>0.34375</v>
      </c>
      <c r="C395" s="7">
        <f t="shared" si="13"/>
        <v>2.0138888888888873E-2</v>
      </c>
      <c r="D395" s="7">
        <f t="shared" si="12"/>
        <v>2.0833333333333259E-3</v>
      </c>
      <c r="E395" s="1" t="s">
        <v>10</v>
      </c>
    </row>
    <row r="396" spans="1:5" x14ac:dyDescent="0.25">
      <c r="A396" s="7">
        <v>0.3923611111111111</v>
      </c>
      <c r="B396" s="7">
        <v>0.41041666666666665</v>
      </c>
      <c r="C396" s="7">
        <f t="shared" si="13"/>
        <v>1.8055555555555547E-2</v>
      </c>
      <c r="D396" s="7">
        <f t="shared" si="12"/>
        <v>1.041666666666663E-2</v>
      </c>
      <c r="E396" s="1" t="s">
        <v>10</v>
      </c>
    </row>
    <row r="397" spans="1:5" x14ac:dyDescent="0.25">
      <c r="A397" s="7">
        <v>0.46875</v>
      </c>
      <c r="B397" s="7">
        <v>0.47638888888888892</v>
      </c>
      <c r="C397" s="7">
        <f t="shared" si="13"/>
        <v>7.6388888888889173E-3</v>
      </c>
      <c r="D397" s="7">
        <f t="shared" si="12"/>
        <v>1.5277777777777668E-2</v>
      </c>
      <c r="E397" s="1" t="s">
        <v>10</v>
      </c>
    </row>
    <row r="398" spans="1:5" x14ac:dyDescent="0.25">
      <c r="A398" s="7">
        <v>0.60902777777777783</v>
      </c>
      <c r="B398" s="7">
        <v>0.63194444444444442</v>
      </c>
      <c r="C398" s="7">
        <f t="shared" si="13"/>
        <v>2.2916666666666585E-2</v>
      </c>
      <c r="D398" s="7">
        <f t="shared" si="12"/>
        <v>2.0833333333332149E-3</v>
      </c>
      <c r="E398" s="1" t="s">
        <v>10</v>
      </c>
    </row>
    <row r="399" spans="1:5" x14ac:dyDescent="0.25">
      <c r="A399" s="7">
        <v>0.63541666666666663</v>
      </c>
      <c r="B399" s="7">
        <v>0.65625</v>
      </c>
      <c r="C399" s="7">
        <f t="shared" si="13"/>
        <v>2.083333333333337E-2</v>
      </c>
      <c r="D399" s="7">
        <f t="shared" si="12"/>
        <v>2.083333333333437E-3</v>
      </c>
      <c r="E399" s="1" t="s">
        <v>10</v>
      </c>
    </row>
    <row r="400" spans="1:5" x14ac:dyDescent="0.25">
      <c r="A400" s="7">
        <v>0.77013888888888893</v>
      </c>
      <c r="B400" s="7">
        <v>0.78888888888888886</v>
      </c>
      <c r="C400" s="7">
        <f t="shared" si="13"/>
        <v>1.8749999999999933E-2</v>
      </c>
      <c r="D400" s="7">
        <f t="shared" si="12"/>
        <v>2.7777777777777679E-3</v>
      </c>
      <c r="E400" s="1" t="s">
        <v>10</v>
      </c>
    </row>
    <row r="401" spans="1:5" x14ac:dyDescent="0.25">
      <c r="A401" s="7">
        <v>0.80208333333333337</v>
      </c>
      <c r="B401" s="7">
        <v>0.81805555555555554</v>
      </c>
      <c r="C401" s="7">
        <f t="shared" si="13"/>
        <v>1.5972222222222165E-2</v>
      </c>
      <c r="D401" s="7">
        <f t="shared" si="12"/>
        <v>6.9444444444445308E-3</v>
      </c>
      <c r="E401" s="1" t="s">
        <v>10</v>
      </c>
    </row>
    <row r="402" spans="1:5" x14ac:dyDescent="0.25">
      <c r="A402" s="7">
        <v>0.3923611111111111</v>
      </c>
      <c r="B402" s="7">
        <v>0.4152777777777778</v>
      </c>
      <c r="C402" s="7">
        <f t="shared" si="13"/>
        <v>2.2916666666666696E-2</v>
      </c>
      <c r="D402" s="7">
        <f t="shared" si="12"/>
        <v>1.4583333333333337E-2</v>
      </c>
      <c r="E402" s="1" t="s">
        <v>10</v>
      </c>
    </row>
    <row r="403" spans="1:5" x14ac:dyDescent="0.25">
      <c r="A403" s="7">
        <v>0.4680555555555555</v>
      </c>
      <c r="B403" s="7">
        <v>0.50555555555555554</v>
      </c>
      <c r="C403" s="7">
        <f t="shared" si="13"/>
        <v>3.7500000000000033E-2</v>
      </c>
      <c r="D403" s="7">
        <f t="shared" si="12"/>
        <v>1.7361111111111105E-2</v>
      </c>
      <c r="E403" s="1" t="s">
        <v>10</v>
      </c>
    </row>
    <row r="404" spans="1:5" x14ac:dyDescent="0.25">
      <c r="A404" s="7">
        <v>0.54166666666666663</v>
      </c>
      <c r="B404" s="7">
        <v>0.56180555555555556</v>
      </c>
      <c r="C404" s="7">
        <f t="shared" si="13"/>
        <v>2.0138888888888928E-2</v>
      </c>
      <c r="D404" s="7">
        <f t="shared" si="12"/>
        <v>8.3333333333331927E-3</v>
      </c>
      <c r="E404" s="1" t="s">
        <v>10</v>
      </c>
    </row>
    <row r="405" spans="1:5" x14ac:dyDescent="0.25">
      <c r="A405" s="7">
        <v>0.58402777777777781</v>
      </c>
      <c r="B405" s="7">
        <v>0.61249999999999993</v>
      </c>
      <c r="C405" s="7">
        <f t="shared" si="13"/>
        <v>2.8472222222222121E-2</v>
      </c>
      <c r="D405" s="7">
        <f t="shared" si="12"/>
        <v>6.2499999999998668E-3</v>
      </c>
      <c r="E405" s="1" t="s">
        <v>10</v>
      </c>
    </row>
    <row r="406" spans="1:5" x14ac:dyDescent="0.25">
      <c r="A406" s="7">
        <v>0.6069444444444444</v>
      </c>
      <c r="B406" s="7">
        <v>0.62916666666666665</v>
      </c>
      <c r="C406" s="7">
        <f t="shared" si="13"/>
        <v>2.2222222222222254E-2</v>
      </c>
      <c r="D406" s="7">
        <f t="shared" si="12"/>
        <v>1.388888888888884E-3</v>
      </c>
      <c r="E406" s="1" t="s">
        <v>10</v>
      </c>
    </row>
    <row r="407" spans="1:5" x14ac:dyDescent="0.25">
      <c r="A407" s="7">
        <v>0.66111111111111109</v>
      </c>
      <c r="B407" s="7">
        <v>0.68472222222222223</v>
      </c>
      <c r="C407" s="7">
        <f t="shared" si="13"/>
        <v>2.3611111111111138E-2</v>
      </c>
      <c r="D407" s="7">
        <f t="shared" si="12"/>
        <v>6.9444444444445308E-3</v>
      </c>
      <c r="E407" s="1" t="s">
        <v>10</v>
      </c>
    </row>
    <row r="408" spans="1:5" x14ac:dyDescent="0.25">
      <c r="A408" s="7">
        <v>0.90277777777777779</v>
      </c>
      <c r="B408" s="7">
        <v>0.9194444444444444</v>
      </c>
      <c r="C408" s="7">
        <f t="shared" si="13"/>
        <v>1.6666666666666607E-2</v>
      </c>
      <c r="D408" s="7">
        <f t="shared" si="12"/>
        <v>9.7222222222222987E-3</v>
      </c>
      <c r="E408" s="1" t="s">
        <v>10</v>
      </c>
    </row>
    <row r="409" spans="1:5" x14ac:dyDescent="0.25">
      <c r="A409" s="7">
        <v>0.90902777777777777</v>
      </c>
      <c r="B409" s="7">
        <v>0.93541666666666667</v>
      </c>
      <c r="C409" s="7">
        <f t="shared" si="13"/>
        <v>2.6388888888888906E-2</v>
      </c>
      <c r="D409" s="7">
        <f t="shared" si="12"/>
        <v>1.0416666666666741E-2</v>
      </c>
      <c r="E409" s="1" t="s">
        <v>10</v>
      </c>
    </row>
    <row r="410" spans="1:5" x14ac:dyDescent="0.25">
      <c r="A410" s="7">
        <v>0.9145833333333333</v>
      </c>
      <c r="B410" s="7">
        <v>0.93055555555555547</v>
      </c>
      <c r="C410" s="7">
        <f t="shared" si="13"/>
        <v>1.5972222222222165E-2</v>
      </c>
      <c r="D410" s="7">
        <f t="shared" si="12"/>
        <v>4.1666666666667074E-3</v>
      </c>
      <c r="E410" s="1" t="s">
        <v>10</v>
      </c>
    </row>
    <row r="411" spans="1:5" x14ac:dyDescent="0.25">
      <c r="A411" s="7">
        <v>0.16041666666666668</v>
      </c>
      <c r="B411" s="7">
        <v>0.18055555555555555</v>
      </c>
      <c r="C411" s="7">
        <f t="shared" si="13"/>
        <v>2.0138888888888873E-2</v>
      </c>
      <c r="D411" s="7">
        <f t="shared" si="12"/>
        <v>2.083333333333337E-2</v>
      </c>
      <c r="E411" s="1" t="s">
        <v>10</v>
      </c>
    </row>
    <row r="412" spans="1:5" x14ac:dyDescent="0.25">
      <c r="A412" s="7">
        <v>0.39374999999999999</v>
      </c>
      <c r="B412" s="7">
        <v>0.43472222222222223</v>
      </c>
      <c r="C412" s="7">
        <f t="shared" si="13"/>
        <v>4.0972222222222243E-2</v>
      </c>
      <c r="D412" s="7">
        <f t="shared" si="12"/>
        <v>2.2916666666666641E-2</v>
      </c>
      <c r="E412" s="1" t="s">
        <v>10</v>
      </c>
    </row>
    <row r="413" spans="1:5" x14ac:dyDescent="0.25">
      <c r="A413" s="7">
        <v>0.64097222222222217</v>
      </c>
      <c r="B413" s="7">
        <v>0.65902777777777777</v>
      </c>
      <c r="C413" s="7">
        <f t="shared" si="13"/>
        <v>1.8055555555555602E-2</v>
      </c>
      <c r="D413" s="7">
        <f t="shared" si="12"/>
        <v>1.388888888888995E-3</v>
      </c>
      <c r="E413" s="1" t="s">
        <v>10</v>
      </c>
    </row>
    <row r="414" spans="1:5" x14ac:dyDescent="0.25">
      <c r="A414" s="7">
        <v>0.68125000000000002</v>
      </c>
      <c r="B414" s="7">
        <v>0.69791666666666663</v>
      </c>
      <c r="C414" s="7">
        <f t="shared" si="13"/>
        <v>1.6666666666666607E-2</v>
      </c>
      <c r="D414" s="7">
        <f t="shared" si="12"/>
        <v>6.9444444444444198E-4</v>
      </c>
      <c r="E414" s="1" t="s">
        <v>10</v>
      </c>
    </row>
    <row r="415" spans="1:5" x14ac:dyDescent="0.25">
      <c r="A415" s="7">
        <v>0.68958333333333333</v>
      </c>
      <c r="B415" s="7">
        <v>0.70694444444444438</v>
      </c>
      <c r="C415" s="7">
        <f t="shared" si="13"/>
        <v>1.7361111111111049E-2</v>
      </c>
      <c r="D415" s="7">
        <f t="shared" si="12"/>
        <v>2.7777777777776569E-3</v>
      </c>
      <c r="E415" s="1" t="s">
        <v>10</v>
      </c>
    </row>
    <row r="416" spans="1:5" x14ac:dyDescent="0.25">
      <c r="A416" s="7">
        <v>0.82847222222222217</v>
      </c>
      <c r="B416" s="7">
        <v>0.84305555555555556</v>
      </c>
      <c r="C416" s="7">
        <f t="shared" si="13"/>
        <v>1.4583333333333393E-2</v>
      </c>
      <c r="D416" s="7">
        <f t="shared" si="12"/>
        <v>1.3888888888887729E-3</v>
      </c>
      <c r="E416" s="1" t="s">
        <v>10</v>
      </c>
    </row>
    <row r="417" spans="1:5" x14ac:dyDescent="0.25">
      <c r="A417" s="7">
        <v>0.86388888888888893</v>
      </c>
      <c r="B417" s="7">
        <v>0.87986111111111109</v>
      </c>
      <c r="C417" s="7">
        <f t="shared" si="13"/>
        <v>1.5972222222222165E-2</v>
      </c>
      <c r="D417" s="7">
        <f t="shared" ref="D417:D461" si="14">ABS(C418-C417)</f>
        <v>6.9444444444433095E-4</v>
      </c>
      <c r="E417" s="1" t="s">
        <v>10</v>
      </c>
    </row>
    <row r="418" spans="1:5" x14ac:dyDescent="0.25">
      <c r="A418" s="7">
        <v>0.87777777777777777</v>
      </c>
      <c r="B418" s="7">
        <v>0.8930555555555556</v>
      </c>
      <c r="C418" s="7">
        <f t="shared" si="13"/>
        <v>1.5277777777777835E-2</v>
      </c>
      <c r="D418" s="7">
        <f t="shared" si="14"/>
        <v>2.7777777777776569E-3</v>
      </c>
      <c r="E418" s="1" t="s">
        <v>10</v>
      </c>
    </row>
    <row r="419" spans="1:5" x14ac:dyDescent="0.25">
      <c r="A419" s="7">
        <v>0.94444444444444453</v>
      </c>
      <c r="B419" s="7">
        <v>0.96250000000000002</v>
      </c>
      <c r="C419" s="7">
        <f t="shared" si="13"/>
        <v>1.8055555555555491E-2</v>
      </c>
      <c r="D419" s="7">
        <f t="shared" si="14"/>
        <v>3.4722222222222099E-3</v>
      </c>
      <c r="E419" s="1" t="s">
        <v>10</v>
      </c>
    </row>
    <row r="420" spans="1:5" x14ac:dyDescent="0.25">
      <c r="A420" s="7">
        <v>0.77569444444444446</v>
      </c>
      <c r="B420" s="7">
        <v>0.79027777777777775</v>
      </c>
      <c r="C420" s="7">
        <f t="shared" si="13"/>
        <v>1.4583333333333282E-2</v>
      </c>
      <c r="D420" s="7">
        <f t="shared" si="14"/>
        <v>6.2499999999999778E-3</v>
      </c>
      <c r="E420" s="1" t="s">
        <v>10</v>
      </c>
    </row>
    <row r="421" spans="1:5" x14ac:dyDescent="0.25">
      <c r="A421" s="7">
        <v>0.87430555555555556</v>
      </c>
      <c r="B421" s="7">
        <v>0.88263888888888886</v>
      </c>
      <c r="C421" s="7">
        <f t="shared" si="13"/>
        <v>8.3333333333333037E-3</v>
      </c>
      <c r="D421" s="7">
        <f t="shared" si="14"/>
        <v>8.3333333333333037E-3</v>
      </c>
      <c r="E421" s="1" t="s">
        <v>10</v>
      </c>
    </row>
    <row r="422" spans="1:5" x14ac:dyDescent="0.25">
      <c r="A422" s="7">
        <v>0.88541666666666663</v>
      </c>
      <c r="B422" s="7">
        <v>0.90208333333333324</v>
      </c>
      <c r="C422" s="7">
        <f t="shared" si="13"/>
        <v>1.6666666666666607E-2</v>
      </c>
      <c r="D422" s="7">
        <f t="shared" si="14"/>
        <v>6.9444444444438647E-4</v>
      </c>
      <c r="E422" s="1" t="s">
        <v>10</v>
      </c>
    </row>
    <row r="423" spans="1:5" x14ac:dyDescent="0.25">
      <c r="A423" s="7">
        <v>7.6388888888888895E-2</v>
      </c>
      <c r="B423" s="7">
        <v>9.2361111111111116E-2</v>
      </c>
      <c r="C423" s="7">
        <f t="shared" si="13"/>
        <v>1.5972222222222221E-2</v>
      </c>
      <c r="D423" s="7">
        <f t="shared" si="14"/>
        <v>1.3888888888889395E-3</v>
      </c>
      <c r="E423" s="1" t="s">
        <v>10</v>
      </c>
    </row>
    <row r="424" spans="1:5" x14ac:dyDescent="0.25">
      <c r="A424" s="7">
        <v>0.59305555555555556</v>
      </c>
      <c r="B424" s="7">
        <v>0.61041666666666672</v>
      </c>
      <c r="C424" s="7">
        <f t="shared" si="13"/>
        <v>1.736111111111116E-2</v>
      </c>
      <c r="D424" s="7">
        <f t="shared" si="14"/>
        <v>2.0833333333333259E-3</v>
      </c>
      <c r="E424" s="1" t="s">
        <v>10</v>
      </c>
    </row>
    <row r="425" spans="1:5" x14ac:dyDescent="0.25">
      <c r="A425" s="7">
        <v>0.76388888888888884</v>
      </c>
      <c r="B425" s="7">
        <v>0.77916666666666667</v>
      </c>
      <c r="C425" s="7">
        <f t="shared" si="13"/>
        <v>1.5277777777777835E-2</v>
      </c>
      <c r="D425" s="7">
        <f t="shared" si="14"/>
        <v>1.1111111111111294E-2</v>
      </c>
      <c r="E425" s="1" t="s">
        <v>10</v>
      </c>
    </row>
    <row r="426" spans="1:5" x14ac:dyDescent="0.25">
      <c r="A426" s="7">
        <v>0.73888888888888893</v>
      </c>
      <c r="B426" s="7">
        <v>0.74305555555555547</v>
      </c>
      <c r="C426" s="7">
        <f t="shared" si="13"/>
        <v>4.1666666666665408E-3</v>
      </c>
      <c r="D426" s="7">
        <f t="shared" si="14"/>
        <v>1.1111111111111183E-2</v>
      </c>
      <c r="E426" s="1" t="s">
        <v>10</v>
      </c>
    </row>
    <row r="427" spans="1:5" x14ac:dyDescent="0.25">
      <c r="A427" s="7">
        <v>0.6118055555555556</v>
      </c>
      <c r="B427" s="7">
        <v>0.62708333333333333</v>
      </c>
      <c r="C427" s="7">
        <f t="shared" si="13"/>
        <v>1.5277777777777724E-2</v>
      </c>
      <c r="D427" s="7">
        <f t="shared" si="14"/>
        <v>8.3333333333333801E-3</v>
      </c>
      <c r="E427" s="1" t="s">
        <v>10</v>
      </c>
    </row>
    <row r="428" spans="1:5" x14ac:dyDescent="0.25">
      <c r="A428" s="7">
        <v>4.5138888888888888E-2</v>
      </c>
      <c r="B428" s="7">
        <v>6.8749999999999992E-2</v>
      </c>
      <c r="C428" s="7">
        <f t="shared" si="13"/>
        <v>2.3611111111111104E-2</v>
      </c>
      <c r="D428" s="7">
        <f t="shared" si="14"/>
        <v>6.2499999999999986E-3</v>
      </c>
      <c r="E428" s="1" t="s">
        <v>10</v>
      </c>
    </row>
    <row r="429" spans="1:5" x14ac:dyDescent="0.25">
      <c r="A429" s="7">
        <v>0.31111111111111112</v>
      </c>
      <c r="B429" s="7">
        <v>0.32847222222222222</v>
      </c>
      <c r="C429" s="7">
        <f t="shared" si="13"/>
        <v>1.7361111111111105E-2</v>
      </c>
      <c r="D429" s="7">
        <f t="shared" si="14"/>
        <v>6.9444444444449749E-4</v>
      </c>
      <c r="E429" s="1" t="s">
        <v>10</v>
      </c>
    </row>
    <row r="430" spans="1:5" x14ac:dyDescent="0.25">
      <c r="A430" s="7">
        <v>0.64583333333333337</v>
      </c>
      <c r="B430" s="7">
        <v>0.66249999999999998</v>
      </c>
      <c r="C430" s="7">
        <f t="shared" si="13"/>
        <v>1.6666666666666607E-2</v>
      </c>
      <c r="D430" s="7">
        <f t="shared" si="14"/>
        <v>1.388888888888884E-3</v>
      </c>
      <c r="E430" s="1" t="s">
        <v>10</v>
      </c>
    </row>
    <row r="431" spans="1:5" x14ac:dyDescent="0.25">
      <c r="A431" s="7">
        <v>0.61597222222222225</v>
      </c>
      <c r="B431" s="7">
        <v>0.63402777777777775</v>
      </c>
      <c r="C431" s="7">
        <f t="shared" si="13"/>
        <v>1.8055555555555491E-2</v>
      </c>
      <c r="D431" s="7">
        <f t="shared" si="14"/>
        <v>2.083333333333437E-3</v>
      </c>
      <c r="E431" s="1" t="s">
        <v>10</v>
      </c>
    </row>
    <row r="432" spans="1:5" x14ac:dyDescent="0.25">
      <c r="A432" s="7">
        <v>0.63472222222222219</v>
      </c>
      <c r="B432" s="7">
        <v>0.65486111111111112</v>
      </c>
      <c r="C432" s="7">
        <f t="shared" si="13"/>
        <v>2.0138888888888928E-2</v>
      </c>
      <c r="D432" s="7">
        <f t="shared" si="14"/>
        <v>7.6388888888888618E-3</v>
      </c>
      <c r="E432" s="1" t="s">
        <v>10</v>
      </c>
    </row>
    <row r="433" spans="1:5" x14ac:dyDescent="0.25">
      <c r="A433" s="7">
        <v>0.68472222222222223</v>
      </c>
      <c r="B433" s="7">
        <v>0.71250000000000002</v>
      </c>
      <c r="C433" s="7">
        <f t="shared" si="13"/>
        <v>2.777777777777779E-2</v>
      </c>
      <c r="D433" s="7">
        <f t="shared" si="14"/>
        <v>1.0416666666666741E-2</v>
      </c>
      <c r="E433" s="1" t="s">
        <v>10</v>
      </c>
    </row>
    <row r="434" spans="1:5" x14ac:dyDescent="0.25">
      <c r="A434" s="7">
        <v>0.80138888888888893</v>
      </c>
      <c r="B434" s="7">
        <v>0.81874999999999998</v>
      </c>
      <c r="C434" s="7">
        <f t="shared" si="13"/>
        <v>1.7361111111111049E-2</v>
      </c>
      <c r="D434" s="7">
        <f t="shared" si="14"/>
        <v>7.6388888888889728E-3</v>
      </c>
      <c r="E434" s="1" t="s">
        <v>10</v>
      </c>
    </row>
    <row r="435" spans="1:5" x14ac:dyDescent="0.25">
      <c r="A435" s="7">
        <v>0.81319444444444444</v>
      </c>
      <c r="B435" s="7">
        <v>0.83819444444444446</v>
      </c>
      <c r="C435" s="7">
        <f t="shared" si="13"/>
        <v>2.5000000000000022E-2</v>
      </c>
      <c r="D435" s="7">
        <f t="shared" si="14"/>
        <v>9.0277777777777457E-3</v>
      </c>
      <c r="E435" s="1" t="s">
        <v>10</v>
      </c>
    </row>
    <row r="436" spans="1:5" x14ac:dyDescent="0.25">
      <c r="A436" s="7">
        <v>0.4604166666666667</v>
      </c>
      <c r="B436" s="7">
        <v>0.49444444444444446</v>
      </c>
      <c r="C436" s="7">
        <f t="shared" si="13"/>
        <v>3.4027777777777768E-2</v>
      </c>
      <c r="D436" s="7">
        <f t="shared" si="14"/>
        <v>1.4583333333333393E-2</v>
      </c>
      <c r="E436" s="1" t="s">
        <v>10</v>
      </c>
    </row>
    <row r="437" spans="1:5" x14ac:dyDescent="0.25">
      <c r="A437" s="7">
        <v>0.51527777777777783</v>
      </c>
      <c r="B437" s="7">
        <v>0.53472222222222221</v>
      </c>
      <c r="C437" s="7">
        <f t="shared" si="13"/>
        <v>1.9444444444444375E-2</v>
      </c>
      <c r="D437" s="7">
        <f t="shared" si="14"/>
        <v>3.4722222222222099E-3</v>
      </c>
      <c r="E437" s="1" t="s">
        <v>10</v>
      </c>
    </row>
    <row r="438" spans="1:5" x14ac:dyDescent="0.25">
      <c r="A438" s="7">
        <v>0.57916666666666672</v>
      </c>
      <c r="B438" s="7">
        <v>0.59513888888888888</v>
      </c>
      <c r="C438" s="7">
        <f t="shared" si="13"/>
        <v>1.5972222222222165E-2</v>
      </c>
      <c r="D438" s="7">
        <f t="shared" si="14"/>
        <v>1.388888888888884E-3</v>
      </c>
      <c r="E438" s="1" t="s">
        <v>10</v>
      </c>
    </row>
    <row r="439" spans="1:5" x14ac:dyDescent="0.25">
      <c r="A439" s="7">
        <v>0.71805555555555556</v>
      </c>
      <c r="B439" s="7">
        <v>0.73541666666666661</v>
      </c>
      <c r="C439" s="7">
        <f t="shared" si="13"/>
        <v>1.7361111111111049E-2</v>
      </c>
      <c r="D439" s="7">
        <f t="shared" si="14"/>
        <v>1.3888888888886619E-3</v>
      </c>
      <c r="E439" s="1" t="s">
        <v>10</v>
      </c>
    </row>
    <row r="440" spans="1:5" x14ac:dyDescent="0.25">
      <c r="A440" s="7">
        <v>0.87083333333333324</v>
      </c>
      <c r="B440" s="7">
        <v>0.88680555555555562</v>
      </c>
      <c r="C440" s="7">
        <f t="shared" si="13"/>
        <v>1.5972222222222388E-2</v>
      </c>
      <c r="D440" s="7">
        <f t="shared" si="14"/>
        <v>6.9444444444443643E-3</v>
      </c>
      <c r="E440" s="1" t="s">
        <v>10</v>
      </c>
    </row>
    <row r="441" spans="1:5" x14ac:dyDescent="0.25">
      <c r="A441" s="7">
        <v>0.49791666666666662</v>
      </c>
      <c r="B441" s="7">
        <v>0.52083333333333337</v>
      </c>
      <c r="C441" s="7">
        <f t="shared" si="13"/>
        <v>2.2916666666666752E-2</v>
      </c>
      <c r="D441" s="7">
        <f t="shared" si="14"/>
        <v>2.7777777777778234E-3</v>
      </c>
      <c r="E441" s="1" t="s">
        <v>10</v>
      </c>
    </row>
    <row r="442" spans="1:5" x14ac:dyDescent="0.25">
      <c r="A442" s="7">
        <v>0.55347222222222225</v>
      </c>
      <c r="B442" s="7">
        <v>0.57361111111111118</v>
      </c>
      <c r="C442" s="7">
        <f t="shared" si="13"/>
        <v>2.0138888888888928E-2</v>
      </c>
      <c r="D442" s="7">
        <f t="shared" si="14"/>
        <v>1.2499999999999956E-2</v>
      </c>
      <c r="E442" s="1" t="s">
        <v>10</v>
      </c>
    </row>
    <row r="443" spans="1:5" x14ac:dyDescent="0.25">
      <c r="A443" s="7">
        <v>0.57013888888888886</v>
      </c>
      <c r="B443" s="7">
        <v>0.60277777777777775</v>
      </c>
      <c r="C443" s="7">
        <f t="shared" si="13"/>
        <v>3.2638888888888884E-2</v>
      </c>
      <c r="D443" s="7">
        <f t="shared" si="14"/>
        <v>1.6666666666666718E-2</v>
      </c>
      <c r="E443" s="1" t="s">
        <v>10</v>
      </c>
    </row>
    <row r="444" spans="1:5" x14ac:dyDescent="0.25">
      <c r="A444" s="7">
        <v>0.84375</v>
      </c>
      <c r="B444" s="7">
        <v>0.85972222222222217</v>
      </c>
      <c r="C444" s="7">
        <f t="shared" ref="C444:C507" si="15">B444-A444</f>
        <v>1.5972222222222165E-2</v>
      </c>
      <c r="D444" s="7">
        <f t="shared" si="14"/>
        <v>1.4583333333333365E-2</v>
      </c>
      <c r="E444" s="1" t="s">
        <v>10</v>
      </c>
    </row>
    <row r="445" spans="1:5" x14ac:dyDescent="0.25">
      <c r="A445" s="7">
        <v>0.24027777777777778</v>
      </c>
      <c r="B445" s="7">
        <v>0.27083333333333331</v>
      </c>
      <c r="C445" s="7">
        <f t="shared" si="15"/>
        <v>3.055555555555553E-2</v>
      </c>
      <c r="D445" s="7">
        <f t="shared" si="14"/>
        <v>1.2499999999999983E-2</v>
      </c>
      <c r="E445" s="1" t="s">
        <v>10</v>
      </c>
    </row>
    <row r="446" spans="1:5" x14ac:dyDescent="0.25">
      <c r="A446" s="7">
        <v>0.33263888888888887</v>
      </c>
      <c r="B446" s="7">
        <v>0.35069444444444442</v>
      </c>
      <c r="C446" s="7">
        <f t="shared" si="15"/>
        <v>1.8055555555555547E-2</v>
      </c>
      <c r="D446" s="7">
        <f t="shared" si="14"/>
        <v>6.9444444444444198E-4</v>
      </c>
      <c r="E446" s="1" t="s">
        <v>10</v>
      </c>
    </row>
    <row r="447" spans="1:5" x14ac:dyDescent="0.25">
      <c r="A447" s="7">
        <v>0.40069444444444446</v>
      </c>
      <c r="B447" s="7">
        <v>0.41805555555555557</v>
      </c>
      <c r="C447" s="7">
        <f t="shared" si="15"/>
        <v>1.7361111111111105E-2</v>
      </c>
      <c r="D447" s="7">
        <f t="shared" si="14"/>
        <v>4.1666666666666519E-3</v>
      </c>
      <c r="E447" s="1" t="s">
        <v>10</v>
      </c>
    </row>
    <row r="448" spans="1:5" x14ac:dyDescent="0.25">
      <c r="A448" s="7">
        <v>0.47430555555555554</v>
      </c>
      <c r="B448" s="7">
        <v>0.48749999999999999</v>
      </c>
      <c r="C448" s="7">
        <f t="shared" si="15"/>
        <v>1.3194444444444453E-2</v>
      </c>
      <c r="D448" s="7">
        <f t="shared" si="14"/>
        <v>2.0833333333333315E-2</v>
      </c>
      <c r="E448" s="1" t="s">
        <v>10</v>
      </c>
    </row>
    <row r="449" spans="1:5" x14ac:dyDescent="0.25">
      <c r="A449" s="7">
        <v>0.53541666666666665</v>
      </c>
      <c r="B449" s="7">
        <v>0.56944444444444442</v>
      </c>
      <c r="C449" s="7">
        <f t="shared" si="15"/>
        <v>3.4027777777777768E-2</v>
      </c>
      <c r="D449" s="7">
        <f t="shared" si="14"/>
        <v>1.1805555555555625E-2</v>
      </c>
      <c r="E449" s="1" t="s">
        <v>10</v>
      </c>
    </row>
    <row r="450" spans="1:5" x14ac:dyDescent="0.25">
      <c r="A450" s="7">
        <v>0.58472222222222225</v>
      </c>
      <c r="B450" s="7">
        <v>0.6069444444444444</v>
      </c>
      <c r="C450" s="7">
        <f t="shared" si="15"/>
        <v>2.2222222222222143E-2</v>
      </c>
      <c r="D450" s="7">
        <f t="shared" si="14"/>
        <v>5.5555555555553138E-3</v>
      </c>
      <c r="E450" s="1" t="s">
        <v>10</v>
      </c>
    </row>
    <row r="451" spans="1:5" x14ac:dyDescent="0.25">
      <c r="A451" s="7">
        <v>0.7715277777777777</v>
      </c>
      <c r="B451" s="7">
        <v>0.78819444444444453</v>
      </c>
      <c r="C451" s="7">
        <f t="shared" si="15"/>
        <v>1.6666666666666829E-2</v>
      </c>
      <c r="D451" s="7">
        <f t="shared" si="14"/>
        <v>2.2204460492503131E-16</v>
      </c>
      <c r="E451" s="1" t="s">
        <v>10</v>
      </c>
    </row>
    <row r="452" spans="1:5" x14ac:dyDescent="0.25">
      <c r="A452" s="7">
        <v>0.80625000000000002</v>
      </c>
      <c r="B452" s="7">
        <v>0.82291666666666663</v>
      </c>
      <c r="C452" s="7">
        <f t="shared" si="15"/>
        <v>1.6666666666666607E-2</v>
      </c>
      <c r="D452" s="7">
        <f t="shared" si="14"/>
        <v>4.8611111111110938E-3</v>
      </c>
      <c r="E452" s="1" t="s">
        <v>10</v>
      </c>
    </row>
    <row r="453" spans="1:5" x14ac:dyDescent="0.25">
      <c r="A453" s="7">
        <v>0.51388888888888895</v>
      </c>
      <c r="B453" s="7">
        <v>0.53541666666666665</v>
      </c>
      <c r="C453" s="7">
        <f t="shared" si="15"/>
        <v>2.1527777777777701E-2</v>
      </c>
      <c r="D453" s="7">
        <f t="shared" si="14"/>
        <v>5.5555555555555358E-3</v>
      </c>
      <c r="E453" s="1" t="s">
        <v>10</v>
      </c>
    </row>
    <row r="454" spans="1:5" x14ac:dyDescent="0.25">
      <c r="A454" s="7">
        <v>0.53263888888888888</v>
      </c>
      <c r="B454" s="7">
        <v>0.54861111111111105</v>
      </c>
      <c r="C454" s="7">
        <f t="shared" si="15"/>
        <v>1.5972222222222165E-2</v>
      </c>
      <c r="D454" s="7">
        <f t="shared" si="14"/>
        <v>1.388888888888884E-3</v>
      </c>
      <c r="E454" s="1" t="s">
        <v>10</v>
      </c>
    </row>
    <row r="455" spans="1:5" x14ac:dyDescent="0.25">
      <c r="A455" s="7">
        <v>0.56527777777777777</v>
      </c>
      <c r="B455" s="7">
        <v>0.58263888888888882</v>
      </c>
      <c r="C455" s="7">
        <f t="shared" si="15"/>
        <v>1.7361111111111049E-2</v>
      </c>
      <c r="D455" s="7">
        <f t="shared" si="14"/>
        <v>2.083333333333437E-3</v>
      </c>
      <c r="E455" s="1" t="s">
        <v>10</v>
      </c>
    </row>
    <row r="456" spans="1:5" x14ac:dyDescent="0.25">
      <c r="A456" s="7">
        <v>0.6166666666666667</v>
      </c>
      <c r="B456" s="7">
        <v>0.63611111111111118</v>
      </c>
      <c r="C456" s="7">
        <f t="shared" si="15"/>
        <v>1.9444444444444486E-2</v>
      </c>
      <c r="D456" s="7">
        <f t="shared" si="14"/>
        <v>2.0833333333333259E-3</v>
      </c>
      <c r="E456" s="1" t="s">
        <v>10</v>
      </c>
    </row>
    <row r="457" spans="1:5" x14ac:dyDescent="0.25">
      <c r="A457" s="7">
        <v>0.64374999999999993</v>
      </c>
      <c r="B457" s="7">
        <v>0.66527777777777775</v>
      </c>
      <c r="C457" s="7">
        <f t="shared" si="15"/>
        <v>2.1527777777777812E-2</v>
      </c>
      <c r="D457" s="7">
        <f t="shared" si="14"/>
        <v>2.7777777777778789E-3</v>
      </c>
      <c r="E457" s="1" t="s">
        <v>10</v>
      </c>
    </row>
    <row r="458" spans="1:5" x14ac:dyDescent="0.25">
      <c r="A458" s="7">
        <v>0.69444444444444453</v>
      </c>
      <c r="B458" s="7">
        <v>0.71319444444444446</v>
      </c>
      <c r="C458" s="7">
        <f t="shared" si="15"/>
        <v>1.8749999999999933E-2</v>
      </c>
      <c r="D458" s="7">
        <f t="shared" si="14"/>
        <v>6.9444444444444198E-4</v>
      </c>
      <c r="E458" s="1" t="s">
        <v>10</v>
      </c>
    </row>
    <row r="459" spans="1:5" x14ac:dyDescent="0.25">
      <c r="A459" s="7">
        <v>0.72222222222222221</v>
      </c>
      <c r="B459" s="7">
        <v>0.7402777777777777</v>
      </c>
      <c r="C459" s="7">
        <f t="shared" si="15"/>
        <v>1.8055555555555491E-2</v>
      </c>
      <c r="D459" s="7">
        <f t="shared" si="14"/>
        <v>1.388888888888884E-3</v>
      </c>
      <c r="E459" s="1" t="s">
        <v>10</v>
      </c>
    </row>
    <row r="460" spans="1:5" x14ac:dyDescent="0.25">
      <c r="A460" s="7">
        <v>0.82500000000000007</v>
      </c>
      <c r="B460" s="7">
        <v>0.84444444444444444</v>
      </c>
      <c r="C460" s="7">
        <f t="shared" si="15"/>
        <v>1.9444444444444375E-2</v>
      </c>
      <c r="D460" s="7">
        <f t="shared" si="14"/>
        <v>2.7777777777776569E-3</v>
      </c>
      <c r="E460" s="1" t="s">
        <v>10</v>
      </c>
    </row>
    <row r="461" spans="1:5" x14ac:dyDescent="0.25">
      <c r="A461" s="7">
        <v>0.88888888888888884</v>
      </c>
      <c r="B461" s="7">
        <v>0.90555555555555556</v>
      </c>
      <c r="C461" s="7">
        <f t="shared" si="15"/>
        <v>1.6666666666666718E-2</v>
      </c>
      <c r="D461" s="7">
        <f t="shared" si="14"/>
        <v>6.94444444444553E-4</v>
      </c>
      <c r="E461" s="1" t="s">
        <v>10</v>
      </c>
    </row>
    <row r="462" spans="1:5" x14ac:dyDescent="0.25">
      <c r="A462" s="7">
        <v>0.97222222222222221</v>
      </c>
      <c r="B462" s="7">
        <v>0.98819444444444438</v>
      </c>
      <c r="C462" s="7">
        <f t="shared" si="15"/>
        <v>1.5972222222222165E-2</v>
      </c>
      <c r="D462" s="7"/>
      <c r="E462" s="1" t="s">
        <v>10</v>
      </c>
    </row>
    <row r="463" spans="1:5" x14ac:dyDescent="0.25">
      <c r="A463" s="7">
        <v>0.49861111111111112</v>
      </c>
      <c r="B463" s="7">
        <v>0.52638888888888891</v>
      </c>
      <c r="C463" s="7">
        <f t="shared" si="15"/>
        <v>2.777777777777779E-2</v>
      </c>
      <c r="D463" s="7">
        <f>ABS(C464-C463)</f>
        <v>1.0416666666666657E-2</v>
      </c>
      <c r="E463" s="1" t="s">
        <v>11</v>
      </c>
    </row>
    <row r="464" spans="1:5" x14ac:dyDescent="0.25">
      <c r="A464" s="7">
        <v>0.16874999999999998</v>
      </c>
      <c r="B464" s="7">
        <v>0.18611111111111112</v>
      </c>
      <c r="C464" s="7">
        <f t="shared" si="15"/>
        <v>1.7361111111111133E-2</v>
      </c>
      <c r="D464" s="7">
        <f t="shared" ref="D464:D527" si="16">ABS(C465-C464)</f>
        <v>6.9444444444446973E-4</v>
      </c>
      <c r="E464" s="1" t="s">
        <v>11</v>
      </c>
    </row>
    <row r="465" spans="1:5" x14ac:dyDescent="0.25">
      <c r="A465" s="7">
        <v>0.43472222222222223</v>
      </c>
      <c r="B465" s="7">
        <v>0.4513888888888889</v>
      </c>
      <c r="C465" s="7">
        <f t="shared" si="15"/>
        <v>1.6666666666666663E-2</v>
      </c>
      <c r="D465" s="7">
        <f t="shared" si="16"/>
        <v>6.9444444444449749E-4</v>
      </c>
      <c r="E465" s="1" t="s">
        <v>11</v>
      </c>
    </row>
    <row r="466" spans="1:5" x14ac:dyDescent="0.25">
      <c r="A466" s="7">
        <v>0.44166666666666665</v>
      </c>
      <c r="B466" s="7">
        <v>0.45902777777777781</v>
      </c>
      <c r="C466" s="7">
        <f t="shared" si="15"/>
        <v>1.736111111111116E-2</v>
      </c>
      <c r="D466" s="7">
        <f t="shared" si="16"/>
        <v>6.9444444444433095E-4</v>
      </c>
      <c r="E466" s="1" t="s">
        <v>11</v>
      </c>
    </row>
    <row r="467" spans="1:5" x14ac:dyDescent="0.25">
      <c r="A467" s="7">
        <v>0.64930555555555558</v>
      </c>
      <c r="B467" s="7">
        <v>0.66736111111111107</v>
      </c>
      <c r="C467" s="7">
        <f t="shared" si="15"/>
        <v>1.8055555555555491E-2</v>
      </c>
      <c r="D467" s="7">
        <f t="shared" si="16"/>
        <v>4.8611111111110938E-3</v>
      </c>
      <c r="E467" s="1" t="s">
        <v>11</v>
      </c>
    </row>
    <row r="468" spans="1:5" x14ac:dyDescent="0.25">
      <c r="A468" s="7">
        <v>0.40833333333333338</v>
      </c>
      <c r="B468" s="7">
        <v>0.42152777777777778</v>
      </c>
      <c r="C468" s="7">
        <f t="shared" si="15"/>
        <v>1.3194444444444398E-2</v>
      </c>
      <c r="D468" s="7">
        <f t="shared" si="16"/>
        <v>4.1666666666666519E-3</v>
      </c>
      <c r="E468" s="1" t="s">
        <v>11</v>
      </c>
    </row>
    <row r="469" spans="1:5" x14ac:dyDescent="0.25">
      <c r="A469" s="7">
        <v>0.62222222222222223</v>
      </c>
      <c r="B469" s="7">
        <v>0.63958333333333328</v>
      </c>
      <c r="C469" s="7">
        <f t="shared" si="15"/>
        <v>1.7361111111111049E-2</v>
      </c>
      <c r="D469" s="7">
        <f t="shared" si="16"/>
        <v>2.083333333333437E-3</v>
      </c>
      <c r="E469" s="1" t="s">
        <v>11</v>
      </c>
    </row>
    <row r="470" spans="1:5" x14ac:dyDescent="0.25">
      <c r="A470" s="7">
        <v>0.63194444444444442</v>
      </c>
      <c r="B470" s="7">
        <v>0.65138888888888891</v>
      </c>
      <c r="C470" s="7">
        <f t="shared" si="15"/>
        <v>1.9444444444444486E-2</v>
      </c>
      <c r="D470" s="7">
        <f t="shared" si="16"/>
        <v>2.083333333333548E-3</v>
      </c>
      <c r="E470" s="1" t="s">
        <v>11</v>
      </c>
    </row>
    <row r="471" spans="1:5" x14ac:dyDescent="0.25">
      <c r="A471" s="7">
        <v>0.84513888888888899</v>
      </c>
      <c r="B471" s="7">
        <v>0.86249999999999993</v>
      </c>
      <c r="C471" s="7">
        <f t="shared" si="15"/>
        <v>1.7361111111110938E-2</v>
      </c>
      <c r="D471" s="7">
        <f t="shared" si="16"/>
        <v>2.7777777777778789E-3</v>
      </c>
      <c r="E471" s="1" t="s">
        <v>11</v>
      </c>
    </row>
    <row r="472" spans="1:5" x14ac:dyDescent="0.25">
      <c r="A472" s="7">
        <v>0.4777777777777778</v>
      </c>
      <c r="B472" s="7">
        <v>0.49791666666666662</v>
      </c>
      <c r="C472" s="7">
        <f t="shared" si="15"/>
        <v>2.0138888888888817E-2</v>
      </c>
      <c r="D472" s="7">
        <f t="shared" si="16"/>
        <v>3.4722222222222099E-3</v>
      </c>
      <c r="E472" s="1" t="s">
        <v>11</v>
      </c>
    </row>
    <row r="473" spans="1:5" x14ac:dyDescent="0.25">
      <c r="A473" s="7">
        <v>0.52638888888888891</v>
      </c>
      <c r="B473" s="7">
        <v>0.54999999999999993</v>
      </c>
      <c r="C473" s="7">
        <f t="shared" si="15"/>
        <v>2.3611111111111027E-2</v>
      </c>
      <c r="D473" s="7">
        <f t="shared" si="16"/>
        <v>2.7777777777777124E-3</v>
      </c>
      <c r="E473" s="1" t="s">
        <v>11</v>
      </c>
    </row>
    <row r="474" spans="1:5" x14ac:dyDescent="0.25">
      <c r="A474" s="7">
        <v>0.48333333333333334</v>
      </c>
      <c r="B474" s="7">
        <v>0.50416666666666665</v>
      </c>
      <c r="C474" s="7">
        <f t="shared" si="15"/>
        <v>2.0833333333333315E-2</v>
      </c>
      <c r="D474" s="7">
        <f t="shared" si="16"/>
        <v>5.5511151231257827E-17</v>
      </c>
      <c r="E474" s="1" t="s">
        <v>11</v>
      </c>
    </row>
    <row r="475" spans="1:5" x14ac:dyDescent="0.25">
      <c r="A475" s="7">
        <v>0.59444444444444444</v>
      </c>
      <c r="B475" s="7">
        <v>0.61527777777777781</v>
      </c>
      <c r="C475" s="7">
        <f t="shared" si="15"/>
        <v>2.083333333333337E-2</v>
      </c>
      <c r="D475" s="7">
        <f t="shared" si="16"/>
        <v>1.5972222222222388E-2</v>
      </c>
      <c r="E475" s="1" t="s">
        <v>11</v>
      </c>
    </row>
    <row r="476" spans="1:5" x14ac:dyDescent="0.25">
      <c r="A476" s="7">
        <v>0.63888888888888895</v>
      </c>
      <c r="B476" s="7">
        <v>0.64374999999999993</v>
      </c>
      <c r="C476" s="7">
        <f t="shared" si="15"/>
        <v>4.8611111111109828E-3</v>
      </c>
      <c r="D476" s="7">
        <f t="shared" si="16"/>
        <v>1.5277777777777946E-2</v>
      </c>
      <c r="E476" s="1" t="s">
        <v>11</v>
      </c>
    </row>
    <row r="477" spans="1:5" x14ac:dyDescent="0.25">
      <c r="A477" s="7">
        <v>0.54097222222222219</v>
      </c>
      <c r="B477" s="7">
        <v>0.56111111111111112</v>
      </c>
      <c r="C477" s="7">
        <f t="shared" si="15"/>
        <v>2.0138888888888928E-2</v>
      </c>
      <c r="D477" s="7">
        <f t="shared" si="16"/>
        <v>2.0833333333333259E-3</v>
      </c>
      <c r="E477" s="1" t="s">
        <v>11</v>
      </c>
    </row>
    <row r="478" spans="1:5" x14ac:dyDescent="0.25">
      <c r="A478" s="7">
        <v>0.60416666666666663</v>
      </c>
      <c r="B478" s="7">
        <v>0.62638888888888888</v>
      </c>
      <c r="C478" s="7">
        <f t="shared" si="15"/>
        <v>2.2222222222222254E-2</v>
      </c>
      <c r="D478" s="7">
        <f t="shared" si="16"/>
        <v>1.1102230246251565E-16</v>
      </c>
      <c r="E478" s="1" t="s">
        <v>11</v>
      </c>
    </row>
    <row r="479" spans="1:5" x14ac:dyDescent="0.25">
      <c r="A479" s="7">
        <v>0.60486111111111118</v>
      </c>
      <c r="B479" s="7">
        <v>0.62708333333333333</v>
      </c>
      <c r="C479" s="7">
        <f t="shared" si="15"/>
        <v>2.2222222222222143E-2</v>
      </c>
      <c r="D479" s="7">
        <f t="shared" si="16"/>
        <v>8.3333333333335258E-3</v>
      </c>
      <c r="E479" s="1" t="s">
        <v>11</v>
      </c>
    </row>
    <row r="480" spans="1:5" x14ac:dyDescent="0.25">
      <c r="A480" s="7">
        <v>0.69791666666666663</v>
      </c>
      <c r="B480" s="7">
        <v>0.7284722222222223</v>
      </c>
      <c r="C480" s="7">
        <f t="shared" si="15"/>
        <v>3.0555555555555669E-2</v>
      </c>
      <c r="D480" s="7">
        <f t="shared" si="16"/>
        <v>9.0277777777779677E-3</v>
      </c>
      <c r="E480" s="1" t="s">
        <v>11</v>
      </c>
    </row>
    <row r="481" spans="1:5" x14ac:dyDescent="0.25">
      <c r="A481" s="7">
        <v>0.90416666666666667</v>
      </c>
      <c r="B481" s="7">
        <v>0.92569444444444438</v>
      </c>
      <c r="C481" s="7">
        <f t="shared" si="15"/>
        <v>2.1527777777777701E-2</v>
      </c>
      <c r="D481" s="7">
        <f t="shared" si="16"/>
        <v>6.9444444444444198E-4</v>
      </c>
      <c r="E481" s="1" t="s">
        <v>11</v>
      </c>
    </row>
    <row r="482" spans="1:5" x14ac:dyDescent="0.25">
      <c r="A482" s="7">
        <v>0.9604166666666667</v>
      </c>
      <c r="B482" s="7">
        <v>0.98263888888888884</v>
      </c>
      <c r="C482" s="7">
        <f t="shared" si="15"/>
        <v>2.2222222222222143E-2</v>
      </c>
      <c r="D482" s="7">
        <f t="shared" si="16"/>
        <v>6.2500000000001443E-3</v>
      </c>
      <c r="E482" s="1" t="s">
        <v>11</v>
      </c>
    </row>
    <row r="483" spans="1:5" x14ac:dyDescent="0.25">
      <c r="A483" s="7">
        <v>0.4826388888888889</v>
      </c>
      <c r="B483" s="7">
        <v>0.51111111111111118</v>
      </c>
      <c r="C483" s="7">
        <f t="shared" si="15"/>
        <v>2.8472222222222288E-2</v>
      </c>
      <c r="D483" s="7">
        <f t="shared" si="16"/>
        <v>4.1666666666668184E-3</v>
      </c>
      <c r="E483" s="1" t="s">
        <v>11</v>
      </c>
    </row>
    <row r="484" spans="1:5" x14ac:dyDescent="0.25">
      <c r="A484" s="7">
        <v>0.67361111111111116</v>
      </c>
      <c r="B484" s="7">
        <v>0.69791666666666663</v>
      </c>
      <c r="C484" s="7">
        <f t="shared" si="15"/>
        <v>2.4305555555555469E-2</v>
      </c>
      <c r="D484" s="7">
        <f t="shared" si="16"/>
        <v>4.8611111111110938E-3</v>
      </c>
      <c r="E484" s="1" t="s">
        <v>11</v>
      </c>
    </row>
    <row r="485" spans="1:5" x14ac:dyDescent="0.25">
      <c r="A485" s="7">
        <v>0.8125</v>
      </c>
      <c r="B485" s="7">
        <v>0.83194444444444438</v>
      </c>
      <c r="C485" s="7">
        <f t="shared" si="15"/>
        <v>1.9444444444444375E-2</v>
      </c>
      <c r="D485" s="7">
        <f t="shared" si="16"/>
        <v>2.2204460492503131E-16</v>
      </c>
      <c r="E485" s="1" t="s">
        <v>11</v>
      </c>
    </row>
    <row r="486" spans="1:5" x14ac:dyDescent="0.25">
      <c r="A486" s="7">
        <v>0.74861111111111101</v>
      </c>
      <c r="B486" s="7">
        <v>0.7680555555555556</v>
      </c>
      <c r="C486" s="7">
        <f t="shared" si="15"/>
        <v>1.9444444444444597E-2</v>
      </c>
      <c r="D486" s="7">
        <f t="shared" si="16"/>
        <v>6.249999999999846E-3</v>
      </c>
      <c r="E486" s="1" t="s">
        <v>11</v>
      </c>
    </row>
    <row r="487" spans="1:5" x14ac:dyDescent="0.25">
      <c r="A487" s="7">
        <v>5.1388888888888894E-2</v>
      </c>
      <c r="B487" s="7">
        <v>7.7083333333333337E-2</v>
      </c>
      <c r="C487" s="7">
        <f t="shared" si="15"/>
        <v>2.5694444444444443E-2</v>
      </c>
      <c r="D487" s="7">
        <f t="shared" si="16"/>
        <v>7.6388888888888964E-3</v>
      </c>
      <c r="E487" s="1" t="s">
        <v>11</v>
      </c>
    </row>
    <row r="488" spans="1:5" x14ac:dyDescent="0.25">
      <c r="A488" s="7">
        <v>0.10347222222222223</v>
      </c>
      <c r="B488" s="7">
        <v>0.12152777777777778</v>
      </c>
      <c r="C488" s="7">
        <f t="shared" si="15"/>
        <v>1.8055555555555547E-2</v>
      </c>
      <c r="D488" s="7">
        <f t="shared" si="16"/>
        <v>1.3888888888889117E-3</v>
      </c>
      <c r="E488" s="1" t="s">
        <v>11</v>
      </c>
    </row>
    <row r="489" spans="1:5" x14ac:dyDescent="0.25">
      <c r="A489" s="7">
        <v>0.15902777777777777</v>
      </c>
      <c r="B489" s="7">
        <v>0.17847222222222223</v>
      </c>
      <c r="C489" s="7">
        <f t="shared" si="15"/>
        <v>1.9444444444444459E-2</v>
      </c>
      <c r="D489" s="7">
        <f t="shared" si="16"/>
        <v>4.1666666666666241E-3</v>
      </c>
      <c r="E489" s="1" t="s">
        <v>11</v>
      </c>
    </row>
    <row r="490" spans="1:5" x14ac:dyDescent="0.25">
      <c r="A490" s="7">
        <v>0.4069444444444445</v>
      </c>
      <c r="B490" s="7">
        <v>0.43055555555555558</v>
      </c>
      <c r="C490" s="7">
        <f t="shared" si="15"/>
        <v>2.3611111111111083E-2</v>
      </c>
      <c r="D490" s="7">
        <f t="shared" si="16"/>
        <v>4.1666666666666519E-3</v>
      </c>
      <c r="E490" s="1" t="s">
        <v>11</v>
      </c>
    </row>
    <row r="491" spans="1:5" x14ac:dyDescent="0.25">
      <c r="A491" s="7">
        <v>0.4548611111111111</v>
      </c>
      <c r="B491" s="7">
        <v>0.47430555555555554</v>
      </c>
      <c r="C491" s="7">
        <f t="shared" si="15"/>
        <v>1.9444444444444431E-2</v>
      </c>
      <c r="D491" s="7">
        <f t="shared" si="16"/>
        <v>5.5555555555556468E-3</v>
      </c>
      <c r="E491" s="1" t="s">
        <v>11</v>
      </c>
    </row>
    <row r="492" spans="1:5" x14ac:dyDescent="0.25">
      <c r="A492" s="7">
        <v>0.48888888888888887</v>
      </c>
      <c r="B492" s="7">
        <v>0.51388888888888895</v>
      </c>
      <c r="C492" s="7">
        <f t="shared" si="15"/>
        <v>2.5000000000000078E-2</v>
      </c>
      <c r="D492" s="7">
        <f t="shared" si="16"/>
        <v>2.7777777777776014E-3</v>
      </c>
      <c r="E492" s="1" t="s">
        <v>11</v>
      </c>
    </row>
    <row r="493" spans="1:5" x14ac:dyDescent="0.25">
      <c r="A493" s="7">
        <v>0.7909722222222223</v>
      </c>
      <c r="B493" s="7">
        <v>0.81874999999999998</v>
      </c>
      <c r="C493" s="7">
        <f t="shared" si="15"/>
        <v>2.7777777777777679E-2</v>
      </c>
      <c r="D493" s="7">
        <f t="shared" si="16"/>
        <v>2.0833333333332218E-3</v>
      </c>
      <c r="E493" s="1" t="s">
        <v>11</v>
      </c>
    </row>
    <row r="494" spans="1:5" x14ac:dyDescent="0.25">
      <c r="A494" s="7">
        <v>6.0416666666666667E-2</v>
      </c>
      <c r="B494" s="7">
        <v>8.6111111111111124E-2</v>
      </c>
      <c r="C494" s="7">
        <f t="shared" si="15"/>
        <v>2.5694444444444457E-2</v>
      </c>
      <c r="D494" s="7">
        <f t="shared" si="16"/>
        <v>4.8611111111110869E-3</v>
      </c>
      <c r="E494" s="1" t="s">
        <v>11</v>
      </c>
    </row>
    <row r="495" spans="1:5" x14ac:dyDescent="0.25">
      <c r="A495" s="7">
        <v>0.5229166666666667</v>
      </c>
      <c r="B495" s="7">
        <v>0.54375000000000007</v>
      </c>
      <c r="C495" s="7">
        <f t="shared" si="15"/>
        <v>2.083333333333337E-2</v>
      </c>
      <c r="D495" s="7">
        <f t="shared" si="16"/>
        <v>2.7777777777778789E-3</v>
      </c>
      <c r="E495" s="1" t="s">
        <v>11</v>
      </c>
    </row>
    <row r="496" spans="1:5" x14ac:dyDescent="0.25">
      <c r="A496" s="7">
        <v>0.57777777777777783</v>
      </c>
      <c r="B496" s="7">
        <v>0.59583333333333333</v>
      </c>
      <c r="C496" s="7">
        <f t="shared" si="15"/>
        <v>1.8055555555555491E-2</v>
      </c>
      <c r="D496" s="7">
        <f t="shared" si="16"/>
        <v>6.2499999999999778E-3</v>
      </c>
      <c r="E496" s="1" t="s">
        <v>11</v>
      </c>
    </row>
    <row r="497" spans="1:5" x14ac:dyDescent="0.25">
      <c r="A497" s="7">
        <v>0.87013888888888891</v>
      </c>
      <c r="B497" s="7">
        <v>0.89444444444444438</v>
      </c>
      <c r="C497" s="7">
        <f t="shared" si="15"/>
        <v>2.4305555555555469E-2</v>
      </c>
      <c r="D497" s="7">
        <f t="shared" si="16"/>
        <v>1.1805555555555458E-2</v>
      </c>
      <c r="E497" s="1" t="s">
        <v>11</v>
      </c>
    </row>
    <row r="498" spans="1:5" x14ac:dyDescent="0.25">
      <c r="A498" s="7">
        <v>0.4770833333333333</v>
      </c>
      <c r="B498" s="7">
        <v>0.48958333333333331</v>
      </c>
      <c r="C498" s="7">
        <f t="shared" si="15"/>
        <v>1.2500000000000011E-2</v>
      </c>
      <c r="D498" s="7">
        <f t="shared" si="16"/>
        <v>9.0277777777778012E-3</v>
      </c>
      <c r="E498" s="1" t="s">
        <v>11</v>
      </c>
    </row>
    <row r="499" spans="1:5" x14ac:dyDescent="0.25">
      <c r="A499" s="7">
        <v>0.62777777777777777</v>
      </c>
      <c r="B499" s="7">
        <v>0.64930555555555558</v>
      </c>
      <c r="C499" s="7">
        <f t="shared" si="15"/>
        <v>2.1527777777777812E-2</v>
      </c>
      <c r="D499" s="7">
        <f t="shared" si="16"/>
        <v>4.8611111111110938E-3</v>
      </c>
      <c r="E499" s="1" t="s">
        <v>11</v>
      </c>
    </row>
    <row r="500" spans="1:5" x14ac:dyDescent="0.25">
      <c r="A500" s="7">
        <v>0.36736111111111108</v>
      </c>
      <c r="B500" s="7">
        <v>0.39374999999999999</v>
      </c>
      <c r="C500" s="7">
        <f t="shared" si="15"/>
        <v>2.6388888888888906E-2</v>
      </c>
      <c r="D500" s="7">
        <f t="shared" si="16"/>
        <v>1.3888888888888284E-3</v>
      </c>
      <c r="E500" s="1" t="s">
        <v>11</v>
      </c>
    </row>
    <row r="501" spans="1:5" x14ac:dyDescent="0.25">
      <c r="A501" s="7">
        <v>0.3756944444444445</v>
      </c>
      <c r="B501" s="7">
        <v>0.40347222222222223</v>
      </c>
      <c r="C501" s="7">
        <f t="shared" si="15"/>
        <v>2.7777777777777735E-2</v>
      </c>
      <c r="D501" s="7">
        <f t="shared" si="16"/>
        <v>9.7222222222221322E-3</v>
      </c>
      <c r="E501" s="1" t="s">
        <v>11</v>
      </c>
    </row>
    <row r="502" spans="1:5" x14ac:dyDescent="0.25">
      <c r="A502" s="7">
        <v>0.95624999999999993</v>
      </c>
      <c r="B502" s="7">
        <v>0.97430555555555554</v>
      </c>
      <c r="C502" s="7">
        <f t="shared" si="15"/>
        <v>1.8055555555555602E-2</v>
      </c>
      <c r="D502" s="7">
        <f t="shared" si="16"/>
        <v>6.9444444444446973E-4</v>
      </c>
      <c r="E502" s="1" t="s">
        <v>11</v>
      </c>
    </row>
    <row r="503" spans="1:5" x14ac:dyDescent="0.25">
      <c r="A503" s="7">
        <v>0.16597222222222222</v>
      </c>
      <c r="B503" s="7">
        <v>0.18333333333333335</v>
      </c>
      <c r="C503" s="7">
        <f t="shared" si="15"/>
        <v>1.7361111111111133E-2</v>
      </c>
      <c r="D503" s="7">
        <f t="shared" si="16"/>
        <v>1.2499999999999983E-2</v>
      </c>
      <c r="E503" s="1" t="s">
        <v>11</v>
      </c>
    </row>
    <row r="504" spans="1:5" x14ac:dyDescent="0.25">
      <c r="A504" s="7">
        <v>0.44305555555555554</v>
      </c>
      <c r="B504" s="7">
        <v>0.47291666666666665</v>
      </c>
      <c r="C504" s="7">
        <f t="shared" si="15"/>
        <v>2.9861111111111116E-2</v>
      </c>
      <c r="D504" s="7">
        <f t="shared" si="16"/>
        <v>6.9444444444444198E-3</v>
      </c>
      <c r="E504" s="1" t="s">
        <v>11</v>
      </c>
    </row>
    <row r="505" spans="1:5" x14ac:dyDescent="0.25">
      <c r="A505" s="7">
        <v>0.7055555555555556</v>
      </c>
      <c r="B505" s="7">
        <v>0.7284722222222223</v>
      </c>
      <c r="C505" s="7">
        <f t="shared" si="15"/>
        <v>2.2916666666666696E-2</v>
      </c>
      <c r="D505" s="7">
        <f t="shared" si="16"/>
        <v>8.3333333333334147E-3</v>
      </c>
      <c r="E505" s="1" t="s">
        <v>11</v>
      </c>
    </row>
    <row r="506" spans="1:5" x14ac:dyDescent="0.25">
      <c r="A506" s="7">
        <v>0.85833333333333339</v>
      </c>
      <c r="B506" s="7">
        <v>0.87291666666666667</v>
      </c>
      <c r="C506" s="7">
        <f t="shared" si="15"/>
        <v>1.4583333333333282E-2</v>
      </c>
      <c r="D506" s="7">
        <f t="shared" si="16"/>
        <v>6.2500000000000888E-3</v>
      </c>
      <c r="E506" s="1" t="s">
        <v>11</v>
      </c>
    </row>
    <row r="507" spans="1:5" x14ac:dyDescent="0.25">
      <c r="A507" s="7">
        <v>0.90208333333333324</v>
      </c>
      <c r="B507" s="7">
        <v>0.92291666666666661</v>
      </c>
      <c r="C507" s="7">
        <f t="shared" si="15"/>
        <v>2.083333333333337E-2</v>
      </c>
      <c r="D507" s="7">
        <f t="shared" si="16"/>
        <v>2.7777777777777679E-3</v>
      </c>
      <c r="E507" s="1" t="s">
        <v>11</v>
      </c>
    </row>
    <row r="508" spans="1:5" x14ac:dyDescent="0.25">
      <c r="A508" s="7">
        <v>0.17083333333333331</v>
      </c>
      <c r="B508" s="7">
        <v>0.19444444444444445</v>
      </c>
      <c r="C508" s="7">
        <f t="shared" ref="C508:C570" si="17">B508-A508</f>
        <v>2.3611111111111138E-2</v>
      </c>
      <c r="D508" s="7">
        <f t="shared" si="16"/>
        <v>3.4722222222222654E-3</v>
      </c>
      <c r="E508" s="1" t="s">
        <v>11</v>
      </c>
    </row>
    <row r="509" spans="1:5" x14ac:dyDescent="0.25">
      <c r="A509" s="7">
        <v>0.1277777777777778</v>
      </c>
      <c r="B509" s="7">
        <v>0.14791666666666667</v>
      </c>
      <c r="C509" s="7">
        <f t="shared" si="17"/>
        <v>2.0138888888888873E-2</v>
      </c>
      <c r="D509" s="7">
        <f t="shared" si="16"/>
        <v>1.1805555555555458E-2</v>
      </c>
      <c r="E509" s="1" t="s">
        <v>11</v>
      </c>
    </row>
    <row r="510" spans="1:5" x14ac:dyDescent="0.25">
      <c r="A510" s="7">
        <v>0.64583333333333337</v>
      </c>
      <c r="B510" s="7">
        <v>0.6777777777777777</v>
      </c>
      <c r="C510" s="7">
        <f t="shared" si="17"/>
        <v>3.1944444444444331E-2</v>
      </c>
      <c r="D510" s="7">
        <f t="shared" si="16"/>
        <v>4.1666666666668739E-3</v>
      </c>
      <c r="E510" s="1" t="s">
        <v>11</v>
      </c>
    </row>
    <row r="511" spans="1:5" x14ac:dyDescent="0.25">
      <c r="A511" s="7">
        <v>0.9277777777777777</v>
      </c>
      <c r="B511" s="7">
        <v>0.96388888888888891</v>
      </c>
      <c r="C511" s="7">
        <f t="shared" si="17"/>
        <v>3.6111111111111205E-2</v>
      </c>
      <c r="D511" s="7">
        <f t="shared" si="16"/>
        <v>2.0138888888888984E-2</v>
      </c>
      <c r="E511" s="1" t="s">
        <v>11</v>
      </c>
    </row>
    <row r="512" spans="1:5" x14ac:dyDescent="0.25">
      <c r="A512" s="7">
        <v>7.9861111111111105E-2</v>
      </c>
      <c r="B512" s="7">
        <v>9.5833333333333326E-2</v>
      </c>
      <c r="C512" s="7">
        <f t="shared" si="17"/>
        <v>1.5972222222222221E-2</v>
      </c>
      <c r="D512" s="7">
        <f t="shared" si="16"/>
        <v>6.2500000000000333E-3</v>
      </c>
      <c r="E512" s="1" t="s">
        <v>11</v>
      </c>
    </row>
    <row r="513" spans="1:5" x14ac:dyDescent="0.25">
      <c r="A513" s="7">
        <v>0.27638888888888885</v>
      </c>
      <c r="B513" s="7">
        <v>0.2986111111111111</v>
      </c>
      <c r="C513" s="7">
        <f t="shared" si="17"/>
        <v>2.2222222222222254E-2</v>
      </c>
      <c r="D513" s="7">
        <f t="shared" si="16"/>
        <v>2.7777777777778234E-3</v>
      </c>
      <c r="E513" s="1" t="s">
        <v>11</v>
      </c>
    </row>
    <row r="514" spans="1:5" x14ac:dyDescent="0.25">
      <c r="A514" s="7">
        <v>0.38472222222222219</v>
      </c>
      <c r="B514" s="7">
        <v>0.40972222222222227</v>
      </c>
      <c r="C514" s="7">
        <f t="shared" si="17"/>
        <v>2.5000000000000078E-2</v>
      </c>
      <c r="D514" s="7">
        <f t="shared" si="16"/>
        <v>3.4722222222222654E-3</v>
      </c>
      <c r="E514" s="1" t="s">
        <v>11</v>
      </c>
    </row>
    <row r="515" spans="1:5" x14ac:dyDescent="0.25">
      <c r="A515" s="7">
        <v>0.55208333333333337</v>
      </c>
      <c r="B515" s="7">
        <v>0.57361111111111118</v>
      </c>
      <c r="C515" s="7">
        <f t="shared" si="17"/>
        <v>2.1527777777777812E-2</v>
      </c>
      <c r="D515" s="7">
        <f t="shared" si="16"/>
        <v>5.5555555555555358E-3</v>
      </c>
      <c r="E515" s="1" t="s">
        <v>11</v>
      </c>
    </row>
    <row r="516" spans="1:5" x14ac:dyDescent="0.25">
      <c r="A516" s="7">
        <v>0.57847222222222217</v>
      </c>
      <c r="B516" s="7">
        <v>0.60555555555555551</v>
      </c>
      <c r="C516" s="7">
        <f t="shared" si="17"/>
        <v>2.7083333333333348E-2</v>
      </c>
      <c r="D516" s="7">
        <f t="shared" si="16"/>
        <v>4.8611111111110938E-3</v>
      </c>
      <c r="E516" s="1" t="s">
        <v>11</v>
      </c>
    </row>
    <row r="517" spans="1:5" x14ac:dyDescent="0.25">
      <c r="A517" s="7">
        <v>0.67291666666666661</v>
      </c>
      <c r="B517" s="7">
        <v>0.69513888888888886</v>
      </c>
      <c r="C517" s="7">
        <f t="shared" si="17"/>
        <v>2.2222222222222254E-2</v>
      </c>
      <c r="D517" s="7">
        <f t="shared" si="16"/>
        <v>1.041666666666663E-2</v>
      </c>
      <c r="E517" s="1" t="s">
        <v>11</v>
      </c>
    </row>
    <row r="518" spans="1:5" x14ac:dyDescent="0.25">
      <c r="A518" s="7">
        <v>1.0180555555555555</v>
      </c>
      <c r="B518" s="7">
        <v>1.0298611111111111</v>
      </c>
      <c r="C518" s="7">
        <f t="shared" si="17"/>
        <v>1.1805555555555625E-2</v>
      </c>
      <c r="D518" s="7">
        <f t="shared" si="16"/>
        <v>6.9444444444443088E-3</v>
      </c>
      <c r="E518" s="1" t="s">
        <v>11</v>
      </c>
    </row>
    <row r="519" spans="1:5" x14ac:dyDescent="0.25">
      <c r="A519" s="7">
        <v>0.6791666666666667</v>
      </c>
      <c r="B519" s="7">
        <v>0.69791666666666663</v>
      </c>
      <c r="C519" s="7">
        <f t="shared" si="17"/>
        <v>1.8749999999999933E-2</v>
      </c>
      <c r="D519" s="7">
        <f t="shared" si="16"/>
        <v>1.1102230246251565E-16</v>
      </c>
      <c r="E519" s="1" t="s">
        <v>11</v>
      </c>
    </row>
    <row r="520" spans="1:5" x14ac:dyDescent="0.25">
      <c r="A520" s="7">
        <v>0.72777777777777775</v>
      </c>
      <c r="B520" s="7">
        <v>0.74652777777777779</v>
      </c>
      <c r="C520" s="7">
        <f t="shared" si="17"/>
        <v>1.8750000000000044E-2</v>
      </c>
      <c r="D520" s="7">
        <f t="shared" si="16"/>
        <v>1.388888888888884E-3</v>
      </c>
      <c r="E520" s="1" t="s">
        <v>11</v>
      </c>
    </row>
    <row r="521" spans="1:5" x14ac:dyDescent="0.25">
      <c r="A521" s="7">
        <v>0.75486111111111109</v>
      </c>
      <c r="B521" s="7">
        <v>0.77500000000000002</v>
      </c>
      <c r="C521" s="7">
        <f t="shared" si="17"/>
        <v>2.0138888888888928E-2</v>
      </c>
      <c r="D521" s="7">
        <f t="shared" si="16"/>
        <v>1.388888888888995E-3</v>
      </c>
      <c r="E521" s="1" t="s">
        <v>11</v>
      </c>
    </row>
    <row r="522" spans="1:5" x14ac:dyDescent="0.25">
      <c r="A522" s="7">
        <v>0.77916666666666667</v>
      </c>
      <c r="B522" s="7">
        <v>0.79791666666666661</v>
      </c>
      <c r="C522" s="7">
        <f t="shared" si="17"/>
        <v>1.8749999999999933E-2</v>
      </c>
      <c r="D522" s="7">
        <f t="shared" si="16"/>
        <v>6.9444444444444198E-4</v>
      </c>
      <c r="E522" s="1" t="s">
        <v>11</v>
      </c>
    </row>
    <row r="523" spans="1:5" x14ac:dyDescent="0.25">
      <c r="A523" s="7">
        <v>0.85902777777777783</v>
      </c>
      <c r="B523" s="7">
        <v>0.87708333333333333</v>
      </c>
      <c r="C523" s="7">
        <f t="shared" si="17"/>
        <v>1.8055555555555491E-2</v>
      </c>
      <c r="D523" s="7">
        <f t="shared" si="16"/>
        <v>6.9444444444435871E-4</v>
      </c>
      <c r="E523" s="1" t="s">
        <v>11</v>
      </c>
    </row>
    <row r="524" spans="1:5" x14ac:dyDescent="0.25">
      <c r="A524" s="7">
        <v>0.10069444444444443</v>
      </c>
      <c r="B524" s="7">
        <v>0.11805555555555557</v>
      </c>
      <c r="C524" s="7">
        <f t="shared" si="17"/>
        <v>1.7361111111111133E-2</v>
      </c>
      <c r="D524" s="7">
        <f t="shared" si="16"/>
        <v>2.7755575615628914E-17</v>
      </c>
      <c r="E524" s="1" t="s">
        <v>11</v>
      </c>
    </row>
    <row r="525" spans="1:5" x14ac:dyDescent="0.25">
      <c r="A525" s="7">
        <v>0.16250000000000001</v>
      </c>
      <c r="B525" s="7">
        <v>0.17986111111111111</v>
      </c>
      <c r="C525" s="7">
        <f t="shared" si="17"/>
        <v>1.7361111111111105E-2</v>
      </c>
      <c r="D525" s="7">
        <f t="shared" si="16"/>
        <v>6.9444444444449749E-4</v>
      </c>
      <c r="E525" s="1" t="s">
        <v>11</v>
      </c>
    </row>
    <row r="526" spans="1:5" x14ac:dyDescent="0.25">
      <c r="A526" s="7">
        <v>0.57291666666666663</v>
      </c>
      <c r="B526" s="7">
        <v>0.59097222222222223</v>
      </c>
      <c r="C526" s="7">
        <f t="shared" si="17"/>
        <v>1.8055555555555602E-2</v>
      </c>
      <c r="D526" s="7">
        <f t="shared" si="16"/>
        <v>4.8611111111111494E-3</v>
      </c>
      <c r="E526" s="1" t="s">
        <v>11</v>
      </c>
    </row>
    <row r="527" spans="1:5" x14ac:dyDescent="0.25">
      <c r="A527" s="7">
        <v>0.47986111111111113</v>
      </c>
      <c r="B527" s="7">
        <v>0.49305555555555558</v>
      </c>
      <c r="C527" s="7">
        <f t="shared" si="17"/>
        <v>1.3194444444444453E-2</v>
      </c>
      <c r="D527" s="7">
        <f t="shared" si="16"/>
        <v>6.9444444444444753E-3</v>
      </c>
      <c r="E527" s="1" t="s">
        <v>11</v>
      </c>
    </row>
    <row r="528" spans="1:5" x14ac:dyDescent="0.25">
      <c r="A528" s="7">
        <v>0.7270833333333333</v>
      </c>
      <c r="B528" s="7">
        <v>0.74722222222222223</v>
      </c>
      <c r="C528" s="7">
        <f t="shared" si="17"/>
        <v>2.0138888888888928E-2</v>
      </c>
      <c r="D528" s="7">
        <f t="shared" ref="D528:D576" si="18">ABS(C529-C528)</f>
        <v>6.9444444444443088E-3</v>
      </c>
      <c r="E528" s="1" t="s">
        <v>11</v>
      </c>
    </row>
    <row r="529" spans="1:5" x14ac:dyDescent="0.25">
      <c r="A529" s="7">
        <v>0.99930555555555556</v>
      </c>
      <c r="B529" s="7">
        <v>1.0263888888888888</v>
      </c>
      <c r="C529" s="7">
        <f t="shared" si="17"/>
        <v>2.7083333333333237E-2</v>
      </c>
      <c r="D529" s="7">
        <f t="shared" si="18"/>
        <v>8.3333333333334286E-3</v>
      </c>
      <c r="E529" s="1" t="s">
        <v>11</v>
      </c>
    </row>
    <row r="530" spans="1:5" x14ac:dyDescent="0.25">
      <c r="A530" s="7">
        <v>4.6527777777777779E-2</v>
      </c>
      <c r="B530" s="7">
        <v>8.1944444444444445E-2</v>
      </c>
      <c r="C530" s="7">
        <f t="shared" si="17"/>
        <v>3.5416666666666666E-2</v>
      </c>
      <c r="D530" s="7">
        <f t="shared" si="18"/>
        <v>1.3888888888888853E-2</v>
      </c>
      <c r="E530" s="1" t="s">
        <v>11</v>
      </c>
    </row>
    <row r="531" spans="1:5" x14ac:dyDescent="0.25">
      <c r="A531" s="7">
        <v>0.30208333333333331</v>
      </c>
      <c r="B531" s="7">
        <v>0.32361111111111113</v>
      </c>
      <c r="C531" s="7">
        <f t="shared" si="17"/>
        <v>2.1527777777777812E-2</v>
      </c>
      <c r="D531" s="7">
        <f t="shared" si="18"/>
        <v>4.1666666666667629E-3</v>
      </c>
      <c r="E531" s="1" t="s">
        <v>11</v>
      </c>
    </row>
    <row r="532" spans="1:5" x14ac:dyDescent="0.25">
      <c r="A532" s="7">
        <v>0.38541666666666669</v>
      </c>
      <c r="B532" s="7">
        <v>0.40277777777777773</v>
      </c>
      <c r="C532" s="7">
        <f t="shared" si="17"/>
        <v>1.7361111111111049E-2</v>
      </c>
      <c r="D532" s="7">
        <f t="shared" si="18"/>
        <v>6.2500000000000888E-3</v>
      </c>
      <c r="E532" s="1" t="s">
        <v>11</v>
      </c>
    </row>
    <row r="533" spans="1:5" x14ac:dyDescent="0.25">
      <c r="A533" s="7">
        <v>0.7402777777777777</v>
      </c>
      <c r="B533" s="7">
        <v>0.76388888888888884</v>
      </c>
      <c r="C533" s="7">
        <f t="shared" si="17"/>
        <v>2.3611111111111138E-2</v>
      </c>
      <c r="D533" s="7">
        <f t="shared" si="18"/>
        <v>1.1111111111111183E-2</v>
      </c>
      <c r="E533" s="1" t="s">
        <v>11</v>
      </c>
    </row>
    <row r="534" spans="1:5" x14ac:dyDescent="0.25">
      <c r="A534" s="7">
        <v>0.8520833333333333</v>
      </c>
      <c r="B534" s="7">
        <v>0.88680555555555562</v>
      </c>
      <c r="C534" s="7">
        <f t="shared" si="17"/>
        <v>3.4722222222222321E-2</v>
      </c>
      <c r="D534" s="7">
        <f t="shared" si="18"/>
        <v>8.3333333333334703E-3</v>
      </c>
      <c r="E534" s="1" t="s">
        <v>11</v>
      </c>
    </row>
    <row r="535" spans="1:5" x14ac:dyDescent="0.25">
      <c r="A535" s="7">
        <v>0.25694444444444448</v>
      </c>
      <c r="B535" s="7">
        <v>0.28333333333333333</v>
      </c>
      <c r="C535" s="7">
        <f t="shared" si="17"/>
        <v>2.6388888888888851E-2</v>
      </c>
      <c r="D535" s="7">
        <f t="shared" si="18"/>
        <v>3.4722222222221544E-3</v>
      </c>
      <c r="E535" s="1" t="s">
        <v>11</v>
      </c>
    </row>
    <row r="536" spans="1:5" x14ac:dyDescent="0.25">
      <c r="A536" s="7">
        <v>0.77013888888888893</v>
      </c>
      <c r="B536" s="7">
        <v>0.79305555555555562</v>
      </c>
      <c r="C536" s="7">
        <f t="shared" si="17"/>
        <v>2.2916666666666696E-2</v>
      </c>
      <c r="D536" s="7">
        <f t="shared" si="18"/>
        <v>6.9444444444438647E-4</v>
      </c>
      <c r="E536" s="1" t="s">
        <v>11</v>
      </c>
    </row>
    <row r="537" spans="1:5" x14ac:dyDescent="0.25">
      <c r="A537" s="7">
        <v>0.3923611111111111</v>
      </c>
      <c r="B537" s="7">
        <v>0.41597222222222219</v>
      </c>
      <c r="C537" s="7">
        <f t="shared" si="17"/>
        <v>2.3611111111111083E-2</v>
      </c>
      <c r="D537" s="7">
        <f t="shared" si="18"/>
        <v>2.7777777777777124E-3</v>
      </c>
      <c r="E537" s="1" t="s">
        <v>11</v>
      </c>
    </row>
    <row r="538" spans="1:5" x14ac:dyDescent="0.25">
      <c r="A538" s="7">
        <v>0.4513888888888889</v>
      </c>
      <c r="B538" s="7">
        <v>0.47222222222222227</v>
      </c>
      <c r="C538" s="7">
        <f t="shared" si="17"/>
        <v>2.083333333333337E-2</v>
      </c>
      <c r="D538" s="7">
        <f t="shared" si="18"/>
        <v>1.8055555555555547E-2</v>
      </c>
      <c r="E538" s="1" t="s">
        <v>11</v>
      </c>
    </row>
    <row r="539" spans="1:5" x14ac:dyDescent="0.25">
      <c r="A539" s="7">
        <v>0.4680555555555555</v>
      </c>
      <c r="B539" s="7">
        <v>0.50694444444444442</v>
      </c>
      <c r="C539" s="7">
        <f t="shared" si="17"/>
        <v>3.8888888888888917E-2</v>
      </c>
      <c r="D539" s="7">
        <f t="shared" si="18"/>
        <v>1.7361111111111105E-2</v>
      </c>
      <c r="E539" s="1" t="s">
        <v>11</v>
      </c>
    </row>
    <row r="540" spans="1:5" x14ac:dyDescent="0.25">
      <c r="A540" s="7">
        <v>0.54166666666666663</v>
      </c>
      <c r="B540" s="7">
        <v>0.56319444444444444</v>
      </c>
      <c r="C540" s="7">
        <f t="shared" si="17"/>
        <v>2.1527777777777812E-2</v>
      </c>
      <c r="D540" s="7">
        <f t="shared" si="18"/>
        <v>2.7777777777777679E-3</v>
      </c>
      <c r="E540" s="1" t="s">
        <v>11</v>
      </c>
    </row>
    <row r="541" spans="1:5" x14ac:dyDescent="0.25">
      <c r="A541" s="7">
        <v>0.62638888888888888</v>
      </c>
      <c r="B541" s="7">
        <v>0.65069444444444446</v>
      </c>
      <c r="C541" s="7">
        <f t="shared" si="17"/>
        <v>2.430555555555558E-2</v>
      </c>
      <c r="D541" s="7">
        <f t="shared" si="18"/>
        <v>1.388888888888884E-3</v>
      </c>
      <c r="E541" s="1" t="s">
        <v>11</v>
      </c>
    </row>
    <row r="542" spans="1:5" x14ac:dyDescent="0.25">
      <c r="A542" s="7">
        <v>0.6069444444444444</v>
      </c>
      <c r="B542" s="7">
        <v>0.63263888888888886</v>
      </c>
      <c r="C542" s="7">
        <f t="shared" si="17"/>
        <v>2.5694444444444464E-2</v>
      </c>
      <c r="D542" s="7">
        <f t="shared" si="18"/>
        <v>1.5277777777777835E-2</v>
      </c>
      <c r="E542" s="1" t="s">
        <v>11</v>
      </c>
    </row>
    <row r="543" spans="1:5" x14ac:dyDescent="0.25">
      <c r="A543" s="7">
        <v>0.92083333333333339</v>
      </c>
      <c r="B543" s="7">
        <v>0.93125000000000002</v>
      </c>
      <c r="C543" s="7">
        <f t="shared" si="17"/>
        <v>1.041666666666663E-2</v>
      </c>
      <c r="D543" s="7">
        <f t="shared" si="18"/>
        <v>2.1527777777777812E-2</v>
      </c>
      <c r="E543" s="1" t="s">
        <v>11</v>
      </c>
    </row>
    <row r="544" spans="1:5" x14ac:dyDescent="0.25">
      <c r="A544" s="7">
        <v>0.17222222222222225</v>
      </c>
      <c r="B544" s="7">
        <v>0.20416666666666669</v>
      </c>
      <c r="C544" s="7">
        <f t="shared" si="17"/>
        <v>3.1944444444444442E-2</v>
      </c>
      <c r="D544" s="7">
        <f t="shared" si="18"/>
        <v>0</v>
      </c>
      <c r="E544" s="1" t="s">
        <v>11</v>
      </c>
    </row>
    <row r="545" spans="1:5" x14ac:dyDescent="0.25">
      <c r="A545" s="7">
        <v>0.66666666666666663</v>
      </c>
      <c r="B545" s="7">
        <v>0.69861111111111107</v>
      </c>
      <c r="C545" s="7">
        <f t="shared" si="17"/>
        <v>3.1944444444444442E-2</v>
      </c>
      <c r="D545" s="7">
        <f t="shared" si="18"/>
        <v>4.1666666666665408E-3</v>
      </c>
      <c r="E545" s="1" t="s">
        <v>11</v>
      </c>
    </row>
    <row r="546" spans="1:5" x14ac:dyDescent="0.25">
      <c r="A546" s="7">
        <v>0.93055555555555547</v>
      </c>
      <c r="B546" s="7">
        <v>0.95833333333333337</v>
      </c>
      <c r="C546" s="7">
        <f t="shared" si="17"/>
        <v>2.7777777777777901E-2</v>
      </c>
      <c r="D546" s="7">
        <f t="shared" si="18"/>
        <v>9.0277777777778845E-3</v>
      </c>
      <c r="E546" s="1" t="s">
        <v>11</v>
      </c>
    </row>
    <row r="547" spans="1:5" x14ac:dyDescent="0.25">
      <c r="A547" s="7">
        <v>0.22916666666666666</v>
      </c>
      <c r="B547" s="7">
        <v>0.24791666666666667</v>
      </c>
      <c r="C547" s="7">
        <f t="shared" si="17"/>
        <v>1.8750000000000017E-2</v>
      </c>
      <c r="D547" s="7">
        <f t="shared" si="18"/>
        <v>1.3888888888888007E-3</v>
      </c>
      <c r="E547" s="1" t="s">
        <v>11</v>
      </c>
    </row>
    <row r="548" spans="1:5" x14ac:dyDescent="0.25">
      <c r="A548" s="7">
        <v>0.68125000000000002</v>
      </c>
      <c r="B548" s="7">
        <v>0.70138888888888884</v>
      </c>
      <c r="C548" s="7">
        <f t="shared" si="17"/>
        <v>2.0138888888888817E-2</v>
      </c>
      <c r="D548" s="7">
        <f t="shared" si="18"/>
        <v>2.0833333333332149E-3</v>
      </c>
      <c r="E548" s="1" t="s">
        <v>11</v>
      </c>
    </row>
    <row r="549" spans="1:5" x14ac:dyDescent="0.25">
      <c r="A549" s="7">
        <v>0.82847222222222217</v>
      </c>
      <c r="B549" s="7">
        <v>0.84652777777777777</v>
      </c>
      <c r="C549" s="7">
        <f t="shared" si="17"/>
        <v>1.8055555555555602E-2</v>
      </c>
      <c r="D549" s="7">
        <f t="shared" si="18"/>
        <v>3.4722222222220989E-3</v>
      </c>
      <c r="E549" s="1" t="s">
        <v>11</v>
      </c>
    </row>
    <row r="550" spans="1:5" x14ac:dyDescent="0.25">
      <c r="A550" s="7">
        <v>0.94444444444444453</v>
      </c>
      <c r="B550" s="7">
        <v>0.96597222222222223</v>
      </c>
      <c r="C550" s="7">
        <f t="shared" si="17"/>
        <v>2.1527777777777701E-2</v>
      </c>
      <c r="D550" s="7">
        <f t="shared" si="18"/>
        <v>2.7777777777775459E-3</v>
      </c>
      <c r="E550" s="1" t="s">
        <v>11</v>
      </c>
    </row>
    <row r="551" spans="1:5" x14ac:dyDescent="0.25">
      <c r="A551" s="7">
        <v>0.76388888888888884</v>
      </c>
      <c r="B551" s="7">
        <v>0.78263888888888899</v>
      </c>
      <c r="C551" s="7">
        <f t="shared" si="17"/>
        <v>1.8750000000000155E-2</v>
      </c>
      <c r="D551" s="7">
        <f t="shared" si="18"/>
        <v>1.3888888888886619E-3</v>
      </c>
      <c r="E551" s="1" t="s">
        <v>11</v>
      </c>
    </row>
    <row r="552" spans="1:5" x14ac:dyDescent="0.25">
      <c r="A552" s="7">
        <v>0.73888888888888893</v>
      </c>
      <c r="B552" s="7">
        <v>0.75902777777777775</v>
      </c>
      <c r="C552" s="7">
        <f t="shared" si="17"/>
        <v>2.0138888888888817E-2</v>
      </c>
      <c r="D552" s="7">
        <f t="shared" si="18"/>
        <v>6.9444444444444198E-4</v>
      </c>
      <c r="E552" s="1" t="s">
        <v>11</v>
      </c>
    </row>
    <row r="553" spans="1:5" x14ac:dyDescent="0.25">
      <c r="A553" s="7">
        <v>0.60902777777777783</v>
      </c>
      <c r="B553" s="7">
        <v>0.62986111111111109</v>
      </c>
      <c r="C553" s="7">
        <f t="shared" si="17"/>
        <v>2.0833333333333259E-2</v>
      </c>
      <c r="D553" s="7">
        <f t="shared" si="18"/>
        <v>5.5555555555555358E-3</v>
      </c>
      <c r="E553" s="1" t="s">
        <v>11</v>
      </c>
    </row>
    <row r="554" spans="1:5" x14ac:dyDescent="0.25">
      <c r="A554" s="7">
        <v>0.64583333333333337</v>
      </c>
      <c r="B554" s="7">
        <v>0.67222222222222217</v>
      </c>
      <c r="C554" s="7">
        <f t="shared" si="17"/>
        <v>2.6388888888888795E-2</v>
      </c>
      <c r="D554" s="7">
        <f t="shared" si="18"/>
        <v>4.1666666666666519E-3</v>
      </c>
      <c r="E554" s="1" t="s">
        <v>11</v>
      </c>
    </row>
    <row r="555" spans="1:5" x14ac:dyDescent="0.25">
      <c r="A555" s="7">
        <v>0.66875000000000007</v>
      </c>
      <c r="B555" s="7">
        <v>0.69097222222222221</v>
      </c>
      <c r="C555" s="7">
        <f t="shared" si="17"/>
        <v>2.2222222222222143E-2</v>
      </c>
      <c r="D555" s="7">
        <f t="shared" si="18"/>
        <v>4.1666666666667559E-3</v>
      </c>
      <c r="E555" s="1" t="s">
        <v>11</v>
      </c>
    </row>
    <row r="556" spans="1:5" x14ac:dyDescent="0.25">
      <c r="A556" s="7">
        <v>4.5138888888888888E-2</v>
      </c>
      <c r="B556" s="7">
        <v>7.1527777777777787E-2</v>
      </c>
      <c r="C556" s="7">
        <f t="shared" si="17"/>
        <v>2.6388888888888899E-2</v>
      </c>
      <c r="D556" s="7">
        <f t="shared" si="18"/>
        <v>5.5555555555555844E-3</v>
      </c>
      <c r="E556" s="1" t="s">
        <v>11</v>
      </c>
    </row>
    <row r="557" spans="1:5" x14ac:dyDescent="0.25">
      <c r="A557" s="7">
        <v>0.31111111111111112</v>
      </c>
      <c r="B557" s="7">
        <v>0.33194444444444443</v>
      </c>
      <c r="C557" s="7">
        <f t="shared" si="17"/>
        <v>2.0833333333333315E-2</v>
      </c>
      <c r="D557" s="7">
        <f t="shared" si="18"/>
        <v>6.9444444444449749E-4</v>
      </c>
      <c r="E557" s="1" t="s">
        <v>11</v>
      </c>
    </row>
    <row r="558" spans="1:5" x14ac:dyDescent="0.25">
      <c r="A558" s="7">
        <v>0.38194444444444442</v>
      </c>
      <c r="B558" s="7">
        <v>0.40347222222222223</v>
      </c>
      <c r="C558" s="7">
        <f t="shared" si="17"/>
        <v>2.1527777777777812E-2</v>
      </c>
      <c r="D558" s="7">
        <f t="shared" si="18"/>
        <v>0</v>
      </c>
      <c r="E558" s="1" t="s">
        <v>11</v>
      </c>
    </row>
    <row r="559" spans="1:5" x14ac:dyDescent="0.25">
      <c r="A559" s="7">
        <v>0.63124999999999998</v>
      </c>
      <c r="B559" s="7">
        <v>0.65277777777777779</v>
      </c>
      <c r="C559" s="7">
        <f t="shared" si="17"/>
        <v>2.1527777777777812E-2</v>
      </c>
      <c r="D559" s="7">
        <f t="shared" si="18"/>
        <v>2.0833333333333259E-3</v>
      </c>
      <c r="E559" s="1" t="s">
        <v>11</v>
      </c>
    </row>
    <row r="560" spans="1:5" x14ac:dyDescent="0.25">
      <c r="A560" s="7">
        <v>0.53541666666666665</v>
      </c>
      <c r="B560" s="7">
        <v>0.55486111111111114</v>
      </c>
      <c r="C560" s="7">
        <f t="shared" si="17"/>
        <v>1.9444444444444486E-2</v>
      </c>
      <c r="D560" s="7">
        <f t="shared" si="18"/>
        <v>4.1666666666666519E-3</v>
      </c>
      <c r="E560" s="1" t="s">
        <v>11</v>
      </c>
    </row>
    <row r="561" spans="1:5" x14ac:dyDescent="0.25">
      <c r="A561" s="7">
        <v>0.5625</v>
      </c>
      <c r="B561" s="7">
        <v>0.58611111111111114</v>
      </c>
      <c r="C561" s="7">
        <f t="shared" si="17"/>
        <v>2.3611111111111138E-2</v>
      </c>
      <c r="D561" s="7">
        <f t="shared" si="18"/>
        <v>4.1666666666667629E-3</v>
      </c>
      <c r="E561" s="1" t="s">
        <v>11</v>
      </c>
    </row>
    <row r="562" spans="1:5" x14ac:dyDescent="0.25">
      <c r="A562" s="7">
        <v>0.61597222222222225</v>
      </c>
      <c r="B562" s="7">
        <v>0.63541666666666663</v>
      </c>
      <c r="C562" s="7">
        <f t="shared" si="17"/>
        <v>1.9444444444444375E-2</v>
      </c>
      <c r="D562" s="7">
        <f t="shared" si="18"/>
        <v>3.4722222222223209E-3</v>
      </c>
      <c r="E562" s="1" t="s">
        <v>11</v>
      </c>
    </row>
    <row r="563" spans="1:5" x14ac:dyDescent="0.25">
      <c r="A563" s="7">
        <v>0.63472222222222219</v>
      </c>
      <c r="B563" s="7">
        <v>0.65763888888888888</v>
      </c>
      <c r="C563" s="7">
        <f t="shared" si="17"/>
        <v>2.2916666666666696E-2</v>
      </c>
      <c r="D563" s="7">
        <f t="shared" si="18"/>
        <v>1.3888888888887729E-3</v>
      </c>
      <c r="E563" s="1" t="s">
        <v>11</v>
      </c>
    </row>
    <row r="564" spans="1:5" x14ac:dyDescent="0.25">
      <c r="A564" s="7">
        <v>0.69166666666666676</v>
      </c>
      <c r="B564" s="7">
        <v>0.71597222222222223</v>
      </c>
      <c r="C564" s="7">
        <f t="shared" si="17"/>
        <v>2.4305555555555469E-2</v>
      </c>
      <c r="D564" s="7">
        <f t="shared" si="18"/>
        <v>6.9444444444433095E-4</v>
      </c>
      <c r="E564" s="1" t="s">
        <v>11</v>
      </c>
    </row>
    <row r="565" spans="1:5" x14ac:dyDescent="0.25">
      <c r="A565" s="7">
        <v>0.68472222222222223</v>
      </c>
      <c r="B565" s="7">
        <v>0.70833333333333337</v>
      </c>
      <c r="C565" s="7">
        <f t="shared" si="17"/>
        <v>2.3611111111111138E-2</v>
      </c>
      <c r="D565" s="7">
        <f t="shared" si="18"/>
        <v>1.3888888888887729E-3</v>
      </c>
      <c r="E565" s="1" t="s">
        <v>11</v>
      </c>
    </row>
    <row r="566" spans="1:5" x14ac:dyDescent="0.25">
      <c r="A566" s="7">
        <v>0.80833333333333324</v>
      </c>
      <c r="B566" s="7">
        <v>0.8305555555555556</v>
      </c>
      <c r="C566" s="7">
        <f t="shared" si="17"/>
        <v>2.2222222222222365E-2</v>
      </c>
      <c r="D566" s="7">
        <f t="shared" si="18"/>
        <v>2.0833333333332149E-3</v>
      </c>
      <c r="E566" s="1" t="s">
        <v>11</v>
      </c>
    </row>
    <row r="567" spans="1:5" x14ac:dyDescent="0.25">
      <c r="A567" s="7">
        <v>0.81319444444444444</v>
      </c>
      <c r="B567" s="7">
        <v>0.83750000000000002</v>
      </c>
      <c r="C567" s="7">
        <f t="shared" si="17"/>
        <v>2.430555555555558E-2</v>
      </c>
      <c r="D567" s="7">
        <f t="shared" si="18"/>
        <v>4.1666666666666519E-3</v>
      </c>
      <c r="E567" s="1" t="s">
        <v>11</v>
      </c>
    </row>
    <row r="568" spans="1:5" x14ac:dyDescent="0.25">
      <c r="A568" s="7">
        <v>0.62916666666666665</v>
      </c>
      <c r="B568" s="7">
        <v>0.64930555555555558</v>
      </c>
      <c r="C568" s="7">
        <f t="shared" si="17"/>
        <v>2.0138888888888928E-2</v>
      </c>
      <c r="D568" s="7">
        <f t="shared" si="18"/>
        <v>1.1805555555555514E-2</v>
      </c>
      <c r="E568" s="1" t="s">
        <v>11</v>
      </c>
    </row>
    <row r="569" spans="1:5" x14ac:dyDescent="0.25">
      <c r="A569" s="7">
        <v>0.71805555555555556</v>
      </c>
      <c r="B569" s="7">
        <v>0.75</v>
      </c>
      <c r="C569" s="7">
        <f t="shared" si="17"/>
        <v>3.1944444444444442E-2</v>
      </c>
      <c r="D569" s="7">
        <f t="shared" si="18"/>
        <v>1.4583333333333282E-2</v>
      </c>
      <c r="E569" s="1" t="s">
        <v>11</v>
      </c>
    </row>
    <row r="570" spans="1:5" x14ac:dyDescent="0.25">
      <c r="A570" s="7">
        <v>0.84375</v>
      </c>
      <c r="B570" s="7">
        <v>0.86111111111111116</v>
      </c>
      <c r="C570" s="7">
        <f t="shared" si="17"/>
        <v>1.736111111111116E-2</v>
      </c>
      <c r="D570" s="7">
        <f t="shared" si="18"/>
        <v>1.388888888888884E-3</v>
      </c>
      <c r="E570" s="1" t="s">
        <v>11</v>
      </c>
    </row>
    <row r="571" spans="1:5" x14ac:dyDescent="0.25">
      <c r="A571" s="7">
        <v>0.90555555555555556</v>
      </c>
      <c r="B571" s="7">
        <v>0.9243055555555556</v>
      </c>
      <c r="C571" s="7">
        <f t="shared" ref="C571:C606" si="19">B571-A571</f>
        <v>1.8750000000000044E-2</v>
      </c>
      <c r="D571" s="7">
        <f t="shared" si="18"/>
        <v>1.388888888888884E-3</v>
      </c>
      <c r="E571" s="1" t="s">
        <v>11</v>
      </c>
    </row>
    <row r="572" spans="1:5" x14ac:dyDescent="0.25">
      <c r="A572" s="7">
        <v>0.58472222222222225</v>
      </c>
      <c r="B572" s="7">
        <v>0.60486111111111118</v>
      </c>
      <c r="C572" s="7">
        <f t="shared" si="19"/>
        <v>2.0138888888888928E-2</v>
      </c>
      <c r="D572" s="7">
        <f t="shared" si="18"/>
        <v>2.083333333333437E-3</v>
      </c>
      <c r="E572" s="1" t="s">
        <v>11</v>
      </c>
    </row>
    <row r="573" spans="1:5" x14ac:dyDescent="0.25">
      <c r="A573" s="7">
        <v>0.7715277777777777</v>
      </c>
      <c r="B573" s="7">
        <v>0.79375000000000007</v>
      </c>
      <c r="C573" s="7">
        <f t="shared" si="19"/>
        <v>2.2222222222222365E-2</v>
      </c>
      <c r="D573" s="7">
        <f t="shared" si="18"/>
        <v>2.7777777777777679E-3</v>
      </c>
      <c r="E573" s="1" t="s">
        <v>11</v>
      </c>
    </row>
    <row r="574" spans="1:5" x14ac:dyDescent="0.25">
      <c r="A574" s="7">
        <v>0.83124999999999993</v>
      </c>
      <c r="B574" s="7">
        <v>0.85069444444444453</v>
      </c>
      <c r="C574" s="7">
        <f t="shared" si="19"/>
        <v>1.9444444444444597E-2</v>
      </c>
      <c r="D574" s="7">
        <f t="shared" si="18"/>
        <v>5.5555555555553138E-3</v>
      </c>
      <c r="E574" s="1" t="s">
        <v>11</v>
      </c>
    </row>
    <row r="575" spans="1:5" x14ac:dyDescent="0.25">
      <c r="A575" s="7">
        <v>0.69444444444444453</v>
      </c>
      <c r="B575" s="7">
        <v>0.71944444444444444</v>
      </c>
      <c r="C575" s="7">
        <f t="shared" si="19"/>
        <v>2.4999999999999911E-2</v>
      </c>
      <c r="D575" s="7">
        <f t="shared" si="18"/>
        <v>1.388888888888884E-3</v>
      </c>
      <c r="E575" s="1" t="s">
        <v>11</v>
      </c>
    </row>
    <row r="576" spans="1:5" x14ac:dyDescent="0.25">
      <c r="A576" s="7">
        <v>0.72222222222222221</v>
      </c>
      <c r="B576" s="7">
        <v>0.74583333333333324</v>
      </c>
      <c r="C576" s="7">
        <f t="shared" si="19"/>
        <v>2.3611111111111027E-2</v>
      </c>
      <c r="D576" s="7">
        <f t="shared" si="18"/>
        <v>5.5555555555555358E-3</v>
      </c>
      <c r="E576" s="1" t="s">
        <v>11</v>
      </c>
    </row>
    <row r="577" spans="1:5" x14ac:dyDescent="0.25">
      <c r="A577" s="7">
        <v>0.8222222222222223</v>
      </c>
      <c r="B577" s="7">
        <v>0.84027777777777779</v>
      </c>
      <c r="C577" s="7">
        <f t="shared" si="19"/>
        <v>1.8055555555555491E-2</v>
      </c>
      <c r="D577" s="7"/>
      <c r="E577" s="1" t="s">
        <v>11</v>
      </c>
    </row>
    <row r="578" spans="1:5" x14ac:dyDescent="0.25">
      <c r="A578" s="7">
        <v>0.16874999999999998</v>
      </c>
      <c r="B578" s="7">
        <v>0.18819444444444444</v>
      </c>
      <c r="C578" s="7">
        <f t="shared" si="19"/>
        <v>1.9444444444444459E-2</v>
      </c>
      <c r="D578" s="7">
        <f>ABS(C579-C578)</f>
        <v>2.0833333333335202E-3</v>
      </c>
      <c r="E578" s="1" t="s">
        <v>8</v>
      </c>
    </row>
    <row r="579" spans="1:5" x14ac:dyDescent="0.25">
      <c r="A579" s="7">
        <v>0.87638888888888899</v>
      </c>
      <c r="B579" s="7">
        <v>0.89374999999999993</v>
      </c>
      <c r="C579" s="7">
        <f t="shared" si="19"/>
        <v>1.7361111111110938E-2</v>
      </c>
      <c r="D579" s="7">
        <f t="shared" ref="D579:D605" si="20">ABS(C580-C579)</f>
        <v>5.5555555555553693E-3</v>
      </c>
      <c r="E579" s="1" t="s">
        <v>8</v>
      </c>
    </row>
    <row r="580" spans="1:5" x14ac:dyDescent="0.25">
      <c r="A580" s="7">
        <v>0.4770833333333333</v>
      </c>
      <c r="B580" s="7">
        <v>0.48888888888888887</v>
      </c>
      <c r="C580" s="7">
        <f t="shared" si="19"/>
        <v>1.1805555555555569E-2</v>
      </c>
      <c r="D580" s="7">
        <f t="shared" si="20"/>
        <v>2.0833333333332704E-3</v>
      </c>
      <c r="E580" s="1" t="s">
        <v>8</v>
      </c>
    </row>
    <row r="581" spans="1:5" x14ac:dyDescent="0.25">
      <c r="A581" s="7">
        <v>0.52638888888888891</v>
      </c>
      <c r="B581" s="7">
        <v>0.54027777777777775</v>
      </c>
      <c r="C581" s="7">
        <f t="shared" si="19"/>
        <v>1.388888888888884E-2</v>
      </c>
      <c r="D581" s="7">
        <f t="shared" si="20"/>
        <v>2.083333333333437E-3</v>
      </c>
      <c r="E581" s="1" t="s">
        <v>8</v>
      </c>
    </row>
    <row r="582" spans="1:5" x14ac:dyDescent="0.25">
      <c r="A582" s="7">
        <v>0.54097222222222219</v>
      </c>
      <c r="B582" s="7">
        <v>0.55694444444444446</v>
      </c>
      <c r="C582" s="7">
        <f t="shared" si="19"/>
        <v>1.5972222222222276E-2</v>
      </c>
      <c r="D582" s="7">
        <f t="shared" si="20"/>
        <v>4.8611111111109828E-3</v>
      </c>
      <c r="E582" s="1" t="s">
        <v>8</v>
      </c>
    </row>
    <row r="583" spans="1:5" x14ac:dyDescent="0.25">
      <c r="A583" s="7">
        <v>0.60486111111111118</v>
      </c>
      <c r="B583" s="7">
        <v>0.62569444444444444</v>
      </c>
      <c r="C583" s="7">
        <f t="shared" si="19"/>
        <v>2.0833333333333259E-2</v>
      </c>
      <c r="D583" s="7">
        <f t="shared" si="20"/>
        <v>4.8611111111110938E-3</v>
      </c>
      <c r="E583" s="1" t="s">
        <v>8</v>
      </c>
    </row>
    <row r="584" spans="1:5" x14ac:dyDescent="0.25">
      <c r="A584" s="7">
        <v>0.93819444444444444</v>
      </c>
      <c r="B584" s="7">
        <v>0.95416666666666661</v>
      </c>
      <c r="C584" s="7">
        <f t="shared" si="19"/>
        <v>1.5972222222222165E-2</v>
      </c>
      <c r="D584" s="7">
        <f t="shared" si="20"/>
        <v>9.7222222222222987E-3</v>
      </c>
      <c r="E584" s="1" t="s">
        <v>8</v>
      </c>
    </row>
    <row r="585" spans="1:5" x14ac:dyDescent="0.25">
      <c r="A585" s="7">
        <v>0.94166666666666676</v>
      </c>
      <c r="B585" s="7">
        <v>0.94791666666666663</v>
      </c>
      <c r="C585" s="7">
        <f t="shared" si="19"/>
        <v>6.2499999999998668E-3</v>
      </c>
      <c r="D585" s="7">
        <f t="shared" si="20"/>
        <v>1.4583333333333448E-2</v>
      </c>
      <c r="E585" s="1" t="s">
        <v>8</v>
      </c>
    </row>
    <row r="586" spans="1:5" x14ac:dyDescent="0.25">
      <c r="A586" s="7">
        <v>0.45624999999999999</v>
      </c>
      <c r="B586" s="7">
        <v>0.4770833333333333</v>
      </c>
      <c r="C586" s="7">
        <f t="shared" si="19"/>
        <v>2.0833333333333315E-2</v>
      </c>
      <c r="D586" s="7">
        <f t="shared" si="20"/>
        <v>3.4722222222222099E-3</v>
      </c>
      <c r="E586" s="1" t="s">
        <v>8</v>
      </c>
    </row>
    <row r="587" spans="1:5" x14ac:dyDescent="0.25">
      <c r="A587" s="7">
        <v>0.46736111111111112</v>
      </c>
      <c r="B587" s="7">
        <v>0.48472222222222222</v>
      </c>
      <c r="C587" s="7">
        <f t="shared" si="19"/>
        <v>1.7361111111111105E-2</v>
      </c>
      <c r="D587" s="7">
        <f t="shared" si="20"/>
        <v>3.4722222222222099E-3</v>
      </c>
      <c r="E587" s="1" t="s">
        <v>8</v>
      </c>
    </row>
    <row r="588" spans="1:5" x14ac:dyDescent="0.25">
      <c r="A588" s="7">
        <v>0.4777777777777778</v>
      </c>
      <c r="B588" s="7">
        <v>0.4916666666666667</v>
      </c>
      <c r="C588" s="7">
        <f t="shared" si="19"/>
        <v>1.3888888888888895E-2</v>
      </c>
      <c r="D588" s="7">
        <f t="shared" si="20"/>
        <v>1.1805555555555541E-2</v>
      </c>
      <c r="E588" s="1" t="s">
        <v>8</v>
      </c>
    </row>
    <row r="589" spans="1:5" x14ac:dyDescent="0.25">
      <c r="A589" s="7">
        <v>0.1277777777777778</v>
      </c>
      <c r="B589" s="7">
        <v>0.15347222222222223</v>
      </c>
      <c r="C589" s="7">
        <f t="shared" si="19"/>
        <v>2.5694444444444436E-2</v>
      </c>
      <c r="D589" s="7">
        <f t="shared" si="20"/>
        <v>1.3877787807814457E-17</v>
      </c>
      <c r="E589" s="1" t="s">
        <v>8</v>
      </c>
    </row>
    <row r="590" spans="1:5" x14ac:dyDescent="0.25">
      <c r="A590" s="7">
        <v>7.9861111111111105E-2</v>
      </c>
      <c r="B590" s="7">
        <v>0.10555555555555556</v>
      </c>
      <c r="C590" s="7">
        <f t="shared" si="19"/>
        <v>2.569444444444445E-2</v>
      </c>
      <c r="D590" s="7">
        <f t="shared" si="20"/>
        <v>6.9444444444445169E-3</v>
      </c>
      <c r="E590" s="1" t="s">
        <v>8</v>
      </c>
    </row>
    <row r="591" spans="1:5" x14ac:dyDescent="0.25">
      <c r="A591" s="7">
        <v>0.54236111111111118</v>
      </c>
      <c r="B591" s="7">
        <v>0.56111111111111112</v>
      </c>
      <c r="C591" s="7">
        <f t="shared" si="19"/>
        <v>1.8749999999999933E-2</v>
      </c>
      <c r="D591" s="7">
        <f t="shared" si="20"/>
        <v>5.5555555555555358E-3</v>
      </c>
      <c r="E591" s="1" t="s">
        <v>8</v>
      </c>
    </row>
    <row r="592" spans="1:5" x14ac:dyDescent="0.25">
      <c r="A592" s="7">
        <v>0.52777777777777779</v>
      </c>
      <c r="B592" s="7">
        <v>0.54097222222222219</v>
      </c>
      <c r="C592" s="7">
        <f t="shared" si="19"/>
        <v>1.3194444444444398E-2</v>
      </c>
      <c r="D592" s="7">
        <f t="shared" si="20"/>
        <v>2.0833333333332704E-3</v>
      </c>
      <c r="E592" s="1" t="s">
        <v>8</v>
      </c>
    </row>
    <row r="593" spans="1:5" x14ac:dyDescent="0.25">
      <c r="A593" s="7">
        <v>0.10069444444444443</v>
      </c>
      <c r="B593" s="7">
        <v>0.11180555555555556</v>
      </c>
      <c r="C593" s="7">
        <f t="shared" si="19"/>
        <v>1.1111111111111127E-2</v>
      </c>
      <c r="D593" s="7">
        <f t="shared" si="20"/>
        <v>6.9444444444449749E-4</v>
      </c>
      <c r="E593" s="1" t="s">
        <v>8</v>
      </c>
    </row>
    <row r="594" spans="1:5" x14ac:dyDescent="0.25">
      <c r="A594" s="7">
        <v>0.3298611111111111</v>
      </c>
      <c r="B594" s="7">
        <v>0.34027777777777773</v>
      </c>
      <c r="C594" s="7">
        <f t="shared" si="19"/>
        <v>1.041666666666663E-2</v>
      </c>
      <c r="D594" s="7">
        <f t="shared" si="20"/>
        <v>2.7777777777777679E-3</v>
      </c>
      <c r="E594" s="1" t="s">
        <v>8</v>
      </c>
    </row>
    <row r="595" spans="1:5" x14ac:dyDescent="0.25">
      <c r="A595" s="7">
        <v>0.86388888888888893</v>
      </c>
      <c r="B595" s="7">
        <v>0.87708333333333333</v>
      </c>
      <c r="C595" s="7">
        <f t="shared" si="19"/>
        <v>1.3194444444444398E-2</v>
      </c>
      <c r="D595" s="7">
        <f t="shared" si="20"/>
        <v>6.9444444444444198E-3</v>
      </c>
      <c r="E595" s="1" t="s">
        <v>8</v>
      </c>
    </row>
    <row r="596" spans="1:5" x14ac:dyDescent="0.25">
      <c r="A596" s="7">
        <v>0.87430555555555556</v>
      </c>
      <c r="B596" s="7">
        <v>0.88055555555555554</v>
      </c>
      <c r="C596" s="7">
        <f t="shared" si="19"/>
        <v>6.2499999999999778E-3</v>
      </c>
      <c r="D596" s="7">
        <f t="shared" si="20"/>
        <v>4.8611111111110938E-3</v>
      </c>
      <c r="E596" s="1" t="s">
        <v>8</v>
      </c>
    </row>
    <row r="597" spans="1:5" x14ac:dyDescent="0.25">
      <c r="A597" s="7">
        <v>0.89513888888888893</v>
      </c>
      <c r="B597" s="7">
        <v>0.90625</v>
      </c>
      <c r="C597" s="7">
        <f t="shared" si="19"/>
        <v>1.1111111111111072E-2</v>
      </c>
      <c r="D597" s="7">
        <f t="shared" si="20"/>
        <v>2.7777777777777679E-3</v>
      </c>
      <c r="E597" s="1" t="s">
        <v>8</v>
      </c>
    </row>
    <row r="598" spans="1:5" x14ac:dyDescent="0.25">
      <c r="A598" s="7">
        <v>0.59305555555555556</v>
      </c>
      <c r="B598" s="7">
        <v>0.6069444444444444</v>
      </c>
      <c r="C598" s="7">
        <f t="shared" si="19"/>
        <v>1.388888888888884E-2</v>
      </c>
      <c r="D598" s="7">
        <f t="shared" si="20"/>
        <v>2.0833333333333259E-3</v>
      </c>
      <c r="E598" s="1" t="s">
        <v>8</v>
      </c>
    </row>
    <row r="599" spans="1:5" x14ac:dyDescent="0.25">
      <c r="A599" s="7">
        <v>0.64166666666666672</v>
      </c>
      <c r="B599" s="7">
        <v>0.65347222222222223</v>
      </c>
      <c r="C599" s="7">
        <f t="shared" si="19"/>
        <v>1.1805555555555514E-2</v>
      </c>
      <c r="D599" s="7">
        <f t="shared" si="20"/>
        <v>1.041666666666663E-2</v>
      </c>
      <c r="E599" s="1" t="s">
        <v>8</v>
      </c>
    </row>
    <row r="600" spans="1:5" x14ac:dyDescent="0.25">
      <c r="A600" s="7">
        <v>0.61597222222222225</v>
      </c>
      <c r="B600" s="7">
        <v>0.6381944444444444</v>
      </c>
      <c r="C600" s="7">
        <f t="shared" si="19"/>
        <v>2.2222222222222143E-2</v>
      </c>
      <c r="D600" s="7">
        <f t="shared" si="20"/>
        <v>1.7361111111111049E-2</v>
      </c>
      <c r="E600" s="1" t="s">
        <v>8</v>
      </c>
    </row>
    <row r="601" spans="1:5" x14ac:dyDescent="0.25">
      <c r="A601" s="7">
        <v>0.65555555555555556</v>
      </c>
      <c r="B601" s="7">
        <v>0.66041666666666665</v>
      </c>
      <c r="C601" s="7">
        <f t="shared" si="19"/>
        <v>4.8611111111110938E-3</v>
      </c>
      <c r="D601" s="7">
        <f t="shared" si="20"/>
        <v>9.7222222222222987E-3</v>
      </c>
      <c r="E601" s="1" t="s">
        <v>8</v>
      </c>
    </row>
    <row r="602" spans="1:5" x14ac:dyDescent="0.25">
      <c r="A602" s="7">
        <v>0.81319444444444444</v>
      </c>
      <c r="B602" s="7">
        <v>0.82777777777777783</v>
      </c>
      <c r="C602" s="7">
        <f t="shared" si="19"/>
        <v>1.4583333333333393E-2</v>
      </c>
      <c r="D602" s="7">
        <f t="shared" si="20"/>
        <v>6.9444444444444198E-4</v>
      </c>
      <c r="E602" s="1" t="s">
        <v>8</v>
      </c>
    </row>
    <row r="603" spans="1:5" x14ac:dyDescent="0.25">
      <c r="A603" s="7">
        <v>0.62916666666666665</v>
      </c>
      <c r="B603" s="7">
        <v>0.64444444444444449</v>
      </c>
      <c r="C603" s="7">
        <f t="shared" si="19"/>
        <v>1.5277777777777835E-2</v>
      </c>
      <c r="D603" s="7">
        <f t="shared" si="20"/>
        <v>1.3888888888888284E-3</v>
      </c>
      <c r="E603" s="1" t="s">
        <v>8</v>
      </c>
    </row>
    <row r="604" spans="1:5" x14ac:dyDescent="0.25">
      <c r="A604" s="7">
        <v>0.46597222222222223</v>
      </c>
      <c r="B604" s="7">
        <v>0.4826388888888889</v>
      </c>
      <c r="C604" s="7">
        <f t="shared" si="19"/>
        <v>1.6666666666666663E-2</v>
      </c>
      <c r="D604" s="7">
        <f t="shared" si="20"/>
        <v>1.5972222222222276E-2</v>
      </c>
      <c r="E604" s="1" t="s">
        <v>8</v>
      </c>
    </row>
    <row r="605" spans="1:5" x14ac:dyDescent="0.25">
      <c r="A605" s="7">
        <v>0.49791666666666662</v>
      </c>
      <c r="B605" s="7">
        <v>0.53055555555555556</v>
      </c>
      <c r="C605" s="7">
        <f t="shared" si="19"/>
        <v>3.2638888888888939E-2</v>
      </c>
      <c r="D605" s="7">
        <f t="shared" si="20"/>
        <v>1.527777777777789E-2</v>
      </c>
      <c r="E605" s="1" t="s">
        <v>8</v>
      </c>
    </row>
    <row r="606" spans="1:5" x14ac:dyDescent="0.25">
      <c r="A606" s="7">
        <v>0.56527777777777777</v>
      </c>
      <c r="B606" s="7">
        <v>0.58263888888888882</v>
      </c>
      <c r="C606" s="7">
        <f t="shared" si="19"/>
        <v>1.7361111111111049E-2</v>
      </c>
      <c r="D606" s="7"/>
      <c r="E606" s="1" t="s">
        <v>8</v>
      </c>
    </row>
  </sheetData>
  <sortState ref="A2:C614">
    <sortCondition ref="C2:C614" customList="ABC,BMPNL,CMPNL,TROPI,PROTIM,HDIMER,CSF GRST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715"/>
  <sheetViews>
    <sheetView topLeftCell="B1" workbookViewId="0">
      <selection activeCell="O13" sqref="O13:Q13"/>
    </sheetView>
  </sheetViews>
  <sheetFormatPr defaultRowHeight="15" x14ac:dyDescent="0.25"/>
  <cols>
    <col min="1" max="2" width="15.7109375" customWidth="1"/>
    <col min="3" max="4" width="15.7109375" style="2" customWidth="1"/>
    <col min="5" max="5" width="15.7109375" style="1" customWidth="1"/>
  </cols>
  <sheetData>
    <row r="1" spans="1:17" s="1" customFormat="1" x14ac:dyDescent="0.25">
      <c r="A1" s="1" t="s">
        <v>14</v>
      </c>
      <c r="B1" s="1" t="s">
        <v>2</v>
      </c>
      <c r="C1" s="2" t="s">
        <v>4</v>
      </c>
      <c r="D1" s="2" t="s">
        <v>5</v>
      </c>
      <c r="E1" s="1" t="s">
        <v>13</v>
      </c>
      <c r="F1" s="1" t="s">
        <v>18</v>
      </c>
    </row>
    <row r="2" spans="1:17" x14ac:dyDescent="0.25">
      <c r="A2" s="20">
        <v>42401</v>
      </c>
      <c r="B2" s="1" t="s">
        <v>29</v>
      </c>
      <c r="C2" s="2">
        <v>8.0555555555555561E-2</v>
      </c>
      <c r="D2" s="2">
        <v>8.6805555555555566E-2</v>
      </c>
      <c r="E2" s="2">
        <f>D2-C2</f>
        <v>6.2500000000000056E-3</v>
      </c>
      <c r="F2" s="3">
        <f>ABS(E3-E2)</f>
        <v>6.9444444444445586E-4</v>
      </c>
      <c r="L2" t="s">
        <v>26</v>
      </c>
      <c r="M2" t="s">
        <v>13</v>
      </c>
      <c r="N2" t="s">
        <v>31</v>
      </c>
    </row>
    <row r="3" spans="1:17" x14ac:dyDescent="0.25">
      <c r="A3" s="20">
        <v>42401</v>
      </c>
      <c r="B3" s="1" t="s">
        <v>29</v>
      </c>
      <c r="C3" s="2">
        <v>0.10416666666666667</v>
      </c>
      <c r="D3" s="2">
        <v>0.10972222222222222</v>
      </c>
      <c r="E3" s="2">
        <f t="shared" ref="E3:E66" si="0">D3-C3</f>
        <v>5.5555555555555497E-3</v>
      </c>
      <c r="F3" s="3">
        <f t="shared" ref="F3:F66" si="1">ABS(E4-E3)</f>
        <v>6.9444444444445586E-4</v>
      </c>
      <c r="I3" s="20">
        <v>42401</v>
      </c>
      <c r="J3" t="s">
        <v>19</v>
      </c>
      <c r="K3" t="s">
        <v>29</v>
      </c>
      <c r="L3">
        <f>COUNTIF(B2:B715,K3)</f>
        <v>279</v>
      </c>
      <c r="M3" s="6">
        <f>AVERAGE(E2:E280)</f>
        <v>1.0984169653524492E-2</v>
      </c>
      <c r="N3" s="3">
        <f>AVERAGE(F2:F279)</f>
        <v>8.2858713029576401E-3</v>
      </c>
    </row>
    <row r="4" spans="1:17" x14ac:dyDescent="0.25">
      <c r="A4" s="20">
        <v>42401</v>
      </c>
      <c r="B4" s="1" t="s">
        <v>29</v>
      </c>
      <c r="C4" s="2">
        <v>0.35486111111111113</v>
      </c>
      <c r="D4" s="2">
        <v>0.35972222222222222</v>
      </c>
      <c r="E4" s="2">
        <f t="shared" si="0"/>
        <v>4.8611111111110938E-3</v>
      </c>
      <c r="F4" s="3">
        <f t="shared" si="1"/>
        <v>6.9444444444444753E-3</v>
      </c>
      <c r="I4" s="20">
        <v>42401</v>
      </c>
      <c r="J4" t="s">
        <v>19</v>
      </c>
      <c r="K4" t="s">
        <v>9</v>
      </c>
      <c r="L4">
        <f>COUNTIF(B2:B715,K4)</f>
        <v>45</v>
      </c>
      <c r="M4" s="6">
        <f>AVERAGE(E281:E325)</f>
        <v>1.9629629629629615E-2</v>
      </c>
      <c r="N4" s="3">
        <f>AVERAGE(F281:F324)</f>
        <v>1.5767045454545478E-2</v>
      </c>
    </row>
    <row r="5" spans="1:17" x14ac:dyDescent="0.25">
      <c r="A5" s="20">
        <v>42401</v>
      </c>
      <c r="B5" s="1" t="s">
        <v>29</v>
      </c>
      <c r="C5" s="2">
        <v>0.40069444444444446</v>
      </c>
      <c r="D5" s="2">
        <v>0.41250000000000003</v>
      </c>
      <c r="E5" s="2">
        <f t="shared" si="0"/>
        <v>1.1805555555555569E-2</v>
      </c>
      <c r="F5" s="3">
        <f t="shared" si="1"/>
        <v>6.9444444444444198E-3</v>
      </c>
      <c r="I5" s="20">
        <v>42401</v>
      </c>
      <c r="J5" t="s">
        <v>19</v>
      </c>
      <c r="K5" t="s">
        <v>10</v>
      </c>
      <c r="L5">
        <f>COUNTIF(B2:B715,K5)</f>
        <v>231</v>
      </c>
      <c r="M5" s="6">
        <f>AVERAGE(E326:E556)</f>
        <v>2.0457551707551713E-2</v>
      </c>
      <c r="N5" s="3">
        <f>AVERAGE(F326:F555)</f>
        <v>6.5881642512077392E-3</v>
      </c>
    </row>
    <row r="6" spans="1:17" x14ac:dyDescent="0.25">
      <c r="A6" s="20">
        <v>42401</v>
      </c>
      <c r="B6" s="1" t="s">
        <v>29</v>
      </c>
      <c r="C6" s="2">
        <v>0.40902777777777777</v>
      </c>
      <c r="D6" s="2">
        <v>0.41388888888888892</v>
      </c>
      <c r="E6" s="2">
        <f t="shared" si="0"/>
        <v>4.8611111111111494E-3</v>
      </c>
      <c r="F6" s="3">
        <f t="shared" si="1"/>
        <v>2.0833333333332704E-3</v>
      </c>
      <c r="I6" s="20">
        <v>42401</v>
      </c>
      <c r="J6" t="s">
        <v>19</v>
      </c>
      <c r="K6" t="s">
        <v>11</v>
      </c>
      <c r="L6">
        <f>COUNTIF(B2:B715,K6)</f>
        <v>117</v>
      </c>
      <c r="M6" s="6">
        <f>AVERAGE(E557:E673)</f>
        <v>2.4008784425451093E-2</v>
      </c>
      <c r="N6" s="3">
        <f>AVERAGE(F557:F672)</f>
        <v>7.0581896551724166E-3</v>
      </c>
    </row>
    <row r="7" spans="1:17" x14ac:dyDescent="0.25">
      <c r="A7" s="20">
        <v>42401</v>
      </c>
      <c r="B7" s="1" t="s">
        <v>29</v>
      </c>
      <c r="C7" s="2">
        <v>0.49444444444444446</v>
      </c>
      <c r="D7" s="2">
        <v>0.50138888888888888</v>
      </c>
      <c r="E7" s="2">
        <f t="shared" si="0"/>
        <v>6.9444444444444198E-3</v>
      </c>
      <c r="F7" s="3">
        <f t="shared" si="1"/>
        <v>2.0833333333332704E-3</v>
      </c>
      <c r="I7" s="20">
        <v>42401</v>
      </c>
      <c r="J7" t="s">
        <v>19</v>
      </c>
      <c r="K7" t="s">
        <v>8</v>
      </c>
      <c r="L7">
        <f>COUNTIF(B2:B715,K7)</f>
        <v>42</v>
      </c>
      <c r="M7" s="6">
        <f>AVERAGE(E674:E715)</f>
        <v>1.7278439153439153E-2</v>
      </c>
      <c r="N7" s="3">
        <f>AVERAGE(F674:F714)</f>
        <v>8.3672086720867258E-3</v>
      </c>
    </row>
    <row r="8" spans="1:17" x14ac:dyDescent="0.25">
      <c r="A8" s="20">
        <v>42401</v>
      </c>
      <c r="B8" s="1" t="s">
        <v>29</v>
      </c>
      <c r="C8" s="2">
        <v>0.4375</v>
      </c>
      <c r="D8" s="2">
        <v>0.44236111111111115</v>
      </c>
      <c r="E8" s="2">
        <f t="shared" si="0"/>
        <v>4.8611111111111494E-3</v>
      </c>
      <c r="F8" s="3">
        <f t="shared" si="1"/>
        <v>4.8611111111111494E-3</v>
      </c>
    </row>
    <row r="9" spans="1:17" x14ac:dyDescent="0.25">
      <c r="A9" s="20">
        <v>42401</v>
      </c>
      <c r="B9" s="1" t="s">
        <v>29</v>
      </c>
      <c r="C9" s="2">
        <v>0.45694444444444443</v>
      </c>
      <c r="D9" s="2">
        <v>0.45694444444444443</v>
      </c>
      <c r="E9" s="2">
        <f t="shared" si="0"/>
        <v>0</v>
      </c>
      <c r="F9" s="3">
        <f t="shared" si="1"/>
        <v>2.9861111111111172E-2</v>
      </c>
    </row>
    <row r="10" spans="1:17" x14ac:dyDescent="0.25">
      <c r="A10" s="20">
        <v>42401</v>
      </c>
      <c r="B10" s="1" t="s">
        <v>29</v>
      </c>
      <c r="C10" s="2">
        <v>0.48819444444444443</v>
      </c>
      <c r="D10" s="2">
        <v>0.5180555555555556</v>
      </c>
      <c r="E10" s="2">
        <f t="shared" si="0"/>
        <v>2.9861111111111172E-2</v>
      </c>
      <c r="F10" s="3">
        <f t="shared" si="1"/>
        <v>2.6388888888888851E-2</v>
      </c>
    </row>
    <row r="11" spans="1:17" x14ac:dyDescent="0.25">
      <c r="A11" s="20">
        <v>42401</v>
      </c>
      <c r="B11" s="1" t="s">
        <v>29</v>
      </c>
      <c r="C11" s="2">
        <v>0.60416666666666663</v>
      </c>
      <c r="D11" s="2">
        <v>0.60763888888888895</v>
      </c>
      <c r="E11" s="2">
        <f t="shared" si="0"/>
        <v>3.4722222222223209E-3</v>
      </c>
      <c r="F11" s="3">
        <f t="shared" si="1"/>
        <v>1.0416666666666519E-2</v>
      </c>
      <c r="I11" t="s">
        <v>35</v>
      </c>
    </row>
    <row r="12" spans="1:17" x14ac:dyDescent="0.25">
      <c r="A12" s="20">
        <v>42401</v>
      </c>
      <c r="B12" s="1" t="s">
        <v>29</v>
      </c>
      <c r="C12" s="2">
        <v>0.76458333333333339</v>
      </c>
      <c r="D12" s="2">
        <v>0.77847222222222223</v>
      </c>
      <c r="E12" s="2">
        <f t="shared" si="0"/>
        <v>1.388888888888884E-2</v>
      </c>
      <c r="F12" s="3">
        <f t="shared" si="1"/>
        <v>1.3888888888887729E-3</v>
      </c>
      <c r="I12" s="1" t="s">
        <v>9</v>
      </c>
      <c r="J12" s="2">
        <v>0.35486111111111113</v>
      </c>
      <c r="K12" s="2">
        <v>0.37013888888888885</v>
      </c>
      <c r="L12" s="6">
        <f>K12-J12</f>
        <v>1.5277777777777724E-2</v>
      </c>
      <c r="M12" s="3">
        <f>ABS(L13-L12)</f>
        <v>2.0833333333332843E-3</v>
      </c>
      <c r="O12" t="s">
        <v>15</v>
      </c>
      <c r="P12" t="s">
        <v>33</v>
      </c>
      <c r="Q12" t="s">
        <v>34</v>
      </c>
    </row>
    <row r="13" spans="1:17" x14ac:dyDescent="0.25">
      <c r="A13" s="20">
        <v>42401</v>
      </c>
      <c r="B13" s="1" t="s">
        <v>29</v>
      </c>
      <c r="C13" s="2">
        <v>0.74305555555555547</v>
      </c>
      <c r="D13" s="2">
        <v>0.75555555555555554</v>
      </c>
      <c r="E13" s="2">
        <f t="shared" si="0"/>
        <v>1.2500000000000067E-2</v>
      </c>
      <c r="F13" s="3">
        <f t="shared" si="1"/>
        <v>4.8611111111110938E-3</v>
      </c>
      <c r="I13" s="1" t="s">
        <v>9</v>
      </c>
      <c r="J13" s="2">
        <v>4.027777777777778E-2</v>
      </c>
      <c r="K13" s="2">
        <v>5.347222222222222E-2</v>
      </c>
      <c r="L13" s="6">
        <f t="shared" ref="L13:L50" si="2">K13-J13</f>
        <v>1.3194444444444439E-2</v>
      </c>
      <c r="M13" s="3">
        <f t="shared" ref="M13:M49" si="3">ABS(L14-L13)</f>
        <v>4.1666666666666102E-3</v>
      </c>
      <c r="O13">
        <f>COUNTA(M12:M49)</f>
        <v>38</v>
      </c>
      <c r="P13" s="6">
        <f>AVERAGE(L12:L50)</f>
        <v>1.8126780626780612E-2</v>
      </c>
      <c r="Q13" s="3">
        <f>AVERAGE(M12:M49)</f>
        <v>1.3724415204678389E-2</v>
      </c>
    </row>
    <row r="14" spans="1:17" x14ac:dyDescent="0.25">
      <c r="A14" s="20">
        <v>42401</v>
      </c>
      <c r="B14" s="1" t="s">
        <v>29</v>
      </c>
      <c r="C14" s="2">
        <v>0.75208333333333333</v>
      </c>
      <c r="D14" s="2">
        <v>0.7597222222222223</v>
      </c>
      <c r="E14" s="2">
        <f t="shared" si="0"/>
        <v>7.6388888888889728E-3</v>
      </c>
      <c r="F14" s="3">
        <f t="shared" si="1"/>
        <v>1.3888888888888951E-2</v>
      </c>
      <c r="I14" s="1" t="s">
        <v>9</v>
      </c>
      <c r="J14" s="2">
        <v>0.58333333333333337</v>
      </c>
      <c r="K14" s="2">
        <v>0.60069444444444442</v>
      </c>
      <c r="L14" s="6">
        <f t="shared" si="2"/>
        <v>1.7361111111111049E-2</v>
      </c>
      <c r="M14" s="3">
        <f t="shared" si="3"/>
        <v>8.3333333333334147E-3</v>
      </c>
    </row>
    <row r="15" spans="1:17" x14ac:dyDescent="0.25">
      <c r="A15" s="20">
        <v>42401</v>
      </c>
      <c r="B15" s="1" t="s">
        <v>29</v>
      </c>
      <c r="C15" s="2">
        <v>0.85763888888888884</v>
      </c>
      <c r="D15" s="2">
        <v>0.87916666666666676</v>
      </c>
      <c r="E15" s="2">
        <f t="shared" si="0"/>
        <v>2.1527777777777923E-2</v>
      </c>
      <c r="F15" s="3">
        <f t="shared" si="1"/>
        <v>1.2500000000000067E-2</v>
      </c>
      <c r="I15" s="1" t="s">
        <v>9</v>
      </c>
      <c r="J15" s="2">
        <v>0.35416666666666669</v>
      </c>
      <c r="K15" s="2">
        <v>0.37986111111111115</v>
      </c>
      <c r="L15" s="6">
        <f t="shared" si="2"/>
        <v>2.5694444444444464E-2</v>
      </c>
      <c r="M15" s="3">
        <f t="shared" si="3"/>
        <v>5.5555555555555913E-3</v>
      </c>
    </row>
    <row r="16" spans="1:17" x14ac:dyDescent="0.25">
      <c r="A16" s="20">
        <v>42401</v>
      </c>
      <c r="B16" s="1" t="s">
        <v>29</v>
      </c>
      <c r="C16" s="2">
        <v>0.94652777777777775</v>
      </c>
      <c r="D16" s="2">
        <v>0.9555555555555556</v>
      </c>
      <c r="E16" s="2">
        <f t="shared" si="0"/>
        <v>9.0277777777778567E-3</v>
      </c>
      <c r="F16" s="3">
        <f t="shared" si="1"/>
        <v>4.166666666666749E-3</v>
      </c>
      <c r="I16" s="1" t="s">
        <v>9</v>
      </c>
      <c r="J16" s="2">
        <v>0.48541666666666666</v>
      </c>
      <c r="K16" s="2">
        <v>0.50555555555555554</v>
      </c>
      <c r="L16" s="6">
        <f t="shared" si="2"/>
        <v>2.0138888888888873E-2</v>
      </c>
      <c r="M16" s="3">
        <f t="shared" si="3"/>
        <v>1.4583333333333337E-2</v>
      </c>
    </row>
    <row r="17" spans="1:13" x14ac:dyDescent="0.25">
      <c r="A17" s="20">
        <v>42401</v>
      </c>
      <c r="B17" s="1" t="s">
        <v>29</v>
      </c>
      <c r="C17" s="2">
        <v>4.027777777777778E-2</v>
      </c>
      <c r="D17" s="2">
        <v>4.5138888888888888E-2</v>
      </c>
      <c r="E17" s="2">
        <f t="shared" si="0"/>
        <v>4.8611111111111077E-3</v>
      </c>
      <c r="F17" s="3">
        <f t="shared" si="1"/>
        <v>6.9444444444444198E-4</v>
      </c>
      <c r="I17" s="1" t="s">
        <v>9</v>
      </c>
      <c r="J17" s="2">
        <v>0.36805555555555558</v>
      </c>
      <c r="K17" s="2">
        <v>0.37361111111111112</v>
      </c>
      <c r="L17" s="6">
        <f t="shared" si="2"/>
        <v>5.5555555555555358E-3</v>
      </c>
      <c r="M17" s="3">
        <f t="shared" si="3"/>
        <v>1.1805555555555625E-2</v>
      </c>
    </row>
    <row r="18" spans="1:13" x14ac:dyDescent="0.25">
      <c r="A18" s="20">
        <v>42401</v>
      </c>
      <c r="B18" s="1" t="s">
        <v>29</v>
      </c>
      <c r="C18" s="2">
        <v>8.7500000000000008E-2</v>
      </c>
      <c r="D18" s="2">
        <v>9.3055555555555558E-2</v>
      </c>
      <c r="E18" s="2">
        <f t="shared" si="0"/>
        <v>5.5555555555555497E-3</v>
      </c>
      <c r="F18" s="3">
        <f t="shared" si="1"/>
        <v>4.8611111111111077E-3</v>
      </c>
      <c r="I18" s="1" t="s">
        <v>9</v>
      </c>
      <c r="J18" s="2">
        <v>0.69791666666666663</v>
      </c>
      <c r="K18" s="2">
        <v>0.71527777777777779</v>
      </c>
      <c r="L18" s="6">
        <f t="shared" si="2"/>
        <v>1.736111111111116E-2</v>
      </c>
      <c r="M18" s="3">
        <f t="shared" si="3"/>
        <v>1.388888888888995E-3</v>
      </c>
    </row>
    <row r="19" spans="1:13" x14ac:dyDescent="0.25">
      <c r="A19" s="20">
        <v>42401</v>
      </c>
      <c r="B19" s="1" t="s">
        <v>29</v>
      </c>
      <c r="C19" s="2">
        <v>0.21249999999999999</v>
      </c>
      <c r="D19" s="2">
        <v>0.22291666666666665</v>
      </c>
      <c r="E19" s="2">
        <f t="shared" si="0"/>
        <v>1.0416666666666657E-2</v>
      </c>
      <c r="F19" s="3">
        <f t="shared" si="1"/>
        <v>3.4722222222222654E-3</v>
      </c>
      <c r="I19" s="1" t="s">
        <v>9</v>
      </c>
      <c r="J19" s="2">
        <v>0.3756944444444445</v>
      </c>
      <c r="K19" s="2">
        <v>0.39166666666666666</v>
      </c>
      <c r="L19" s="6">
        <f t="shared" si="2"/>
        <v>1.5972222222222165E-2</v>
      </c>
      <c r="M19" s="3">
        <f t="shared" si="3"/>
        <v>2.7777777777777679E-3</v>
      </c>
    </row>
    <row r="20" spans="1:13" x14ac:dyDescent="0.25">
      <c r="A20" s="20">
        <v>42401</v>
      </c>
      <c r="B20" s="1" t="s">
        <v>29</v>
      </c>
      <c r="C20" s="2">
        <v>0.22013888888888888</v>
      </c>
      <c r="D20" s="2">
        <v>0.23402777777777781</v>
      </c>
      <c r="E20" s="2">
        <f t="shared" si="0"/>
        <v>1.3888888888888923E-2</v>
      </c>
      <c r="F20" s="3">
        <f t="shared" si="1"/>
        <v>7.638888888888834E-3</v>
      </c>
      <c r="I20" s="1" t="s">
        <v>9</v>
      </c>
      <c r="J20" s="2">
        <v>0.4069444444444445</v>
      </c>
      <c r="K20" s="2">
        <v>0.4201388888888889</v>
      </c>
      <c r="L20" s="6">
        <f t="shared" si="2"/>
        <v>1.3194444444444398E-2</v>
      </c>
      <c r="M20" s="3">
        <f t="shared" si="3"/>
        <v>8.3333333333333037E-3</v>
      </c>
    </row>
    <row r="21" spans="1:13" x14ac:dyDescent="0.25">
      <c r="A21" s="20">
        <v>42401</v>
      </c>
      <c r="B21" s="1" t="s">
        <v>29</v>
      </c>
      <c r="C21" s="2">
        <v>0.3888888888888889</v>
      </c>
      <c r="D21" s="2">
        <v>0.41041666666666665</v>
      </c>
      <c r="E21" s="2">
        <f t="shared" si="0"/>
        <v>2.1527777777777757E-2</v>
      </c>
      <c r="F21" s="3">
        <f t="shared" si="1"/>
        <v>1.5277777777777779E-2</v>
      </c>
      <c r="I21" s="1" t="s">
        <v>9</v>
      </c>
      <c r="J21" s="2">
        <v>0.6479166666666667</v>
      </c>
      <c r="K21" s="2">
        <v>0.6694444444444444</v>
      </c>
      <c r="L21" s="6">
        <f t="shared" si="2"/>
        <v>2.1527777777777701E-2</v>
      </c>
      <c r="M21" s="3">
        <f t="shared" si="3"/>
        <v>9.0277777777778567E-3</v>
      </c>
    </row>
    <row r="22" spans="1:13" x14ac:dyDescent="0.25">
      <c r="A22" s="20">
        <v>42401</v>
      </c>
      <c r="B22" s="1" t="s">
        <v>29</v>
      </c>
      <c r="C22" s="2">
        <v>0.4152777777777778</v>
      </c>
      <c r="D22" s="2">
        <v>0.42152777777777778</v>
      </c>
      <c r="E22" s="2">
        <f t="shared" si="0"/>
        <v>6.2499999999999778E-3</v>
      </c>
      <c r="F22" s="3">
        <f t="shared" si="1"/>
        <v>1.388888888888884E-3</v>
      </c>
      <c r="I22" s="1" t="s">
        <v>9</v>
      </c>
      <c r="J22" s="2">
        <v>0.66319444444444442</v>
      </c>
      <c r="K22" s="2">
        <v>0.69374999999999998</v>
      </c>
      <c r="L22" s="6">
        <f t="shared" si="2"/>
        <v>3.0555555555555558E-2</v>
      </c>
      <c r="M22" s="3">
        <f t="shared" si="3"/>
        <v>2.4305555555555525E-2</v>
      </c>
    </row>
    <row r="23" spans="1:13" x14ac:dyDescent="0.25">
      <c r="A23" s="20">
        <v>42401</v>
      </c>
      <c r="B23" s="1" t="s">
        <v>29</v>
      </c>
      <c r="C23" s="2">
        <v>0.6333333333333333</v>
      </c>
      <c r="D23" s="2">
        <v>0.64097222222222217</v>
      </c>
      <c r="E23" s="2">
        <f t="shared" si="0"/>
        <v>7.6388888888888618E-3</v>
      </c>
      <c r="F23" s="3">
        <f t="shared" si="1"/>
        <v>1.388888888888884E-3</v>
      </c>
      <c r="I23" s="1" t="s">
        <v>9</v>
      </c>
      <c r="J23" s="2">
        <v>0.33888888888888885</v>
      </c>
      <c r="K23" s="2">
        <v>0.34513888888888888</v>
      </c>
      <c r="L23" s="6">
        <f t="shared" si="2"/>
        <v>6.2500000000000333E-3</v>
      </c>
      <c r="M23" s="3">
        <f t="shared" si="3"/>
        <v>3.4722222222221544E-3</v>
      </c>
    </row>
    <row r="24" spans="1:13" x14ac:dyDescent="0.25">
      <c r="A24" s="20">
        <v>42401</v>
      </c>
      <c r="B24" s="1" t="s">
        <v>29</v>
      </c>
      <c r="C24" s="2">
        <v>0.6875</v>
      </c>
      <c r="D24" s="2">
        <v>0.69374999999999998</v>
      </c>
      <c r="E24" s="2">
        <f t="shared" si="0"/>
        <v>6.2499999999999778E-3</v>
      </c>
      <c r="F24" s="3">
        <f t="shared" si="1"/>
        <v>1.1102230246251565E-16</v>
      </c>
      <c r="I24" s="1" t="s">
        <v>9</v>
      </c>
      <c r="J24" s="2">
        <v>0.34722222222222227</v>
      </c>
      <c r="K24" s="2">
        <v>0.35694444444444445</v>
      </c>
      <c r="L24" s="6">
        <f t="shared" si="2"/>
        <v>9.7222222222221877E-3</v>
      </c>
      <c r="M24" s="3">
        <f t="shared" si="3"/>
        <v>1.8750000000000044E-2</v>
      </c>
    </row>
    <row r="25" spans="1:13" x14ac:dyDescent="0.25">
      <c r="A25" s="20">
        <v>42401</v>
      </c>
      <c r="B25" s="1" t="s">
        <v>29</v>
      </c>
      <c r="C25" s="2">
        <v>0.68819444444444444</v>
      </c>
      <c r="D25" s="2">
        <v>0.69444444444444453</v>
      </c>
      <c r="E25" s="2">
        <f t="shared" si="0"/>
        <v>6.2500000000000888E-3</v>
      </c>
      <c r="F25" s="3">
        <f t="shared" si="1"/>
        <v>2.0833333333332149E-3</v>
      </c>
      <c r="I25" s="1" t="s">
        <v>9</v>
      </c>
      <c r="J25" s="2">
        <v>0.74375000000000002</v>
      </c>
      <c r="K25" s="2">
        <v>0.77222222222222225</v>
      </c>
      <c r="L25" s="6">
        <f t="shared" si="2"/>
        <v>2.8472222222222232E-2</v>
      </c>
      <c r="M25" s="3">
        <f t="shared" si="3"/>
        <v>2.2916666666666696E-2</v>
      </c>
    </row>
    <row r="26" spans="1:13" x14ac:dyDescent="0.25">
      <c r="A26" s="20">
        <v>42401</v>
      </c>
      <c r="B26" s="1" t="s">
        <v>29</v>
      </c>
      <c r="C26" s="2">
        <v>0.78263888888888899</v>
      </c>
      <c r="D26" s="2">
        <v>0.7909722222222223</v>
      </c>
      <c r="E26" s="2">
        <f t="shared" si="0"/>
        <v>8.3333333333333037E-3</v>
      </c>
      <c r="F26" s="3">
        <f t="shared" si="1"/>
        <v>1.3888888888888631E-3</v>
      </c>
      <c r="I26" s="1" t="s">
        <v>9</v>
      </c>
      <c r="J26" s="2">
        <v>0.41875000000000001</v>
      </c>
      <c r="K26" s="2">
        <v>0.42430555555555555</v>
      </c>
      <c r="L26" s="6">
        <f t="shared" si="2"/>
        <v>5.5555555555555358E-3</v>
      </c>
      <c r="M26" s="3">
        <f t="shared" si="3"/>
        <v>2.9861111111111116E-2</v>
      </c>
    </row>
    <row r="27" spans="1:13" x14ac:dyDescent="0.25">
      <c r="A27" s="20">
        <v>42401</v>
      </c>
      <c r="B27" s="1" t="s">
        <v>29</v>
      </c>
      <c r="C27" s="2">
        <v>1.8055555555555557E-2</v>
      </c>
      <c r="D27" s="2">
        <v>2.4999999999999998E-2</v>
      </c>
      <c r="E27" s="2">
        <f t="shared" si="0"/>
        <v>6.9444444444444406E-3</v>
      </c>
      <c r="F27" s="3">
        <f t="shared" si="1"/>
        <v>6.9444444444447667E-4</v>
      </c>
      <c r="I27" s="1" t="s">
        <v>9</v>
      </c>
      <c r="J27" s="2">
        <v>0.58888888888888891</v>
      </c>
      <c r="K27" s="2">
        <v>0.62430555555555556</v>
      </c>
      <c r="L27" s="6">
        <f t="shared" si="2"/>
        <v>3.5416666666666652E-2</v>
      </c>
      <c r="M27" s="3">
        <f t="shared" si="3"/>
        <v>2.2222222222222254E-2</v>
      </c>
    </row>
    <row r="28" spans="1:13" x14ac:dyDescent="0.25">
      <c r="A28" s="20">
        <v>42401</v>
      </c>
      <c r="B28" s="1" t="s">
        <v>29</v>
      </c>
      <c r="C28" s="2">
        <v>0.3263888888888889</v>
      </c>
      <c r="D28" s="2">
        <v>0.33402777777777781</v>
      </c>
      <c r="E28" s="2">
        <f t="shared" si="0"/>
        <v>7.6388888888889173E-3</v>
      </c>
      <c r="F28" s="3">
        <f t="shared" si="1"/>
        <v>1.388888888888884E-3</v>
      </c>
      <c r="I28" s="1" t="s">
        <v>9</v>
      </c>
      <c r="J28" s="2">
        <v>0.92361111111111116</v>
      </c>
      <c r="K28" s="2">
        <v>0.93680555555555556</v>
      </c>
      <c r="L28" s="6">
        <f t="shared" si="2"/>
        <v>1.3194444444444398E-2</v>
      </c>
      <c r="M28" s="3">
        <f t="shared" si="3"/>
        <v>2.0138888888889039E-2</v>
      </c>
    </row>
    <row r="29" spans="1:13" x14ac:dyDescent="0.25">
      <c r="A29" s="20">
        <v>42401</v>
      </c>
      <c r="B29" s="1" t="s">
        <v>29</v>
      </c>
      <c r="C29" s="2">
        <v>0.46597222222222223</v>
      </c>
      <c r="D29" s="2">
        <v>0.47222222222222227</v>
      </c>
      <c r="E29" s="2">
        <f t="shared" si="0"/>
        <v>6.2500000000000333E-3</v>
      </c>
      <c r="F29" s="3">
        <f t="shared" si="1"/>
        <v>4.1666666666666519E-3</v>
      </c>
      <c r="I29" s="1" t="s">
        <v>9</v>
      </c>
      <c r="J29" s="2">
        <v>0.80555555555555547</v>
      </c>
      <c r="K29" s="2">
        <v>0.83888888888888891</v>
      </c>
      <c r="L29" s="6">
        <f t="shared" si="2"/>
        <v>3.3333333333333437E-2</v>
      </c>
      <c r="M29" s="3">
        <f t="shared" si="3"/>
        <v>1.7361111111111271E-2</v>
      </c>
    </row>
    <row r="30" spans="1:13" x14ac:dyDescent="0.25">
      <c r="A30" s="20">
        <v>42401</v>
      </c>
      <c r="B30" s="1" t="s">
        <v>29</v>
      </c>
      <c r="C30" s="2">
        <v>0.46736111111111112</v>
      </c>
      <c r="D30" s="2">
        <v>0.4777777777777778</v>
      </c>
      <c r="E30" s="2">
        <f t="shared" si="0"/>
        <v>1.0416666666666685E-2</v>
      </c>
      <c r="F30" s="3">
        <f t="shared" si="1"/>
        <v>5.5555555555554803E-3</v>
      </c>
      <c r="I30" s="1" t="s">
        <v>9</v>
      </c>
      <c r="J30" s="2">
        <v>0.64722222222222225</v>
      </c>
      <c r="K30" s="2">
        <v>0.66319444444444442</v>
      </c>
      <c r="L30" s="6">
        <f t="shared" si="2"/>
        <v>1.5972222222222165E-2</v>
      </c>
      <c r="M30" s="3">
        <f t="shared" si="3"/>
        <v>3.8888888888888973E-2</v>
      </c>
    </row>
    <row r="31" spans="1:13" x14ac:dyDescent="0.25">
      <c r="A31" s="20">
        <v>42401</v>
      </c>
      <c r="B31" s="1" t="s">
        <v>29</v>
      </c>
      <c r="C31" s="2">
        <v>0.71805555555555556</v>
      </c>
      <c r="D31" s="2">
        <v>0.72291666666666676</v>
      </c>
      <c r="E31" s="2">
        <f t="shared" si="0"/>
        <v>4.8611111111112049E-3</v>
      </c>
      <c r="F31" s="3">
        <f t="shared" si="1"/>
        <v>6.9444444444433095E-4</v>
      </c>
      <c r="I31" s="1" t="s">
        <v>9</v>
      </c>
      <c r="J31" s="2">
        <v>0.73263888888888884</v>
      </c>
      <c r="K31" s="2">
        <v>0.78749999999999998</v>
      </c>
      <c r="L31" s="6">
        <f t="shared" si="2"/>
        <v>5.4861111111111138E-2</v>
      </c>
      <c r="M31" s="3">
        <f t="shared" si="3"/>
        <v>4.7222222222222388E-2</v>
      </c>
    </row>
    <row r="32" spans="1:13" x14ac:dyDescent="0.25">
      <c r="A32" s="20">
        <v>42401</v>
      </c>
      <c r="B32" s="1" t="s">
        <v>29</v>
      </c>
      <c r="C32" s="2">
        <v>0.71111111111111114</v>
      </c>
      <c r="D32" s="2">
        <v>0.71666666666666667</v>
      </c>
      <c r="E32" s="2">
        <f t="shared" si="0"/>
        <v>5.5555555555555358E-3</v>
      </c>
      <c r="F32" s="3">
        <f t="shared" si="1"/>
        <v>6.9444444444445308E-3</v>
      </c>
      <c r="I32" s="1" t="s">
        <v>9</v>
      </c>
      <c r="J32" s="2">
        <v>0.98055555555555562</v>
      </c>
      <c r="K32" s="2">
        <v>0.98819444444444438</v>
      </c>
      <c r="L32" s="6">
        <f t="shared" si="2"/>
        <v>7.6388888888887507E-3</v>
      </c>
      <c r="M32" s="3">
        <f t="shared" si="3"/>
        <v>9.7222222222223542E-3</v>
      </c>
    </row>
    <row r="33" spans="1:13" x14ac:dyDescent="0.25">
      <c r="A33" s="20">
        <v>42401</v>
      </c>
      <c r="B33" s="1" t="s">
        <v>29</v>
      </c>
      <c r="C33" s="2">
        <v>0.83680555555555547</v>
      </c>
      <c r="D33" s="2">
        <v>0.84930555555555554</v>
      </c>
      <c r="E33" s="2">
        <f t="shared" si="0"/>
        <v>1.2500000000000067E-2</v>
      </c>
      <c r="F33" s="3">
        <f t="shared" si="1"/>
        <v>6.2500000000000888E-3</v>
      </c>
      <c r="I33" s="1" t="s">
        <v>9</v>
      </c>
      <c r="J33" s="2">
        <v>0.40486111111111112</v>
      </c>
      <c r="K33" s="2">
        <v>0.42222222222222222</v>
      </c>
      <c r="L33" s="6">
        <f t="shared" si="2"/>
        <v>1.7361111111111105E-2</v>
      </c>
      <c r="M33" s="3">
        <f t="shared" si="3"/>
        <v>6.2499999999999223E-3</v>
      </c>
    </row>
    <row r="34" spans="1:13" x14ac:dyDescent="0.25">
      <c r="A34" s="20">
        <v>42401</v>
      </c>
      <c r="B34" s="1" t="s">
        <v>29</v>
      </c>
      <c r="C34" s="2">
        <v>0.85555555555555562</v>
      </c>
      <c r="D34" s="2">
        <v>0.8618055555555556</v>
      </c>
      <c r="E34" s="2">
        <f t="shared" si="0"/>
        <v>6.2499999999999778E-3</v>
      </c>
      <c r="F34" s="3">
        <f t="shared" si="1"/>
        <v>3.4722222222220989E-3</v>
      </c>
      <c r="I34" s="1" t="s">
        <v>9</v>
      </c>
      <c r="J34" s="2">
        <v>0.66249999999999998</v>
      </c>
      <c r="K34" s="2">
        <v>0.67361111111111116</v>
      </c>
      <c r="L34" s="6">
        <f t="shared" si="2"/>
        <v>1.1111111111111183E-2</v>
      </c>
      <c r="M34" s="3">
        <f t="shared" si="3"/>
        <v>1.0416666666666741E-2</v>
      </c>
    </row>
    <row r="35" spans="1:13" x14ac:dyDescent="0.25">
      <c r="A35" s="20">
        <v>42401</v>
      </c>
      <c r="B35" s="1" t="s">
        <v>29</v>
      </c>
      <c r="C35" s="2">
        <v>0.90763888888888899</v>
      </c>
      <c r="D35" s="2">
        <v>0.91736111111111107</v>
      </c>
      <c r="E35" s="2">
        <f t="shared" si="0"/>
        <v>9.7222222222220767E-3</v>
      </c>
      <c r="F35" s="3">
        <f t="shared" si="1"/>
        <v>4.8611111111109689E-3</v>
      </c>
      <c r="I35" s="1" t="s">
        <v>9</v>
      </c>
      <c r="J35" s="2">
        <v>0.71180555555555547</v>
      </c>
      <c r="K35" s="2">
        <v>0.73333333333333339</v>
      </c>
      <c r="L35" s="6">
        <f t="shared" si="2"/>
        <v>2.1527777777777923E-2</v>
      </c>
      <c r="M35" s="3">
        <f t="shared" si="3"/>
        <v>2.083333333333548E-3</v>
      </c>
    </row>
    <row r="36" spans="1:13" x14ac:dyDescent="0.25">
      <c r="A36" s="20">
        <v>42401</v>
      </c>
      <c r="B36" s="1" t="s">
        <v>29</v>
      </c>
      <c r="C36" s="2">
        <v>3.4722222222222224E-2</v>
      </c>
      <c r="D36" s="2">
        <v>3.9583333333333331E-2</v>
      </c>
      <c r="E36" s="2">
        <f t="shared" si="0"/>
        <v>4.8611111111111077E-3</v>
      </c>
      <c r="F36" s="3">
        <f t="shared" si="1"/>
        <v>1.527777777777771E-2</v>
      </c>
      <c r="I36" s="1" t="s">
        <v>9</v>
      </c>
      <c r="J36" s="2">
        <v>0.82430555555555562</v>
      </c>
      <c r="K36" s="2">
        <v>0.84375</v>
      </c>
      <c r="L36" s="6">
        <f t="shared" si="2"/>
        <v>1.9444444444444375E-2</v>
      </c>
      <c r="M36" s="3">
        <f t="shared" si="3"/>
        <v>7.6388888888889728E-3</v>
      </c>
    </row>
    <row r="37" spans="1:13" x14ac:dyDescent="0.25">
      <c r="A37" s="20">
        <v>42401</v>
      </c>
      <c r="B37" s="1" t="s">
        <v>29</v>
      </c>
      <c r="C37" s="2">
        <v>0.37847222222222227</v>
      </c>
      <c r="D37" s="2">
        <v>0.39861111111111108</v>
      </c>
      <c r="E37" s="2">
        <f t="shared" si="0"/>
        <v>2.0138888888888817E-2</v>
      </c>
      <c r="F37" s="3">
        <f t="shared" si="1"/>
        <v>4.8611111111110938E-3</v>
      </c>
      <c r="I37" s="1" t="s">
        <v>9</v>
      </c>
      <c r="J37" s="2">
        <v>0.87638888888888899</v>
      </c>
      <c r="K37" s="2">
        <v>0.8881944444444444</v>
      </c>
      <c r="L37" s="6">
        <f t="shared" si="2"/>
        <v>1.1805555555555403E-2</v>
      </c>
      <c r="M37" s="3">
        <f t="shared" si="3"/>
        <v>1.5265566588595902E-16</v>
      </c>
    </row>
    <row r="38" spans="1:13" x14ac:dyDescent="0.25">
      <c r="A38" s="20">
        <v>42401</v>
      </c>
      <c r="B38" s="1" t="s">
        <v>29</v>
      </c>
      <c r="C38" s="2">
        <v>0.42152777777777778</v>
      </c>
      <c r="D38" s="2">
        <v>0.4368055555555555</v>
      </c>
      <c r="E38" s="2">
        <f t="shared" si="0"/>
        <v>1.5277777777777724E-2</v>
      </c>
      <c r="F38" s="3">
        <f t="shared" si="1"/>
        <v>3.4722222222222654E-3</v>
      </c>
      <c r="I38" s="1" t="s">
        <v>9</v>
      </c>
      <c r="J38" s="2">
        <v>5.4166666666666669E-2</v>
      </c>
      <c r="K38" s="2">
        <v>6.5972222222222224E-2</v>
      </c>
      <c r="L38" s="6">
        <f t="shared" si="2"/>
        <v>1.1805555555555555E-2</v>
      </c>
      <c r="M38" s="3">
        <f t="shared" si="3"/>
        <v>1.3888888888888423E-3</v>
      </c>
    </row>
    <row r="39" spans="1:13" x14ac:dyDescent="0.25">
      <c r="A39" s="20">
        <v>42401</v>
      </c>
      <c r="B39" s="1" t="s">
        <v>29</v>
      </c>
      <c r="C39" s="2">
        <v>0.48541666666666666</v>
      </c>
      <c r="D39" s="2">
        <v>0.50416666666666665</v>
      </c>
      <c r="E39" s="2">
        <f t="shared" si="0"/>
        <v>1.8749999999999989E-2</v>
      </c>
      <c r="F39" s="3">
        <f t="shared" si="1"/>
        <v>4.8611111111111494E-3</v>
      </c>
      <c r="I39" s="1" t="s">
        <v>9</v>
      </c>
      <c r="J39" s="2">
        <v>0.66875000000000007</v>
      </c>
      <c r="K39" s="2">
        <v>0.68194444444444446</v>
      </c>
      <c r="L39" s="6">
        <f t="shared" si="2"/>
        <v>1.3194444444444398E-2</v>
      </c>
      <c r="M39" s="3">
        <f t="shared" si="3"/>
        <v>0</v>
      </c>
    </row>
    <row r="40" spans="1:13" x14ac:dyDescent="0.25">
      <c r="A40" s="20">
        <v>42401</v>
      </c>
      <c r="B40" s="1" t="s">
        <v>29</v>
      </c>
      <c r="C40" s="2">
        <v>0.7368055555555556</v>
      </c>
      <c r="D40" s="2">
        <v>0.75069444444444444</v>
      </c>
      <c r="E40" s="2">
        <f t="shared" si="0"/>
        <v>1.388888888888884E-2</v>
      </c>
      <c r="F40" s="3">
        <f t="shared" si="1"/>
        <v>9.7222222222224097E-3</v>
      </c>
      <c r="I40" s="1" t="s">
        <v>9</v>
      </c>
      <c r="J40" s="2">
        <v>0.68194444444444446</v>
      </c>
      <c r="K40" s="2">
        <v>0.69513888888888886</v>
      </c>
      <c r="L40" s="6">
        <f t="shared" si="2"/>
        <v>1.3194444444444398E-2</v>
      </c>
      <c r="M40" s="3">
        <f t="shared" si="3"/>
        <v>1.388888888888884E-3</v>
      </c>
    </row>
    <row r="41" spans="1:13" x14ac:dyDescent="0.25">
      <c r="A41" s="20">
        <v>42401</v>
      </c>
      <c r="B41" s="1" t="s">
        <v>29</v>
      </c>
      <c r="C41" s="2">
        <v>0.66527777777777775</v>
      </c>
      <c r="D41" s="2">
        <v>0.68888888888888899</v>
      </c>
      <c r="E41" s="2">
        <f t="shared" si="0"/>
        <v>2.3611111111111249E-2</v>
      </c>
      <c r="F41" s="3">
        <f t="shared" si="1"/>
        <v>1.5277777777777946E-2</v>
      </c>
      <c r="I41" s="1" t="s">
        <v>9</v>
      </c>
      <c r="J41" s="2">
        <v>0.90069444444444446</v>
      </c>
      <c r="K41" s="2">
        <v>0.91249999999999998</v>
      </c>
      <c r="L41" s="6">
        <f t="shared" si="2"/>
        <v>1.1805555555555514E-2</v>
      </c>
      <c r="M41" s="3">
        <f t="shared" si="3"/>
        <v>0</v>
      </c>
    </row>
    <row r="42" spans="1:13" x14ac:dyDescent="0.25">
      <c r="A42" s="20">
        <v>42401</v>
      </c>
      <c r="B42" s="1" t="s">
        <v>29</v>
      </c>
      <c r="C42" s="2">
        <v>0.81458333333333333</v>
      </c>
      <c r="D42" s="2">
        <v>0.82291666666666663</v>
      </c>
      <c r="E42" s="2">
        <f t="shared" si="0"/>
        <v>8.3333333333333037E-3</v>
      </c>
      <c r="F42" s="3">
        <f t="shared" si="1"/>
        <v>2.0833333333333814E-3</v>
      </c>
      <c r="I42" s="1" t="s">
        <v>9</v>
      </c>
      <c r="J42" s="2">
        <v>0.90069444444444446</v>
      </c>
      <c r="K42" s="2">
        <v>0.91249999999999998</v>
      </c>
      <c r="L42" s="6">
        <f t="shared" si="2"/>
        <v>1.1805555555555514E-2</v>
      </c>
      <c r="M42" s="3">
        <f t="shared" si="3"/>
        <v>4.6527777777777724E-2</v>
      </c>
    </row>
    <row r="43" spans="1:13" x14ac:dyDescent="0.25">
      <c r="A43" s="20">
        <v>42401</v>
      </c>
      <c r="B43" s="1" t="s">
        <v>29</v>
      </c>
      <c r="C43" s="2">
        <v>0.34791666666666665</v>
      </c>
      <c r="D43" s="2">
        <v>0.35833333333333334</v>
      </c>
      <c r="E43" s="2">
        <f t="shared" si="0"/>
        <v>1.0416666666666685E-2</v>
      </c>
      <c r="F43" s="3">
        <f t="shared" si="1"/>
        <v>2.7777777777778234E-3</v>
      </c>
      <c r="I43" s="1" t="s">
        <v>9</v>
      </c>
      <c r="J43" s="2">
        <v>0.85833333333333339</v>
      </c>
      <c r="K43" s="2">
        <v>0.91666666666666663</v>
      </c>
      <c r="L43" s="6">
        <f t="shared" si="2"/>
        <v>5.8333333333333237E-2</v>
      </c>
      <c r="M43" s="3">
        <f t="shared" si="3"/>
        <v>5.4166666666666585E-2</v>
      </c>
    </row>
    <row r="44" spans="1:13" x14ac:dyDescent="0.25">
      <c r="A44" s="20">
        <v>42401</v>
      </c>
      <c r="B44" s="1" t="s">
        <v>29</v>
      </c>
      <c r="C44" s="2">
        <v>0.44097222222222227</v>
      </c>
      <c r="D44" s="2">
        <v>0.44861111111111113</v>
      </c>
      <c r="E44" s="2">
        <f t="shared" si="0"/>
        <v>7.6388888888888618E-3</v>
      </c>
      <c r="F44" s="3">
        <f t="shared" si="1"/>
        <v>4.1666666666665408E-3</v>
      </c>
      <c r="I44" s="1" t="s">
        <v>9</v>
      </c>
      <c r="J44" s="2">
        <v>0.4513888888888889</v>
      </c>
      <c r="K44" s="2">
        <v>0.45555555555555555</v>
      </c>
      <c r="L44" s="6">
        <f t="shared" si="2"/>
        <v>4.1666666666666519E-3</v>
      </c>
      <c r="M44" s="3">
        <f t="shared" si="3"/>
        <v>1.9444444444444431E-2</v>
      </c>
    </row>
    <row r="45" spans="1:13" x14ac:dyDescent="0.25">
      <c r="A45" s="20">
        <v>42401</v>
      </c>
      <c r="B45" s="1" t="s">
        <v>29</v>
      </c>
      <c r="C45" s="2">
        <v>0.54305555555555551</v>
      </c>
      <c r="D45" s="2">
        <v>0.54652777777777783</v>
      </c>
      <c r="E45" s="2">
        <f t="shared" si="0"/>
        <v>3.4722222222223209E-3</v>
      </c>
      <c r="F45" s="3">
        <f t="shared" si="1"/>
        <v>6.9444444444444198E-3</v>
      </c>
      <c r="I45" s="1" t="s">
        <v>9</v>
      </c>
      <c r="J45" s="2">
        <v>0.47500000000000003</v>
      </c>
      <c r="K45" s="2">
        <v>0.49861111111111112</v>
      </c>
      <c r="L45" s="6">
        <f t="shared" si="2"/>
        <v>2.3611111111111083E-2</v>
      </c>
      <c r="M45" s="3">
        <f t="shared" si="3"/>
        <v>6.9444444444444753E-3</v>
      </c>
    </row>
    <row r="46" spans="1:13" x14ac:dyDescent="0.25">
      <c r="A46" s="20">
        <v>42401</v>
      </c>
      <c r="B46" s="1" t="s">
        <v>29</v>
      </c>
      <c r="C46" s="2">
        <v>0.57708333333333328</v>
      </c>
      <c r="D46" s="2">
        <v>0.58750000000000002</v>
      </c>
      <c r="E46" s="2">
        <f t="shared" si="0"/>
        <v>1.0416666666666741E-2</v>
      </c>
      <c r="F46" s="3">
        <f t="shared" si="1"/>
        <v>7.6388888888889728E-3</v>
      </c>
      <c r="I46" s="1" t="s">
        <v>9</v>
      </c>
      <c r="J46" s="2">
        <v>0.57291666666666663</v>
      </c>
      <c r="K46" s="2">
        <v>0.60347222222222219</v>
      </c>
      <c r="L46" s="6">
        <f t="shared" si="2"/>
        <v>3.0555555555555558E-2</v>
      </c>
      <c r="M46" s="3">
        <f t="shared" si="3"/>
        <v>2.7777777777777679E-2</v>
      </c>
    </row>
    <row r="47" spans="1:13" x14ac:dyDescent="0.25">
      <c r="A47" s="20">
        <v>42401</v>
      </c>
      <c r="B47" s="1" t="s">
        <v>29</v>
      </c>
      <c r="C47" s="2">
        <v>0.62569444444444444</v>
      </c>
      <c r="D47" s="2">
        <v>0.62847222222222221</v>
      </c>
      <c r="E47" s="2">
        <f t="shared" si="0"/>
        <v>2.7777777777777679E-3</v>
      </c>
      <c r="F47" s="3">
        <f t="shared" si="1"/>
        <v>0</v>
      </c>
      <c r="I47" s="1" t="s">
        <v>9</v>
      </c>
      <c r="J47" s="2">
        <v>0.67569444444444438</v>
      </c>
      <c r="K47" s="2">
        <v>0.67847222222222225</v>
      </c>
      <c r="L47" s="6">
        <f t="shared" si="2"/>
        <v>2.7777777777778789E-3</v>
      </c>
      <c r="M47" s="3">
        <f t="shared" si="3"/>
        <v>4.1666666666665964E-3</v>
      </c>
    </row>
    <row r="48" spans="1:13" x14ac:dyDescent="0.25">
      <c r="A48" s="20">
        <v>42401</v>
      </c>
      <c r="B48" s="1" t="s">
        <v>29</v>
      </c>
      <c r="C48" s="2">
        <v>0.62013888888888891</v>
      </c>
      <c r="D48" s="2">
        <v>0.62291666666666667</v>
      </c>
      <c r="E48" s="2">
        <f t="shared" si="0"/>
        <v>2.7777777777777679E-3</v>
      </c>
      <c r="F48" s="3">
        <f t="shared" si="1"/>
        <v>6.94444444444553E-4</v>
      </c>
      <c r="I48" s="1" t="s">
        <v>9</v>
      </c>
      <c r="J48" s="2">
        <v>0.28541666666666665</v>
      </c>
      <c r="K48" s="2">
        <v>0.29236111111111113</v>
      </c>
      <c r="L48" s="6">
        <f t="shared" si="2"/>
        <v>6.9444444444444753E-3</v>
      </c>
      <c r="M48" s="3">
        <f t="shared" si="3"/>
        <v>6.9444444444444753E-3</v>
      </c>
    </row>
    <row r="49" spans="1:13" x14ac:dyDescent="0.25">
      <c r="A49" s="20">
        <v>42401</v>
      </c>
      <c r="B49" s="1" t="s">
        <v>29</v>
      </c>
      <c r="C49" s="2">
        <v>0.67569444444444438</v>
      </c>
      <c r="D49" s="2">
        <v>0.6791666666666667</v>
      </c>
      <c r="E49" s="2">
        <f t="shared" si="0"/>
        <v>3.4722222222223209E-3</v>
      </c>
      <c r="F49" s="3">
        <f t="shared" si="1"/>
        <v>6.9444444444444198E-4</v>
      </c>
      <c r="I49" s="1" t="s">
        <v>9</v>
      </c>
      <c r="J49" s="2">
        <v>0.69861111111111107</v>
      </c>
      <c r="K49" s="2">
        <v>0.71250000000000002</v>
      </c>
      <c r="L49" s="6">
        <f t="shared" si="2"/>
        <v>1.3888888888888951E-2</v>
      </c>
      <c r="M49" s="3">
        <f t="shared" si="3"/>
        <v>3.4722222222222099E-3</v>
      </c>
    </row>
    <row r="50" spans="1:13" x14ac:dyDescent="0.25">
      <c r="A50" s="20">
        <v>42401</v>
      </c>
      <c r="B50" s="1" t="s">
        <v>29</v>
      </c>
      <c r="C50" s="2">
        <v>0.69791666666666663</v>
      </c>
      <c r="D50" s="2">
        <v>0.70208333333333339</v>
      </c>
      <c r="E50" s="2">
        <f t="shared" si="0"/>
        <v>4.1666666666667629E-3</v>
      </c>
      <c r="F50" s="3">
        <f t="shared" si="1"/>
        <v>1.3888888888887729E-3</v>
      </c>
      <c r="I50" s="1" t="s">
        <v>9</v>
      </c>
      <c r="J50" s="2">
        <v>0.32847222222222222</v>
      </c>
      <c r="K50" s="2">
        <v>0.34583333333333338</v>
      </c>
      <c r="L50" s="6">
        <f t="shared" si="2"/>
        <v>1.736111111111116E-2</v>
      </c>
    </row>
    <row r="51" spans="1:13" x14ac:dyDescent="0.25">
      <c r="A51" s="20">
        <v>42401</v>
      </c>
      <c r="B51" s="1" t="s">
        <v>29</v>
      </c>
      <c r="C51" s="2">
        <v>0.74861111111111101</v>
      </c>
      <c r="D51" s="2">
        <v>0.75138888888888899</v>
      </c>
      <c r="E51" s="2">
        <f t="shared" si="0"/>
        <v>2.77777777777799E-3</v>
      </c>
      <c r="F51" s="3">
        <f t="shared" si="1"/>
        <v>1.3194444444444287E-2</v>
      </c>
    </row>
    <row r="52" spans="1:13" x14ac:dyDescent="0.25">
      <c r="A52" s="20">
        <v>42401</v>
      </c>
      <c r="B52" s="1" t="s">
        <v>29</v>
      </c>
      <c r="C52" s="2">
        <v>0.78055555555555556</v>
      </c>
      <c r="D52" s="2">
        <v>0.79652777777777783</v>
      </c>
      <c r="E52" s="2">
        <f t="shared" si="0"/>
        <v>1.5972222222222276E-2</v>
      </c>
      <c r="F52" s="3">
        <f t="shared" si="1"/>
        <v>6.2499999999999778E-3</v>
      </c>
    </row>
    <row r="53" spans="1:13" x14ac:dyDescent="0.25">
      <c r="A53" s="20">
        <v>42401</v>
      </c>
      <c r="B53" s="1" t="s">
        <v>29</v>
      </c>
      <c r="C53" s="2">
        <v>0.82847222222222217</v>
      </c>
      <c r="D53" s="2">
        <v>0.83819444444444446</v>
      </c>
      <c r="E53" s="2">
        <f t="shared" si="0"/>
        <v>9.7222222222222987E-3</v>
      </c>
      <c r="F53" s="3">
        <f t="shared" si="1"/>
        <v>5.5511151231257827E-17</v>
      </c>
    </row>
    <row r="54" spans="1:13" x14ac:dyDescent="0.25">
      <c r="A54" s="20">
        <v>42401</v>
      </c>
      <c r="B54" s="1" t="s">
        <v>29</v>
      </c>
      <c r="C54" s="2">
        <v>0.25416666666666665</v>
      </c>
      <c r="D54" s="2">
        <v>0.2638888888888889</v>
      </c>
      <c r="E54" s="2">
        <f t="shared" si="0"/>
        <v>9.7222222222222432E-3</v>
      </c>
      <c r="F54" s="3">
        <f t="shared" si="1"/>
        <v>6.9444444444444753E-3</v>
      </c>
    </row>
    <row r="55" spans="1:13" x14ac:dyDescent="0.25">
      <c r="A55" s="20">
        <v>42401</v>
      </c>
      <c r="B55" s="1" t="s">
        <v>29</v>
      </c>
      <c r="C55" s="2">
        <v>0.81527777777777777</v>
      </c>
      <c r="D55" s="2">
        <v>0.81805555555555554</v>
      </c>
      <c r="E55" s="2">
        <f t="shared" si="0"/>
        <v>2.7777777777777679E-3</v>
      </c>
      <c r="F55" s="3">
        <f t="shared" si="1"/>
        <v>1.388888888888884E-3</v>
      </c>
    </row>
    <row r="56" spans="1:13" x14ac:dyDescent="0.25">
      <c r="A56" s="20">
        <v>42401</v>
      </c>
      <c r="B56" s="1" t="s">
        <v>29</v>
      </c>
      <c r="C56" s="2">
        <v>0.83333333333333337</v>
      </c>
      <c r="D56" s="2">
        <v>0.83750000000000002</v>
      </c>
      <c r="E56" s="2">
        <f t="shared" si="0"/>
        <v>4.1666666666666519E-3</v>
      </c>
      <c r="F56" s="3">
        <f t="shared" si="1"/>
        <v>5.5555555555555705E-3</v>
      </c>
    </row>
    <row r="57" spans="1:13" x14ac:dyDescent="0.25">
      <c r="A57" s="20">
        <v>42401</v>
      </c>
      <c r="B57" s="1" t="s">
        <v>29</v>
      </c>
      <c r="C57" s="2">
        <v>3.125E-2</v>
      </c>
      <c r="D57" s="2">
        <v>4.0972222222222222E-2</v>
      </c>
      <c r="E57" s="2">
        <f t="shared" si="0"/>
        <v>9.7222222222222224E-3</v>
      </c>
      <c r="F57" s="3">
        <f t="shared" si="1"/>
        <v>1.3888888888889186E-3</v>
      </c>
    </row>
    <row r="58" spans="1:13" x14ac:dyDescent="0.25">
      <c r="A58" s="20">
        <v>42401</v>
      </c>
      <c r="B58" s="1" t="s">
        <v>29</v>
      </c>
      <c r="C58" s="2">
        <v>0.14375000000000002</v>
      </c>
      <c r="D58" s="2">
        <v>0.15208333333333332</v>
      </c>
      <c r="E58" s="2">
        <f t="shared" si="0"/>
        <v>8.3333333333333037E-3</v>
      </c>
      <c r="F58" s="3">
        <f t="shared" si="1"/>
        <v>5.5511151231257827E-17</v>
      </c>
    </row>
    <row r="59" spans="1:13" x14ac:dyDescent="0.25">
      <c r="A59" s="20">
        <v>42401</v>
      </c>
      <c r="B59" s="1" t="s">
        <v>29</v>
      </c>
      <c r="C59" s="2">
        <v>0.48888888888888887</v>
      </c>
      <c r="D59" s="2">
        <v>0.49722222222222223</v>
      </c>
      <c r="E59" s="2">
        <f t="shared" si="0"/>
        <v>8.3333333333333592E-3</v>
      </c>
      <c r="F59" s="3">
        <f t="shared" si="1"/>
        <v>6.9444444444444198E-4</v>
      </c>
    </row>
    <row r="60" spans="1:13" x14ac:dyDescent="0.25">
      <c r="A60" s="20">
        <v>42401</v>
      </c>
      <c r="B60" s="1" t="s">
        <v>29</v>
      </c>
      <c r="C60" s="2">
        <v>0.48958333333333331</v>
      </c>
      <c r="D60" s="2">
        <v>0.49722222222222223</v>
      </c>
      <c r="E60" s="2">
        <f t="shared" si="0"/>
        <v>7.6388888888889173E-3</v>
      </c>
      <c r="F60" s="3">
        <f t="shared" si="1"/>
        <v>3.4722222222222654E-3</v>
      </c>
    </row>
    <row r="61" spans="1:13" x14ac:dyDescent="0.25">
      <c r="A61" s="20">
        <v>42401</v>
      </c>
      <c r="B61" s="1" t="s">
        <v>29</v>
      </c>
      <c r="C61" s="2">
        <v>0.63611111111111118</v>
      </c>
      <c r="D61" s="2">
        <v>0.64027777777777783</v>
      </c>
      <c r="E61" s="2">
        <f t="shared" si="0"/>
        <v>4.1666666666666519E-3</v>
      </c>
      <c r="F61" s="3">
        <f t="shared" si="1"/>
        <v>6.9444444444444198E-4</v>
      </c>
    </row>
    <row r="62" spans="1:13" x14ac:dyDescent="0.25">
      <c r="A62" s="20">
        <v>42401</v>
      </c>
      <c r="B62" s="1" t="s">
        <v>29</v>
      </c>
      <c r="C62" s="2">
        <v>0.76250000000000007</v>
      </c>
      <c r="D62" s="2">
        <v>0.76736111111111116</v>
      </c>
      <c r="E62" s="2">
        <f t="shared" si="0"/>
        <v>4.8611111111110938E-3</v>
      </c>
      <c r="F62" s="3">
        <f t="shared" si="1"/>
        <v>7.6388888888887507E-3</v>
      </c>
    </row>
    <row r="63" spans="1:13" x14ac:dyDescent="0.25">
      <c r="A63" s="20">
        <v>42401</v>
      </c>
      <c r="B63" s="1" t="s">
        <v>29</v>
      </c>
      <c r="C63" s="2">
        <v>0.78819444444444453</v>
      </c>
      <c r="D63" s="2">
        <v>0.80069444444444438</v>
      </c>
      <c r="E63" s="2">
        <f t="shared" si="0"/>
        <v>1.2499999999999845E-2</v>
      </c>
      <c r="F63" s="3">
        <f t="shared" si="1"/>
        <v>5.5555555555554248E-3</v>
      </c>
    </row>
    <row r="64" spans="1:13" x14ac:dyDescent="0.25">
      <c r="A64" s="20">
        <v>42401</v>
      </c>
      <c r="B64" s="1" t="s">
        <v>29</v>
      </c>
      <c r="C64" s="2">
        <v>0.3756944444444445</v>
      </c>
      <c r="D64" s="2">
        <v>0.38263888888888892</v>
      </c>
      <c r="E64" s="2">
        <f t="shared" si="0"/>
        <v>6.9444444444444198E-3</v>
      </c>
      <c r="F64" s="3">
        <f t="shared" si="1"/>
        <v>4.1666666666666519E-3</v>
      </c>
    </row>
    <row r="65" spans="1:6" x14ac:dyDescent="0.25">
      <c r="A65" s="20">
        <v>42401</v>
      </c>
      <c r="B65" s="1" t="s">
        <v>29</v>
      </c>
      <c r="C65" s="2">
        <v>0.4069444444444445</v>
      </c>
      <c r="D65" s="2">
        <v>0.40972222222222227</v>
      </c>
      <c r="E65" s="2">
        <f t="shared" si="0"/>
        <v>2.7777777777777679E-3</v>
      </c>
      <c r="F65" s="3">
        <f t="shared" si="1"/>
        <v>6.2500000000000333E-3</v>
      </c>
    </row>
    <row r="66" spans="1:6" x14ac:dyDescent="0.25">
      <c r="A66" s="20">
        <v>42401</v>
      </c>
      <c r="B66" s="1" t="s">
        <v>29</v>
      </c>
      <c r="C66" s="2">
        <v>0.4770833333333333</v>
      </c>
      <c r="D66" s="2">
        <v>0.4861111111111111</v>
      </c>
      <c r="E66" s="2">
        <f t="shared" si="0"/>
        <v>9.0277777777778012E-3</v>
      </c>
      <c r="F66" s="3">
        <f t="shared" si="1"/>
        <v>2.7777777777778234E-3</v>
      </c>
    </row>
    <row r="67" spans="1:6" x14ac:dyDescent="0.25">
      <c r="A67" s="20">
        <v>42401</v>
      </c>
      <c r="B67" s="1" t="s">
        <v>29</v>
      </c>
      <c r="C67" s="2">
        <v>0.47986111111111113</v>
      </c>
      <c r="D67" s="2">
        <v>0.4861111111111111</v>
      </c>
      <c r="E67" s="2">
        <f t="shared" ref="E67:E130" si="4">D67-C67</f>
        <v>6.2499999999999778E-3</v>
      </c>
      <c r="F67" s="3">
        <f t="shared" ref="F67:F130" si="5">ABS(E68-E67)</f>
        <v>3.4722222222222099E-3</v>
      </c>
    </row>
    <row r="68" spans="1:6" x14ac:dyDescent="0.25">
      <c r="A68" s="20">
        <v>42401</v>
      </c>
      <c r="B68" s="1" t="s">
        <v>29</v>
      </c>
      <c r="C68" s="2">
        <v>0.5541666666666667</v>
      </c>
      <c r="D68" s="2">
        <v>0.55694444444444446</v>
      </c>
      <c r="E68" s="2">
        <f t="shared" si="4"/>
        <v>2.7777777777777679E-3</v>
      </c>
      <c r="F68" s="3">
        <f t="shared" si="5"/>
        <v>4.8611111111112049E-3</v>
      </c>
    </row>
    <row r="69" spans="1:6" x14ac:dyDescent="0.25">
      <c r="A69" s="20">
        <v>42401</v>
      </c>
      <c r="B69" s="1" t="s">
        <v>29</v>
      </c>
      <c r="C69" s="2">
        <v>0.89097222222222217</v>
      </c>
      <c r="D69" s="2">
        <v>0.89861111111111114</v>
      </c>
      <c r="E69" s="2">
        <f t="shared" si="4"/>
        <v>7.6388888888889728E-3</v>
      </c>
      <c r="F69" s="3">
        <f t="shared" si="5"/>
        <v>8.3266726846886741E-17</v>
      </c>
    </row>
    <row r="70" spans="1:6" x14ac:dyDescent="0.25">
      <c r="A70" s="20">
        <v>42401</v>
      </c>
      <c r="B70" s="1" t="s">
        <v>29</v>
      </c>
      <c r="C70" s="2">
        <v>3.9583333333333331E-2</v>
      </c>
      <c r="D70" s="2">
        <v>4.7222222222222221E-2</v>
      </c>
      <c r="E70" s="2">
        <f t="shared" si="4"/>
        <v>7.6388888888888895E-3</v>
      </c>
      <c r="F70" s="3">
        <f t="shared" si="5"/>
        <v>9.7222222222221599E-3</v>
      </c>
    </row>
    <row r="71" spans="1:6" x14ac:dyDescent="0.25">
      <c r="A71" s="20">
        <v>42401</v>
      </c>
      <c r="B71" s="1" t="s">
        <v>29</v>
      </c>
      <c r="C71" s="2">
        <v>0.43958333333333338</v>
      </c>
      <c r="D71" s="2">
        <v>0.45694444444444443</v>
      </c>
      <c r="E71" s="2">
        <f t="shared" si="4"/>
        <v>1.7361111111111049E-2</v>
      </c>
      <c r="F71" s="3">
        <f t="shared" si="5"/>
        <v>6.9444444444444198E-3</v>
      </c>
    </row>
    <row r="72" spans="1:6" x14ac:dyDescent="0.25">
      <c r="A72" s="20">
        <v>42401</v>
      </c>
      <c r="B72" s="1" t="s">
        <v>29</v>
      </c>
      <c r="C72" s="2">
        <v>0.52430555555555558</v>
      </c>
      <c r="D72" s="2">
        <v>0.53472222222222221</v>
      </c>
      <c r="E72" s="2">
        <f t="shared" si="4"/>
        <v>1.041666666666663E-2</v>
      </c>
      <c r="F72" s="3">
        <f t="shared" si="5"/>
        <v>2.7777777777777679E-3</v>
      </c>
    </row>
    <row r="73" spans="1:6" x14ac:dyDescent="0.25">
      <c r="A73" s="20">
        <v>42401</v>
      </c>
      <c r="B73" s="1" t="s">
        <v>29</v>
      </c>
      <c r="C73" s="2">
        <v>0.6479166666666667</v>
      </c>
      <c r="D73" s="2">
        <v>0.65555555555555556</v>
      </c>
      <c r="E73" s="2">
        <f t="shared" si="4"/>
        <v>7.6388888888888618E-3</v>
      </c>
      <c r="F73" s="3">
        <f t="shared" si="5"/>
        <v>1.388888888888884E-3</v>
      </c>
    </row>
    <row r="74" spans="1:6" x14ac:dyDescent="0.25">
      <c r="A74" s="20">
        <v>42401</v>
      </c>
      <c r="B74" s="1" t="s">
        <v>29</v>
      </c>
      <c r="C74" s="2">
        <v>0.64027777777777783</v>
      </c>
      <c r="D74" s="2">
        <v>0.64652777777777781</v>
      </c>
      <c r="E74" s="2">
        <f t="shared" si="4"/>
        <v>6.2499999999999778E-3</v>
      </c>
      <c r="F74" s="3">
        <f t="shared" si="5"/>
        <v>9.0277777777778567E-3</v>
      </c>
    </row>
    <row r="75" spans="1:6" x14ac:dyDescent="0.25">
      <c r="A75" s="20">
        <v>42401</v>
      </c>
      <c r="B75" s="1" t="s">
        <v>29</v>
      </c>
      <c r="C75" s="2">
        <v>0.66319444444444442</v>
      </c>
      <c r="D75" s="2">
        <v>0.67847222222222225</v>
      </c>
      <c r="E75" s="2">
        <f t="shared" si="4"/>
        <v>1.5277777777777835E-2</v>
      </c>
      <c r="F75" s="3">
        <f t="shared" si="5"/>
        <v>1.2500000000000067E-2</v>
      </c>
    </row>
    <row r="76" spans="1:6" x14ac:dyDescent="0.25">
      <c r="A76" s="20">
        <v>42401</v>
      </c>
      <c r="B76" s="5" t="s">
        <v>29</v>
      </c>
      <c r="C76" s="2">
        <v>0.67013888888888884</v>
      </c>
      <c r="D76" s="2">
        <v>0.67291666666666661</v>
      </c>
      <c r="E76" s="2">
        <f t="shared" si="4"/>
        <v>2.7777777777777679E-3</v>
      </c>
      <c r="F76" s="3">
        <f t="shared" si="5"/>
        <v>5.5555555555555358E-3</v>
      </c>
    </row>
    <row r="77" spans="1:6" x14ac:dyDescent="0.25">
      <c r="A77" s="20">
        <v>42401</v>
      </c>
      <c r="B77" s="1" t="s">
        <v>29</v>
      </c>
      <c r="C77" s="2">
        <v>0.77500000000000002</v>
      </c>
      <c r="D77" s="2">
        <v>0.78333333333333333</v>
      </c>
      <c r="E77" s="2">
        <f t="shared" si="4"/>
        <v>8.3333333333333037E-3</v>
      </c>
      <c r="F77" s="3">
        <f t="shared" si="5"/>
        <v>6.94444444444553E-4</v>
      </c>
    </row>
    <row r="78" spans="1:6" x14ac:dyDescent="0.25">
      <c r="A78" s="20">
        <v>42401</v>
      </c>
      <c r="B78" s="1" t="s">
        <v>29</v>
      </c>
      <c r="C78" s="2">
        <v>0.83194444444444438</v>
      </c>
      <c r="D78" s="2">
        <v>0.84097222222222223</v>
      </c>
      <c r="E78" s="2">
        <f t="shared" si="4"/>
        <v>9.0277777777778567E-3</v>
      </c>
      <c r="F78" s="3">
        <f t="shared" si="5"/>
        <v>6.9444444444433095E-4</v>
      </c>
    </row>
    <row r="79" spans="1:6" x14ac:dyDescent="0.25">
      <c r="A79" s="20">
        <v>42401</v>
      </c>
      <c r="B79" s="1" t="s">
        <v>29</v>
      </c>
      <c r="C79" s="2">
        <v>0.97222222222222221</v>
      </c>
      <c r="D79" s="2">
        <v>0.9819444444444444</v>
      </c>
      <c r="E79" s="2">
        <f t="shared" si="4"/>
        <v>9.7222222222221877E-3</v>
      </c>
      <c r="F79" s="3">
        <f t="shared" si="5"/>
        <v>4.8611111111110661E-3</v>
      </c>
    </row>
    <row r="80" spans="1:6" x14ac:dyDescent="0.25">
      <c r="A80" s="20">
        <v>42401</v>
      </c>
      <c r="B80" s="1" t="s">
        <v>29</v>
      </c>
      <c r="C80" s="2">
        <v>8.2638888888888887E-2</v>
      </c>
      <c r="D80" s="2">
        <v>8.7500000000000008E-2</v>
      </c>
      <c r="E80" s="2">
        <f t="shared" si="4"/>
        <v>4.8611111111111216E-3</v>
      </c>
      <c r="F80" s="3">
        <f t="shared" si="5"/>
        <v>1.3888888888889117E-3</v>
      </c>
    </row>
    <row r="81" spans="1:6" x14ac:dyDescent="0.25">
      <c r="A81" s="20">
        <v>42401</v>
      </c>
      <c r="B81" s="1" t="s">
        <v>29</v>
      </c>
      <c r="C81" s="2">
        <v>0.10208333333333335</v>
      </c>
      <c r="D81" s="2">
        <v>0.10555555555555556</v>
      </c>
      <c r="E81" s="2">
        <f t="shared" si="4"/>
        <v>3.4722222222222099E-3</v>
      </c>
      <c r="F81" s="3">
        <f t="shared" si="5"/>
        <v>5.5555555555555358E-3</v>
      </c>
    </row>
    <row r="82" spans="1:6" x14ac:dyDescent="0.25">
      <c r="A82" s="20">
        <v>42401</v>
      </c>
      <c r="B82" s="1" t="s">
        <v>29</v>
      </c>
      <c r="C82" s="2">
        <v>0.27569444444444446</v>
      </c>
      <c r="D82" s="2">
        <v>0.28472222222222221</v>
      </c>
      <c r="E82" s="2">
        <f t="shared" si="4"/>
        <v>9.0277777777777457E-3</v>
      </c>
      <c r="F82" s="3">
        <f t="shared" si="5"/>
        <v>1.8750000000000044E-2</v>
      </c>
    </row>
    <row r="83" spans="1:6" x14ac:dyDescent="0.25">
      <c r="A83" s="20">
        <v>42401</v>
      </c>
      <c r="B83" s="1" t="s">
        <v>29</v>
      </c>
      <c r="C83" s="2">
        <v>0.38750000000000001</v>
      </c>
      <c r="D83" s="2">
        <v>0.4152777777777778</v>
      </c>
      <c r="E83" s="2">
        <f t="shared" si="4"/>
        <v>2.777777777777779E-2</v>
      </c>
      <c r="F83" s="3">
        <f t="shared" si="5"/>
        <v>2.2916666666666752E-2</v>
      </c>
    </row>
    <row r="84" spans="1:6" x14ac:dyDescent="0.25">
      <c r="A84" s="20">
        <v>42401</v>
      </c>
      <c r="B84" s="1" t="s">
        <v>29</v>
      </c>
      <c r="C84" s="2">
        <v>0.4381944444444445</v>
      </c>
      <c r="D84" s="2">
        <v>0.44305555555555554</v>
      </c>
      <c r="E84" s="2">
        <f t="shared" si="4"/>
        <v>4.8611111111110383E-3</v>
      </c>
      <c r="F84" s="3">
        <f t="shared" si="5"/>
        <v>2.0138888888888928E-2</v>
      </c>
    </row>
    <row r="85" spans="1:6" x14ac:dyDescent="0.25">
      <c r="A85" s="20">
        <v>42401</v>
      </c>
      <c r="B85" s="1" t="s">
        <v>29</v>
      </c>
      <c r="C85" s="2">
        <v>0.43958333333333338</v>
      </c>
      <c r="D85" s="2">
        <v>0.46458333333333335</v>
      </c>
      <c r="E85" s="2">
        <f t="shared" si="4"/>
        <v>2.4999999999999967E-2</v>
      </c>
      <c r="F85" s="3">
        <f t="shared" si="5"/>
        <v>9.7222222222221322E-3</v>
      </c>
    </row>
    <row r="86" spans="1:6" x14ac:dyDescent="0.25">
      <c r="A86" s="20">
        <v>42401</v>
      </c>
      <c r="B86" s="1" t="s">
        <v>29</v>
      </c>
      <c r="C86" s="2">
        <v>0.49583333333333335</v>
      </c>
      <c r="D86" s="2">
        <v>0.51111111111111118</v>
      </c>
      <c r="E86" s="2">
        <f t="shared" si="4"/>
        <v>1.5277777777777835E-2</v>
      </c>
      <c r="F86" s="3">
        <f t="shared" si="5"/>
        <v>4.0277777777777635E-2</v>
      </c>
    </row>
    <row r="87" spans="1:6" x14ac:dyDescent="0.25">
      <c r="A87" s="20">
        <v>42401</v>
      </c>
      <c r="B87" s="1" t="s">
        <v>29</v>
      </c>
      <c r="C87" s="2">
        <v>0.6166666666666667</v>
      </c>
      <c r="D87" s="2">
        <v>0.67222222222222217</v>
      </c>
      <c r="E87" s="2">
        <f t="shared" si="4"/>
        <v>5.5555555555555469E-2</v>
      </c>
      <c r="F87" s="3">
        <f t="shared" si="5"/>
        <v>4.9305555555555491E-2</v>
      </c>
    </row>
    <row r="88" spans="1:6" x14ac:dyDescent="0.25">
      <c r="A88" s="20">
        <v>42401</v>
      </c>
      <c r="B88" s="1" t="s">
        <v>29</v>
      </c>
      <c r="C88" s="2">
        <v>0.71597222222222223</v>
      </c>
      <c r="D88" s="2">
        <v>0.72222222222222221</v>
      </c>
      <c r="E88" s="2">
        <f t="shared" si="4"/>
        <v>6.2499999999999778E-3</v>
      </c>
      <c r="F88" s="3">
        <f t="shared" si="5"/>
        <v>2.083333333333548E-3</v>
      </c>
    </row>
    <row r="89" spans="1:6" x14ac:dyDescent="0.25">
      <c r="A89" s="20">
        <v>42401</v>
      </c>
      <c r="B89" s="1" t="s">
        <v>29</v>
      </c>
      <c r="C89" s="2">
        <v>0.77430555555555547</v>
      </c>
      <c r="D89" s="2">
        <v>0.78263888888888899</v>
      </c>
      <c r="E89" s="2">
        <f t="shared" si="4"/>
        <v>8.3333333333335258E-3</v>
      </c>
      <c r="F89" s="3">
        <f t="shared" si="5"/>
        <v>4.1666666666668739E-3</v>
      </c>
    </row>
    <row r="90" spans="1:6" x14ac:dyDescent="0.25">
      <c r="A90" s="20">
        <v>42401</v>
      </c>
      <c r="B90" s="1" t="s">
        <v>29</v>
      </c>
      <c r="C90" s="2">
        <v>0.87847222222222221</v>
      </c>
      <c r="D90" s="2">
        <v>0.88263888888888886</v>
      </c>
      <c r="E90" s="2">
        <f t="shared" si="4"/>
        <v>4.1666666666666519E-3</v>
      </c>
      <c r="F90" s="3">
        <f t="shared" si="5"/>
        <v>1.388888888888995E-3</v>
      </c>
    </row>
    <row r="91" spans="1:6" x14ac:dyDescent="0.25">
      <c r="A91" s="20">
        <v>42401</v>
      </c>
      <c r="B91" s="1" t="s">
        <v>29</v>
      </c>
      <c r="C91" s="2">
        <v>0.94652777777777775</v>
      </c>
      <c r="D91" s="2">
        <v>0.95208333333333339</v>
      </c>
      <c r="E91" s="2">
        <f t="shared" si="4"/>
        <v>5.5555555555556468E-3</v>
      </c>
      <c r="F91" s="3">
        <f t="shared" si="5"/>
        <v>2.7777777777777679E-3</v>
      </c>
    </row>
    <row r="92" spans="1:6" x14ac:dyDescent="0.25">
      <c r="A92" s="20">
        <v>42401</v>
      </c>
      <c r="B92" s="1" t="s">
        <v>29</v>
      </c>
      <c r="C92" s="2">
        <v>0.33888888888888885</v>
      </c>
      <c r="D92" s="2">
        <v>0.34722222222222227</v>
      </c>
      <c r="E92" s="2">
        <f t="shared" si="4"/>
        <v>8.3333333333334147E-3</v>
      </c>
      <c r="F92" s="3">
        <f t="shared" si="5"/>
        <v>1.3888888888888284E-3</v>
      </c>
    </row>
    <row r="93" spans="1:6" x14ac:dyDescent="0.25">
      <c r="A93" s="20">
        <v>42401</v>
      </c>
      <c r="B93" s="1" t="s">
        <v>29</v>
      </c>
      <c r="C93" s="2">
        <v>0.45347222222222222</v>
      </c>
      <c r="D93" s="2">
        <v>0.46319444444444446</v>
      </c>
      <c r="E93" s="2">
        <f t="shared" si="4"/>
        <v>9.7222222222222432E-3</v>
      </c>
      <c r="F93" s="3">
        <f t="shared" si="5"/>
        <v>2.7777777777777124E-3</v>
      </c>
    </row>
    <row r="94" spans="1:6" x14ac:dyDescent="0.25">
      <c r="A94" s="20">
        <v>42401</v>
      </c>
      <c r="B94" s="1" t="s">
        <v>29</v>
      </c>
      <c r="C94" s="2">
        <v>0.46319444444444446</v>
      </c>
      <c r="D94" s="2">
        <v>0.47569444444444442</v>
      </c>
      <c r="E94" s="2">
        <f t="shared" si="4"/>
        <v>1.2499999999999956E-2</v>
      </c>
      <c r="F94" s="3">
        <f t="shared" si="5"/>
        <v>1.4583333333333393E-2</v>
      </c>
    </row>
    <row r="95" spans="1:6" x14ac:dyDescent="0.25">
      <c r="A95" s="20">
        <v>42401</v>
      </c>
      <c r="B95" s="1" t="s">
        <v>29</v>
      </c>
      <c r="C95" s="2">
        <v>0.47430555555555554</v>
      </c>
      <c r="D95" s="2">
        <v>0.50138888888888888</v>
      </c>
      <c r="E95" s="2">
        <f t="shared" si="4"/>
        <v>2.7083333333333348E-2</v>
      </c>
      <c r="F95" s="3">
        <f t="shared" si="5"/>
        <v>1.4583333333333282E-2</v>
      </c>
    </row>
    <row r="96" spans="1:6" x14ac:dyDescent="0.25">
      <c r="A96" s="20">
        <v>42401</v>
      </c>
      <c r="B96" s="1" t="s">
        <v>29</v>
      </c>
      <c r="C96" s="2">
        <v>0.50902777777777775</v>
      </c>
      <c r="D96" s="2">
        <v>0.52152777777777781</v>
      </c>
      <c r="E96" s="2">
        <f t="shared" si="4"/>
        <v>1.2500000000000067E-2</v>
      </c>
      <c r="F96" s="3">
        <f t="shared" si="5"/>
        <v>4.1666666666667629E-3</v>
      </c>
    </row>
    <row r="97" spans="1:6" x14ac:dyDescent="0.25">
      <c r="A97" s="20">
        <v>42401</v>
      </c>
      <c r="B97" s="1" t="s">
        <v>29</v>
      </c>
      <c r="C97" s="2">
        <v>0.50208333333333333</v>
      </c>
      <c r="D97" s="2">
        <v>0.51041666666666663</v>
      </c>
      <c r="E97" s="2">
        <f t="shared" si="4"/>
        <v>8.3333333333333037E-3</v>
      </c>
      <c r="F97" s="3">
        <f t="shared" si="5"/>
        <v>1.4583333333333393E-2</v>
      </c>
    </row>
    <row r="98" spans="1:6" x14ac:dyDescent="0.25">
      <c r="A98" s="20">
        <v>42401</v>
      </c>
      <c r="B98" s="1" t="s">
        <v>29</v>
      </c>
      <c r="C98" s="2">
        <v>0.53819444444444442</v>
      </c>
      <c r="D98" s="2">
        <v>0.56111111111111112</v>
      </c>
      <c r="E98" s="2">
        <f t="shared" si="4"/>
        <v>2.2916666666666696E-2</v>
      </c>
      <c r="F98" s="3">
        <f t="shared" si="5"/>
        <v>1.0416666666666741E-2</v>
      </c>
    </row>
    <row r="99" spans="1:6" x14ac:dyDescent="0.25">
      <c r="A99" s="20">
        <v>42401</v>
      </c>
      <c r="B99" s="1" t="s">
        <v>29</v>
      </c>
      <c r="C99" s="2">
        <v>0.55763888888888891</v>
      </c>
      <c r="D99" s="2">
        <v>0.57013888888888886</v>
      </c>
      <c r="E99" s="2">
        <f t="shared" si="4"/>
        <v>1.2499999999999956E-2</v>
      </c>
      <c r="F99" s="3">
        <f t="shared" si="5"/>
        <v>6.2499999999999778E-3</v>
      </c>
    </row>
    <row r="100" spans="1:6" x14ac:dyDescent="0.25">
      <c r="A100" s="20">
        <v>42401</v>
      </c>
      <c r="B100" s="1" t="s">
        <v>29</v>
      </c>
      <c r="C100" s="2">
        <v>0.69166666666666676</v>
      </c>
      <c r="D100" s="2">
        <v>0.7104166666666667</v>
      </c>
      <c r="E100" s="2">
        <f t="shared" si="4"/>
        <v>1.8749999999999933E-2</v>
      </c>
      <c r="F100" s="3">
        <f t="shared" si="5"/>
        <v>1.1111111111111072E-2</v>
      </c>
    </row>
    <row r="101" spans="1:6" x14ac:dyDescent="0.25">
      <c r="A101" s="20">
        <v>42401</v>
      </c>
      <c r="B101" s="1" t="s">
        <v>29</v>
      </c>
      <c r="C101" s="2">
        <v>0.7583333333333333</v>
      </c>
      <c r="D101" s="2">
        <v>0.76597222222222217</v>
      </c>
      <c r="E101" s="2">
        <f t="shared" si="4"/>
        <v>7.6388888888888618E-3</v>
      </c>
      <c r="F101" s="3">
        <f t="shared" si="5"/>
        <v>2.0833333333333259E-3</v>
      </c>
    </row>
    <row r="102" spans="1:6" x14ac:dyDescent="0.25">
      <c r="A102" s="20">
        <v>42401</v>
      </c>
      <c r="B102" s="1" t="s">
        <v>29</v>
      </c>
      <c r="C102" s="2">
        <v>0.8125</v>
      </c>
      <c r="D102" s="2">
        <v>0.81805555555555554</v>
      </c>
      <c r="E102" s="2">
        <f t="shared" si="4"/>
        <v>5.5555555555555358E-3</v>
      </c>
      <c r="F102" s="3">
        <f t="shared" si="5"/>
        <v>2.0833333333333814E-3</v>
      </c>
    </row>
    <row r="103" spans="1:6" x14ac:dyDescent="0.25">
      <c r="A103" s="20">
        <v>42401</v>
      </c>
      <c r="B103" s="1" t="s">
        <v>29</v>
      </c>
      <c r="C103" s="2">
        <v>0.3520833333333333</v>
      </c>
      <c r="D103" s="2">
        <v>0.35972222222222222</v>
      </c>
      <c r="E103" s="2">
        <f t="shared" si="4"/>
        <v>7.6388888888889173E-3</v>
      </c>
      <c r="F103" s="3">
        <f t="shared" si="5"/>
        <v>6.9444444444438647E-4</v>
      </c>
    </row>
    <row r="104" spans="1:6" x14ac:dyDescent="0.25">
      <c r="A104" s="20">
        <v>42401</v>
      </c>
      <c r="B104" s="1" t="s">
        <v>29</v>
      </c>
      <c r="C104" s="2">
        <v>0.54583333333333328</v>
      </c>
      <c r="D104" s="2">
        <v>0.55277777777777781</v>
      </c>
      <c r="E104" s="2">
        <f t="shared" si="4"/>
        <v>6.9444444444445308E-3</v>
      </c>
      <c r="F104" s="3">
        <f t="shared" si="5"/>
        <v>6.9444444444433095E-4</v>
      </c>
    </row>
    <row r="105" spans="1:6" x14ac:dyDescent="0.25">
      <c r="A105" s="20">
        <v>42401</v>
      </c>
      <c r="B105" s="1" t="s">
        <v>29</v>
      </c>
      <c r="C105" s="2">
        <v>0.61944444444444446</v>
      </c>
      <c r="D105" s="2">
        <v>0.62708333333333333</v>
      </c>
      <c r="E105" s="2">
        <f t="shared" si="4"/>
        <v>7.6388888888888618E-3</v>
      </c>
      <c r="F105" s="3">
        <f t="shared" si="5"/>
        <v>2.0833333333333259E-3</v>
      </c>
    </row>
    <row r="106" spans="1:6" x14ac:dyDescent="0.25">
      <c r="A106" s="20">
        <v>42401</v>
      </c>
      <c r="B106" s="1" t="s">
        <v>29</v>
      </c>
      <c r="C106" s="2">
        <v>0.6791666666666667</v>
      </c>
      <c r="D106" s="2">
        <v>0.68472222222222223</v>
      </c>
      <c r="E106" s="2">
        <f t="shared" si="4"/>
        <v>5.5555555555555358E-3</v>
      </c>
      <c r="F106" s="3">
        <f t="shared" si="5"/>
        <v>3.4722222222223209E-3</v>
      </c>
    </row>
    <row r="107" spans="1:6" x14ac:dyDescent="0.25">
      <c r="A107" s="20">
        <v>42401</v>
      </c>
      <c r="B107" s="1" t="s">
        <v>29</v>
      </c>
      <c r="C107" s="2">
        <v>0.71944444444444444</v>
      </c>
      <c r="D107" s="2">
        <v>0.7284722222222223</v>
      </c>
      <c r="E107" s="2">
        <f t="shared" si="4"/>
        <v>9.0277777777778567E-3</v>
      </c>
      <c r="F107" s="3">
        <f t="shared" si="5"/>
        <v>5.5555555555555358E-3</v>
      </c>
    </row>
    <row r="108" spans="1:6" x14ac:dyDescent="0.25">
      <c r="A108" s="20">
        <v>42401</v>
      </c>
      <c r="B108" s="1" t="s">
        <v>29</v>
      </c>
      <c r="C108" s="2">
        <v>0.82638888888888884</v>
      </c>
      <c r="D108" s="2">
        <v>0.82986111111111116</v>
      </c>
      <c r="E108" s="2">
        <f t="shared" si="4"/>
        <v>3.4722222222223209E-3</v>
      </c>
      <c r="F108" s="3">
        <f t="shared" si="5"/>
        <v>2.0833333333332149E-3</v>
      </c>
    </row>
    <row r="109" spans="1:6" x14ac:dyDescent="0.25">
      <c r="A109" s="20">
        <v>42401</v>
      </c>
      <c r="B109" s="1" t="s">
        <v>29</v>
      </c>
      <c r="C109" s="2">
        <v>0.8847222222222223</v>
      </c>
      <c r="D109" s="2">
        <v>0.89027777777777783</v>
      </c>
      <c r="E109" s="2">
        <f t="shared" si="4"/>
        <v>5.5555555555555358E-3</v>
      </c>
      <c r="F109" s="3">
        <f t="shared" si="5"/>
        <v>0</v>
      </c>
    </row>
    <row r="110" spans="1:6" x14ac:dyDescent="0.25">
      <c r="A110" s="20">
        <v>42401</v>
      </c>
      <c r="B110" s="1" t="s">
        <v>29</v>
      </c>
      <c r="C110" s="2">
        <v>0.37708333333333338</v>
      </c>
      <c r="D110" s="2">
        <v>0.38263888888888892</v>
      </c>
      <c r="E110" s="2">
        <f t="shared" si="4"/>
        <v>5.5555555555555358E-3</v>
      </c>
      <c r="F110" s="3">
        <f t="shared" si="5"/>
        <v>6.9444444444444198E-3</v>
      </c>
    </row>
    <row r="111" spans="1:6" x14ac:dyDescent="0.25">
      <c r="A111" s="20">
        <v>42401</v>
      </c>
      <c r="B111" s="1" t="s">
        <v>29</v>
      </c>
      <c r="C111" s="2">
        <v>0.55833333333333335</v>
      </c>
      <c r="D111" s="2">
        <v>0.5708333333333333</v>
      </c>
      <c r="E111" s="2">
        <f t="shared" si="4"/>
        <v>1.2499999999999956E-2</v>
      </c>
      <c r="F111" s="3">
        <f t="shared" si="5"/>
        <v>9.7222222222221877E-3</v>
      </c>
    </row>
    <row r="112" spans="1:6" x14ac:dyDescent="0.25">
      <c r="A112" s="20">
        <v>42401</v>
      </c>
      <c r="B112" s="1" t="s">
        <v>29</v>
      </c>
      <c r="C112" s="2">
        <v>0.70208333333333339</v>
      </c>
      <c r="D112" s="2">
        <v>0.70486111111111116</v>
      </c>
      <c r="E112" s="2">
        <f t="shared" si="4"/>
        <v>2.7777777777777679E-3</v>
      </c>
      <c r="F112" s="3">
        <f t="shared" si="5"/>
        <v>9.0277777777777457E-3</v>
      </c>
    </row>
    <row r="113" spans="1:6" x14ac:dyDescent="0.25">
      <c r="A113" s="20">
        <v>42401</v>
      </c>
      <c r="B113" s="1" t="s">
        <v>29</v>
      </c>
      <c r="C113" s="2">
        <v>0.75763888888888886</v>
      </c>
      <c r="D113" s="2">
        <v>0.76944444444444438</v>
      </c>
      <c r="E113" s="2">
        <f t="shared" si="4"/>
        <v>1.1805555555555514E-2</v>
      </c>
      <c r="F113" s="3">
        <f t="shared" si="5"/>
        <v>2.7777777777777402E-3</v>
      </c>
    </row>
    <row r="114" spans="1:6" x14ac:dyDescent="0.25">
      <c r="A114" s="20">
        <v>42401</v>
      </c>
      <c r="B114" s="1" t="s">
        <v>29</v>
      </c>
      <c r="C114" s="2">
        <v>0.12291666666666667</v>
      </c>
      <c r="D114" s="2">
        <v>0.13194444444444445</v>
      </c>
      <c r="E114" s="2">
        <f t="shared" si="4"/>
        <v>9.0277777777777735E-3</v>
      </c>
      <c r="F114" s="3">
        <f t="shared" si="5"/>
        <v>2.0138888888888901E-2</v>
      </c>
    </row>
    <row r="115" spans="1:6" x14ac:dyDescent="0.25">
      <c r="A115" s="20">
        <v>42401</v>
      </c>
      <c r="B115" s="1" t="s">
        <v>29</v>
      </c>
      <c r="C115" s="2">
        <v>0.28958333333333336</v>
      </c>
      <c r="D115" s="2">
        <v>0.31875000000000003</v>
      </c>
      <c r="E115" s="2">
        <f t="shared" si="4"/>
        <v>2.9166666666666674E-2</v>
      </c>
      <c r="F115" s="3">
        <f t="shared" si="5"/>
        <v>1.1805555555555625E-2</v>
      </c>
    </row>
    <row r="116" spans="1:6" x14ac:dyDescent="0.25">
      <c r="A116" s="20">
        <v>42401</v>
      </c>
      <c r="B116" s="1" t="s">
        <v>29</v>
      </c>
      <c r="C116" s="2">
        <v>0.52569444444444446</v>
      </c>
      <c r="D116" s="2">
        <v>0.54305555555555551</v>
      </c>
      <c r="E116" s="2">
        <f t="shared" si="4"/>
        <v>1.7361111111111049E-2</v>
      </c>
      <c r="F116" s="3">
        <f t="shared" si="5"/>
        <v>1.1111111111111072E-2</v>
      </c>
    </row>
    <row r="117" spans="1:6" x14ac:dyDescent="0.25">
      <c r="A117" s="20">
        <v>42401</v>
      </c>
      <c r="B117" s="1" t="s">
        <v>29</v>
      </c>
      <c r="C117" s="2">
        <v>0.58888888888888891</v>
      </c>
      <c r="D117" s="2">
        <v>0.59513888888888888</v>
      </c>
      <c r="E117" s="2">
        <f t="shared" si="4"/>
        <v>6.2499999999999778E-3</v>
      </c>
      <c r="F117" s="3">
        <f t="shared" si="5"/>
        <v>1.388888888888995E-3</v>
      </c>
    </row>
    <row r="118" spans="1:6" x14ac:dyDescent="0.25">
      <c r="A118" s="20">
        <v>42401</v>
      </c>
      <c r="B118" s="1" t="s">
        <v>29</v>
      </c>
      <c r="C118" s="2">
        <v>0.75138888888888899</v>
      </c>
      <c r="D118" s="2">
        <v>0.75624999999999998</v>
      </c>
      <c r="E118" s="2">
        <f t="shared" si="4"/>
        <v>4.8611111111109828E-3</v>
      </c>
      <c r="F118" s="3">
        <f t="shared" si="5"/>
        <v>3.4722222222223209E-3</v>
      </c>
    </row>
    <row r="119" spans="1:6" x14ac:dyDescent="0.25">
      <c r="A119" s="20">
        <v>42401</v>
      </c>
      <c r="B119" s="1" t="s">
        <v>29</v>
      </c>
      <c r="C119" s="2">
        <v>0.7680555555555556</v>
      </c>
      <c r="D119" s="2">
        <v>0.77638888888888891</v>
      </c>
      <c r="E119" s="2">
        <f t="shared" si="4"/>
        <v>8.3333333333333037E-3</v>
      </c>
      <c r="F119" s="3">
        <f t="shared" si="5"/>
        <v>2.7777777777777679E-3</v>
      </c>
    </row>
    <row r="120" spans="1:6" x14ac:dyDescent="0.25">
      <c r="A120" s="20">
        <v>42401</v>
      </c>
      <c r="B120" s="1" t="s">
        <v>29</v>
      </c>
      <c r="C120" s="2">
        <v>0.80555555555555547</v>
      </c>
      <c r="D120" s="2">
        <v>0.81111111111111101</v>
      </c>
      <c r="E120" s="2">
        <f t="shared" si="4"/>
        <v>5.5555555555555358E-3</v>
      </c>
      <c r="F120" s="3">
        <f t="shared" si="5"/>
        <v>6.9444444444443088E-3</v>
      </c>
    </row>
    <row r="121" spans="1:6" x14ac:dyDescent="0.25">
      <c r="A121" s="20">
        <v>42401</v>
      </c>
      <c r="B121" s="1" t="s">
        <v>29</v>
      </c>
      <c r="C121" s="2">
        <v>0.79861111111111116</v>
      </c>
      <c r="D121" s="2">
        <v>0.81111111111111101</v>
      </c>
      <c r="E121" s="2">
        <f t="shared" si="4"/>
        <v>1.2499999999999845E-2</v>
      </c>
      <c r="F121" s="3">
        <f t="shared" si="5"/>
        <v>7.6388888888887507E-3</v>
      </c>
    </row>
    <row r="122" spans="1:6" x14ac:dyDescent="0.25">
      <c r="A122" s="20">
        <v>42401</v>
      </c>
      <c r="B122" s="1" t="s">
        <v>29</v>
      </c>
      <c r="C122" s="2">
        <v>0.83263888888888893</v>
      </c>
      <c r="D122" s="2">
        <v>0.83750000000000002</v>
      </c>
      <c r="E122" s="2">
        <f t="shared" si="4"/>
        <v>4.8611111111110938E-3</v>
      </c>
      <c r="F122" s="3">
        <f t="shared" si="5"/>
        <v>0</v>
      </c>
    </row>
    <row r="123" spans="1:6" x14ac:dyDescent="0.25">
      <c r="A123" s="20">
        <v>42401</v>
      </c>
      <c r="B123" s="1" t="s">
        <v>29</v>
      </c>
      <c r="C123" s="2">
        <v>0.9472222222222223</v>
      </c>
      <c r="D123" s="2">
        <v>0.95208333333333339</v>
      </c>
      <c r="E123" s="2">
        <f t="shared" si="4"/>
        <v>4.8611111111110938E-3</v>
      </c>
      <c r="F123" s="3">
        <f t="shared" si="5"/>
        <v>2.0833333333333259E-3</v>
      </c>
    </row>
    <row r="124" spans="1:6" x14ac:dyDescent="0.25">
      <c r="A124" s="20">
        <v>42401</v>
      </c>
      <c r="B124" s="1" t="s">
        <v>29</v>
      </c>
      <c r="C124" s="2">
        <v>0.99236111111111114</v>
      </c>
      <c r="D124" s="2">
        <v>0.99930555555555556</v>
      </c>
      <c r="E124" s="2">
        <f t="shared" si="4"/>
        <v>6.9444444444444198E-3</v>
      </c>
      <c r="F124" s="3">
        <f t="shared" si="5"/>
        <v>6.9444444444445308E-3</v>
      </c>
    </row>
    <row r="125" spans="1:6" x14ac:dyDescent="0.25">
      <c r="A125" s="20">
        <v>42401</v>
      </c>
      <c r="B125" s="1" t="s">
        <v>29</v>
      </c>
      <c r="C125" s="2">
        <v>0.37291666666666662</v>
      </c>
      <c r="D125" s="2">
        <v>0.38680555555555557</v>
      </c>
      <c r="E125" s="2">
        <f t="shared" si="4"/>
        <v>1.3888888888888951E-2</v>
      </c>
      <c r="F125" s="3">
        <f t="shared" si="5"/>
        <v>5.5555555555555358E-3</v>
      </c>
    </row>
    <row r="126" spans="1:6" x14ac:dyDescent="0.25">
      <c r="A126" s="20">
        <v>42401</v>
      </c>
      <c r="B126" s="1" t="s">
        <v>29</v>
      </c>
      <c r="C126" s="2">
        <v>0.3888888888888889</v>
      </c>
      <c r="D126" s="2">
        <v>0.40833333333333338</v>
      </c>
      <c r="E126" s="2">
        <f t="shared" si="4"/>
        <v>1.9444444444444486E-2</v>
      </c>
      <c r="F126" s="3">
        <f t="shared" si="5"/>
        <v>8.3333333333333592E-3</v>
      </c>
    </row>
    <row r="127" spans="1:6" x14ac:dyDescent="0.25">
      <c r="A127" s="20">
        <v>42401</v>
      </c>
      <c r="B127" s="1" t="s">
        <v>29</v>
      </c>
      <c r="C127" s="2">
        <v>0.45763888888888887</v>
      </c>
      <c r="D127" s="2">
        <v>0.46875</v>
      </c>
      <c r="E127" s="2">
        <f t="shared" si="4"/>
        <v>1.1111111111111127E-2</v>
      </c>
      <c r="F127" s="3">
        <f t="shared" si="5"/>
        <v>4.8611111111110383E-3</v>
      </c>
    </row>
    <row r="128" spans="1:6" x14ac:dyDescent="0.25">
      <c r="A128" s="20">
        <v>42401</v>
      </c>
      <c r="B128" s="1" t="s">
        <v>29</v>
      </c>
      <c r="C128" s="2">
        <v>0.51458333333333328</v>
      </c>
      <c r="D128" s="2">
        <v>0.52083333333333337</v>
      </c>
      <c r="E128" s="2">
        <f t="shared" si="4"/>
        <v>6.2500000000000888E-3</v>
      </c>
      <c r="F128" s="3">
        <f t="shared" si="5"/>
        <v>3.4027777777777712E-2</v>
      </c>
    </row>
    <row r="129" spans="1:6" x14ac:dyDescent="0.25">
      <c r="A129" s="20">
        <v>42401</v>
      </c>
      <c r="B129" s="1" t="s">
        <v>29</v>
      </c>
      <c r="C129" s="2">
        <v>0.48958333333333331</v>
      </c>
      <c r="D129" s="2">
        <v>0.52986111111111112</v>
      </c>
      <c r="E129" s="2">
        <f t="shared" si="4"/>
        <v>4.0277777777777801E-2</v>
      </c>
      <c r="F129" s="3">
        <f t="shared" si="5"/>
        <v>3.3333333333333381E-2</v>
      </c>
    </row>
    <row r="130" spans="1:6" x14ac:dyDescent="0.25">
      <c r="A130" s="20">
        <v>42401</v>
      </c>
      <c r="B130" s="1" t="s">
        <v>29</v>
      </c>
      <c r="C130" s="2">
        <v>0.64722222222222225</v>
      </c>
      <c r="D130" s="2">
        <v>0.65416666666666667</v>
      </c>
      <c r="E130" s="2">
        <f t="shared" si="4"/>
        <v>6.9444444444444198E-3</v>
      </c>
      <c r="F130" s="3">
        <f t="shared" si="5"/>
        <v>1.1102230246251565E-16</v>
      </c>
    </row>
    <row r="131" spans="1:6" x14ac:dyDescent="0.25">
      <c r="A131" s="20">
        <v>42401</v>
      </c>
      <c r="B131" s="1" t="s">
        <v>29</v>
      </c>
      <c r="C131" s="2">
        <v>0.70416666666666661</v>
      </c>
      <c r="D131" s="2">
        <v>0.71111111111111114</v>
      </c>
      <c r="E131" s="2">
        <f t="shared" ref="E131:E193" si="6">D131-C131</f>
        <v>6.9444444444445308E-3</v>
      </c>
      <c r="F131" s="3">
        <f t="shared" ref="F131:F194" si="7">ABS(E132-E131)</f>
        <v>4.9305555555555491E-2</v>
      </c>
    </row>
    <row r="132" spans="1:6" x14ac:dyDescent="0.25">
      <c r="A132" s="20">
        <v>42401</v>
      </c>
      <c r="B132" s="1" t="s">
        <v>29</v>
      </c>
      <c r="C132" s="2">
        <v>0.73263888888888884</v>
      </c>
      <c r="D132" s="2">
        <v>0.78888888888888886</v>
      </c>
      <c r="E132" s="2">
        <f t="shared" si="6"/>
        <v>5.6250000000000022E-2</v>
      </c>
      <c r="F132" s="3">
        <f t="shared" si="7"/>
        <v>3.2638888888888884E-2</v>
      </c>
    </row>
    <row r="133" spans="1:6" x14ac:dyDescent="0.25">
      <c r="A133" s="20">
        <v>42401</v>
      </c>
      <c r="B133" s="1" t="s">
        <v>29</v>
      </c>
      <c r="C133" s="2">
        <v>0.8652777777777777</v>
      </c>
      <c r="D133" s="2">
        <v>0.88888888888888884</v>
      </c>
      <c r="E133" s="2">
        <f t="shared" si="6"/>
        <v>2.3611111111111138E-2</v>
      </c>
      <c r="F133" s="3">
        <f t="shared" si="7"/>
        <v>1.8750000000000155E-2</v>
      </c>
    </row>
    <row r="134" spans="1:6" x14ac:dyDescent="0.25">
      <c r="A134" s="20">
        <v>42401</v>
      </c>
      <c r="B134" s="1" t="s">
        <v>29</v>
      </c>
      <c r="C134" s="2">
        <v>0.98055555555555562</v>
      </c>
      <c r="D134" s="2">
        <v>0.98541666666666661</v>
      </c>
      <c r="E134" s="2">
        <f t="shared" si="6"/>
        <v>4.8611111111109828E-3</v>
      </c>
      <c r="F134" s="3">
        <f t="shared" si="7"/>
        <v>6.94444444444553E-4</v>
      </c>
    </row>
    <row r="135" spans="1:6" x14ac:dyDescent="0.25">
      <c r="A135" s="20">
        <v>42401</v>
      </c>
      <c r="B135" s="1" t="s">
        <v>29</v>
      </c>
      <c r="C135" s="2">
        <v>0.26319444444444445</v>
      </c>
      <c r="D135" s="2">
        <v>0.26874999999999999</v>
      </c>
      <c r="E135" s="2">
        <f t="shared" si="6"/>
        <v>5.5555555555555358E-3</v>
      </c>
      <c r="F135" s="3">
        <f t="shared" si="7"/>
        <v>0</v>
      </c>
    </row>
    <row r="136" spans="1:6" x14ac:dyDescent="0.25">
      <c r="A136" s="20">
        <v>42401</v>
      </c>
      <c r="B136" s="1" t="s">
        <v>29</v>
      </c>
      <c r="C136" s="2">
        <v>0.39861111111111108</v>
      </c>
      <c r="D136" s="2">
        <v>0.40416666666666662</v>
      </c>
      <c r="E136" s="2">
        <f t="shared" si="6"/>
        <v>5.5555555555555358E-3</v>
      </c>
      <c r="F136" s="3">
        <f t="shared" si="7"/>
        <v>1.1102230246251565E-16</v>
      </c>
    </row>
    <row r="137" spans="1:6" x14ac:dyDescent="0.25">
      <c r="A137" s="20">
        <v>42401</v>
      </c>
      <c r="B137" s="1" t="s">
        <v>29</v>
      </c>
      <c r="C137" s="2">
        <v>0.4368055555555555</v>
      </c>
      <c r="D137" s="2">
        <v>0.44236111111111115</v>
      </c>
      <c r="E137" s="2">
        <f t="shared" si="6"/>
        <v>5.5555555555556468E-3</v>
      </c>
      <c r="F137" s="3">
        <f t="shared" si="7"/>
        <v>2.7777777777778789E-3</v>
      </c>
    </row>
    <row r="138" spans="1:6" x14ac:dyDescent="0.25">
      <c r="A138" s="20">
        <v>42401</v>
      </c>
      <c r="B138" s="1" t="s">
        <v>29</v>
      </c>
      <c r="C138" s="2">
        <v>0.48194444444444445</v>
      </c>
      <c r="D138" s="2">
        <v>0.48472222222222222</v>
      </c>
      <c r="E138" s="2">
        <f t="shared" si="6"/>
        <v>2.7777777777777679E-3</v>
      </c>
      <c r="F138" s="3">
        <f t="shared" si="7"/>
        <v>2.0833333333333259E-3</v>
      </c>
    </row>
    <row r="139" spans="1:6" x14ac:dyDescent="0.25">
      <c r="A139" s="20">
        <v>42401</v>
      </c>
      <c r="B139" s="1" t="s">
        <v>29</v>
      </c>
      <c r="C139" s="2">
        <v>0.5625</v>
      </c>
      <c r="D139" s="2">
        <v>0.56736111111111109</v>
      </c>
      <c r="E139" s="2">
        <f t="shared" si="6"/>
        <v>4.8611111111110938E-3</v>
      </c>
      <c r="F139" s="3">
        <f t="shared" si="7"/>
        <v>0</v>
      </c>
    </row>
    <row r="140" spans="1:6" x14ac:dyDescent="0.25">
      <c r="A140" s="20">
        <v>42401</v>
      </c>
      <c r="B140" s="1" t="s">
        <v>29</v>
      </c>
      <c r="C140" s="2">
        <v>0.5854166666666667</v>
      </c>
      <c r="D140" s="2">
        <v>0.59027777777777779</v>
      </c>
      <c r="E140" s="2">
        <f t="shared" si="6"/>
        <v>4.8611111111110938E-3</v>
      </c>
      <c r="F140" s="3">
        <f t="shared" si="7"/>
        <v>6.2500000000000888E-3</v>
      </c>
    </row>
    <row r="141" spans="1:6" x14ac:dyDescent="0.25">
      <c r="A141" s="20">
        <v>42401</v>
      </c>
      <c r="B141" s="1" t="s">
        <v>29</v>
      </c>
      <c r="C141" s="2">
        <v>0.66736111111111107</v>
      </c>
      <c r="D141" s="2">
        <v>0.67847222222222225</v>
      </c>
      <c r="E141" s="2">
        <f t="shared" si="6"/>
        <v>1.1111111111111183E-2</v>
      </c>
      <c r="F141" s="3">
        <f t="shared" si="7"/>
        <v>6.2499999999999778E-3</v>
      </c>
    </row>
    <row r="142" spans="1:6" x14ac:dyDescent="0.25">
      <c r="A142" s="20">
        <v>42401</v>
      </c>
      <c r="B142" s="1" t="s">
        <v>29</v>
      </c>
      <c r="C142" s="2">
        <v>0.74652777777777779</v>
      </c>
      <c r="D142" s="2">
        <v>0.75138888888888899</v>
      </c>
      <c r="E142" s="2">
        <f t="shared" si="6"/>
        <v>4.8611111111112049E-3</v>
      </c>
      <c r="F142" s="3">
        <f t="shared" si="7"/>
        <v>3.4722222222220989E-3</v>
      </c>
    </row>
    <row r="143" spans="1:6" x14ac:dyDescent="0.25">
      <c r="A143" s="20">
        <v>42401</v>
      </c>
      <c r="B143" s="1" t="s">
        <v>29</v>
      </c>
      <c r="C143" s="2">
        <v>0.79236111111111107</v>
      </c>
      <c r="D143" s="2">
        <v>0.80069444444444438</v>
      </c>
      <c r="E143" s="2">
        <f t="shared" si="6"/>
        <v>8.3333333333333037E-3</v>
      </c>
      <c r="F143" s="3">
        <f t="shared" si="7"/>
        <v>1.3888888888887729E-3</v>
      </c>
    </row>
    <row r="144" spans="1:6" x14ac:dyDescent="0.25">
      <c r="A144" s="20">
        <v>42401</v>
      </c>
      <c r="B144" s="1" t="s">
        <v>29</v>
      </c>
      <c r="C144" s="2">
        <v>0.8125</v>
      </c>
      <c r="D144" s="2">
        <v>0.81944444444444453</v>
      </c>
      <c r="E144" s="2">
        <f t="shared" si="6"/>
        <v>6.9444444444445308E-3</v>
      </c>
      <c r="F144" s="3">
        <f t="shared" si="7"/>
        <v>2.083333333333437E-3</v>
      </c>
    </row>
    <row r="145" spans="1:6" x14ac:dyDescent="0.25">
      <c r="A145" s="20">
        <v>42401</v>
      </c>
      <c r="B145" s="1" t="s">
        <v>29</v>
      </c>
      <c r="C145" s="2">
        <v>0.53055555555555556</v>
      </c>
      <c r="D145" s="2">
        <v>0.53541666666666665</v>
      </c>
      <c r="E145" s="2">
        <f t="shared" si="6"/>
        <v>4.8611111111110938E-3</v>
      </c>
      <c r="F145" s="3">
        <f t="shared" si="7"/>
        <v>6.9444444444444753E-3</v>
      </c>
    </row>
    <row r="146" spans="1:6" x14ac:dyDescent="0.25">
      <c r="A146" s="20">
        <v>42401</v>
      </c>
      <c r="B146" s="1" t="s">
        <v>29</v>
      </c>
      <c r="C146" s="2">
        <v>0.24861111111111112</v>
      </c>
      <c r="D146" s="2">
        <v>0.26041666666666669</v>
      </c>
      <c r="E146" s="2">
        <f t="shared" si="6"/>
        <v>1.1805555555555569E-2</v>
      </c>
      <c r="F146" s="3">
        <f t="shared" si="7"/>
        <v>4.1666666666667074E-3</v>
      </c>
    </row>
    <row r="147" spans="1:6" x14ac:dyDescent="0.25">
      <c r="A147" s="20">
        <v>42401</v>
      </c>
      <c r="B147" s="1" t="s">
        <v>29</v>
      </c>
      <c r="C147" s="2">
        <v>0.45347222222222222</v>
      </c>
      <c r="D147" s="2">
        <v>0.46111111111111108</v>
      </c>
      <c r="E147" s="2">
        <f t="shared" si="6"/>
        <v>7.6388888888888618E-3</v>
      </c>
      <c r="F147" s="3">
        <f t="shared" si="7"/>
        <v>1.5277777777777835E-2</v>
      </c>
    </row>
    <row r="148" spans="1:6" x14ac:dyDescent="0.25">
      <c r="A148" s="20">
        <v>42401</v>
      </c>
      <c r="B148" s="1" t="s">
        <v>29</v>
      </c>
      <c r="C148" s="2">
        <v>0.4770833333333333</v>
      </c>
      <c r="D148" s="2">
        <v>0.5</v>
      </c>
      <c r="E148" s="2">
        <f t="shared" si="6"/>
        <v>2.2916666666666696E-2</v>
      </c>
      <c r="F148" s="3">
        <f t="shared" si="7"/>
        <v>1.9444444444444486E-2</v>
      </c>
    </row>
    <row r="149" spans="1:6" x14ac:dyDescent="0.25">
      <c r="A149" s="20">
        <v>42401</v>
      </c>
      <c r="B149" s="1" t="s">
        <v>29</v>
      </c>
      <c r="C149" s="2">
        <v>0.50694444444444442</v>
      </c>
      <c r="D149" s="2">
        <v>0.51041666666666663</v>
      </c>
      <c r="E149" s="2">
        <f t="shared" si="6"/>
        <v>3.4722222222222099E-3</v>
      </c>
      <c r="F149" s="3">
        <f t="shared" si="7"/>
        <v>2.0138888888888928E-2</v>
      </c>
    </row>
    <row r="150" spans="1:6" x14ac:dyDescent="0.25">
      <c r="A150" s="20">
        <v>42401</v>
      </c>
      <c r="B150" s="1" t="s">
        <v>29</v>
      </c>
      <c r="C150" s="2">
        <v>0.5131944444444444</v>
      </c>
      <c r="D150" s="2">
        <v>0.53680555555555554</v>
      </c>
      <c r="E150" s="2">
        <f t="shared" si="6"/>
        <v>2.3611111111111138E-2</v>
      </c>
      <c r="F150" s="3">
        <f t="shared" si="7"/>
        <v>2.0138888888888928E-2</v>
      </c>
    </row>
    <row r="151" spans="1:6" x14ac:dyDescent="0.25">
      <c r="A151" s="20">
        <v>42401</v>
      </c>
      <c r="B151" s="1" t="s">
        <v>29</v>
      </c>
      <c r="C151" s="2">
        <v>0.52430555555555558</v>
      </c>
      <c r="D151" s="2">
        <v>0.52777777777777779</v>
      </c>
      <c r="E151" s="2">
        <f t="shared" si="6"/>
        <v>3.4722222222222099E-3</v>
      </c>
      <c r="F151" s="3">
        <f t="shared" si="7"/>
        <v>2.0833333333333259E-3</v>
      </c>
    </row>
    <row r="152" spans="1:6" x14ac:dyDescent="0.25">
      <c r="A152" s="20">
        <v>42401</v>
      </c>
      <c r="B152" s="1" t="s">
        <v>29</v>
      </c>
      <c r="C152" s="2">
        <v>0.58611111111111114</v>
      </c>
      <c r="D152" s="2">
        <v>0.59166666666666667</v>
      </c>
      <c r="E152" s="2">
        <f t="shared" si="6"/>
        <v>5.5555555555555358E-3</v>
      </c>
      <c r="F152" s="3">
        <f t="shared" si="7"/>
        <v>2.7777777777777679E-3</v>
      </c>
    </row>
    <row r="153" spans="1:6" x14ac:dyDescent="0.25">
      <c r="A153" s="20">
        <v>42401</v>
      </c>
      <c r="B153" s="1" t="s">
        <v>29</v>
      </c>
      <c r="C153" s="2">
        <v>0.66388888888888886</v>
      </c>
      <c r="D153" s="2">
        <v>0.66666666666666663</v>
      </c>
      <c r="E153" s="2">
        <f t="shared" si="6"/>
        <v>2.7777777777777679E-3</v>
      </c>
      <c r="F153" s="3">
        <f t="shared" si="7"/>
        <v>2.0833333333333259E-3</v>
      </c>
    </row>
    <row r="154" spans="1:6" x14ac:dyDescent="0.25">
      <c r="A154" s="20">
        <v>42401</v>
      </c>
      <c r="B154" s="1" t="s">
        <v>29</v>
      </c>
      <c r="C154" s="2">
        <v>0.73263888888888884</v>
      </c>
      <c r="D154" s="2">
        <v>0.73749999999999993</v>
      </c>
      <c r="E154" s="2">
        <f t="shared" si="6"/>
        <v>4.8611111111110938E-3</v>
      </c>
      <c r="F154" s="3">
        <f t="shared" si="7"/>
        <v>2.7777777777777679E-3</v>
      </c>
    </row>
    <row r="155" spans="1:6" x14ac:dyDescent="0.25">
      <c r="A155" s="20">
        <v>42401</v>
      </c>
      <c r="B155" s="1" t="s">
        <v>29</v>
      </c>
      <c r="C155" s="2">
        <v>0.85833333333333339</v>
      </c>
      <c r="D155" s="2">
        <v>0.86597222222222225</v>
      </c>
      <c r="E155" s="2">
        <f t="shared" si="6"/>
        <v>7.6388888888888618E-3</v>
      </c>
      <c r="F155" s="3">
        <f t="shared" si="7"/>
        <v>1.388888888888995E-3</v>
      </c>
    </row>
    <row r="156" spans="1:6" x14ac:dyDescent="0.25">
      <c r="A156" s="20">
        <v>42401</v>
      </c>
      <c r="B156" s="1" t="s">
        <v>29</v>
      </c>
      <c r="C156" s="2">
        <v>0.94374999999999998</v>
      </c>
      <c r="D156" s="2">
        <v>0.95277777777777783</v>
      </c>
      <c r="E156" s="2">
        <f t="shared" si="6"/>
        <v>9.0277777777778567E-3</v>
      </c>
      <c r="F156" s="3">
        <f t="shared" si="7"/>
        <v>6.9388939039072284E-17</v>
      </c>
    </row>
    <row r="157" spans="1:6" x14ac:dyDescent="0.25">
      <c r="A157" s="20">
        <v>42401</v>
      </c>
      <c r="B157" s="1" t="s">
        <v>29</v>
      </c>
      <c r="C157" s="2">
        <v>5.5555555555555552E-2</v>
      </c>
      <c r="D157" s="2">
        <v>6.458333333333334E-2</v>
      </c>
      <c r="E157" s="2">
        <f t="shared" si="6"/>
        <v>9.0277777777777873E-3</v>
      </c>
      <c r="F157" s="3">
        <f t="shared" si="7"/>
        <v>6.9444444444443781E-3</v>
      </c>
    </row>
    <row r="158" spans="1:6" x14ac:dyDescent="0.25">
      <c r="A158" s="20">
        <v>42401</v>
      </c>
      <c r="B158" s="1" t="s">
        <v>29</v>
      </c>
      <c r="C158" s="2">
        <v>0.44513888888888892</v>
      </c>
      <c r="D158" s="2">
        <v>0.46111111111111108</v>
      </c>
      <c r="E158" s="2">
        <f t="shared" si="6"/>
        <v>1.5972222222222165E-2</v>
      </c>
      <c r="F158" s="3">
        <f t="shared" si="7"/>
        <v>4.8611111111111494E-3</v>
      </c>
    </row>
    <row r="159" spans="1:6" x14ac:dyDescent="0.25">
      <c r="A159" s="20">
        <v>42401</v>
      </c>
      <c r="B159" s="1" t="s">
        <v>29</v>
      </c>
      <c r="C159" s="2">
        <v>0.4861111111111111</v>
      </c>
      <c r="D159" s="2">
        <v>0.50694444444444442</v>
      </c>
      <c r="E159" s="2">
        <f t="shared" si="6"/>
        <v>2.0833333333333315E-2</v>
      </c>
      <c r="F159" s="3">
        <f t="shared" si="7"/>
        <v>9.7222222222221322E-3</v>
      </c>
    </row>
    <row r="160" spans="1:6" x14ac:dyDescent="0.25">
      <c r="A160" s="20">
        <v>42401</v>
      </c>
      <c r="B160" s="1" t="s">
        <v>29</v>
      </c>
      <c r="C160" s="2">
        <v>0.54583333333333328</v>
      </c>
      <c r="D160" s="2">
        <v>0.55694444444444446</v>
      </c>
      <c r="E160" s="2">
        <f t="shared" si="6"/>
        <v>1.1111111111111183E-2</v>
      </c>
      <c r="F160" s="3">
        <f t="shared" si="7"/>
        <v>5.5555555555555358E-3</v>
      </c>
    </row>
    <row r="161" spans="1:6" x14ac:dyDescent="0.25">
      <c r="A161" s="20">
        <v>42401</v>
      </c>
      <c r="B161" s="1" t="s">
        <v>29</v>
      </c>
      <c r="C161" s="2">
        <v>0.58958333333333335</v>
      </c>
      <c r="D161" s="2">
        <v>0.60625000000000007</v>
      </c>
      <c r="E161" s="2">
        <f t="shared" si="6"/>
        <v>1.6666666666666718E-2</v>
      </c>
      <c r="F161" s="3">
        <f t="shared" si="7"/>
        <v>1.388888888888884E-3</v>
      </c>
    </row>
    <row r="162" spans="1:6" x14ac:dyDescent="0.25">
      <c r="A162" s="20">
        <v>42401</v>
      </c>
      <c r="B162" s="1" t="s">
        <v>29</v>
      </c>
      <c r="C162" s="2">
        <v>0.71180555555555547</v>
      </c>
      <c r="D162" s="2">
        <v>0.7270833333333333</v>
      </c>
      <c r="E162" s="2">
        <f t="shared" si="6"/>
        <v>1.5277777777777835E-2</v>
      </c>
      <c r="F162" s="3">
        <f t="shared" si="7"/>
        <v>6.9444444444444198E-3</v>
      </c>
    </row>
    <row r="163" spans="1:6" x14ac:dyDescent="0.25">
      <c r="A163" s="20">
        <v>42401</v>
      </c>
      <c r="B163" s="1" t="s">
        <v>29</v>
      </c>
      <c r="C163" s="2">
        <v>0.72777777777777775</v>
      </c>
      <c r="D163" s="2">
        <v>0.73611111111111116</v>
      </c>
      <c r="E163" s="2">
        <f t="shared" si="6"/>
        <v>8.3333333333334147E-3</v>
      </c>
      <c r="F163" s="3">
        <f t="shared" si="7"/>
        <v>2.0833333333333259E-3</v>
      </c>
    </row>
    <row r="164" spans="1:6" x14ac:dyDescent="0.25">
      <c r="A164" s="20">
        <v>42401</v>
      </c>
      <c r="B164" s="1" t="s">
        <v>29</v>
      </c>
      <c r="C164" s="2">
        <v>0.77708333333333324</v>
      </c>
      <c r="D164" s="2">
        <v>0.78333333333333333</v>
      </c>
      <c r="E164" s="2">
        <f t="shared" si="6"/>
        <v>6.2500000000000888E-3</v>
      </c>
      <c r="F164" s="3">
        <f t="shared" si="7"/>
        <v>6.9444444444444198E-4</v>
      </c>
    </row>
    <row r="165" spans="1:6" x14ac:dyDescent="0.25">
      <c r="A165" s="20">
        <v>42401</v>
      </c>
      <c r="B165" s="1" t="s">
        <v>29</v>
      </c>
      <c r="C165" s="2">
        <v>0.82916666666666661</v>
      </c>
      <c r="D165" s="2">
        <v>0.83472222222222225</v>
      </c>
      <c r="E165" s="2">
        <f t="shared" si="6"/>
        <v>5.5555555555556468E-3</v>
      </c>
      <c r="F165" s="3">
        <f t="shared" si="7"/>
        <v>6.9444444444466402E-4</v>
      </c>
    </row>
    <row r="166" spans="1:6" x14ac:dyDescent="0.25">
      <c r="A166" s="20">
        <v>42401</v>
      </c>
      <c r="B166" s="1" t="s">
        <v>29</v>
      </c>
      <c r="C166" s="2">
        <v>0.87638888888888899</v>
      </c>
      <c r="D166" s="2">
        <v>0.88124999999999998</v>
      </c>
      <c r="E166" s="2">
        <f t="shared" si="6"/>
        <v>4.8611111111109828E-3</v>
      </c>
      <c r="F166" s="3">
        <f t="shared" si="7"/>
        <v>1.5277777777777918E-2</v>
      </c>
    </row>
    <row r="167" spans="1:6" x14ac:dyDescent="0.25">
      <c r="A167" s="20">
        <v>42401</v>
      </c>
      <c r="B167" s="1" t="s">
        <v>29</v>
      </c>
      <c r="C167" s="2">
        <v>0.19652777777777777</v>
      </c>
      <c r="D167" s="2">
        <v>0.21666666666666667</v>
      </c>
      <c r="E167" s="2">
        <f t="shared" si="6"/>
        <v>2.0138888888888901E-2</v>
      </c>
      <c r="F167" s="3">
        <f t="shared" si="7"/>
        <v>9.027777777777829E-3</v>
      </c>
    </row>
    <row r="168" spans="1:6" x14ac:dyDescent="0.25">
      <c r="A168" s="20">
        <v>42401</v>
      </c>
      <c r="B168" s="1" t="s">
        <v>29</v>
      </c>
      <c r="C168" s="2">
        <v>0.43333333333333335</v>
      </c>
      <c r="D168" s="2">
        <v>0.44444444444444442</v>
      </c>
      <c r="E168" s="2">
        <f t="shared" si="6"/>
        <v>1.1111111111111072E-2</v>
      </c>
      <c r="F168" s="3">
        <f t="shared" si="7"/>
        <v>6.2499999999999778E-3</v>
      </c>
    </row>
    <row r="169" spans="1:6" x14ac:dyDescent="0.25">
      <c r="A169" s="20">
        <v>42401</v>
      </c>
      <c r="B169" s="1" t="s">
        <v>29</v>
      </c>
      <c r="C169" s="2">
        <v>0.4548611111111111</v>
      </c>
      <c r="D169" s="2">
        <v>0.4597222222222222</v>
      </c>
      <c r="E169" s="2">
        <f t="shared" si="6"/>
        <v>4.8611111111110938E-3</v>
      </c>
      <c r="F169" s="3">
        <f t="shared" si="7"/>
        <v>2.2916666666666696E-2</v>
      </c>
    </row>
    <row r="170" spans="1:6" x14ac:dyDescent="0.25">
      <c r="A170" s="20">
        <v>42401</v>
      </c>
      <c r="B170" s="1" t="s">
        <v>29</v>
      </c>
      <c r="C170" s="2">
        <v>0.55555555555555558</v>
      </c>
      <c r="D170" s="2">
        <v>0.58333333333333337</v>
      </c>
      <c r="E170" s="2">
        <f t="shared" si="6"/>
        <v>2.777777777777779E-2</v>
      </c>
      <c r="F170" s="3">
        <f t="shared" si="7"/>
        <v>8.3333333333333037E-3</v>
      </c>
    </row>
    <row r="171" spans="1:6" x14ac:dyDescent="0.25">
      <c r="A171" s="20">
        <v>42401</v>
      </c>
      <c r="B171" s="1" t="s">
        <v>29</v>
      </c>
      <c r="C171" s="2">
        <v>0.56666666666666665</v>
      </c>
      <c r="D171" s="2">
        <v>0.58611111111111114</v>
      </c>
      <c r="E171" s="2">
        <f t="shared" si="6"/>
        <v>1.9444444444444486E-2</v>
      </c>
      <c r="F171" s="3">
        <f t="shared" si="7"/>
        <v>1.4583333333333393E-2</v>
      </c>
    </row>
    <row r="172" spans="1:6" x14ac:dyDescent="0.25">
      <c r="A172" s="20">
        <v>42401</v>
      </c>
      <c r="B172" s="1" t="s">
        <v>29</v>
      </c>
      <c r="C172" s="2">
        <v>0.62152777777777779</v>
      </c>
      <c r="D172" s="2">
        <v>0.62638888888888888</v>
      </c>
      <c r="E172" s="2">
        <f t="shared" si="6"/>
        <v>4.8611111111110938E-3</v>
      </c>
      <c r="F172" s="3">
        <f t="shared" si="7"/>
        <v>6.9444444444444198E-3</v>
      </c>
    </row>
    <row r="173" spans="1:6" x14ac:dyDescent="0.25">
      <c r="A173" s="20">
        <v>42401</v>
      </c>
      <c r="B173" s="1" t="s">
        <v>29</v>
      </c>
      <c r="C173" s="2">
        <v>0.67638888888888893</v>
      </c>
      <c r="D173" s="2">
        <v>0.68819444444444444</v>
      </c>
      <c r="E173" s="2">
        <f t="shared" si="6"/>
        <v>1.1805555555555514E-2</v>
      </c>
      <c r="F173" s="3">
        <f t="shared" si="7"/>
        <v>9.0277777777778567E-3</v>
      </c>
    </row>
    <row r="174" spans="1:6" x14ac:dyDescent="0.25">
      <c r="A174" s="20">
        <v>42401</v>
      </c>
      <c r="B174" s="1" t="s">
        <v>29</v>
      </c>
      <c r="C174" s="2">
        <v>0.67569444444444438</v>
      </c>
      <c r="D174" s="2">
        <v>0.69652777777777775</v>
      </c>
      <c r="E174" s="2">
        <f t="shared" si="6"/>
        <v>2.083333333333337E-2</v>
      </c>
      <c r="F174" s="3">
        <f t="shared" si="7"/>
        <v>1.388888888888884E-3</v>
      </c>
    </row>
    <row r="175" spans="1:6" x14ac:dyDescent="0.25">
      <c r="A175" s="20">
        <v>42401</v>
      </c>
      <c r="B175" s="1" t="s">
        <v>29</v>
      </c>
      <c r="C175" s="2">
        <v>0.67013888888888884</v>
      </c>
      <c r="D175" s="2">
        <v>0.68958333333333333</v>
      </c>
      <c r="E175" s="2">
        <f t="shared" si="6"/>
        <v>1.9444444444444486E-2</v>
      </c>
      <c r="F175" s="3">
        <f t="shared" si="7"/>
        <v>6.9444444444444198E-3</v>
      </c>
    </row>
    <row r="176" spans="1:6" x14ac:dyDescent="0.25">
      <c r="A176" s="20">
        <v>42401</v>
      </c>
      <c r="B176" s="1" t="s">
        <v>29</v>
      </c>
      <c r="C176" s="2">
        <v>0.7583333333333333</v>
      </c>
      <c r="D176" s="2">
        <v>0.77083333333333337</v>
      </c>
      <c r="E176" s="2">
        <f t="shared" si="6"/>
        <v>1.2500000000000067E-2</v>
      </c>
      <c r="F176" s="3">
        <f t="shared" si="7"/>
        <v>2.0833333333334092E-3</v>
      </c>
    </row>
    <row r="177" spans="1:6" x14ac:dyDescent="0.25">
      <c r="A177" s="20">
        <v>42401</v>
      </c>
      <c r="B177" s="1" t="s">
        <v>29</v>
      </c>
      <c r="C177" s="2">
        <v>8.819444444444445E-2</v>
      </c>
      <c r="D177" s="2">
        <v>9.8611111111111108E-2</v>
      </c>
      <c r="E177" s="2">
        <f t="shared" si="6"/>
        <v>1.0416666666666657E-2</v>
      </c>
      <c r="F177" s="3">
        <f t="shared" si="7"/>
        <v>4.1666666666667351E-3</v>
      </c>
    </row>
    <row r="178" spans="1:6" x14ac:dyDescent="0.25">
      <c r="A178" s="20">
        <v>42401</v>
      </c>
      <c r="B178" s="1" t="s">
        <v>29</v>
      </c>
      <c r="C178" s="2">
        <v>0.4236111111111111</v>
      </c>
      <c r="D178" s="2">
        <v>0.4381944444444445</v>
      </c>
      <c r="E178" s="2">
        <f t="shared" si="6"/>
        <v>1.4583333333333393E-2</v>
      </c>
      <c r="F178" s="3">
        <f t="shared" si="7"/>
        <v>4.1666666666666519E-3</v>
      </c>
    </row>
    <row r="179" spans="1:6" x14ac:dyDescent="0.25">
      <c r="A179" s="20">
        <v>42401</v>
      </c>
      <c r="B179" s="1" t="s">
        <v>29</v>
      </c>
      <c r="C179" s="2">
        <v>0.41597222222222219</v>
      </c>
      <c r="D179" s="2">
        <v>0.43472222222222223</v>
      </c>
      <c r="E179" s="2">
        <f t="shared" si="6"/>
        <v>1.8750000000000044E-2</v>
      </c>
      <c r="F179" s="3">
        <f t="shared" si="7"/>
        <v>4.8611111111110938E-3</v>
      </c>
    </row>
    <row r="180" spans="1:6" x14ac:dyDescent="0.25">
      <c r="A180" s="20">
        <v>42401</v>
      </c>
      <c r="B180" s="1" t="s">
        <v>29</v>
      </c>
      <c r="C180" s="2">
        <v>0.60069444444444442</v>
      </c>
      <c r="D180" s="2">
        <v>0.61458333333333337</v>
      </c>
      <c r="E180" s="2">
        <f t="shared" si="6"/>
        <v>1.3888888888888951E-2</v>
      </c>
      <c r="F180" s="3">
        <f t="shared" si="7"/>
        <v>4.1666666666667629E-3</v>
      </c>
    </row>
    <row r="181" spans="1:6" x14ac:dyDescent="0.25">
      <c r="A181" s="20">
        <v>42401</v>
      </c>
      <c r="B181" s="1" t="s">
        <v>29</v>
      </c>
      <c r="C181" s="2">
        <v>0.81319444444444444</v>
      </c>
      <c r="D181" s="2">
        <v>0.82291666666666663</v>
      </c>
      <c r="E181" s="2">
        <f t="shared" si="6"/>
        <v>9.7222222222221877E-3</v>
      </c>
      <c r="F181" s="3">
        <f t="shared" si="7"/>
        <v>6.2499999999999778E-3</v>
      </c>
    </row>
    <row r="182" spans="1:6" x14ac:dyDescent="0.25">
      <c r="A182" s="20">
        <v>42401</v>
      </c>
      <c r="B182" s="1" t="s">
        <v>29</v>
      </c>
      <c r="C182" s="2">
        <v>0.81805555555555554</v>
      </c>
      <c r="D182" s="2">
        <v>0.82152777777777775</v>
      </c>
      <c r="E182" s="2">
        <f t="shared" si="6"/>
        <v>3.4722222222222099E-3</v>
      </c>
      <c r="F182" s="3">
        <f t="shared" si="7"/>
        <v>4.8611111111113159E-3</v>
      </c>
    </row>
    <row r="183" spans="1:6" x14ac:dyDescent="0.25">
      <c r="A183" s="20">
        <v>42401</v>
      </c>
      <c r="B183" s="1" t="s">
        <v>29</v>
      </c>
      <c r="C183" s="2">
        <v>0.87361111111111101</v>
      </c>
      <c r="D183" s="2">
        <v>0.88194444444444453</v>
      </c>
      <c r="E183" s="2">
        <f t="shared" si="6"/>
        <v>8.3333333333335258E-3</v>
      </c>
      <c r="F183" s="3">
        <f t="shared" si="7"/>
        <v>1.388888888888995E-3</v>
      </c>
    </row>
    <row r="184" spans="1:6" x14ac:dyDescent="0.25">
      <c r="A184" s="20">
        <v>42401</v>
      </c>
      <c r="B184" s="1" t="s">
        <v>29</v>
      </c>
      <c r="C184" s="2">
        <v>0.91388888888888886</v>
      </c>
      <c r="D184" s="2">
        <v>0.92083333333333339</v>
      </c>
      <c r="E184" s="2">
        <f t="shared" si="6"/>
        <v>6.9444444444445308E-3</v>
      </c>
      <c r="F184" s="3">
        <f t="shared" si="7"/>
        <v>4.1666666666666519E-3</v>
      </c>
    </row>
    <row r="185" spans="1:6" x14ac:dyDescent="0.25">
      <c r="A185" s="20">
        <v>42401</v>
      </c>
      <c r="B185" s="1" t="s">
        <v>29</v>
      </c>
      <c r="C185" s="2">
        <v>0.95694444444444438</v>
      </c>
      <c r="D185" s="2">
        <v>0.95972222222222225</v>
      </c>
      <c r="E185" s="2">
        <f t="shared" si="6"/>
        <v>2.7777777777778789E-3</v>
      </c>
      <c r="F185" s="3">
        <f t="shared" si="7"/>
        <v>6.2499999999998945E-3</v>
      </c>
    </row>
    <row r="186" spans="1:6" x14ac:dyDescent="0.25">
      <c r="A186" s="20">
        <v>42401</v>
      </c>
      <c r="B186" s="1" t="s">
        <v>29</v>
      </c>
      <c r="C186" s="2">
        <v>9.0972222222222218E-2</v>
      </c>
      <c r="D186" s="2">
        <v>9.9999999999999992E-2</v>
      </c>
      <c r="E186" s="2">
        <f t="shared" si="6"/>
        <v>9.0277777777777735E-3</v>
      </c>
      <c r="F186" s="3">
        <f t="shared" si="7"/>
        <v>2.7777777777777957E-3</v>
      </c>
    </row>
    <row r="187" spans="1:6" x14ac:dyDescent="0.25">
      <c r="A187" s="20">
        <v>42401</v>
      </c>
      <c r="B187" s="1" t="s">
        <v>29</v>
      </c>
      <c r="C187" s="2">
        <v>0.3611111111111111</v>
      </c>
      <c r="D187" s="2">
        <v>0.36736111111111108</v>
      </c>
      <c r="E187" s="2">
        <f t="shared" si="6"/>
        <v>6.2499999999999778E-3</v>
      </c>
      <c r="F187" s="3">
        <f t="shared" si="7"/>
        <v>0.12361111111111112</v>
      </c>
    </row>
    <row r="188" spans="1:6" x14ac:dyDescent="0.25">
      <c r="A188" s="20">
        <v>42401</v>
      </c>
      <c r="B188" s="1" t="s">
        <v>29</v>
      </c>
      <c r="C188" s="2">
        <v>0.28055555555555556</v>
      </c>
      <c r="D188" s="2">
        <v>0.41041666666666665</v>
      </c>
      <c r="E188" s="2">
        <f t="shared" si="6"/>
        <v>0.12986111111111109</v>
      </c>
      <c r="F188" s="3">
        <f t="shared" si="7"/>
        <v>0.11736111111111108</v>
      </c>
    </row>
    <row r="189" spans="1:6" x14ac:dyDescent="0.25">
      <c r="A189" s="20">
        <v>42401</v>
      </c>
      <c r="B189" s="1" t="s">
        <v>29</v>
      </c>
      <c r="C189" s="2">
        <v>0.42222222222222222</v>
      </c>
      <c r="D189" s="2">
        <v>0.43472222222222223</v>
      </c>
      <c r="E189" s="2">
        <f t="shared" si="6"/>
        <v>1.2500000000000011E-2</v>
      </c>
      <c r="F189" s="3">
        <f t="shared" si="7"/>
        <v>6.9444444444444753E-3</v>
      </c>
    </row>
    <row r="190" spans="1:6" x14ac:dyDescent="0.25">
      <c r="A190" s="20">
        <v>42401</v>
      </c>
      <c r="B190" s="1" t="s">
        <v>29</v>
      </c>
      <c r="C190" s="2">
        <v>0.92986111111111114</v>
      </c>
      <c r="D190" s="2">
        <v>0.93541666666666667</v>
      </c>
      <c r="E190" s="2">
        <f t="shared" si="6"/>
        <v>5.5555555555555358E-3</v>
      </c>
      <c r="F190" s="3">
        <f t="shared" si="7"/>
        <v>1.7347234759768071E-17</v>
      </c>
    </row>
    <row r="191" spans="1:6" x14ac:dyDescent="0.25">
      <c r="A191" s="20">
        <v>42401</v>
      </c>
      <c r="B191" s="1" t="s">
        <v>29</v>
      </c>
      <c r="C191" s="2">
        <v>1.8055555555555557E-2</v>
      </c>
      <c r="D191" s="2">
        <v>2.361111111111111E-2</v>
      </c>
      <c r="E191" s="2">
        <f t="shared" si="6"/>
        <v>5.5555555555555532E-3</v>
      </c>
      <c r="F191" s="3">
        <f t="shared" si="7"/>
        <v>3.4694469519536142E-18</v>
      </c>
    </row>
    <row r="192" spans="1:6" x14ac:dyDescent="0.25">
      <c r="A192" s="20">
        <v>42401</v>
      </c>
      <c r="B192" s="1" t="s">
        <v>29</v>
      </c>
      <c r="C192" s="2">
        <v>5.486111111111111E-2</v>
      </c>
      <c r="D192" s="2">
        <v>6.0416666666666667E-2</v>
      </c>
      <c r="E192" s="2">
        <f t="shared" si="6"/>
        <v>5.5555555555555566E-3</v>
      </c>
      <c r="F192" s="3">
        <f t="shared" si="7"/>
        <v>4.8611111111111147E-3</v>
      </c>
    </row>
    <row r="193" spans="1:6" x14ac:dyDescent="0.25">
      <c r="A193" s="20">
        <v>42401</v>
      </c>
      <c r="B193" s="1" t="s">
        <v>29</v>
      </c>
      <c r="C193" s="2">
        <v>5.4166666666666669E-2</v>
      </c>
      <c r="D193" s="2">
        <v>6.458333333333334E-2</v>
      </c>
      <c r="E193" s="2">
        <f t="shared" si="6"/>
        <v>1.0416666666666671E-2</v>
      </c>
      <c r="F193" s="3">
        <f t="shared" si="7"/>
        <v>3.4722222222222515E-3</v>
      </c>
    </row>
    <row r="194" spans="1:6" x14ac:dyDescent="0.25">
      <c r="A194" s="20">
        <v>42401</v>
      </c>
      <c r="B194" s="1" t="s">
        <v>29</v>
      </c>
      <c r="C194" s="2">
        <v>0.39444444444444443</v>
      </c>
      <c r="D194" s="2">
        <v>0.40138888888888885</v>
      </c>
      <c r="E194" s="2">
        <f t="shared" ref="E194:E256" si="8">D194-C194</f>
        <v>6.9444444444444198E-3</v>
      </c>
      <c r="F194" s="3">
        <f t="shared" si="7"/>
        <v>0</v>
      </c>
    </row>
    <row r="195" spans="1:6" x14ac:dyDescent="0.25">
      <c r="A195" s="20">
        <v>42401</v>
      </c>
      <c r="B195" s="1" t="s">
        <v>29</v>
      </c>
      <c r="C195" s="2">
        <v>0.40902777777777777</v>
      </c>
      <c r="D195" s="2">
        <v>0.41597222222222219</v>
      </c>
      <c r="E195" s="2">
        <f t="shared" si="8"/>
        <v>6.9444444444444198E-3</v>
      </c>
      <c r="F195" s="3">
        <f t="shared" ref="F195:F258" si="9">ABS(E196-E195)</f>
        <v>2.7777777777777679E-3</v>
      </c>
    </row>
    <row r="196" spans="1:6" x14ac:dyDescent="0.25">
      <c r="A196" s="20">
        <v>42401</v>
      </c>
      <c r="B196" s="1" t="s">
        <v>29</v>
      </c>
      <c r="C196" s="2">
        <v>0.42430555555555555</v>
      </c>
      <c r="D196" s="2">
        <v>0.4284722222222222</v>
      </c>
      <c r="E196" s="2">
        <f t="shared" si="8"/>
        <v>4.1666666666666519E-3</v>
      </c>
      <c r="F196" s="3">
        <f t="shared" si="9"/>
        <v>2.0833333333333814E-3</v>
      </c>
    </row>
    <row r="197" spans="1:6" x14ac:dyDescent="0.25">
      <c r="A197" s="20">
        <v>42401</v>
      </c>
      <c r="B197" s="1" t="s">
        <v>29</v>
      </c>
      <c r="C197" s="2">
        <v>0.43333333333333335</v>
      </c>
      <c r="D197" s="2">
        <v>0.43958333333333338</v>
      </c>
      <c r="E197" s="2">
        <f t="shared" si="8"/>
        <v>6.2500000000000333E-3</v>
      </c>
      <c r="F197" s="3">
        <f t="shared" si="9"/>
        <v>6.9444444444438647E-4</v>
      </c>
    </row>
    <row r="198" spans="1:6" x14ac:dyDescent="0.25">
      <c r="A198" s="20">
        <v>42401</v>
      </c>
      <c r="B198" s="1" t="s">
        <v>29</v>
      </c>
      <c r="C198" s="2">
        <v>0.4381944444444445</v>
      </c>
      <c r="D198" s="2">
        <v>0.44513888888888892</v>
      </c>
      <c r="E198" s="2">
        <f t="shared" si="8"/>
        <v>6.9444444444444198E-3</v>
      </c>
      <c r="F198" s="3">
        <f t="shared" si="9"/>
        <v>1.9444444444444486E-2</v>
      </c>
    </row>
    <row r="199" spans="1:6" x14ac:dyDescent="0.25">
      <c r="A199" s="20">
        <v>42401</v>
      </c>
      <c r="B199" s="1" t="s">
        <v>29</v>
      </c>
      <c r="C199" s="2">
        <v>0.58958333333333335</v>
      </c>
      <c r="D199" s="2">
        <v>0.61597222222222225</v>
      </c>
      <c r="E199" s="2">
        <f t="shared" si="8"/>
        <v>2.6388888888888906E-2</v>
      </c>
      <c r="F199" s="3">
        <f t="shared" si="9"/>
        <v>2.2222222222222254E-2</v>
      </c>
    </row>
    <row r="200" spans="1:6" x14ac:dyDescent="0.25">
      <c r="A200" s="20">
        <v>42401</v>
      </c>
      <c r="B200" s="1" t="s">
        <v>29</v>
      </c>
      <c r="C200" s="2">
        <v>0.62222222222222223</v>
      </c>
      <c r="D200" s="2">
        <v>0.62638888888888888</v>
      </c>
      <c r="E200" s="2">
        <f t="shared" si="8"/>
        <v>4.1666666666666519E-3</v>
      </c>
      <c r="F200" s="3">
        <f t="shared" si="9"/>
        <v>2.7777777777776569E-3</v>
      </c>
    </row>
    <row r="201" spans="1:6" x14ac:dyDescent="0.25">
      <c r="A201" s="20">
        <v>42401</v>
      </c>
      <c r="B201" s="1" t="s">
        <v>29</v>
      </c>
      <c r="C201" s="2">
        <v>0.66875000000000007</v>
      </c>
      <c r="D201" s="2">
        <v>0.67569444444444438</v>
      </c>
      <c r="E201" s="2">
        <f t="shared" si="8"/>
        <v>6.9444444444443088E-3</v>
      </c>
      <c r="F201" s="3">
        <f t="shared" si="9"/>
        <v>1.3888888888887729E-3</v>
      </c>
    </row>
    <row r="202" spans="1:6" x14ac:dyDescent="0.25">
      <c r="A202" s="20">
        <v>42401</v>
      </c>
      <c r="B202" s="1" t="s">
        <v>29</v>
      </c>
      <c r="C202" s="2">
        <v>0.68194444444444446</v>
      </c>
      <c r="D202" s="2">
        <v>0.6875</v>
      </c>
      <c r="E202" s="2">
        <f t="shared" si="8"/>
        <v>5.5555555555555358E-3</v>
      </c>
      <c r="F202" s="3">
        <f t="shared" si="9"/>
        <v>1.5277777777777724E-2</v>
      </c>
    </row>
    <row r="203" spans="1:6" x14ac:dyDescent="0.25">
      <c r="A203" s="20">
        <v>42401</v>
      </c>
      <c r="B203" s="1" t="s">
        <v>29</v>
      </c>
      <c r="C203" s="2">
        <v>0.7597222222222223</v>
      </c>
      <c r="D203" s="2">
        <v>0.78055555555555556</v>
      </c>
      <c r="E203" s="2">
        <f t="shared" si="8"/>
        <v>2.0833333333333259E-2</v>
      </c>
      <c r="F203" s="3">
        <f t="shared" si="9"/>
        <v>1.2499999999999956E-2</v>
      </c>
    </row>
    <row r="204" spans="1:6" x14ac:dyDescent="0.25">
      <c r="A204" s="20">
        <v>42401</v>
      </c>
      <c r="B204" s="1" t="s">
        <v>29</v>
      </c>
      <c r="C204" s="2">
        <v>0.77500000000000002</v>
      </c>
      <c r="D204" s="2">
        <v>0.78333333333333333</v>
      </c>
      <c r="E204" s="2">
        <f t="shared" si="8"/>
        <v>8.3333333333333037E-3</v>
      </c>
      <c r="F204" s="3">
        <f t="shared" si="9"/>
        <v>6.2500000000000888E-3</v>
      </c>
    </row>
    <row r="205" spans="1:6" x14ac:dyDescent="0.25">
      <c r="A205" s="20">
        <v>42401</v>
      </c>
      <c r="B205" s="1" t="s">
        <v>29</v>
      </c>
      <c r="C205" s="2">
        <v>0.79791666666666661</v>
      </c>
      <c r="D205" s="2">
        <v>0.8125</v>
      </c>
      <c r="E205" s="2">
        <f t="shared" si="8"/>
        <v>1.4583333333333393E-2</v>
      </c>
      <c r="F205" s="3">
        <f t="shared" si="9"/>
        <v>1.388888888888995E-3</v>
      </c>
    </row>
    <row r="206" spans="1:6" x14ac:dyDescent="0.25">
      <c r="A206" s="20">
        <v>42401</v>
      </c>
      <c r="B206" s="1" t="s">
        <v>29</v>
      </c>
      <c r="C206" s="2">
        <v>0.81597222222222221</v>
      </c>
      <c r="D206" s="2">
        <v>0.82916666666666661</v>
      </c>
      <c r="E206" s="2">
        <f t="shared" si="8"/>
        <v>1.3194444444444398E-2</v>
      </c>
      <c r="F206" s="3">
        <f t="shared" si="9"/>
        <v>2.7777777777778789E-3</v>
      </c>
    </row>
    <row r="207" spans="1:6" x14ac:dyDescent="0.25">
      <c r="A207" s="20">
        <v>42401</v>
      </c>
      <c r="B207" s="1" t="s">
        <v>29</v>
      </c>
      <c r="C207" s="2">
        <v>0.87430555555555556</v>
      </c>
      <c r="D207" s="2">
        <v>0.89027777777777783</v>
      </c>
      <c r="E207" s="2">
        <f t="shared" si="8"/>
        <v>1.5972222222222276E-2</v>
      </c>
      <c r="F207" s="3">
        <f t="shared" si="9"/>
        <v>1.3194444444444509E-2</v>
      </c>
    </row>
    <row r="208" spans="1:6" x14ac:dyDescent="0.25">
      <c r="A208" s="20">
        <v>42401</v>
      </c>
      <c r="B208" s="1" t="s">
        <v>29</v>
      </c>
      <c r="C208" s="2">
        <v>0.90069444444444446</v>
      </c>
      <c r="D208" s="2">
        <v>0.90347222222222223</v>
      </c>
      <c r="E208" s="2">
        <f t="shared" si="8"/>
        <v>2.7777777777777679E-3</v>
      </c>
      <c r="F208" s="3">
        <f t="shared" si="9"/>
        <v>1.2500000000000011E-2</v>
      </c>
    </row>
    <row r="209" spans="1:6" x14ac:dyDescent="0.25">
      <c r="A209" s="20">
        <v>42401</v>
      </c>
      <c r="B209" s="1" t="s">
        <v>29</v>
      </c>
      <c r="C209" s="2">
        <v>0.34791666666666665</v>
      </c>
      <c r="D209" s="2">
        <v>0.36319444444444443</v>
      </c>
      <c r="E209" s="2">
        <f t="shared" si="8"/>
        <v>1.5277777777777779E-2</v>
      </c>
      <c r="F209" s="3">
        <f t="shared" si="9"/>
        <v>1.0416666666666685E-2</v>
      </c>
    </row>
    <row r="210" spans="1:6" x14ac:dyDescent="0.25">
      <c r="A210" s="20">
        <v>42401</v>
      </c>
      <c r="B210" s="1" t="s">
        <v>29</v>
      </c>
      <c r="C210" s="2">
        <v>0.3888888888888889</v>
      </c>
      <c r="D210" s="2">
        <v>0.39374999999999999</v>
      </c>
      <c r="E210" s="2">
        <f t="shared" si="8"/>
        <v>4.8611111111110938E-3</v>
      </c>
      <c r="F210" s="3">
        <f t="shared" si="9"/>
        <v>6.9444444444444198E-4</v>
      </c>
    </row>
    <row r="211" spans="1:6" x14ac:dyDescent="0.25">
      <c r="A211" s="20">
        <v>42401</v>
      </c>
      <c r="B211" s="1" t="s">
        <v>29</v>
      </c>
      <c r="C211" s="2">
        <v>0.41944444444444445</v>
      </c>
      <c r="D211" s="2">
        <v>0.42499999999999999</v>
      </c>
      <c r="E211" s="2">
        <f t="shared" si="8"/>
        <v>5.5555555555555358E-3</v>
      </c>
      <c r="F211" s="3">
        <f t="shared" si="9"/>
        <v>1.8750000000000044E-2</v>
      </c>
    </row>
    <row r="212" spans="1:6" x14ac:dyDescent="0.25">
      <c r="A212" s="20">
        <v>42401</v>
      </c>
      <c r="B212" s="1" t="s">
        <v>29</v>
      </c>
      <c r="C212" s="2">
        <v>0.43541666666666662</v>
      </c>
      <c r="D212" s="2">
        <v>0.4597222222222222</v>
      </c>
      <c r="E212" s="2">
        <f t="shared" si="8"/>
        <v>2.430555555555558E-2</v>
      </c>
      <c r="F212" s="3">
        <f t="shared" si="9"/>
        <v>2.0138888888888928E-2</v>
      </c>
    </row>
    <row r="213" spans="1:6" x14ac:dyDescent="0.25">
      <c r="A213" s="20">
        <v>42401</v>
      </c>
      <c r="B213" s="1" t="s">
        <v>29</v>
      </c>
      <c r="C213" s="2">
        <v>0.4826388888888889</v>
      </c>
      <c r="D213" s="2">
        <v>0.48680555555555555</v>
      </c>
      <c r="E213" s="2">
        <f t="shared" si="8"/>
        <v>4.1666666666666519E-3</v>
      </c>
      <c r="F213" s="3">
        <f t="shared" si="9"/>
        <v>4.3750000000000067E-2</v>
      </c>
    </row>
    <row r="214" spans="1:6" x14ac:dyDescent="0.25">
      <c r="A214" s="20">
        <v>42401</v>
      </c>
      <c r="B214" s="1" t="s">
        <v>29</v>
      </c>
      <c r="C214" s="2">
        <v>0.47847222222222219</v>
      </c>
      <c r="D214" s="2">
        <v>0.52638888888888891</v>
      </c>
      <c r="E214" s="2">
        <f t="shared" si="8"/>
        <v>4.7916666666666718E-2</v>
      </c>
      <c r="F214" s="3">
        <f t="shared" si="9"/>
        <v>3.9583333333333415E-2</v>
      </c>
    </row>
    <row r="215" spans="1:6" x14ac:dyDescent="0.25">
      <c r="A215" s="20">
        <v>42401</v>
      </c>
      <c r="B215" s="1" t="s">
        <v>29</v>
      </c>
      <c r="C215" s="2">
        <v>0.52222222222222225</v>
      </c>
      <c r="D215" s="2">
        <v>0.53055555555555556</v>
      </c>
      <c r="E215" s="2">
        <f t="shared" si="8"/>
        <v>8.3333333333333037E-3</v>
      </c>
      <c r="F215" s="3">
        <f t="shared" si="9"/>
        <v>1.2499999999999956E-2</v>
      </c>
    </row>
    <row r="216" spans="1:6" x14ac:dyDescent="0.25">
      <c r="A216" s="20">
        <v>42401</v>
      </c>
      <c r="B216" s="1" t="s">
        <v>29</v>
      </c>
      <c r="C216" s="2">
        <v>0.5805555555555556</v>
      </c>
      <c r="D216" s="2">
        <v>0.60138888888888886</v>
      </c>
      <c r="E216" s="2">
        <f t="shared" si="8"/>
        <v>2.0833333333333259E-2</v>
      </c>
      <c r="F216" s="3">
        <f t="shared" si="9"/>
        <v>9.7222222222220767E-3</v>
      </c>
    </row>
    <row r="217" spans="1:6" x14ac:dyDescent="0.25">
      <c r="A217" s="20">
        <v>42401</v>
      </c>
      <c r="B217" s="1" t="s">
        <v>29</v>
      </c>
      <c r="C217" s="2">
        <v>0.66527777777777775</v>
      </c>
      <c r="D217" s="2">
        <v>0.67638888888888893</v>
      </c>
      <c r="E217" s="2">
        <f t="shared" si="8"/>
        <v>1.1111111111111183E-2</v>
      </c>
      <c r="F217" s="3">
        <f t="shared" si="9"/>
        <v>3.4722222222224319E-3</v>
      </c>
    </row>
    <row r="218" spans="1:6" x14ac:dyDescent="0.25">
      <c r="A218" s="20">
        <v>42401</v>
      </c>
      <c r="B218" s="1" t="s">
        <v>29</v>
      </c>
      <c r="C218" s="2">
        <v>0.79305555555555562</v>
      </c>
      <c r="D218" s="2">
        <v>0.80069444444444438</v>
      </c>
      <c r="E218" s="2">
        <f t="shared" si="8"/>
        <v>7.6388888888887507E-3</v>
      </c>
      <c r="F218" s="3">
        <f t="shared" si="9"/>
        <v>6.94444444444553E-4</v>
      </c>
    </row>
    <row r="219" spans="1:6" x14ac:dyDescent="0.25">
      <c r="A219" s="20">
        <v>42401</v>
      </c>
      <c r="B219" s="1" t="s">
        <v>29</v>
      </c>
      <c r="C219" s="2">
        <v>0.81736111111111109</v>
      </c>
      <c r="D219" s="2">
        <v>0.8256944444444444</v>
      </c>
      <c r="E219" s="2">
        <f t="shared" si="8"/>
        <v>8.3333333333333037E-3</v>
      </c>
      <c r="F219" s="3">
        <f t="shared" si="9"/>
        <v>1.041666666666663E-2</v>
      </c>
    </row>
    <row r="220" spans="1:6" x14ac:dyDescent="0.25">
      <c r="A220" s="20">
        <v>42401</v>
      </c>
      <c r="B220" s="1" t="s">
        <v>29</v>
      </c>
      <c r="C220" s="2">
        <v>0.82777777777777783</v>
      </c>
      <c r="D220" s="2">
        <v>0.84652777777777777</v>
      </c>
      <c r="E220" s="2">
        <f t="shared" si="8"/>
        <v>1.8749999999999933E-2</v>
      </c>
      <c r="F220" s="3">
        <f t="shared" si="9"/>
        <v>1.3888888888888812E-2</v>
      </c>
    </row>
    <row r="221" spans="1:6" x14ac:dyDescent="0.25">
      <c r="A221" s="20">
        <v>42401</v>
      </c>
      <c r="B221" s="1" t="s">
        <v>29</v>
      </c>
      <c r="C221" s="2">
        <v>6.8749999999999992E-2</v>
      </c>
      <c r="D221" s="2">
        <v>7.3611111111111113E-2</v>
      </c>
      <c r="E221" s="2">
        <f t="shared" si="8"/>
        <v>4.8611111111111216E-3</v>
      </c>
      <c r="F221" s="3">
        <f t="shared" si="9"/>
        <v>6.9444444444444198E-4</v>
      </c>
    </row>
    <row r="222" spans="1:6" x14ac:dyDescent="0.25">
      <c r="A222" s="20">
        <v>42401</v>
      </c>
      <c r="B222" s="1" t="s">
        <v>29</v>
      </c>
      <c r="C222" s="2">
        <v>0.19305555555555554</v>
      </c>
      <c r="D222" s="2">
        <v>0.19722222222222222</v>
      </c>
      <c r="E222" s="2">
        <f t="shared" si="8"/>
        <v>4.1666666666666796E-3</v>
      </c>
      <c r="F222" s="3">
        <f t="shared" si="9"/>
        <v>4.1666666666666241E-3</v>
      </c>
    </row>
    <row r="223" spans="1:6" x14ac:dyDescent="0.25">
      <c r="A223" s="20">
        <v>42401</v>
      </c>
      <c r="B223" s="1" t="s">
        <v>29</v>
      </c>
      <c r="C223" s="2">
        <v>0.34097222222222223</v>
      </c>
      <c r="D223" s="2">
        <v>0.34930555555555554</v>
      </c>
      <c r="E223" s="2">
        <f t="shared" si="8"/>
        <v>8.3333333333333037E-3</v>
      </c>
      <c r="F223" s="3">
        <f t="shared" si="9"/>
        <v>0</v>
      </c>
    </row>
    <row r="224" spans="1:6" x14ac:dyDescent="0.25">
      <c r="A224" s="20">
        <v>42401</v>
      </c>
      <c r="B224" s="1" t="s">
        <v>29</v>
      </c>
      <c r="C224" s="2">
        <v>0.39305555555555555</v>
      </c>
      <c r="D224" s="2">
        <v>0.40138888888888885</v>
      </c>
      <c r="E224" s="2">
        <f t="shared" si="8"/>
        <v>8.3333333333333037E-3</v>
      </c>
      <c r="F224" s="3">
        <f t="shared" si="9"/>
        <v>6.9444444444444198E-4</v>
      </c>
    </row>
    <row r="225" spans="1:6" x14ac:dyDescent="0.25">
      <c r="A225" s="20">
        <v>42401</v>
      </c>
      <c r="B225" s="1" t="s">
        <v>29</v>
      </c>
      <c r="C225" s="2">
        <v>0.38541666666666669</v>
      </c>
      <c r="D225" s="2">
        <v>0.39444444444444443</v>
      </c>
      <c r="E225" s="2">
        <f t="shared" si="8"/>
        <v>9.0277777777777457E-3</v>
      </c>
      <c r="F225" s="3">
        <f t="shared" si="9"/>
        <v>2.7777777777777124E-3</v>
      </c>
    </row>
    <row r="226" spans="1:6" x14ac:dyDescent="0.25">
      <c r="A226" s="20">
        <v>42401</v>
      </c>
      <c r="B226" s="1" t="s">
        <v>29</v>
      </c>
      <c r="C226" s="2">
        <v>0.46875</v>
      </c>
      <c r="D226" s="2">
        <v>0.47500000000000003</v>
      </c>
      <c r="E226" s="2">
        <f t="shared" si="8"/>
        <v>6.2500000000000333E-3</v>
      </c>
      <c r="F226" s="3">
        <f t="shared" si="9"/>
        <v>9.0277777777778012E-3</v>
      </c>
    </row>
    <row r="227" spans="1:6" x14ac:dyDescent="0.25">
      <c r="A227" s="20">
        <v>42401</v>
      </c>
      <c r="B227" s="1" t="s">
        <v>29</v>
      </c>
      <c r="C227" s="2">
        <v>0.54999999999999993</v>
      </c>
      <c r="D227" s="2">
        <v>0.56527777777777777</v>
      </c>
      <c r="E227" s="2">
        <f t="shared" si="8"/>
        <v>1.5277777777777835E-2</v>
      </c>
      <c r="F227" s="3">
        <f t="shared" si="9"/>
        <v>6.9444444444433095E-4</v>
      </c>
    </row>
    <row r="228" spans="1:6" x14ac:dyDescent="0.25">
      <c r="A228" s="20">
        <v>42401</v>
      </c>
      <c r="B228" s="1" t="s">
        <v>29</v>
      </c>
      <c r="C228" s="2">
        <v>0.5493055555555556</v>
      </c>
      <c r="D228" s="2">
        <v>0.56527777777777777</v>
      </c>
      <c r="E228" s="2">
        <f t="shared" si="8"/>
        <v>1.5972222222222165E-2</v>
      </c>
      <c r="F228" s="3">
        <f t="shared" si="9"/>
        <v>4.8611111111109828E-3</v>
      </c>
    </row>
    <row r="229" spans="1:6" x14ac:dyDescent="0.25">
      <c r="A229" s="20">
        <v>42401</v>
      </c>
      <c r="B229" s="1" t="s">
        <v>29</v>
      </c>
      <c r="C229" s="2">
        <v>0.625</v>
      </c>
      <c r="D229" s="2">
        <v>0.63611111111111118</v>
      </c>
      <c r="E229" s="2">
        <f t="shared" si="8"/>
        <v>1.1111111111111183E-2</v>
      </c>
      <c r="F229" s="3">
        <f t="shared" si="9"/>
        <v>2.7777777777776569E-3</v>
      </c>
    </row>
    <row r="230" spans="1:6" x14ac:dyDescent="0.25">
      <c r="A230" s="20">
        <v>42401</v>
      </c>
      <c r="B230" s="1" t="s">
        <v>29</v>
      </c>
      <c r="C230" s="2">
        <v>0.68402777777777779</v>
      </c>
      <c r="D230" s="2">
        <v>0.69791666666666663</v>
      </c>
      <c r="E230" s="2">
        <f t="shared" si="8"/>
        <v>1.388888888888884E-2</v>
      </c>
      <c r="F230" s="3">
        <f t="shared" si="9"/>
        <v>9.0277777777776347E-3</v>
      </c>
    </row>
    <row r="231" spans="1:6" x14ac:dyDescent="0.25">
      <c r="A231" s="20">
        <v>42401</v>
      </c>
      <c r="B231" s="1" t="s">
        <v>29</v>
      </c>
      <c r="C231" s="2">
        <v>0.67222222222222217</v>
      </c>
      <c r="D231" s="2">
        <v>0.67708333333333337</v>
      </c>
      <c r="E231" s="2">
        <f t="shared" si="8"/>
        <v>4.8611111111112049E-3</v>
      </c>
      <c r="F231" s="3">
        <f t="shared" si="9"/>
        <v>1.4583333333333282E-2</v>
      </c>
    </row>
    <row r="232" spans="1:6" x14ac:dyDescent="0.25">
      <c r="A232" s="20">
        <v>42401</v>
      </c>
      <c r="B232" s="1" t="s">
        <v>29</v>
      </c>
      <c r="C232" s="2">
        <v>0.78749999999999998</v>
      </c>
      <c r="D232" s="2">
        <v>0.80694444444444446</v>
      </c>
      <c r="E232" s="2">
        <f t="shared" si="8"/>
        <v>1.9444444444444486E-2</v>
      </c>
      <c r="F232" s="3">
        <f t="shared" si="9"/>
        <v>1.1102230246251565E-16</v>
      </c>
    </row>
    <row r="233" spans="1:6" x14ac:dyDescent="0.25">
      <c r="A233" s="20">
        <v>42401</v>
      </c>
      <c r="B233" s="1" t="s">
        <v>29</v>
      </c>
      <c r="C233" s="2">
        <v>0.7715277777777777</v>
      </c>
      <c r="D233" s="2">
        <v>0.7909722222222223</v>
      </c>
      <c r="E233" s="2">
        <f t="shared" si="8"/>
        <v>1.9444444444444597E-2</v>
      </c>
      <c r="F233" s="3">
        <f t="shared" si="9"/>
        <v>1.9444444444444597E-2</v>
      </c>
    </row>
    <row r="234" spans="1:6" x14ac:dyDescent="0.25">
      <c r="A234" s="20">
        <v>42401</v>
      </c>
      <c r="B234" s="1" t="s">
        <v>29</v>
      </c>
      <c r="C234" s="2">
        <v>0.85833333333333339</v>
      </c>
      <c r="D234" s="2">
        <v>0.85833333333333339</v>
      </c>
      <c r="E234" s="2">
        <f t="shared" si="8"/>
        <v>0</v>
      </c>
      <c r="F234" s="3">
        <f t="shared" si="9"/>
        <v>6.2499999999998668E-3</v>
      </c>
    </row>
    <row r="235" spans="1:6" x14ac:dyDescent="0.25">
      <c r="A235" s="20">
        <v>42401</v>
      </c>
      <c r="B235" s="1" t="s">
        <v>29</v>
      </c>
      <c r="C235" s="2">
        <v>0.92708333333333337</v>
      </c>
      <c r="D235" s="2">
        <v>0.93333333333333324</v>
      </c>
      <c r="E235" s="2">
        <f t="shared" si="8"/>
        <v>6.2499999999998668E-3</v>
      </c>
      <c r="F235" s="3">
        <f t="shared" si="9"/>
        <v>1.4583333333333504E-2</v>
      </c>
    </row>
    <row r="236" spans="1:6" x14ac:dyDescent="0.25">
      <c r="A236" s="20">
        <v>42401</v>
      </c>
      <c r="B236" s="1" t="s">
        <v>29</v>
      </c>
      <c r="C236" s="2">
        <v>0.4513888888888889</v>
      </c>
      <c r="D236" s="2">
        <v>0.47222222222222227</v>
      </c>
      <c r="E236" s="2">
        <f t="shared" si="8"/>
        <v>2.083333333333337E-2</v>
      </c>
      <c r="F236" s="3">
        <f t="shared" si="9"/>
        <v>2.083333333333337E-2</v>
      </c>
    </row>
    <row r="237" spans="1:6" x14ac:dyDescent="0.25">
      <c r="A237" s="20">
        <v>42401</v>
      </c>
      <c r="B237" s="1" t="s">
        <v>29</v>
      </c>
      <c r="C237" s="2">
        <v>0.58888888888888891</v>
      </c>
      <c r="D237" s="2">
        <v>0.58888888888888891</v>
      </c>
      <c r="E237" s="2">
        <f t="shared" si="8"/>
        <v>0</v>
      </c>
      <c r="F237" s="3">
        <f t="shared" si="9"/>
        <v>2.6388888888888851E-2</v>
      </c>
    </row>
    <row r="238" spans="1:6" x14ac:dyDescent="0.25">
      <c r="A238" s="20">
        <v>42401</v>
      </c>
      <c r="B238" s="1" t="s">
        <v>29</v>
      </c>
      <c r="C238" s="2">
        <v>0.47500000000000003</v>
      </c>
      <c r="D238" s="2">
        <v>0.50138888888888888</v>
      </c>
      <c r="E238" s="2">
        <f t="shared" si="8"/>
        <v>2.6388888888888851E-2</v>
      </c>
      <c r="F238" s="3">
        <f t="shared" si="9"/>
        <v>1.8749999999999989E-2</v>
      </c>
    </row>
    <row r="239" spans="1:6" x14ac:dyDescent="0.25">
      <c r="A239" s="20">
        <v>42401</v>
      </c>
      <c r="B239" s="1" t="s">
        <v>29</v>
      </c>
      <c r="C239" s="2">
        <v>0.53402777777777777</v>
      </c>
      <c r="D239" s="2">
        <v>0.54166666666666663</v>
      </c>
      <c r="E239" s="2">
        <f t="shared" si="8"/>
        <v>7.6388888888888618E-3</v>
      </c>
      <c r="F239" s="3">
        <f t="shared" si="9"/>
        <v>2.0833333333333259E-3</v>
      </c>
    </row>
    <row r="240" spans="1:6" x14ac:dyDescent="0.25">
      <c r="A240" s="20">
        <v>42401</v>
      </c>
      <c r="B240" s="1" t="s">
        <v>29</v>
      </c>
      <c r="C240" s="2">
        <v>0.57291666666666663</v>
      </c>
      <c r="D240" s="2">
        <v>0.58263888888888882</v>
      </c>
      <c r="E240" s="2">
        <f t="shared" si="8"/>
        <v>9.7222222222221877E-3</v>
      </c>
      <c r="F240" s="3">
        <f t="shared" si="9"/>
        <v>1.388888888888884E-3</v>
      </c>
    </row>
    <row r="241" spans="1:6" x14ac:dyDescent="0.25">
      <c r="A241" s="20">
        <v>42401</v>
      </c>
      <c r="B241" s="1" t="s">
        <v>29</v>
      </c>
      <c r="C241" s="2">
        <v>0.61458333333333337</v>
      </c>
      <c r="D241" s="2">
        <v>0.62569444444444444</v>
      </c>
      <c r="E241" s="2">
        <f t="shared" si="8"/>
        <v>1.1111111111111072E-2</v>
      </c>
      <c r="F241" s="3">
        <f t="shared" si="9"/>
        <v>5.5555555555554248E-3</v>
      </c>
    </row>
    <row r="242" spans="1:6" x14ac:dyDescent="0.25">
      <c r="A242" s="20">
        <v>42401</v>
      </c>
      <c r="B242" s="1" t="s">
        <v>29</v>
      </c>
      <c r="C242" s="2">
        <v>0.61249999999999993</v>
      </c>
      <c r="D242" s="2">
        <v>0.61805555555555558</v>
      </c>
      <c r="E242" s="2">
        <f t="shared" si="8"/>
        <v>5.5555555555556468E-3</v>
      </c>
      <c r="F242" s="3">
        <f t="shared" si="9"/>
        <v>2.0833333333333259E-3</v>
      </c>
    </row>
    <row r="243" spans="1:6" x14ac:dyDescent="0.25">
      <c r="A243" s="20">
        <v>42401</v>
      </c>
      <c r="B243" s="1" t="s">
        <v>29</v>
      </c>
      <c r="C243" s="2">
        <v>0.67291666666666661</v>
      </c>
      <c r="D243" s="2">
        <v>0.67638888888888893</v>
      </c>
      <c r="E243" s="2">
        <f t="shared" si="8"/>
        <v>3.4722222222223209E-3</v>
      </c>
      <c r="F243" s="3">
        <f t="shared" si="9"/>
        <v>2.0138888888888817E-2</v>
      </c>
    </row>
    <row r="244" spans="1:6" x14ac:dyDescent="0.25">
      <c r="A244" s="20">
        <v>42401</v>
      </c>
      <c r="B244" s="1" t="s">
        <v>29</v>
      </c>
      <c r="C244" s="2">
        <v>0.68680555555555556</v>
      </c>
      <c r="D244" s="2">
        <v>0.7104166666666667</v>
      </c>
      <c r="E244" s="2">
        <f t="shared" si="8"/>
        <v>2.3611111111111138E-2</v>
      </c>
      <c r="F244" s="3">
        <f t="shared" si="9"/>
        <v>1.6666666666666829E-2</v>
      </c>
    </row>
    <row r="245" spans="1:6" x14ac:dyDescent="0.25">
      <c r="A245" s="20">
        <v>42401</v>
      </c>
      <c r="B245" s="1" t="s">
        <v>29</v>
      </c>
      <c r="C245" s="2">
        <v>0.6972222222222223</v>
      </c>
      <c r="D245" s="2">
        <v>0.70416666666666661</v>
      </c>
      <c r="E245" s="2">
        <f t="shared" si="8"/>
        <v>6.9444444444443088E-3</v>
      </c>
      <c r="F245" s="3">
        <f t="shared" si="9"/>
        <v>2.77777777777799E-3</v>
      </c>
    </row>
    <row r="246" spans="1:6" x14ac:dyDescent="0.25">
      <c r="A246" s="20">
        <v>42401</v>
      </c>
      <c r="B246" s="1" t="s">
        <v>29</v>
      </c>
      <c r="C246" s="2">
        <v>0.72083333333333333</v>
      </c>
      <c r="D246" s="2">
        <v>0.73055555555555562</v>
      </c>
      <c r="E246" s="2">
        <f t="shared" si="8"/>
        <v>9.7222222222222987E-3</v>
      </c>
      <c r="F246" s="3">
        <f t="shared" si="9"/>
        <v>3.4722222222224319E-3</v>
      </c>
    </row>
    <row r="247" spans="1:6" x14ac:dyDescent="0.25">
      <c r="A247" s="20">
        <v>42401</v>
      </c>
      <c r="B247" s="1" t="s">
        <v>29</v>
      </c>
      <c r="C247" s="2">
        <v>0.80208333333333337</v>
      </c>
      <c r="D247" s="2">
        <v>0.80833333333333324</v>
      </c>
      <c r="E247" s="2">
        <f t="shared" si="8"/>
        <v>6.2499999999998668E-3</v>
      </c>
      <c r="F247" s="3">
        <f t="shared" si="9"/>
        <v>1.1805555555555736E-2</v>
      </c>
    </row>
    <row r="248" spans="1:6" x14ac:dyDescent="0.25">
      <c r="A248" s="20">
        <v>42401</v>
      </c>
      <c r="B248" s="1" t="s">
        <v>29</v>
      </c>
      <c r="C248" s="2">
        <v>0.82638888888888884</v>
      </c>
      <c r="D248" s="2">
        <v>0.84444444444444444</v>
      </c>
      <c r="E248" s="2">
        <f t="shared" si="8"/>
        <v>1.8055555555555602E-2</v>
      </c>
      <c r="F248" s="3">
        <f t="shared" si="9"/>
        <v>2.5694444444444381E-2</v>
      </c>
    </row>
    <row r="249" spans="1:6" x14ac:dyDescent="0.25">
      <c r="A249" s="20">
        <v>42401</v>
      </c>
      <c r="B249" s="1" t="s">
        <v>29</v>
      </c>
      <c r="C249" s="2">
        <v>0.20972222222222223</v>
      </c>
      <c r="D249" s="2">
        <v>0.25347222222222221</v>
      </c>
      <c r="E249" s="2">
        <f t="shared" si="8"/>
        <v>4.3749999999999983E-2</v>
      </c>
      <c r="F249" s="3">
        <f t="shared" si="9"/>
        <v>3.9583333333333276E-2</v>
      </c>
    </row>
    <row r="250" spans="1:6" x14ac:dyDescent="0.25">
      <c r="A250" s="20">
        <v>42401</v>
      </c>
      <c r="B250" s="1" t="s">
        <v>29</v>
      </c>
      <c r="C250" s="2">
        <v>0.28541666666666665</v>
      </c>
      <c r="D250" s="2">
        <v>0.28958333333333336</v>
      </c>
      <c r="E250" s="2">
        <f t="shared" si="8"/>
        <v>4.1666666666667074E-3</v>
      </c>
      <c r="F250" s="3">
        <f t="shared" si="9"/>
        <v>1.1111111111111127E-2</v>
      </c>
    </row>
    <row r="251" spans="1:6" x14ac:dyDescent="0.25">
      <c r="A251" s="20">
        <v>42401</v>
      </c>
      <c r="B251" s="1" t="s">
        <v>29</v>
      </c>
      <c r="C251" s="2">
        <v>0.53125</v>
      </c>
      <c r="D251" s="2">
        <v>0.54652777777777783</v>
      </c>
      <c r="E251" s="2">
        <f t="shared" si="8"/>
        <v>1.5277777777777835E-2</v>
      </c>
      <c r="F251" s="3">
        <f t="shared" si="9"/>
        <v>9.0277777777778012E-3</v>
      </c>
    </row>
    <row r="252" spans="1:6" x14ac:dyDescent="0.25">
      <c r="A252" s="20">
        <v>42401</v>
      </c>
      <c r="B252" s="1" t="s">
        <v>29</v>
      </c>
      <c r="C252" s="2">
        <v>0.3972222222222222</v>
      </c>
      <c r="D252" s="2">
        <v>0.40347222222222223</v>
      </c>
      <c r="E252" s="2">
        <f t="shared" si="8"/>
        <v>6.2500000000000333E-3</v>
      </c>
      <c r="F252" s="3">
        <f t="shared" si="9"/>
        <v>4.8611111111110383E-3</v>
      </c>
    </row>
    <row r="253" spans="1:6" x14ac:dyDescent="0.25">
      <c r="A253" s="20">
        <v>42401</v>
      </c>
      <c r="B253" s="1" t="s">
        <v>29</v>
      </c>
      <c r="C253" s="2">
        <v>0.47638888888888892</v>
      </c>
      <c r="D253" s="2">
        <v>0.48749999999999999</v>
      </c>
      <c r="E253" s="2">
        <f t="shared" si="8"/>
        <v>1.1111111111111072E-2</v>
      </c>
      <c r="F253" s="3">
        <f t="shared" si="9"/>
        <v>5.5555555555555358E-3</v>
      </c>
    </row>
    <row r="254" spans="1:6" x14ac:dyDescent="0.25">
      <c r="A254" s="20">
        <v>42401</v>
      </c>
      <c r="B254" s="1" t="s">
        <v>29</v>
      </c>
      <c r="C254" s="2">
        <v>0.56874999999999998</v>
      </c>
      <c r="D254" s="2">
        <v>0.57430555555555551</v>
      </c>
      <c r="E254" s="2">
        <f t="shared" si="8"/>
        <v>5.5555555555555358E-3</v>
      </c>
      <c r="F254" s="3">
        <f t="shared" si="9"/>
        <v>4.1666666666667629E-3</v>
      </c>
    </row>
    <row r="255" spans="1:6" x14ac:dyDescent="0.25">
      <c r="A255" s="20">
        <v>42401</v>
      </c>
      <c r="B255" s="1" t="s">
        <v>29</v>
      </c>
      <c r="C255" s="2">
        <v>0.69861111111111107</v>
      </c>
      <c r="D255" s="2">
        <v>0.70833333333333337</v>
      </c>
      <c r="E255" s="2">
        <f t="shared" si="8"/>
        <v>9.7222222222222987E-3</v>
      </c>
      <c r="F255" s="3">
        <f t="shared" si="9"/>
        <v>4.1666666666667629E-3</v>
      </c>
    </row>
    <row r="256" spans="1:6" x14ac:dyDescent="0.25">
      <c r="A256" s="20">
        <v>42401</v>
      </c>
      <c r="B256" s="1" t="s">
        <v>29</v>
      </c>
      <c r="C256" s="2">
        <v>0.95347222222222217</v>
      </c>
      <c r="D256" s="2">
        <v>0.9590277777777777</v>
      </c>
      <c r="E256" s="2">
        <f t="shared" si="8"/>
        <v>5.5555555555555358E-3</v>
      </c>
      <c r="F256" s="3">
        <f t="shared" si="9"/>
        <v>6.2500000000000194E-3</v>
      </c>
    </row>
    <row r="257" spans="1:6" x14ac:dyDescent="0.25">
      <c r="A257" s="20">
        <v>42401</v>
      </c>
      <c r="B257" s="1" t="s">
        <v>29</v>
      </c>
      <c r="C257" s="2">
        <v>9.7222222222222224E-2</v>
      </c>
      <c r="D257" s="2">
        <v>0.10902777777777778</v>
      </c>
      <c r="E257" s="2">
        <f t="shared" ref="E257:E320" si="10">D257-C257</f>
        <v>1.1805555555555555E-2</v>
      </c>
      <c r="F257" s="3">
        <f t="shared" si="9"/>
        <v>6.2500000000000472E-3</v>
      </c>
    </row>
    <row r="258" spans="1:6" x14ac:dyDescent="0.25">
      <c r="A258" s="20">
        <v>42401</v>
      </c>
      <c r="B258" s="1" t="s">
        <v>29</v>
      </c>
      <c r="C258" s="2">
        <v>0.33749999999999997</v>
      </c>
      <c r="D258" s="2">
        <v>0.35555555555555557</v>
      </c>
      <c r="E258" s="2">
        <f t="shared" si="10"/>
        <v>1.8055555555555602E-2</v>
      </c>
      <c r="F258" s="3">
        <f t="shared" si="9"/>
        <v>1.1805555555555625E-2</v>
      </c>
    </row>
    <row r="259" spans="1:6" x14ac:dyDescent="0.25">
      <c r="A259" s="20">
        <v>42401</v>
      </c>
      <c r="B259" s="1" t="s">
        <v>29</v>
      </c>
      <c r="C259" s="2">
        <v>0.73611111111111116</v>
      </c>
      <c r="D259" s="2">
        <v>0.74236111111111114</v>
      </c>
      <c r="E259" s="2">
        <f t="shared" si="10"/>
        <v>6.2499999999999778E-3</v>
      </c>
      <c r="F259" s="3">
        <f t="shared" ref="F259:F279" si="11">ABS(E260-E259)</f>
        <v>6.9444444444444198E-4</v>
      </c>
    </row>
    <row r="260" spans="1:6" x14ac:dyDescent="0.25">
      <c r="A260" s="20">
        <v>42401</v>
      </c>
      <c r="B260" s="1" t="s">
        <v>29</v>
      </c>
      <c r="C260" s="2">
        <v>0.76874999999999993</v>
      </c>
      <c r="D260" s="2">
        <v>0.77430555555555547</v>
      </c>
      <c r="E260" s="2">
        <f t="shared" si="10"/>
        <v>5.5555555555555358E-3</v>
      </c>
      <c r="F260" s="3">
        <f t="shared" si="11"/>
        <v>1.3888888888888284E-3</v>
      </c>
    </row>
    <row r="261" spans="1:6" x14ac:dyDescent="0.25">
      <c r="A261" s="20">
        <v>42401</v>
      </c>
      <c r="B261" s="1" t="s">
        <v>29</v>
      </c>
      <c r="C261" s="2">
        <v>0.4770833333333333</v>
      </c>
      <c r="D261" s="2">
        <v>0.48125000000000001</v>
      </c>
      <c r="E261" s="2">
        <f t="shared" si="10"/>
        <v>4.1666666666667074E-3</v>
      </c>
      <c r="F261" s="3">
        <f t="shared" si="11"/>
        <v>6.9444444444444198E-3</v>
      </c>
    </row>
    <row r="262" spans="1:6" x14ac:dyDescent="0.25">
      <c r="A262" s="20">
        <v>42401</v>
      </c>
      <c r="B262" s="1" t="s">
        <v>29</v>
      </c>
      <c r="C262" s="2">
        <v>0.48749999999999999</v>
      </c>
      <c r="D262" s="2">
        <v>0.49861111111111112</v>
      </c>
      <c r="E262" s="2">
        <f t="shared" si="10"/>
        <v>1.1111111111111127E-2</v>
      </c>
      <c r="F262" s="3">
        <f t="shared" si="11"/>
        <v>2.7777777777777124E-3</v>
      </c>
    </row>
    <row r="263" spans="1:6" x14ac:dyDescent="0.25">
      <c r="A263" s="20">
        <v>42401</v>
      </c>
      <c r="B263" s="1" t="s">
        <v>29</v>
      </c>
      <c r="C263" s="2">
        <v>0.72499999999999998</v>
      </c>
      <c r="D263" s="2">
        <v>0.73333333333333339</v>
      </c>
      <c r="E263" s="2">
        <f t="shared" si="10"/>
        <v>8.3333333333334147E-3</v>
      </c>
      <c r="F263" s="3">
        <f t="shared" si="11"/>
        <v>2.7777777777777679E-3</v>
      </c>
    </row>
    <row r="264" spans="1:6" x14ac:dyDescent="0.25">
      <c r="A264" s="20">
        <v>42401</v>
      </c>
      <c r="B264" s="1" t="s">
        <v>29</v>
      </c>
      <c r="C264" s="2">
        <v>0.72222222222222221</v>
      </c>
      <c r="D264" s="2">
        <v>0.73333333333333339</v>
      </c>
      <c r="E264" s="2">
        <f t="shared" si="10"/>
        <v>1.1111111111111183E-2</v>
      </c>
      <c r="F264" s="3">
        <f t="shared" si="11"/>
        <v>2.7777777777777679E-3</v>
      </c>
    </row>
    <row r="265" spans="1:6" x14ac:dyDescent="0.25">
      <c r="A265" s="20">
        <v>42401</v>
      </c>
      <c r="B265" s="1" t="s">
        <v>29</v>
      </c>
      <c r="C265" s="2">
        <v>0.73263888888888884</v>
      </c>
      <c r="D265" s="2">
        <v>0.74652777777777779</v>
      </c>
      <c r="E265" s="2">
        <f t="shared" si="10"/>
        <v>1.3888888888888951E-2</v>
      </c>
      <c r="F265" s="3">
        <f t="shared" si="11"/>
        <v>1.388888888888995E-3</v>
      </c>
    </row>
    <row r="266" spans="1:6" x14ac:dyDescent="0.25">
      <c r="A266" s="20">
        <v>42401</v>
      </c>
      <c r="B266" s="1" t="s">
        <v>29</v>
      </c>
      <c r="C266" s="2">
        <v>0.85625000000000007</v>
      </c>
      <c r="D266" s="2">
        <v>0.86875000000000002</v>
      </c>
      <c r="E266" s="2">
        <f t="shared" si="10"/>
        <v>1.2499999999999956E-2</v>
      </c>
      <c r="F266" s="3">
        <f t="shared" si="11"/>
        <v>6.9444444444444198E-4</v>
      </c>
    </row>
    <row r="267" spans="1:6" x14ac:dyDescent="0.25">
      <c r="A267" s="20">
        <v>42401</v>
      </c>
      <c r="B267" s="1" t="s">
        <v>29</v>
      </c>
      <c r="C267" s="2">
        <v>0.80347222222222225</v>
      </c>
      <c r="D267" s="2">
        <v>0.81527777777777777</v>
      </c>
      <c r="E267" s="2">
        <f t="shared" si="10"/>
        <v>1.1805555555555514E-2</v>
      </c>
      <c r="F267" s="3">
        <f t="shared" si="11"/>
        <v>6.2499999999998668E-3</v>
      </c>
    </row>
    <row r="268" spans="1:6" x14ac:dyDescent="0.25">
      <c r="A268" s="20">
        <v>42401</v>
      </c>
      <c r="B268" s="1" t="s">
        <v>29</v>
      </c>
      <c r="C268" s="2">
        <v>0.98819444444444438</v>
      </c>
      <c r="D268" s="2">
        <v>0.99375000000000002</v>
      </c>
      <c r="E268" s="2">
        <f t="shared" si="10"/>
        <v>5.5555555555556468E-3</v>
      </c>
      <c r="F268" s="3">
        <f t="shared" si="11"/>
        <v>2.0833333333332392E-3</v>
      </c>
    </row>
    <row r="269" spans="1:6" x14ac:dyDescent="0.25">
      <c r="A269" s="20">
        <v>42401</v>
      </c>
      <c r="B269" s="1" t="s">
        <v>29</v>
      </c>
      <c r="C269" s="2">
        <v>1.5972222222222224E-2</v>
      </c>
      <c r="D269" s="2">
        <v>2.361111111111111E-2</v>
      </c>
      <c r="E269" s="2">
        <f t="shared" si="10"/>
        <v>7.638888888888886E-3</v>
      </c>
      <c r="F269" s="3">
        <f t="shared" si="11"/>
        <v>2.7777777777777783E-3</v>
      </c>
    </row>
    <row r="270" spans="1:6" x14ac:dyDescent="0.25">
      <c r="A270" s="20">
        <v>42401</v>
      </c>
      <c r="B270" s="1" t="s">
        <v>29</v>
      </c>
      <c r="C270" s="2">
        <v>3.4722222222222224E-2</v>
      </c>
      <c r="D270" s="2">
        <v>4.5138888888888888E-2</v>
      </c>
      <c r="E270" s="2">
        <f t="shared" si="10"/>
        <v>1.0416666666666664E-2</v>
      </c>
      <c r="F270" s="3">
        <f t="shared" si="11"/>
        <v>4.8611111111111147E-3</v>
      </c>
    </row>
    <row r="271" spans="1:6" x14ac:dyDescent="0.25">
      <c r="A271" s="20">
        <v>42401</v>
      </c>
      <c r="B271" s="1" t="s">
        <v>29</v>
      </c>
      <c r="C271" s="2">
        <v>0.38263888888888892</v>
      </c>
      <c r="D271" s="2">
        <v>0.3979166666666667</v>
      </c>
      <c r="E271" s="2">
        <f t="shared" si="10"/>
        <v>1.5277777777777779E-2</v>
      </c>
      <c r="F271" s="3">
        <f t="shared" si="11"/>
        <v>1.8749999999999989E-2</v>
      </c>
    </row>
    <row r="272" spans="1:6" x14ac:dyDescent="0.25">
      <c r="A272" s="20">
        <v>42401</v>
      </c>
      <c r="B272" s="1" t="s">
        <v>29</v>
      </c>
      <c r="C272" s="2">
        <v>0.40069444444444446</v>
      </c>
      <c r="D272" s="2">
        <v>0.43472222222222223</v>
      </c>
      <c r="E272" s="2">
        <f t="shared" si="10"/>
        <v>3.4027777777777768E-2</v>
      </c>
      <c r="F272" s="3">
        <f t="shared" si="11"/>
        <v>2.7777777777777846E-2</v>
      </c>
    </row>
    <row r="273" spans="1:6" x14ac:dyDescent="0.25">
      <c r="A273" s="20">
        <v>42401</v>
      </c>
      <c r="B273" s="1" t="s">
        <v>29</v>
      </c>
      <c r="C273" s="2">
        <v>0.4604166666666667</v>
      </c>
      <c r="D273" s="2">
        <v>0.46666666666666662</v>
      </c>
      <c r="E273" s="2">
        <f t="shared" si="10"/>
        <v>6.2499999999999223E-3</v>
      </c>
      <c r="F273" s="3">
        <f t="shared" si="11"/>
        <v>4.1666666666667074E-3</v>
      </c>
    </row>
    <row r="274" spans="1:6" x14ac:dyDescent="0.25">
      <c r="A274" s="20">
        <v>42401</v>
      </c>
      <c r="B274" s="1" t="s">
        <v>29</v>
      </c>
      <c r="C274" s="2">
        <v>0.48194444444444445</v>
      </c>
      <c r="D274" s="2">
        <v>0.49236111111111108</v>
      </c>
      <c r="E274" s="2">
        <f t="shared" si="10"/>
        <v>1.041666666666663E-2</v>
      </c>
      <c r="F274" s="3">
        <f t="shared" si="11"/>
        <v>6.9444444444444198E-3</v>
      </c>
    </row>
    <row r="275" spans="1:6" x14ac:dyDescent="0.25">
      <c r="A275" s="20">
        <v>42401</v>
      </c>
      <c r="B275" s="1" t="s">
        <v>29</v>
      </c>
      <c r="C275" s="2">
        <v>0.49583333333333335</v>
      </c>
      <c r="D275" s="2">
        <v>0.5131944444444444</v>
      </c>
      <c r="E275" s="2">
        <f t="shared" si="10"/>
        <v>1.7361111111111049E-2</v>
      </c>
      <c r="F275" s="3">
        <f t="shared" si="11"/>
        <v>1.1111111111111072E-2</v>
      </c>
    </row>
    <row r="276" spans="1:6" x14ac:dyDescent="0.25">
      <c r="A276" s="20">
        <v>42401</v>
      </c>
      <c r="B276" s="1" t="s">
        <v>29</v>
      </c>
      <c r="C276" s="2">
        <v>0.51527777777777783</v>
      </c>
      <c r="D276" s="2">
        <v>0.52152777777777781</v>
      </c>
      <c r="E276" s="2">
        <f t="shared" si="10"/>
        <v>6.2499999999999778E-3</v>
      </c>
      <c r="F276" s="3">
        <f t="shared" si="11"/>
        <v>1.388888888888995E-3</v>
      </c>
    </row>
    <row r="277" spans="1:6" x14ac:dyDescent="0.25">
      <c r="A277" s="20">
        <v>42401</v>
      </c>
      <c r="B277" s="1" t="s">
        <v>29</v>
      </c>
      <c r="C277" s="2">
        <v>0.60763888888888895</v>
      </c>
      <c r="D277" s="2">
        <v>0.61249999999999993</v>
      </c>
      <c r="E277" s="2">
        <f t="shared" si="10"/>
        <v>4.8611111111109828E-3</v>
      </c>
      <c r="F277" s="3">
        <f t="shared" si="11"/>
        <v>1.388888888888995E-3</v>
      </c>
    </row>
    <row r="278" spans="1:6" x14ac:dyDescent="0.25">
      <c r="A278" s="20">
        <v>42401</v>
      </c>
      <c r="B278" s="1" t="s">
        <v>29</v>
      </c>
      <c r="C278" s="2">
        <v>0.64444444444444449</v>
      </c>
      <c r="D278" s="2">
        <v>0.65069444444444446</v>
      </c>
      <c r="E278" s="2">
        <f t="shared" si="10"/>
        <v>6.2499999999999778E-3</v>
      </c>
      <c r="F278" s="3">
        <f t="shared" si="11"/>
        <v>3.4722222222223209E-3</v>
      </c>
    </row>
    <row r="279" spans="1:6" x14ac:dyDescent="0.25">
      <c r="A279" s="20">
        <v>42401</v>
      </c>
      <c r="B279" s="1" t="s">
        <v>29</v>
      </c>
      <c r="C279" s="2">
        <v>0.71458333333333324</v>
      </c>
      <c r="D279" s="2">
        <v>0.72430555555555554</v>
      </c>
      <c r="E279" s="2">
        <f t="shared" si="10"/>
        <v>9.7222222222222987E-3</v>
      </c>
      <c r="F279" s="3">
        <f t="shared" si="11"/>
        <v>5.5555555555556468E-3</v>
      </c>
    </row>
    <row r="280" spans="1:6" x14ac:dyDescent="0.25">
      <c r="A280" s="20">
        <v>42401</v>
      </c>
      <c r="B280" s="1" t="s">
        <v>29</v>
      </c>
      <c r="C280" s="2">
        <v>0.96805555555555556</v>
      </c>
      <c r="D280" s="2">
        <v>0.97222222222222221</v>
      </c>
      <c r="E280" s="2">
        <f t="shared" si="10"/>
        <v>4.1666666666666519E-3</v>
      </c>
      <c r="F280" s="3"/>
    </row>
    <row r="281" spans="1:6" x14ac:dyDescent="0.25">
      <c r="A281" s="20">
        <v>42401</v>
      </c>
      <c r="B281" s="1" t="s">
        <v>9</v>
      </c>
      <c r="C281" s="2">
        <v>0.35486111111111113</v>
      </c>
      <c r="D281" s="2">
        <v>0.37013888888888885</v>
      </c>
      <c r="E281" s="2">
        <f t="shared" si="10"/>
        <v>1.5277777777777724E-2</v>
      </c>
      <c r="F281" s="3">
        <f>ABS(E281-E282)</f>
        <v>2.0833333333332843E-3</v>
      </c>
    </row>
    <row r="282" spans="1:6" x14ac:dyDescent="0.25">
      <c r="A282" s="20">
        <v>42401</v>
      </c>
      <c r="B282" s="1" t="s">
        <v>9</v>
      </c>
      <c r="C282" s="2">
        <v>4.027777777777778E-2</v>
      </c>
      <c r="D282" s="2">
        <v>5.347222222222222E-2</v>
      </c>
      <c r="E282" s="2">
        <f t="shared" si="10"/>
        <v>1.3194444444444439E-2</v>
      </c>
      <c r="F282" s="3">
        <f t="shared" ref="F282:F324" si="12">ABS(E282-E283)</f>
        <v>4.1666666666666102E-3</v>
      </c>
    </row>
    <row r="283" spans="1:6" x14ac:dyDescent="0.25">
      <c r="A283" s="20">
        <v>42401</v>
      </c>
      <c r="B283" s="1" t="s">
        <v>9</v>
      </c>
      <c r="C283" s="2">
        <v>0.58333333333333337</v>
      </c>
      <c r="D283" s="2">
        <v>0.60069444444444442</v>
      </c>
      <c r="E283" s="2">
        <f t="shared" si="10"/>
        <v>1.7361111111111049E-2</v>
      </c>
      <c r="F283" s="3">
        <f t="shared" si="12"/>
        <v>8.3333333333334147E-3</v>
      </c>
    </row>
    <row r="284" spans="1:6" x14ac:dyDescent="0.25">
      <c r="A284" s="20">
        <v>42401</v>
      </c>
      <c r="B284" s="1" t="s">
        <v>9</v>
      </c>
      <c r="C284" s="2">
        <v>0.35416666666666669</v>
      </c>
      <c r="D284" s="2">
        <v>0.37986111111111115</v>
      </c>
      <c r="E284" s="2">
        <f t="shared" si="10"/>
        <v>2.5694444444444464E-2</v>
      </c>
      <c r="F284" s="3">
        <f t="shared" si="12"/>
        <v>1.0416666666666685E-2</v>
      </c>
    </row>
    <row r="285" spans="1:6" x14ac:dyDescent="0.25">
      <c r="A285" s="20">
        <v>42401</v>
      </c>
      <c r="B285" s="1" t="s">
        <v>9</v>
      </c>
      <c r="C285" s="2">
        <v>0.17916666666666667</v>
      </c>
      <c r="D285" s="2">
        <v>0.19444444444444445</v>
      </c>
      <c r="E285" s="2">
        <f t="shared" si="10"/>
        <v>1.5277777777777779E-2</v>
      </c>
      <c r="F285" s="3">
        <f t="shared" si="12"/>
        <v>4.8611111111110938E-3</v>
      </c>
    </row>
    <row r="286" spans="1:6" x14ac:dyDescent="0.25">
      <c r="A286" s="20">
        <v>42401</v>
      </c>
      <c r="B286" s="1" t="s">
        <v>9</v>
      </c>
      <c r="C286" s="2">
        <v>0.48541666666666666</v>
      </c>
      <c r="D286" s="2">
        <v>0.50555555555555554</v>
      </c>
      <c r="E286" s="2">
        <f t="shared" si="10"/>
        <v>2.0138888888888873E-2</v>
      </c>
      <c r="F286" s="3">
        <f t="shared" si="12"/>
        <v>1.4583333333333337E-2</v>
      </c>
    </row>
    <row r="287" spans="1:6" x14ac:dyDescent="0.25">
      <c r="A287" s="20">
        <v>42401</v>
      </c>
      <c r="B287" s="1" t="s">
        <v>9</v>
      </c>
      <c r="C287" s="2">
        <v>0.36805555555555558</v>
      </c>
      <c r="D287" s="2">
        <v>0.37361111111111112</v>
      </c>
      <c r="E287" s="2">
        <f t="shared" si="10"/>
        <v>5.5555555555555358E-3</v>
      </c>
      <c r="F287" s="3">
        <f t="shared" si="12"/>
        <v>1.1805555555555625E-2</v>
      </c>
    </row>
    <row r="288" spans="1:6" x14ac:dyDescent="0.25">
      <c r="A288" s="20">
        <v>42401</v>
      </c>
      <c r="B288" s="1" t="s">
        <v>9</v>
      </c>
      <c r="C288" s="2">
        <v>0.69791666666666663</v>
      </c>
      <c r="D288" s="2">
        <v>0.71527777777777779</v>
      </c>
      <c r="E288" s="2">
        <f t="shared" si="10"/>
        <v>1.736111111111116E-2</v>
      </c>
      <c r="F288" s="3">
        <f t="shared" si="12"/>
        <v>1.388888888888995E-3</v>
      </c>
    </row>
    <row r="289" spans="1:6" x14ac:dyDescent="0.25">
      <c r="A289" s="20">
        <v>42401</v>
      </c>
      <c r="B289" s="1" t="s">
        <v>9</v>
      </c>
      <c r="C289" s="2">
        <v>0.3756944444444445</v>
      </c>
      <c r="D289" s="2">
        <v>0.39166666666666666</v>
      </c>
      <c r="E289" s="2">
        <f t="shared" si="10"/>
        <v>1.5972222222222165E-2</v>
      </c>
      <c r="F289" s="3">
        <f t="shared" si="12"/>
        <v>2.7777777777777679E-3</v>
      </c>
    </row>
    <row r="290" spans="1:6" x14ac:dyDescent="0.25">
      <c r="A290" s="20">
        <v>42401</v>
      </c>
      <c r="B290" s="1" t="s">
        <v>9</v>
      </c>
      <c r="C290" s="2">
        <v>0.4069444444444445</v>
      </c>
      <c r="D290" s="2">
        <v>0.4201388888888889</v>
      </c>
      <c r="E290" s="2">
        <f t="shared" si="10"/>
        <v>1.3194444444444398E-2</v>
      </c>
      <c r="F290" s="3">
        <f t="shared" si="12"/>
        <v>8.3333333333333037E-3</v>
      </c>
    </row>
    <row r="291" spans="1:6" x14ac:dyDescent="0.25">
      <c r="A291" s="20">
        <v>42401</v>
      </c>
      <c r="B291" s="1" t="s">
        <v>9</v>
      </c>
      <c r="C291" s="2">
        <v>0.6479166666666667</v>
      </c>
      <c r="D291" s="2">
        <v>0.6694444444444444</v>
      </c>
      <c r="E291" s="2">
        <f t="shared" si="10"/>
        <v>2.1527777777777701E-2</v>
      </c>
      <c r="F291" s="3">
        <f t="shared" si="12"/>
        <v>9.0277777777778567E-3</v>
      </c>
    </row>
    <row r="292" spans="1:6" x14ac:dyDescent="0.25">
      <c r="A292" s="20">
        <v>42401</v>
      </c>
      <c r="B292" s="1" t="s">
        <v>9</v>
      </c>
      <c r="C292" s="2">
        <v>0.66319444444444442</v>
      </c>
      <c r="D292" s="2">
        <v>0.69374999999999998</v>
      </c>
      <c r="E292" s="2">
        <f t="shared" si="10"/>
        <v>3.0555555555555558E-2</v>
      </c>
      <c r="F292" s="3">
        <f t="shared" si="12"/>
        <v>2.4305555555555525E-2</v>
      </c>
    </row>
    <row r="293" spans="1:6" x14ac:dyDescent="0.25">
      <c r="A293" s="20">
        <v>42401</v>
      </c>
      <c r="B293" s="1" t="s">
        <v>9</v>
      </c>
      <c r="C293" s="2">
        <v>0.33888888888888885</v>
      </c>
      <c r="D293" s="2">
        <v>0.34513888888888888</v>
      </c>
      <c r="E293" s="2">
        <f t="shared" si="10"/>
        <v>6.2500000000000333E-3</v>
      </c>
      <c r="F293" s="3">
        <f t="shared" si="12"/>
        <v>2.7777777777777735E-2</v>
      </c>
    </row>
    <row r="294" spans="1:6" x14ac:dyDescent="0.25">
      <c r="A294" s="20">
        <v>42401</v>
      </c>
      <c r="B294" s="1" t="s">
        <v>9</v>
      </c>
      <c r="C294" s="2">
        <v>0.69166666666666676</v>
      </c>
      <c r="D294" s="2">
        <v>0.72569444444444453</v>
      </c>
      <c r="E294" s="2">
        <f t="shared" si="10"/>
        <v>3.4027777777777768E-2</v>
      </c>
      <c r="F294" s="3">
        <f t="shared" si="12"/>
        <v>2.430555555555558E-2</v>
      </c>
    </row>
    <row r="295" spans="1:6" x14ac:dyDescent="0.25">
      <c r="A295" s="20">
        <v>42401</v>
      </c>
      <c r="B295" s="1" t="s">
        <v>9</v>
      </c>
      <c r="C295" s="2">
        <v>0.34722222222222227</v>
      </c>
      <c r="D295" s="2">
        <v>0.35694444444444445</v>
      </c>
      <c r="E295" s="2">
        <f t="shared" si="10"/>
        <v>9.7222222222221877E-3</v>
      </c>
      <c r="F295" s="3">
        <f t="shared" si="12"/>
        <v>1.8750000000000044E-2</v>
      </c>
    </row>
    <row r="296" spans="1:6" x14ac:dyDescent="0.25">
      <c r="A296" s="20">
        <v>42401</v>
      </c>
      <c r="B296" s="1" t="s">
        <v>9</v>
      </c>
      <c r="C296" s="2">
        <v>0.74375000000000002</v>
      </c>
      <c r="D296" s="2">
        <v>0.77222222222222225</v>
      </c>
      <c r="E296" s="2">
        <f t="shared" si="10"/>
        <v>2.8472222222222232E-2</v>
      </c>
      <c r="F296" s="3">
        <f t="shared" si="12"/>
        <v>2.2916666666666696E-2</v>
      </c>
    </row>
    <row r="297" spans="1:6" x14ac:dyDescent="0.25">
      <c r="A297" s="20">
        <v>42401</v>
      </c>
      <c r="B297" s="1" t="s">
        <v>9</v>
      </c>
      <c r="C297" s="2">
        <v>0.41875000000000001</v>
      </c>
      <c r="D297" s="2">
        <v>0.42430555555555555</v>
      </c>
      <c r="E297" s="2">
        <f t="shared" si="10"/>
        <v>5.5555555555555358E-3</v>
      </c>
      <c r="F297" s="3">
        <f t="shared" si="12"/>
        <v>2.9861111111111116E-2</v>
      </c>
    </row>
    <row r="298" spans="1:6" x14ac:dyDescent="0.25">
      <c r="A298" s="20">
        <v>42401</v>
      </c>
      <c r="B298" s="1" t="s">
        <v>9</v>
      </c>
      <c r="C298" s="2">
        <v>0.58888888888888891</v>
      </c>
      <c r="D298" s="2">
        <v>0.62430555555555556</v>
      </c>
      <c r="E298" s="2">
        <f t="shared" si="10"/>
        <v>3.5416666666666652E-2</v>
      </c>
      <c r="F298" s="3">
        <f t="shared" si="12"/>
        <v>2.2222222222222254E-2</v>
      </c>
    </row>
    <row r="299" spans="1:6" x14ac:dyDescent="0.25">
      <c r="A299" s="20">
        <v>42401</v>
      </c>
      <c r="B299" s="1" t="s">
        <v>9</v>
      </c>
      <c r="C299" s="2">
        <v>0.92361111111111116</v>
      </c>
      <c r="D299" s="2">
        <v>0.93680555555555556</v>
      </c>
      <c r="E299" s="2">
        <f t="shared" si="10"/>
        <v>1.3194444444444398E-2</v>
      </c>
      <c r="F299" s="3">
        <f t="shared" si="12"/>
        <v>2.0138888888889039E-2</v>
      </c>
    </row>
    <row r="300" spans="1:6" x14ac:dyDescent="0.25">
      <c r="A300" s="20">
        <v>42401</v>
      </c>
      <c r="B300" s="1" t="s">
        <v>9</v>
      </c>
      <c r="C300" s="2">
        <v>0.80555555555555547</v>
      </c>
      <c r="D300" s="2">
        <v>0.83888888888888891</v>
      </c>
      <c r="E300" s="2">
        <f t="shared" si="10"/>
        <v>3.3333333333333437E-2</v>
      </c>
      <c r="F300" s="3">
        <f t="shared" si="12"/>
        <v>1.7361111111111271E-2</v>
      </c>
    </row>
    <row r="301" spans="1:6" x14ac:dyDescent="0.25">
      <c r="A301" s="20">
        <v>42401</v>
      </c>
      <c r="B301" s="1" t="s">
        <v>9</v>
      </c>
      <c r="C301" s="2">
        <v>0.64722222222222225</v>
      </c>
      <c r="D301" s="2">
        <v>0.66319444444444442</v>
      </c>
      <c r="E301" s="2">
        <f t="shared" si="10"/>
        <v>1.5972222222222165E-2</v>
      </c>
      <c r="F301" s="3">
        <f t="shared" si="12"/>
        <v>3.8888888888888973E-2</v>
      </c>
    </row>
    <row r="302" spans="1:6" x14ac:dyDescent="0.25">
      <c r="A302" s="20">
        <v>42401</v>
      </c>
      <c r="B302" s="1" t="s">
        <v>9</v>
      </c>
      <c r="C302" s="2">
        <v>0.73263888888888884</v>
      </c>
      <c r="D302" s="2">
        <v>0.78749999999999998</v>
      </c>
      <c r="E302" s="2">
        <f t="shared" si="10"/>
        <v>5.4861111111111138E-2</v>
      </c>
      <c r="F302" s="3">
        <f t="shared" si="12"/>
        <v>2.5694444444444464E-2</v>
      </c>
    </row>
    <row r="303" spans="1:6" x14ac:dyDescent="0.25">
      <c r="A303" s="20">
        <v>42401</v>
      </c>
      <c r="B303" s="1" t="s">
        <v>9</v>
      </c>
      <c r="C303" s="2">
        <v>0.8652777777777777</v>
      </c>
      <c r="D303" s="2">
        <v>0.89444444444444438</v>
      </c>
      <c r="E303" s="2">
        <f t="shared" si="10"/>
        <v>2.9166666666666674E-2</v>
      </c>
      <c r="F303" s="3">
        <f t="shared" si="12"/>
        <v>2.1527777777777923E-2</v>
      </c>
    </row>
    <row r="304" spans="1:6" x14ac:dyDescent="0.25">
      <c r="A304" s="20">
        <v>42401</v>
      </c>
      <c r="B304" s="1" t="s">
        <v>9</v>
      </c>
      <c r="C304" s="2">
        <v>0.98055555555555562</v>
      </c>
      <c r="D304" s="2">
        <v>0.98819444444444438</v>
      </c>
      <c r="E304" s="2">
        <f t="shared" si="10"/>
        <v>7.6388888888887507E-3</v>
      </c>
      <c r="F304" s="3">
        <f t="shared" si="12"/>
        <v>9.7222222222223542E-3</v>
      </c>
    </row>
    <row r="305" spans="1:6" x14ac:dyDescent="0.25">
      <c r="A305" s="20">
        <v>42401</v>
      </c>
      <c r="B305" s="1" t="s">
        <v>9</v>
      </c>
      <c r="C305" s="2">
        <v>0.40486111111111112</v>
      </c>
      <c r="D305" s="2">
        <v>0.42222222222222222</v>
      </c>
      <c r="E305" s="2">
        <f t="shared" si="10"/>
        <v>1.7361111111111105E-2</v>
      </c>
      <c r="F305" s="3">
        <f t="shared" si="12"/>
        <v>6.2499999999999223E-3</v>
      </c>
    </row>
    <row r="306" spans="1:6" x14ac:dyDescent="0.25">
      <c r="A306" s="20">
        <v>42401</v>
      </c>
      <c r="B306" s="1" t="s">
        <v>9</v>
      </c>
      <c r="C306" s="2">
        <v>0.66249999999999998</v>
      </c>
      <c r="D306" s="2">
        <v>0.67361111111111116</v>
      </c>
      <c r="E306" s="2">
        <f t="shared" si="10"/>
        <v>1.1111111111111183E-2</v>
      </c>
      <c r="F306" s="3">
        <f t="shared" si="12"/>
        <v>1.0416666666666741E-2</v>
      </c>
    </row>
    <row r="307" spans="1:6" x14ac:dyDescent="0.25">
      <c r="A307" s="20">
        <v>42401</v>
      </c>
      <c r="B307" s="1" t="s">
        <v>9</v>
      </c>
      <c r="C307" s="2">
        <v>0.71180555555555547</v>
      </c>
      <c r="D307" s="2">
        <v>0.73333333333333339</v>
      </c>
      <c r="E307" s="2">
        <f t="shared" si="10"/>
        <v>2.1527777777777923E-2</v>
      </c>
      <c r="F307" s="3">
        <f t="shared" si="12"/>
        <v>2.083333333333548E-3</v>
      </c>
    </row>
    <row r="308" spans="1:6" x14ac:dyDescent="0.25">
      <c r="A308" s="20">
        <v>42401</v>
      </c>
      <c r="B308" s="1" t="s">
        <v>9</v>
      </c>
      <c r="C308" s="2">
        <v>0.82430555555555562</v>
      </c>
      <c r="D308" s="2">
        <v>0.84375</v>
      </c>
      <c r="E308" s="2">
        <f t="shared" si="10"/>
        <v>1.9444444444444375E-2</v>
      </c>
      <c r="F308" s="3">
        <f t="shared" si="12"/>
        <v>7.6388888888889728E-3</v>
      </c>
    </row>
    <row r="309" spans="1:6" x14ac:dyDescent="0.25">
      <c r="A309" s="20">
        <v>42401</v>
      </c>
      <c r="B309" s="1" t="s">
        <v>9</v>
      </c>
      <c r="C309" s="2">
        <v>0.87638888888888899</v>
      </c>
      <c r="D309" s="2">
        <v>0.8881944444444444</v>
      </c>
      <c r="E309" s="2">
        <f t="shared" si="10"/>
        <v>1.1805555555555403E-2</v>
      </c>
      <c r="F309" s="3">
        <f t="shared" si="12"/>
        <v>1.5265566588595902E-16</v>
      </c>
    </row>
    <row r="310" spans="1:6" x14ac:dyDescent="0.25">
      <c r="A310" s="20">
        <v>42401</v>
      </c>
      <c r="B310" s="1" t="s">
        <v>9</v>
      </c>
      <c r="C310" s="2">
        <v>5.4166666666666669E-2</v>
      </c>
      <c r="D310" s="2">
        <v>6.5972222222222224E-2</v>
      </c>
      <c r="E310" s="2">
        <f t="shared" si="10"/>
        <v>1.1805555555555555E-2</v>
      </c>
      <c r="F310" s="3">
        <f t="shared" si="12"/>
        <v>2.4305555555555594E-2</v>
      </c>
    </row>
    <row r="311" spans="1:6" x14ac:dyDescent="0.25">
      <c r="A311" s="20">
        <v>42401</v>
      </c>
      <c r="B311" s="1" t="s">
        <v>9</v>
      </c>
      <c r="C311" s="2">
        <v>0.33888888888888885</v>
      </c>
      <c r="D311" s="2">
        <v>0.375</v>
      </c>
      <c r="E311" s="2">
        <f t="shared" si="10"/>
        <v>3.6111111111111149E-2</v>
      </c>
      <c r="F311" s="3">
        <f t="shared" si="12"/>
        <v>2.222222222222231E-2</v>
      </c>
    </row>
    <row r="312" spans="1:6" x14ac:dyDescent="0.25">
      <c r="A312" s="20">
        <v>42401</v>
      </c>
      <c r="B312" s="1" t="s">
        <v>9</v>
      </c>
      <c r="C312" s="2">
        <v>0.4381944444444445</v>
      </c>
      <c r="D312" s="2">
        <v>0.45208333333333334</v>
      </c>
      <c r="E312" s="2">
        <f t="shared" si="10"/>
        <v>1.388888888888884E-2</v>
      </c>
      <c r="F312" s="3">
        <f t="shared" si="12"/>
        <v>6.9444444444444198E-4</v>
      </c>
    </row>
    <row r="313" spans="1:6" x14ac:dyDescent="0.25">
      <c r="A313" s="20">
        <v>42401</v>
      </c>
      <c r="B313" s="1" t="s">
        <v>9</v>
      </c>
      <c r="C313" s="2">
        <v>0.66875000000000007</v>
      </c>
      <c r="D313" s="2">
        <v>0.68194444444444446</v>
      </c>
      <c r="E313" s="2">
        <f t="shared" si="10"/>
        <v>1.3194444444444398E-2</v>
      </c>
      <c r="F313" s="3">
        <f t="shared" si="12"/>
        <v>0</v>
      </c>
    </row>
    <row r="314" spans="1:6" x14ac:dyDescent="0.25">
      <c r="A314" s="20">
        <v>42401</v>
      </c>
      <c r="B314" s="1" t="s">
        <v>9</v>
      </c>
      <c r="C314" s="2">
        <v>0.68194444444444446</v>
      </c>
      <c r="D314" s="2">
        <v>0.69513888888888886</v>
      </c>
      <c r="E314" s="2">
        <f t="shared" si="10"/>
        <v>1.3194444444444398E-2</v>
      </c>
      <c r="F314" s="3">
        <f t="shared" si="12"/>
        <v>1.388888888888884E-3</v>
      </c>
    </row>
    <row r="315" spans="1:6" x14ac:dyDescent="0.25">
      <c r="A315" s="20">
        <v>42401</v>
      </c>
      <c r="B315" s="1" t="s">
        <v>9</v>
      </c>
      <c r="C315" s="2">
        <v>0.90069444444444446</v>
      </c>
      <c r="D315" s="2">
        <v>0.91249999999999998</v>
      </c>
      <c r="E315" s="2">
        <f t="shared" si="10"/>
        <v>1.1805555555555514E-2</v>
      </c>
      <c r="F315" s="3">
        <f t="shared" si="12"/>
        <v>0</v>
      </c>
    </row>
    <row r="316" spans="1:6" x14ac:dyDescent="0.25">
      <c r="A316" s="20">
        <v>42401</v>
      </c>
      <c r="B316" s="1" t="s">
        <v>9</v>
      </c>
      <c r="C316" s="2">
        <v>0.90069444444444446</v>
      </c>
      <c r="D316" s="2">
        <v>0.91249999999999998</v>
      </c>
      <c r="E316" s="2">
        <f t="shared" si="10"/>
        <v>1.1805555555555514E-2</v>
      </c>
      <c r="F316" s="3">
        <f t="shared" si="12"/>
        <v>4.6527777777777724E-2</v>
      </c>
    </row>
    <row r="317" spans="1:6" x14ac:dyDescent="0.25">
      <c r="A317" s="20">
        <v>42401</v>
      </c>
      <c r="B317" s="1" t="s">
        <v>9</v>
      </c>
      <c r="C317" s="2">
        <v>0.85833333333333339</v>
      </c>
      <c r="D317" s="2">
        <v>0.91666666666666663</v>
      </c>
      <c r="E317" s="2">
        <f t="shared" si="10"/>
        <v>5.8333333333333237E-2</v>
      </c>
      <c r="F317" s="3">
        <f t="shared" si="12"/>
        <v>5.4166666666666585E-2</v>
      </c>
    </row>
    <row r="318" spans="1:6" x14ac:dyDescent="0.25">
      <c r="A318" s="20">
        <v>42401</v>
      </c>
      <c r="B318" s="1" t="s">
        <v>9</v>
      </c>
      <c r="C318" s="2">
        <v>0.4513888888888889</v>
      </c>
      <c r="D318" s="2">
        <v>0.45555555555555555</v>
      </c>
      <c r="E318" s="2">
        <f t="shared" si="10"/>
        <v>4.1666666666666519E-3</v>
      </c>
      <c r="F318" s="3">
        <f t="shared" si="12"/>
        <v>1.9444444444444431E-2</v>
      </c>
    </row>
    <row r="319" spans="1:6" x14ac:dyDescent="0.25">
      <c r="A319" s="20">
        <v>42401</v>
      </c>
      <c r="B319" s="1" t="s">
        <v>9</v>
      </c>
      <c r="C319" s="2">
        <v>0.47500000000000003</v>
      </c>
      <c r="D319" s="2">
        <v>0.49861111111111112</v>
      </c>
      <c r="E319" s="2">
        <f t="shared" si="10"/>
        <v>2.3611111111111083E-2</v>
      </c>
      <c r="F319" s="3">
        <f t="shared" si="12"/>
        <v>6.9444444444444753E-3</v>
      </c>
    </row>
    <row r="320" spans="1:6" x14ac:dyDescent="0.25">
      <c r="A320" s="20">
        <v>42401</v>
      </c>
      <c r="B320" s="1" t="s">
        <v>9</v>
      </c>
      <c r="C320" s="2">
        <v>0.57291666666666663</v>
      </c>
      <c r="D320" s="2">
        <v>0.60347222222222219</v>
      </c>
      <c r="E320" s="2">
        <f t="shared" si="10"/>
        <v>3.0555555555555558E-2</v>
      </c>
      <c r="F320" s="3">
        <f t="shared" si="12"/>
        <v>2.7777777777777679E-2</v>
      </c>
    </row>
    <row r="321" spans="1:6" x14ac:dyDescent="0.25">
      <c r="A321" s="20">
        <v>42401</v>
      </c>
      <c r="B321" s="1" t="s">
        <v>9</v>
      </c>
      <c r="C321" s="2">
        <v>0.67569444444444438</v>
      </c>
      <c r="D321" s="2">
        <v>0.67847222222222225</v>
      </c>
      <c r="E321" s="2">
        <f t="shared" ref="E321:E384" si="13">D321-C321</f>
        <v>2.7777777777778789E-3</v>
      </c>
      <c r="F321" s="3">
        <f t="shared" si="12"/>
        <v>4.1666666666665964E-3</v>
      </c>
    </row>
    <row r="322" spans="1:6" x14ac:dyDescent="0.25">
      <c r="A322" s="20">
        <v>42401</v>
      </c>
      <c r="B322" s="1" t="s">
        <v>9</v>
      </c>
      <c r="C322" s="2">
        <v>0.28541666666666665</v>
      </c>
      <c r="D322" s="2">
        <v>0.29236111111111113</v>
      </c>
      <c r="E322" s="2">
        <f t="shared" si="13"/>
        <v>6.9444444444444753E-3</v>
      </c>
      <c r="F322" s="3">
        <f t="shared" si="12"/>
        <v>4.0972222222222188E-2</v>
      </c>
    </row>
    <row r="323" spans="1:6" x14ac:dyDescent="0.25">
      <c r="A323" s="20">
        <v>42401</v>
      </c>
      <c r="B323" s="1" t="s">
        <v>9</v>
      </c>
      <c r="C323" s="2">
        <v>0.47986111111111113</v>
      </c>
      <c r="D323" s="2">
        <v>0.52777777777777779</v>
      </c>
      <c r="E323" s="2">
        <f t="shared" si="13"/>
        <v>4.7916666666666663E-2</v>
      </c>
      <c r="F323" s="3">
        <f t="shared" si="12"/>
        <v>3.4027777777777712E-2</v>
      </c>
    </row>
    <row r="324" spans="1:6" x14ac:dyDescent="0.25">
      <c r="A324" s="20">
        <v>42401</v>
      </c>
      <c r="B324" s="1" t="s">
        <v>9</v>
      </c>
      <c r="C324" s="2">
        <v>0.69861111111111107</v>
      </c>
      <c r="D324" s="2">
        <v>0.71250000000000002</v>
      </c>
      <c r="E324" s="2">
        <f t="shared" si="13"/>
        <v>1.3888888888888951E-2</v>
      </c>
      <c r="F324" s="3">
        <f t="shared" si="12"/>
        <v>3.4722222222222099E-3</v>
      </c>
    </row>
    <row r="325" spans="1:6" x14ac:dyDescent="0.25">
      <c r="A325" s="20">
        <v>42401</v>
      </c>
      <c r="B325" s="1" t="s">
        <v>9</v>
      </c>
      <c r="C325" s="2">
        <v>0.32847222222222222</v>
      </c>
      <c r="D325" s="2">
        <v>0.34583333333333338</v>
      </c>
      <c r="E325" s="2">
        <f t="shared" si="13"/>
        <v>1.736111111111116E-2</v>
      </c>
      <c r="F325" s="3"/>
    </row>
    <row r="326" spans="1:6" x14ac:dyDescent="0.25">
      <c r="A326" s="20">
        <v>42401</v>
      </c>
      <c r="B326" s="1" t="s">
        <v>10</v>
      </c>
      <c r="C326" s="2">
        <v>8.0555555555555561E-2</v>
      </c>
      <c r="D326" s="2">
        <v>0.10277777777777779</v>
      </c>
      <c r="E326" s="2">
        <f t="shared" si="13"/>
        <v>2.2222222222222227E-2</v>
      </c>
      <c r="F326" s="3">
        <f>ABS(E326-E327)</f>
        <v>2.0833333333333398E-3</v>
      </c>
    </row>
    <row r="327" spans="1:6" x14ac:dyDescent="0.25">
      <c r="A327" s="20">
        <v>42401</v>
      </c>
      <c r="B327" s="1" t="s">
        <v>10</v>
      </c>
      <c r="C327" s="2">
        <v>0.10416666666666667</v>
      </c>
      <c r="D327" s="2">
        <v>0.12430555555555556</v>
      </c>
      <c r="E327" s="2">
        <f t="shared" si="13"/>
        <v>2.0138888888888887E-2</v>
      </c>
      <c r="F327" s="3">
        <f t="shared" ref="F327:F390" si="14">ABS(E327-E328)</f>
        <v>2.0833333333333398E-3</v>
      </c>
    </row>
    <row r="328" spans="1:6" x14ac:dyDescent="0.25">
      <c r="A328" s="20">
        <v>42401</v>
      </c>
      <c r="B328" s="1" t="s">
        <v>10</v>
      </c>
      <c r="C328" s="2">
        <v>0.40069444444444446</v>
      </c>
      <c r="D328" s="2">
        <v>0.41875000000000001</v>
      </c>
      <c r="E328" s="2">
        <f t="shared" si="13"/>
        <v>1.8055555555555547E-2</v>
      </c>
      <c r="F328" s="3">
        <f t="shared" si="14"/>
        <v>1.388888888888884E-3</v>
      </c>
    </row>
    <row r="329" spans="1:6" x14ac:dyDescent="0.25">
      <c r="A329" s="20">
        <v>42401</v>
      </c>
      <c r="B329" s="1" t="s">
        <v>10</v>
      </c>
      <c r="C329" s="2">
        <v>0.40902777777777777</v>
      </c>
      <c r="D329" s="2">
        <v>0.42569444444444443</v>
      </c>
      <c r="E329" s="2">
        <f t="shared" si="13"/>
        <v>1.6666666666666663E-2</v>
      </c>
      <c r="F329" s="3">
        <f t="shared" si="14"/>
        <v>4.8611111111111494E-3</v>
      </c>
    </row>
    <row r="330" spans="1:6" x14ac:dyDescent="0.25">
      <c r="A330" s="20">
        <v>42401</v>
      </c>
      <c r="B330" s="1" t="s">
        <v>10</v>
      </c>
      <c r="C330" s="2">
        <v>0.4375</v>
      </c>
      <c r="D330" s="2">
        <v>0.45902777777777781</v>
      </c>
      <c r="E330" s="2">
        <f t="shared" si="13"/>
        <v>2.1527777777777812E-2</v>
      </c>
      <c r="F330" s="3">
        <f t="shared" si="14"/>
        <v>2.7777777777778234E-3</v>
      </c>
    </row>
    <row r="331" spans="1:6" x14ac:dyDescent="0.25">
      <c r="A331" s="20">
        <v>42401</v>
      </c>
      <c r="B331" s="1" t="s">
        <v>10</v>
      </c>
      <c r="C331" s="2">
        <v>0.45694444444444443</v>
      </c>
      <c r="D331" s="2">
        <v>0.47569444444444442</v>
      </c>
      <c r="E331" s="2">
        <f t="shared" si="13"/>
        <v>1.8749999999999989E-2</v>
      </c>
      <c r="F331" s="3">
        <f t="shared" si="14"/>
        <v>5.5555555555556468E-3</v>
      </c>
    </row>
    <row r="332" spans="1:6" x14ac:dyDescent="0.25">
      <c r="A332" s="20">
        <v>42401</v>
      </c>
      <c r="B332" s="1" t="s">
        <v>10</v>
      </c>
      <c r="C332" s="2">
        <v>0.48819444444444443</v>
      </c>
      <c r="D332" s="2">
        <v>0.51250000000000007</v>
      </c>
      <c r="E332" s="2">
        <f t="shared" si="13"/>
        <v>2.4305555555555636E-2</v>
      </c>
      <c r="F332" s="3">
        <f t="shared" si="14"/>
        <v>5.5555555555555913E-3</v>
      </c>
    </row>
    <row r="333" spans="1:6" x14ac:dyDescent="0.25">
      <c r="A333" s="20">
        <v>42401</v>
      </c>
      <c r="B333" s="1" t="s">
        <v>10</v>
      </c>
      <c r="C333" s="2">
        <v>0.60416666666666663</v>
      </c>
      <c r="D333" s="2">
        <v>0.62291666666666667</v>
      </c>
      <c r="E333" s="2">
        <f t="shared" si="13"/>
        <v>1.8750000000000044E-2</v>
      </c>
      <c r="F333" s="3">
        <f t="shared" si="14"/>
        <v>2.0833333333333259E-3</v>
      </c>
    </row>
    <row r="334" spans="1:6" x14ac:dyDescent="0.25">
      <c r="A334" s="20">
        <v>42401</v>
      </c>
      <c r="B334" s="1" t="s">
        <v>10</v>
      </c>
      <c r="C334" s="2">
        <v>0.76458333333333339</v>
      </c>
      <c r="D334" s="2">
        <v>0.78541666666666676</v>
      </c>
      <c r="E334" s="2">
        <f t="shared" si="13"/>
        <v>2.083333333333337E-2</v>
      </c>
      <c r="F334" s="3">
        <f t="shared" si="14"/>
        <v>1.3888888888887729E-3</v>
      </c>
    </row>
    <row r="335" spans="1:6" x14ac:dyDescent="0.25">
      <c r="A335" s="20">
        <v>42401</v>
      </c>
      <c r="B335" s="1" t="s">
        <v>10</v>
      </c>
      <c r="C335" s="2">
        <v>0.74305555555555547</v>
      </c>
      <c r="D335" s="2">
        <v>0.76250000000000007</v>
      </c>
      <c r="E335" s="2">
        <f t="shared" si="13"/>
        <v>1.9444444444444597E-2</v>
      </c>
      <c r="F335" s="3">
        <f t="shared" si="14"/>
        <v>3.4722222222223209E-3</v>
      </c>
    </row>
    <row r="336" spans="1:6" x14ac:dyDescent="0.25">
      <c r="A336" s="20">
        <v>42401</v>
      </c>
      <c r="B336" s="1" t="s">
        <v>10</v>
      </c>
      <c r="C336" s="2">
        <v>0.75208333333333333</v>
      </c>
      <c r="D336" s="2">
        <v>0.7680555555555556</v>
      </c>
      <c r="E336" s="2">
        <f t="shared" si="13"/>
        <v>1.5972222222222276E-2</v>
      </c>
      <c r="F336" s="3">
        <f t="shared" si="14"/>
        <v>1.5277777777777724E-2</v>
      </c>
    </row>
    <row r="337" spans="1:6" x14ac:dyDescent="0.25">
      <c r="A337" s="20">
        <v>42401</v>
      </c>
      <c r="B337" s="1" t="s">
        <v>10</v>
      </c>
      <c r="C337" s="2">
        <v>0.85763888888888884</v>
      </c>
      <c r="D337" s="2">
        <v>0.88888888888888884</v>
      </c>
      <c r="E337" s="2">
        <f t="shared" si="13"/>
        <v>3.125E-2</v>
      </c>
      <c r="F337" s="3">
        <f t="shared" si="14"/>
        <v>3.4722222222223209E-3</v>
      </c>
    </row>
    <row r="338" spans="1:6" x14ac:dyDescent="0.25">
      <c r="A338" s="20">
        <v>42401</v>
      </c>
      <c r="B338" s="1" t="s">
        <v>10</v>
      </c>
      <c r="C338" s="2">
        <v>0.94652777777777775</v>
      </c>
      <c r="D338" s="2">
        <v>0.98125000000000007</v>
      </c>
      <c r="E338" s="2">
        <f t="shared" si="13"/>
        <v>3.4722222222222321E-2</v>
      </c>
      <c r="F338" s="3">
        <f t="shared" si="14"/>
        <v>2.1527777777777896E-2</v>
      </c>
    </row>
    <row r="339" spans="1:6" x14ac:dyDescent="0.25">
      <c r="A339" s="20">
        <v>42401</v>
      </c>
      <c r="B339" s="1" t="s">
        <v>10</v>
      </c>
      <c r="C339" s="2">
        <v>8.7500000000000008E-2</v>
      </c>
      <c r="D339" s="2">
        <v>0.10069444444444443</v>
      </c>
      <c r="E339" s="2">
        <f t="shared" si="13"/>
        <v>1.3194444444444425E-2</v>
      </c>
      <c r="F339" s="3">
        <f t="shared" si="14"/>
        <v>4.1666666666666796E-3</v>
      </c>
    </row>
    <row r="340" spans="1:6" x14ac:dyDescent="0.25">
      <c r="A340" s="20">
        <v>42401</v>
      </c>
      <c r="B340" s="1" t="s">
        <v>10</v>
      </c>
      <c r="C340" s="2">
        <v>0.21249999999999999</v>
      </c>
      <c r="D340" s="2">
        <v>0.2298611111111111</v>
      </c>
      <c r="E340" s="2">
        <f t="shared" si="13"/>
        <v>1.7361111111111105E-2</v>
      </c>
      <c r="F340" s="3">
        <f t="shared" si="14"/>
        <v>1.3888888888888562E-3</v>
      </c>
    </row>
    <row r="341" spans="1:6" x14ac:dyDescent="0.25">
      <c r="A341" s="20">
        <v>42401</v>
      </c>
      <c r="B341" s="1" t="s">
        <v>10</v>
      </c>
      <c r="C341" s="2">
        <v>0.22013888888888888</v>
      </c>
      <c r="D341" s="2">
        <v>0.23611111111111113</v>
      </c>
      <c r="E341" s="2">
        <f t="shared" si="13"/>
        <v>1.5972222222222249E-2</v>
      </c>
      <c r="F341" s="3">
        <f t="shared" si="14"/>
        <v>5.5555555555555081E-3</v>
      </c>
    </row>
    <row r="342" spans="1:6" x14ac:dyDescent="0.25">
      <c r="A342" s="20">
        <v>42401</v>
      </c>
      <c r="B342" s="1" t="s">
        <v>10</v>
      </c>
      <c r="C342" s="2">
        <v>0.3888888888888889</v>
      </c>
      <c r="D342" s="2">
        <v>0.41041666666666665</v>
      </c>
      <c r="E342" s="2">
        <f t="shared" si="13"/>
        <v>2.1527777777777757E-2</v>
      </c>
      <c r="F342" s="3">
        <f t="shared" si="14"/>
        <v>2.7777777777778234E-3</v>
      </c>
    </row>
    <row r="343" spans="1:6" x14ac:dyDescent="0.25">
      <c r="A343" s="20">
        <v>42401</v>
      </c>
      <c r="B343" s="1" t="s">
        <v>10</v>
      </c>
      <c r="C343" s="2">
        <v>0.4152777777777778</v>
      </c>
      <c r="D343" s="2">
        <v>0.43958333333333338</v>
      </c>
      <c r="E343" s="2">
        <f t="shared" si="13"/>
        <v>2.430555555555558E-2</v>
      </c>
      <c r="F343" s="3">
        <f t="shared" si="14"/>
        <v>5.5555555555555358E-3</v>
      </c>
    </row>
    <row r="344" spans="1:6" x14ac:dyDescent="0.25">
      <c r="A344" s="20">
        <v>42401</v>
      </c>
      <c r="B344" s="1" t="s">
        <v>10</v>
      </c>
      <c r="C344" s="2">
        <v>0.6333333333333333</v>
      </c>
      <c r="D344" s="2">
        <v>0.66319444444444442</v>
      </c>
      <c r="E344" s="2">
        <f t="shared" si="13"/>
        <v>2.9861111111111116E-2</v>
      </c>
      <c r="F344" s="3">
        <f t="shared" si="14"/>
        <v>9.7222222222221877E-3</v>
      </c>
    </row>
    <row r="345" spans="1:6" x14ac:dyDescent="0.25">
      <c r="A345" s="20">
        <v>42401</v>
      </c>
      <c r="B345" s="1" t="s">
        <v>10</v>
      </c>
      <c r="C345" s="2">
        <v>0.6875</v>
      </c>
      <c r="D345" s="2">
        <v>0.70763888888888893</v>
      </c>
      <c r="E345" s="2">
        <f t="shared" si="13"/>
        <v>2.0138888888888928E-2</v>
      </c>
      <c r="F345" s="3">
        <f t="shared" si="14"/>
        <v>6.9444444444444198E-4</v>
      </c>
    </row>
    <row r="346" spans="1:6" x14ac:dyDescent="0.25">
      <c r="A346" s="20">
        <v>42401</v>
      </c>
      <c r="B346" s="1" t="s">
        <v>10</v>
      </c>
      <c r="C346" s="2">
        <v>0.68819444444444444</v>
      </c>
      <c r="D346" s="2">
        <v>0.70763888888888893</v>
      </c>
      <c r="E346" s="2">
        <f t="shared" si="13"/>
        <v>1.9444444444444486E-2</v>
      </c>
      <c r="F346" s="3">
        <f t="shared" si="14"/>
        <v>2.083333333333548E-3</v>
      </c>
    </row>
    <row r="347" spans="1:6" x14ac:dyDescent="0.25">
      <c r="A347" s="20">
        <v>42401</v>
      </c>
      <c r="B347" s="1" t="s">
        <v>10</v>
      </c>
      <c r="C347" s="2">
        <v>0.78263888888888899</v>
      </c>
      <c r="D347" s="2">
        <v>0.79999999999999993</v>
      </c>
      <c r="E347" s="2">
        <f t="shared" si="13"/>
        <v>1.7361111111110938E-2</v>
      </c>
      <c r="F347" s="3">
        <f t="shared" si="14"/>
        <v>6.9444444444461892E-4</v>
      </c>
    </row>
    <row r="348" spans="1:6" x14ac:dyDescent="0.25">
      <c r="A348" s="20">
        <v>42401</v>
      </c>
      <c r="B348" s="1" t="s">
        <v>10</v>
      </c>
      <c r="C348" s="2">
        <v>1.8055555555555557E-2</v>
      </c>
      <c r="D348" s="2">
        <v>3.6111111111111115E-2</v>
      </c>
      <c r="E348" s="2">
        <f t="shared" si="13"/>
        <v>1.8055555555555557E-2</v>
      </c>
      <c r="F348" s="3">
        <f t="shared" si="14"/>
        <v>4.8611111111111042E-3</v>
      </c>
    </row>
    <row r="349" spans="1:6" x14ac:dyDescent="0.25">
      <c r="A349" s="20">
        <v>42401</v>
      </c>
      <c r="B349" s="1" t="s">
        <v>10</v>
      </c>
      <c r="C349" s="2">
        <v>0.3263888888888889</v>
      </c>
      <c r="D349" s="2">
        <v>0.33958333333333335</v>
      </c>
      <c r="E349" s="2">
        <f t="shared" si="13"/>
        <v>1.3194444444444453E-2</v>
      </c>
      <c r="F349" s="3">
        <f t="shared" si="14"/>
        <v>6.9444444444444198E-3</v>
      </c>
    </row>
    <row r="350" spans="1:6" x14ac:dyDescent="0.25">
      <c r="A350" s="20">
        <v>42401</v>
      </c>
      <c r="B350" s="1" t="s">
        <v>10</v>
      </c>
      <c r="C350" s="2">
        <v>0.46597222222222223</v>
      </c>
      <c r="D350" s="2">
        <v>0.4861111111111111</v>
      </c>
      <c r="E350" s="2">
        <f t="shared" si="13"/>
        <v>2.0138888888888873E-2</v>
      </c>
      <c r="F350" s="3">
        <f t="shared" si="14"/>
        <v>3.4722222222222099E-3</v>
      </c>
    </row>
    <row r="351" spans="1:6" x14ac:dyDescent="0.25">
      <c r="A351" s="20">
        <v>42401</v>
      </c>
      <c r="B351" s="1" t="s">
        <v>10</v>
      </c>
      <c r="C351" s="2">
        <v>0.46736111111111112</v>
      </c>
      <c r="D351" s="2">
        <v>0.4909722222222222</v>
      </c>
      <c r="E351" s="2">
        <f t="shared" si="13"/>
        <v>2.3611111111111083E-2</v>
      </c>
      <c r="F351" s="3">
        <f t="shared" si="14"/>
        <v>7.6388888888886952E-3</v>
      </c>
    </row>
    <row r="352" spans="1:6" x14ac:dyDescent="0.25">
      <c r="A352" s="20">
        <v>42401</v>
      </c>
      <c r="B352" s="1" t="s">
        <v>10</v>
      </c>
      <c r="C352" s="2">
        <v>0.70694444444444438</v>
      </c>
      <c r="D352" s="2">
        <v>0.72291666666666676</v>
      </c>
      <c r="E352" s="2">
        <f t="shared" si="13"/>
        <v>1.5972222222222388E-2</v>
      </c>
      <c r="F352" s="3">
        <f t="shared" si="14"/>
        <v>1.3888888888886619E-3</v>
      </c>
    </row>
    <row r="353" spans="1:6" x14ac:dyDescent="0.25">
      <c r="A353" s="20">
        <v>42401</v>
      </c>
      <c r="B353" s="1" t="s">
        <v>10</v>
      </c>
      <c r="C353" s="2">
        <v>0.71805555555555556</v>
      </c>
      <c r="D353" s="2">
        <v>0.73541666666666661</v>
      </c>
      <c r="E353" s="2">
        <f t="shared" si="13"/>
        <v>1.7361111111111049E-2</v>
      </c>
      <c r="F353" s="3">
        <f t="shared" si="14"/>
        <v>6.2500000000000888E-3</v>
      </c>
    </row>
    <row r="354" spans="1:6" x14ac:dyDescent="0.25">
      <c r="A354" s="20">
        <v>42401</v>
      </c>
      <c r="B354" s="1" t="s">
        <v>10</v>
      </c>
      <c r="C354" s="2">
        <v>0.83680555555555547</v>
      </c>
      <c r="D354" s="2">
        <v>0.86041666666666661</v>
      </c>
      <c r="E354" s="2">
        <f t="shared" si="13"/>
        <v>2.3611111111111138E-2</v>
      </c>
      <c r="F354" s="3">
        <f t="shared" si="14"/>
        <v>4.8611111111112049E-3</v>
      </c>
    </row>
    <row r="355" spans="1:6" x14ac:dyDescent="0.25">
      <c r="A355" s="20">
        <v>42401</v>
      </c>
      <c r="B355" s="1" t="s">
        <v>10</v>
      </c>
      <c r="C355" s="2">
        <v>0.85555555555555562</v>
      </c>
      <c r="D355" s="2">
        <v>0.87430555555555556</v>
      </c>
      <c r="E355" s="2">
        <f t="shared" si="13"/>
        <v>1.8749999999999933E-2</v>
      </c>
      <c r="F355" s="3">
        <f t="shared" si="14"/>
        <v>6.94444444444553E-4</v>
      </c>
    </row>
    <row r="356" spans="1:6" x14ac:dyDescent="0.25">
      <c r="A356" s="20">
        <v>42401</v>
      </c>
      <c r="B356" s="1" t="s">
        <v>10</v>
      </c>
      <c r="C356" s="2">
        <v>0.90763888888888899</v>
      </c>
      <c r="D356" s="2">
        <v>0.92569444444444438</v>
      </c>
      <c r="E356" s="2">
        <f t="shared" si="13"/>
        <v>1.805555555555538E-2</v>
      </c>
      <c r="F356" s="3">
        <f t="shared" si="14"/>
        <v>2.0833333333331525E-3</v>
      </c>
    </row>
    <row r="357" spans="1:6" x14ac:dyDescent="0.25">
      <c r="A357" s="20">
        <v>42401</v>
      </c>
      <c r="B357" s="1" t="s">
        <v>10</v>
      </c>
      <c r="C357" s="2">
        <v>3.4722222222222224E-2</v>
      </c>
      <c r="D357" s="2">
        <v>5.0694444444444452E-2</v>
      </c>
      <c r="E357" s="2">
        <f t="shared" si="13"/>
        <v>1.5972222222222228E-2</v>
      </c>
      <c r="F357" s="3">
        <f t="shared" si="14"/>
        <v>6.9444444444437953E-4</v>
      </c>
    </row>
    <row r="358" spans="1:6" x14ac:dyDescent="0.25">
      <c r="A358" s="20">
        <v>42401</v>
      </c>
      <c r="B358" s="1" t="s">
        <v>10</v>
      </c>
      <c r="C358" s="2">
        <v>0.37847222222222227</v>
      </c>
      <c r="D358" s="2">
        <v>0.39513888888888887</v>
      </c>
      <c r="E358" s="2">
        <f t="shared" si="13"/>
        <v>1.6666666666666607E-2</v>
      </c>
      <c r="F358" s="3">
        <f t="shared" si="14"/>
        <v>6.9444444444449749E-4</v>
      </c>
    </row>
    <row r="359" spans="1:6" x14ac:dyDescent="0.25">
      <c r="A359" s="20">
        <v>42401</v>
      </c>
      <c r="B359" s="1" t="s">
        <v>10</v>
      </c>
      <c r="C359" s="2">
        <v>0.42152777777777778</v>
      </c>
      <c r="D359" s="2">
        <v>0.43888888888888888</v>
      </c>
      <c r="E359" s="2">
        <f t="shared" si="13"/>
        <v>1.7361111111111105E-2</v>
      </c>
      <c r="F359" s="3">
        <f t="shared" si="14"/>
        <v>2.7777777777778234E-3</v>
      </c>
    </row>
    <row r="360" spans="1:6" x14ac:dyDescent="0.25">
      <c r="A360" s="20">
        <v>42401</v>
      </c>
      <c r="B360" s="1" t="s">
        <v>10</v>
      </c>
      <c r="C360" s="2">
        <v>0.7368055555555556</v>
      </c>
      <c r="D360" s="2">
        <v>0.75694444444444453</v>
      </c>
      <c r="E360" s="2">
        <f t="shared" si="13"/>
        <v>2.0138888888888928E-2</v>
      </c>
      <c r="F360" s="3">
        <f t="shared" si="14"/>
        <v>6.9444444444444198E-4</v>
      </c>
    </row>
    <row r="361" spans="1:6" x14ac:dyDescent="0.25">
      <c r="A361" s="20">
        <v>42401</v>
      </c>
      <c r="B361" s="1" t="s">
        <v>10</v>
      </c>
      <c r="C361" s="2">
        <v>0.66527777777777775</v>
      </c>
      <c r="D361" s="2">
        <v>0.68472222222222223</v>
      </c>
      <c r="E361" s="2">
        <f t="shared" si="13"/>
        <v>1.9444444444444486E-2</v>
      </c>
      <c r="F361" s="3">
        <f t="shared" si="14"/>
        <v>2.7777777777778789E-3</v>
      </c>
    </row>
    <row r="362" spans="1:6" x14ac:dyDescent="0.25">
      <c r="A362" s="20">
        <v>42401</v>
      </c>
      <c r="B362" s="1" t="s">
        <v>10</v>
      </c>
      <c r="C362" s="2">
        <v>0.81458333333333333</v>
      </c>
      <c r="D362" s="2">
        <v>0.83124999999999993</v>
      </c>
      <c r="E362" s="2">
        <f t="shared" si="13"/>
        <v>1.6666666666666607E-2</v>
      </c>
      <c r="F362" s="3">
        <f t="shared" si="14"/>
        <v>2.7777777777778234E-3</v>
      </c>
    </row>
    <row r="363" spans="1:6" x14ac:dyDescent="0.25">
      <c r="A363" s="20">
        <v>42401</v>
      </c>
      <c r="B363" s="1" t="s">
        <v>10</v>
      </c>
      <c r="C363" s="2">
        <v>0.34791666666666665</v>
      </c>
      <c r="D363" s="2">
        <v>0.36736111111111108</v>
      </c>
      <c r="E363" s="2">
        <f t="shared" si="13"/>
        <v>1.9444444444444431E-2</v>
      </c>
      <c r="F363" s="3">
        <f t="shared" si="14"/>
        <v>9.0277777777778012E-3</v>
      </c>
    </row>
    <row r="364" spans="1:6" x14ac:dyDescent="0.25">
      <c r="A364" s="20">
        <v>42401</v>
      </c>
      <c r="B364" s="1" t="s">
        <v>10</v>
      </c>
      <c r="C364" s="2">
        <v>0.44097222222222227</v>
      </c>
      <c r="D364" s="2">
        <v>0.4513888888888889</v>
      </c>
      <c r="E364" s="2">
        <f t="shared" si="13"/>
        <v>1.041666666666663E-2</v>
      </c>
      <c r="F364" s="3">
        <f t="shared" si="14"/>
        <v>6.2500000000000888E-3</v>
      </c>
    </row>
    <row r="365" spans="1:6" x14ac:dyDescent="0.25">
      <c r="A365" s="20">
        <v>42401</v>
      </c>
      <c r="B365" s="1" t="s">
        <v>10</v>
      </c>
      <c r="C365" s="2">
        <v>0.54305555555555551</v>
      </c>
      <c r="D365" s="2">
        <v>0.55972222222222223</v>
      </c>
      <c r="E365" s="2">
        <f t="shared" si="13"/>
        <v>1.6666666666666718E-2</v>
      </c>
      <c r="F365" s="3">
        <f t="shared" si="14"/>
        <v>8.3333333333333037E-3</v>
      </c>
    </row>
    <row r="366" spans="1:6" x14ac:dyDescent="0.25">
      <c r="A366" s="20">
        <v>42401</v>
      </c>
      <c r="B366" s="1" t="s">
        <v>10</v>
      </c>
      <c r="C366" s="2">
        <v>0.57708333333333328</v>
      </c>
      <c r="D366" s="2">
        <v>0.6020833333333333</v>
      </c>
      <c r="E366" s="2">
        <f t="shared" si="13"/>
        <v>2.5000000000000022E-2</v>
      </c>
      <c r="F366" s="3">
        <f t="shared" si="14"/>
        <v>9.0277777777777457E-3</v>
      </c>
    </row>
    <row r="367" spans="1:6" x14ac:dyDescent="0.25">
      <c r="A367" s="20">
        <v>42401</v>
      </c>
      <c r="B367" s="1" t="s">
        <v>10</v>
      </c>
      <c r="C367" s="2">
        <v>0.62569444444444444</v>
      </c>
      <c r="D367" s="2">
        <v>0.64166666666666672</v>
      </c>
      <c r="E367" s="2">
        <f t="shared" si="13"/>
        <v>1.5972222222222276E-2</v>
      </c>
      <c r="F367" s="3">
        <f t="shared" si="14"/>
        <v>1.1805555555555514E-2</v>
      </c>
    </row>
    <row r="368" spans="1:6" x14ac:dyDescent="0.25">
      <c r="A368" s="20">
        <v>42401</v>
      </c>
      <c r="B368" s="1" t="s">
        <v>10</v>
      </c>
      <c r="C368" s="2">
        <v>0.67569444444444438</v>
      </c>
      <c r="D368" s="2">
        <v>0.70347222222222217</v>
      </c>
      <c r="E368" s="2">
        <f t="shared" si="13"/>
        <v>2.777777777777779E-2</v>
      </c>
      <c r="F368" s="3">
        <f t="shared" si="14"/>
        <v>1.1805555555555403E-2</v>
      </c>
    </row>
    <row r="369" spans="1:6" x14ac:dyDescent="0.25">
      <c r="A369" s="20">
        <v>42401</v>
      </c>
      <c r="B369" s="1" t="s">
        <v>10</v>
      </c>
      <c r="C369" s="2">
        <v>0.74861111111111101</v>
      </c>
      <c r="D369" s="2">
        <v>0.76458333333333339</v>
      </c>
      <c r="E369" s="2">
        <f t="shared" si="13"/>
        <v>1.5972222222222388E-2</v>
      </c>
      <c r="F369" s="3">
        <f t="shared" si="14"/>
        <v>1.1102230246251565E-16</v>
      </c>
    </row>
    <row r="370" spans="1:6" x14ac:dyDescent="0.25">
      <c r="A370" s="20">
        <v>42401</v>
      </c>
      <c r="B370" s="1" t="s">
        <v>10</v>
      </c>
      <c r="C370" s="2">
        <v>0.78055555555555556</v>
      </c>
      <c r="D370" s="2">
        <v>0.79652777777777783</v>
      </c>
      <c r="E370" s="2">
        <f t="shared" si="13"/>
        <v>1.5972222222222276E-2</v>
      </c>
      <c r="F370" s="3">
        <f t="shared" si="14"/>
        <v>1.388888888888884E-3</v>
      </c>
    </row>
    <row r="371" spans="1:6" x14ac:dyDescent="0.25">
      <c r="A371" s="20">
        <v>42401</v>
      </c>
      <c r="B371" s="1" t="s">
        <v>10</v>
      </c>
      <c r="C371" s="2">
        <v>0.82847222222222217</v>
      </c>
      <c r="D371" s="2">
        <v>0.84305555555555556</v>
      </c>
      <c r="E371" s="2">
        <f t="shared" si="13"/>
        <v>1.4583333333333393E-2</v>
      </c>
      <c r="F371" s="3">
        <f t="shared" si="14"/>
        <v>6.2499999999999223E-3</v>
      </c>
    </row>
    <row r="372" spans="1:6" x14ac:dyDescent="0.25">
      <c r="A372" s="20">
        <v>42401</v>
      </c>
      <c r="B372" s="1" t="s">
        <v>10</v>
      </c>
      <c r="C372" s="2">
        <v>0.25416666666666665</v>
      </c>
      <c r="D372" s="2">
        <v>0.27499999999999997</v>
      </c>
      <c r="E372" s="2">
        <f t="shared" si="13"/>
        <v>2.0833333333333315E-2</v>
      </c>
      <c r="F372" s="3">
        <f t="shared" si="14"/>
        <v>3.4722222222221544E-3</v>
      </c>
    </row>
    <row r="373" spans="1:6" x14ac:dyDescent="0.25">
      <c r="A373" s="20">
        <v>42401</v>
      </c>
      <c r="B373" s="1" t="s">
        <v>10</v>
      </c>
      <c r="C373" s="2">
        <v>0.81527777777777777</v>
      </c>
      <c r="D373" s="2">
        <v>0.83263888888888893</v>
      </c>
      <c r="E373" s="2">
        <f t="shared" si="13"/>
        <v>1.736111111111116E-2</v>
      </c>
      <c r="F373" s="3">
        <f t="shared" si="14"/>
        <v>8.3333333333335258E-3</v>
      </c>
    </row>
    <row r="374" spans="1:6" x14ac:dyDescent="0.25">
      <c r="A374" s="20">
        <v>42401</v>
      </c>
      <c r="B374" s="1" t="s">
        <v>10</v>
      </c>
      <c r="C374" s="2">
        <v>0.83333333333333337</v>
      </c>
      <c r="D374" s="2">
        <v>0.84236111111111101</v>
      </c>
      <c r="E374" s="2">
        <f t="shared" si="13"/>
        <v>9.0277777777776347E-3</v>
      </c>
      <c r="F374" s="3">
        <f t="shared" si="14"/>
        <v>6.2500000000001443E-3</v>
      </c>
    </row>
    <row r="375" spans="1:6" x14ac:dyDescent="0.25">
      <c r="A375" s="20">
        <v>42401</v>
      </c>
      <c r="B375" s="1" t="s">
        <v>10</v>
      </c>
      <c r="C375" s="2">
        <v>3.125E-2</v>
      </c>
      <c r="D375" s="2">
        <v>4.6527777777777779E-2</v>
      </c>
      <c r="E375" s="2">
        <f t="shared" si="13"/>
        <v>1.5277777777777779E-2</v>
      </c>
      <c r="F375" s="3">
        <f t="shared" si="14"/>
        <v>2.7777777777777679E-3</v>
      </c>
    </row>
    <row r="376" spans="1:6" x14ac:dyDescent="0.25">
      <c r="A376" s="20">
        <v>42401</v>
      </c>
      <c r="B376" s="1" t="s">
        <v>10</v>
      </c>
      <c r="C376" s="2">
        <v>0.14375000000000002</v>
      </c>
      <c r="D376" s="2">
        <v>0.16180555555555556</v>
      </c>
      <c r="E376" s="2">
        <f t="shared" si="13"/>
        <v>1.8055555555555547E-2</v>
      </c>
      <c r="F376" s="3">
        <f t="shared" si="14"/>
        <v>4.1666666666667629E-3</v>
      </c>
    </row>
    <row r="377" spans="1:6" x14ac:dyDescent="0.25">
      <c r="A377" s="20">
        <v>42401</v>
      </c>
      <c r="B377" s="1" t="s">
        <v>10</v>
      </c>
      <c r="C377" s="2">
        <v>0.48888888888888887</v>
      </c>
      <c r="D377" s="2">
        <v>0.51111111111111118</v>
      </c>
      <c r="E377" s="2">
        <f t="shared" si="13"/>
        <v>2.222222222222231E-2</v>
      </c>
      <c r="F377" s="3">
        <f t="shared" si="14"/>
        <v>6.9444444444444198E-4</v>
      </c>
    </row>
    <row r="378" spans="1:6" x14ac:dyDescent="0.25">
      <c r="A378" s="20">
        <v>42401</v>
      </c>
      <c r="B378" s="1" t="s">
        <v>10</v>
      </c>
      <c r="C378" s="2">
        <v>0.48958333333333331</v>
      </c>
      <c r="D378" s="2">
        <v>0.51111111111111118</v>
      </c>
      <c r="E378" s="2">
        <f t="shared" si="13"/>
        <v>2.1527777777777868E-2</v>
      </c>
      <c r="F378" s="3">
        <f t="shared" si="14"/>
        <v>4.8611111111112604E-3</v>
      </c>
    </row>
    <row r="379" spans="1:6" x14ac:dyDescent="0.25">
      <c r="A379" s="20">
        <v>42401</v>
      </c>
      <c r="B379" s="1" t="s">
        <v>10</v>
      </c>
      <c r="C379" s="2">
        <v>0.76250000000000007</v>
      </c>
      <c r="D379" s="2">
        <v>0.77916666666666667</v>
      </c>
      <c r="E379" s="2">
        <f t="shared" si="13"/>
        <v>1.6666666666666607E-2</v>
      </c>
      <c r="F379" s="3">
        <f t="shared" si="14"/>
        <v>6.9444444444444198E-4</v>
      </c>
    </row>
    <row r="380" spans="1:6" x14ac:dyDescent="0.25">
      <c r="A380" s="20">
        <v>42401</v>
      </c>
      <c r="B380" s="1" t="s">
        <v>10</v>
      </c>
      <c r="C380" s="2">
        <v>0.78819444444444453</v>
      </c>
      <c r="D380" s="2">
        <v>0.8041666666666667</v>
      </c>
      <c r="E380" s="2">
        <f t="shared" si="13"/>
        <v>1.5972222222222165E-2</v>
      </c>
      <c r="F380" s="3">
        <f t="shared" si="14"/>
        <v>3.4722222222222099E-3</v>
      </c>
    </row>
    <row r="381" spans="1:6" x14ac:dyDescent="0.25">
      <c r="A381" s="20">
        <v>42401</v>
      </c>
      <c r="B381" s="1" t="s">
        <v>10</v>
      </c>
      <c r="C381" s="2">
        <v>0.47986111111111113</v>
      </c>
      <c r="D381" s="2">
        <v>0.4993055555555555</v>
      </c>
      <c r="E381" s="2">
        <f t="shared" si="13"/>
        <v>1.9444444444444375E-2</v>
      </c>
      <c r="F381" s="3">
        <f t="shared" si="14"/>
        <v>2.7777777777776569E-3</v>
      </c>
    </row>
    <row r="382" spans="1:6" x14ac:dyDescent="0.25">
      <c r="A382" s="20">
        <v>42401</v>
      </c>
      <c r="B382" s="1" t="s">
        <v>10</v>
      </c>
      <c r="C382" s="2">
        <v>0.79027777777777775</v>
      </c>
      <c r="D382" s="2">
        <v>0.80694444444444446</v>
      </c>
      <c r="E382" s="2">
        <f t="shared" si="13"/>
        <v>1.6666666666666718E-2</v>
      </c>
      <c r="F382" s="3">
        <f t="shared" si="14"/>
        <v>4.1666666666667143E-3</v>
      </c>
    </row>
    <row r="383" spans="1:6" x14ac:dyDescent="0.25">
      <c r="A383" s="20">
        <v>42401</v>
      </c>
      <c r="B383" s="1" t="s">
        <v>10</v>
      </c>
      <c r="C383" s="2">
        <v>3.9583333333333331E-2</v>
      </c>
      <c r="D383" s="2">
        <v>5.2083333333333336E-2</v>
      </c>
      <c r="E383" s="2">
        <f t="shared" si="13"/>
        <v>1.2500000000000004E-2</v>
      </c>
      <c r="F383" s="3">
        <f t="shared" si="14"/>
        <v>1.3888888888888846E-2</v>
      </c>
    </row>
    <row r="384" spans="1:6" x14ac:dyDescent="0.25">
      <c r="A384" s="20">
        <v>42401</v>
      </c>
      <c r="B384" s="1" t="s">
        <v>10</v>
      </c>
      <c r="C384" s="2">
        <v>0.43958333333333338</v>
      </c>
      <c r="D384" s="2">
        <v>0.46597222222222223</v>
      </c>
      <c r="E384" s="2">
        <f t="shared" si="13"/>
        <v>2.6388888888888851E-2</v>
      </c>
      <c r="F384" s="3">
        <f t="shared" si="14"/>
        <v>2.7777777777777124E-3</v>
      </c>
    </row>
    <row r="385" spans="1:6" x14ac:dyDescent="0.25">
      <c r="A385" s="20">
        <v>42401</v>
      </c>
      <c r="B385" s="1" t="s">
        <v>10</v>
      </c>
      <c r="C385" s="2">
        <v>0.52430555555555558</v>
      </c>
      <c r="D385" s="2">
        <v>0.54791666666666672</v>
      </c>
      <c r="E385" s="2">
        <f t="shared" ref="E385:E447" si="15">D385-C385</f>
        <v>2.3611111111111138E-2</v>
      </c>
      <c r="F385" s="3">
        <f t="shared" si="14"/>
        <v>1.2500000000000067E-2</v>
      </c>
    </row>
    <row r="386" spans="1:6" x14ac:dyDescent="0.25">
      <c r="A386" s="20">
        <v>42401</v>
      </c>
      <c r="B386" s="1" t="s">
        <v>10</v>
      </c>
      <c r="C386" s="2">
        <v>0.64027777777777783</v>
      </c>
      <c r="D386" s="2">
        <v>0.65138888888888891</v>
      </c>
      <c r="E386" s="2">
        <f t="shared" si="15"/>
        <v>1.1111111111111072E-2</v>
      </c>
      <c r="F386" s="3">
        <f t="shared" si="14"/>
        <v>2.0833333333332149E-3</v>
      </c>
    </row>
    <row r="387" spans="1:6" x14ac:dyDescent="0.25">
      <c r="A387" s="20">
        <v>42401</v>
      </c>
      <c r="B387" s="1" t="s">
        <v>10</v>
      </c>
      <c r="C387" s="2">
        <v>0.67013888888888884</v>
      </c>
      <c r="D387" s="2">
        <v>0.6791666666666667</v>
      </c>
      <c r="E387" s="2">
        <f t="shared" si="15"/>
        <v>9.0277777777778567E-3</v>
      </c>
      <c r="F387" s="3">
        <f t="shared" si="14"/>
        <v>6.9444444444444198E-3</v>
      </c>
    </row>
    <row r="388" spans="1:6" x14ac:dyDescent="0.25">
      <c r="A388" s="20">
        <v>42401</v>
      </c>
      <c r="B388" s="1" t="s">
        <v>10</v>
      </c>
      <c r="C388" s="2">
        <v>0.77500000000000002</v>
      </c>
      <c r="D388" s="2">
        <v>0.7909722222222223</v>
      </c>
      <c r="E388" s="2">
        <f t="shared" si="15"/>
        <v>1.5972222222222276E-2</v>
      </c>
      <c r="F388" s="3">
        <f t="shared" si="14"/>
        <v>2.0833333333333259E-3</v>
      </c>
    </row>
    <row r="389" spans="1:6" x14ac:dyDescent="0.25">
      <c r="A389" s="20">
        <v>42401</v>
      </c>
      <c r="B389" s="1" t="s">
        <v>10</v>
      </c>
      <c r="C389" s="2">
        <v>0.83194444444444438</v>
      </c>
      <c r="D389" s="2">
        <v>0.85</v>
      </c>
      <c r="E389" s="2">
        <f t="shared" si="15"/>
        <v>1.8055555555555602E-2</v>
      </c>
      <c r="F389" s="3">
        <f t="shared" si="14"/>
        <v>3.4722222222222099E-3</v>
      </c>
    </row>
    <row r="390" spans="1:6" x14ac:dyDescent="0.25">
      <c r="A390" s="20">
        <v>42401</v>
      </c>
      <c r="B390" s="1" t="s">
        <v>10</v>
      </c>
      <c r="C390" s="2">
        <v>0.97222222222222221</v>
      </c>
      <c r="D390" s="2">
        <v>0.99375000000000002</v>
      </c>
      <c r="E390" s="2">
        <f t="shared" si="15"/>
        <v>2.1527777777777812E-2</v>
      </c>
      <c r="F390" s="3">
        <f t="shared" si="14"/>
        <v>5.5555555555555913E-3</v>
      </c>
    </row>
    <row r="391" spans="1:6" x14ac:dyDescent="0.25">
      <c r="A391" s="20">
        <v>42401</v>
      </c>
      <c r="B391" s="1" t="s">
        <v>10</v>
      </c>
      <c r="C391" s="2">
        <v>8.2638888888888887E-2</v>
      </c>
      <c r="D391" s="2">
        <v>9.8611111111111108E-2</v>
      </c>
      <c r="E391" s="2">
        <f t="shared" si="15"/>
        <v>1.5972222222222221E-2</v>
      </c>
      <c r="F391" s="3">
        <f t="shared" ref="F391:F454" si="16">ABS(E391-E392)</f>
        <v>6.2500000000000333E-3</v>
      </c>
    </row>
    <row r="392" spans="1:6" x14ac:dyDescent="0.25">
      <c r="A392" s="20">
        <v>42401</v>
      </c>
      <c r="B392" s="1" t="s">
        <v>10</v>
      </c>
      <c r="C392" s="2">
        <v>0.27569444444444446</v>
      </c>
      <c r="D392" s="2">
        <v>0.28541666666666665</v>
      </c>
      <c r="E392" s="2">
        <f t="shared" si="15"/>
        <v>9.7222222222221877E-3</v>
      </c>
      <c r="F392" s="3">
        <f t="shared" si="16"/>
        <v>2.8472222222222232E-2</v>
      </c>
    </row>
    <row r="393" spans="1:6" x14ac:dyDescent="0.25">
      <c r="A393" s="20">
        <v>42401</v>
      </c>
      <c r="B393" s="1" t="s">
        <v>10</v>
      </c>
      <c r="C393" s="2">
        <v>0.38750000000000001</v>
      </c>
      <c r="D393" s="2">
        <v>0.42569444444444443</v>
      </c>
      <c r="E393" s="2">
        <f t="shared" si="15"/>
        <v>3.819444444444442E-2</v>
      </c>
      <c r="F393" s="3">
        <f t="shared" si="16"/>
        <v>2.6388888888888851E-2</v>
      </c>
    </row>
    <row r="394" spans="1:6" x14ac:dyDescent="0.25">
      <c r="A394" s="20">
        <v>42401</v>
      </c>
      <c r="B394" s="1" t="s">
        <v>10</v>
      </c>
      <c r="C394" s="2">
        <v>0.4381944444444445</v>
      </c>
      <c r="D394" s="2">
        <v>0.50277777777777777</v>
      </c>
      <c r="E394" s="2">
        <f t="shared" si="15"/>
        <v>6.458333333333327E-2</v>
      </c>
      <c r="F394" s="3">
        <f t="shared" si="16"/>
        <v>1.1805555555555625E-2</v>
      </c>
    </row>
    <row r="395" spans="1:6" x14ac:dyDescent="0.25">
      <c r="A395" s="20">
        <v>42401</v>
      </c>
      <c r="B395" s="1" t="s">
        <v>10</v>
      </c>
      <c r="C395" s="2">
        <v>0.42638888888888887</v>
      </c>
      <c r="D395" s="2">
        <v>0.50277777777777777</v>
      </c>
      <c r="E395" s="2">
        <f t="shared" si="15"/>
        <v>7.6388888888888895E-2</v>
      </c>
      <c r="F395" s="3">
        <f t="shared" si="16"/>
        <v>5.2083333333333426E-2</v>
      </c>
    </row>
    <row r="396" spans="1:6" x14ac:dyDescent="0.25">
      <c r="A396" s="20">
        <v>42401</v>
      </c>
      <c r="B396" s="1" t="s">
        <v>10</v>
      </c>
      <c r="C396" s="2">
        <v>0.43958333333333338</v>
      </c>
      <c r="D396" s="2">
        <v>0.46388888888888885</v>
      </c>
      <c r="E396" s="2">
        <f t="shared" si="15"/>
        <v>2.4305555555555469E-2</v>
      </c>
      <c r="F396" s="3">
        <f t="shared" si="16"/>
        <v>6.9444444444444198E-3</v>
      </c>
    </row>
    <row r="397" spans="1:6" x14ac:dyDescent="0.25">
      <c r="A397" s="20">
        <v>42401</v>
      </c>
      <c r="B397" s="1" t="s">
        <v>10</v>
      </c>
      <c r="C397" s="2">
        <v>0.49583333333333335</v>
      </c>
      <c r="D397" s="2">
        <v>0.5131944444444444</v>
      </c>
      <c r="E397" s="2">
        <f t="shared" si="15"/>
        <v>1.7361111111111049E-2</v>
      </c>
      <c r="F397" s="3">
        <f t="shared" si="16"/>
        <v>2.0833333333332149E-3</v>
      </c>
    </row>
    <row r="398" spans="1:6" x14ac:dyDescent="0.25">
      <c r="A398" s="20">
        <v>42401</v>
      </c>
      <c r="B398" s="1" t="s">
        <v>10</v>
      </c>
      <c r="C398" s="2">
        <v>0.71597222222222223</v>
      </c>
      <c r="D398" s="2">
        <v>0.73125000000000007</v>
      </c>
      <c r="E398" s="2">
        <f t="shared" si="15"/>
        <v>1.5277777777777835E-2</v>
      </c>
      <c r="F398" s="3">
        <f t="shared" si="16"/>
        <v>4.1666666666667629E-3</v>
      </c>
    </row>
    <row r="399" spans="1:6" x14ac:dyDescent="0.25">
      <c r="A399" s="20">
        <v>42401</v>
      </c>
      <c r="B399" s="1" t="s">
        <v>10</v>
      </c>
      <c r="C399" s="2">
        <v>0.77430555555555547</v>
      </c>
      <c r="D399" s="2">
        <v>0.79375000000000007</v>
      </c>
      <c r="E399" s="2">
        <f t="shared" si="15"/>
        <v>1.9444444444444597E-2</v>
      </c>
      <c r="F399" s="3">
        <f t="shared" si="16"/>
        <v>6.2500000000001998E-3</v>
      </c>
    </row>
    <row r="400" spans="1:6" x14ac:dyDescent="0.25">
      <c r="A400" s="20">
        <v>42401</v>
      </c>
      <c r="B400" s="1" t="s">
        <v>10</v>
      </c>
      <c r="C400" s="2">
        <v>0.87847222222222221</v>
      </c>
      <c r="D400" s="2">
        <v>0.89166666666666661</v>
      </c>
      <c r="E400" s="2">
        <f t="shared" si="15"/>
        <v>1.3194444444444398E-2</v>
      </c>
      <c r="F400" s="3">
        <f t="shared" si="16"/>
        <v>6.94444444444553E-4</v>
      </c>
    </row>
    <row r="401" spans="1:6" x14ac:dyDescent="0.25">
      <c r="A401" s="20">
        <v>42401</v>
      </c>
      <c r="B401" s="1" t="s">
        <v>10</v>
      </c>
      <c r="C401" s="2">
        <v>0.94652777777777775</v>
      </c>
      <c r="D401" s="2">
        <v>0.9604166666666667</v>
      </c>
      <c r="E401" s="2">
        <f t="shared" si="15"/>
        <v>1.3888888888888951E-2</v>
      </c>
      <c r="F401" s="3">
        <f t="shared" si="16"/>
        <v>1.1111111111111016E-2</v>
      </c>
    </row>
    <row r="402" spans="1:6" x14ac:dyDescent="0.25">
      <c r="A402" s="20">
        <v>42401</v>
      </c>
      <c r="B402" s="1" t="s">
        <v>10</v>
      </c>
      <c r="C402" s="2">
        <v>0.45347222222222222</v>
      </c>
      <c r="D402" s="2">
        <v>0.47847222222222219</v>
      </c>
      <c r="E402" s="2">
        <f t="shared" si="15"/>
        <v>2.4999999999999967E-2</v>
      </c>
      <c r="F402" s="3">
        <f t="shared" si="16"/>
        <v>2.7777777777777679E-3</v>
      </c>
    </row>
    <row r="403" spans="1:6" x14ac:dyDescent="0.25">
      <c r="A403" s="20">
        <v>42401</v>
      </c>
      <c r="B403" s="1" t="s">
        <v>10</v>
      </c>
      <c r="C403" s="2">
        <v>0.46319444444444446</v>
      </c>
      <c r="D403" s="2">
        <v>0.4909722222222222</v>
      </c>
      <c r="E403" s="2">
        <f t="shared" si="15"/>
        <v>2.7777777777777735E-2</v>
      </c>
      <c r="F403" s="3">
        <f t="shared" si="16"/>
        <v>3.4722222222222654E-3</v>
      </c>
    </row>
    <row r="404" spans="1:6" x14ac:dyDescent="0.25">
      <c r="A404" s="20">
        <v>42401</v>
      </c>
      <c r="B404" s="1" t="s">
        <v>10</v>
      </c>
      <c r="C404" s="2">
        <v>0.47430555555555554</v>
      </c>
      <c r="D404" s="2">
        <v>0.50555555555555554</v>
      </c>
      <c r="E404" s="2">
        <f t="shared" si="15"/>
        <v>3.125E-2</v>
      </c>
      <c r="F404" s="3">
        <f t="shared" si="16"/>
        <v>1.9444444444444375E-2</v>
      </c>
    </row>
    <row r="405" spans="1:6" x14ac:dyDescent="0.25">
      <c r="A405" s="20">
        <v>42401</v>
      </c>
      <c r="B405" s="1" t="s">
        <v>10</v>
      </c>
      <c r="C405" s="2">
        <v>0.50902777777777775</v>
      </c>
      <c r="D405" s="2">
        <v>0.52083333333333337</v>
      </c>
      <c r="E405" s="2">
        <f t="shared" si="15"/>
        <v>1.1805555555555625E-2</v>
      </c>
      <c r="F405" s="3">
        <f t="shared" si="16"/>
        <v>1.041666666666663E-2</v>
      </c>
    </row>
    <row r="406" spans="1:6" x14ac:dyDescent="0.25">
      <c r="A406" s="20">
        <v>42401</v>
      </c>
      <c r="B406" s="1" t="s">
        <v>10</v>
      </c>
      <c r="C406" s="2">
        <v>0.53819444444444442</v>
      </c>
      <c r="D406" s="2">
        <v>0.56041666666666667</v>
      </c>
      <c r="E406" s="2">
        <f t="shared" si="15"/>
        <v>2.2222222222222254E-2</v>
      </c>
      <c r="F406" s="3">
        <f t="shared" si="16"/>
        <v>3.4722222222222099E-3</v>
      </c>
    </row>
    <row r="407" spans="1:6" x14ac:dyDescent="0.25">
      <c r="A407" s="20">
        <v>42401</v>
      </c>
      <c r="B407" s="1" t="s">
        <v>10</v>
      </c>
      <c r="C407" s="2">
        <v>0.55763888888888891</v>
      </c>
      <c r="D407" s="2">
        <v>0.57638888888888895</v>
      </c>
      <c r="E407" s="2">
        <f t="shared" si="15"/>
        <v>1.8750000000000044E-2</v>
      </c>
      <c r="F407" s="3">
        <f t="shared" si="16"/>
        <v>2.7777777777778789E-3</v>
      </c>
    </row>
    <row r="408" spans="1:6" x14ac:dyDescent="0.25">
      <c r="A408" s="20">
        <v>42401</v>
      </c>
      <c r="B408" s="1" t="s">
        <v>10</v>
      </c>
      <c r="C408" s="2">
        <v>0.7583333333333333</v>
      </c>
      <c r="D408" s="2">
        <v>0.77430555555555547</v>
      </c>
      <c r="E408" s="2">
        <f t="shared" si="15"/>
        <v>1.5972222222222165E-2</v>
      </c>
      <c r="F408" s="3">
        <f t="shared" si="16"/>
        <v>6.9444444444433095E-4</v>
      </c>
    </row>
    <row r="409" spans="1:6" x14ac:dyDescent="0.25">
      <c r="A409" s="20">
        <v>42401</v>
      </c>
      <c r="B409" s="1" t="s">
        <v>10</v>
      </c>
      <c r="C409" s="2">
        <v>0.8125</v>
      </c>
      <c r="D409" s="2">
        <v>0.82777777777777783</v>
      </c>
      <c r="E409" s="2">
        <f t="shared" si="15"/>
        <v>1.5277777777777835E-2</v>
      </c>
      <c r="F409" s="3">
        <f t="shared" si="16"/>
        <v>6.9444444444444198E-3</v>
      </c>
    </row>
    <row r="410" spans="1:6" x14ac:dyDescent="0.25">
      <c r="A410" s="20">
        <v>42401</v>
      </c>
      <c r="B410" s="1" t="s">
        <v>10</v>
      </c>
      <c r="C410" s="2">
        <v>0.54583333333333328</v>
      </c>
      <c r="D410" s="2">
        <v>0.56805555555555554</v>
      </c>
      <c r="E410" s="2">
        <f t="shared" si="15"/>
        <v>2.2222222222222254E-2</v>
      </c>
      <c r="F410" s="3">
        <f t="shared" si="16"/>
        <v>4.1666666666666519E-3</v>
      </c>
    </row>
    <row r="411" spans="1:6" x14ac:dyDescent="0.25">
      <c r="A411" s="20">
        <v>42401</v>
      </c>
      <c r="B411" s="1" t="s">
        <v>10</v>
      </c>
      <c r="C411" s="2">
        <v>0.61944444444444446</v>
      </c>
      <c r="D411" s="2">
        <v>0.63750000000000007</v>
      </c>
      <c r="E411" s="2">
        <f t="shared" si="15"/>
        <v>1.8055555555555602E-2</v>
      </c>
      <c r="F411" s="3">
        <f t="shared" si="16"/>
        <v>6.9444444444433095E-4</v>
      </c>
    </row>
    <row r="412" spans="1:6" x14ac:dyDescent="0.25">
      <c r="A412" s="20">
        <v>42401</v>
      </c>
      <c r="B412" s="1" t="s">
        <v>10</v>
      </c>
      <c r="C412" s="2">
        <v>0.6791666666666667</v>
      </c>
      <c r="D412" s="2">
        <v>0.69791666666666663</v>
      </c>
      <c r="E412" s="2">
        <f t="shared" si="15"/>
        <v>1.8749999999999933E-2</v>
      </c>
      <c r="F412" s="3">
        <f t="shared" si="16"/>
        <v>9.7222222222220767E-3</v>
      </c>
    </row>
    <row r="413" spans="1:6" x14ac:dyDescent="0.25">
      <c r="A413" s="20">
        <v>42401</v>
      </c>
      <c r="B413" s="1" t="s">
        <v>10</v>
      </c>
      <c r="C413" s="2">
        <v>0.74305555555555547</v>
      </c>
      <c r="D413" s="2">
        <v>0.75208333333333333</v>
      </c>
      <c r="E413" s="2">
        <f t="shared" si="15"/>
        <v>9.0277777777778567E-3</v>
      </c>
      <c r="F413" s="3">
        <f t="shared" si="16"/>
        <v>4.1666666666665408E-3</v>
      </c>
    </row>
    <row r="414" spans="1:6" x14ac:dyDescent="0.25">
      <c r="A414" s="20">
        <v>42401</v>
      </c>
      <c r="B414" s="1" t="s">
        <v>10</v>
      </c>
      <c r="C414" s="2">
        <v>0.78541666666666676</v>
      </c>
      <c r="D414" s="2">
        <v>0.79861111111111116</v>
      </c>
      <c r="E414" s="2">
        <f t="shared" si="15"/>
        <v>1.3194444444444398E-2</v>
      </c>
      <c r="F414" s="3">
        <f t="shared" si="16"/>
        <v>6.9444444444444198E-4</v>
      </c>
    </row>
    <row r="415" spans="1:6" x14ac:dyDescent="0.25">
      <c r="A415" s="20">
        <v>42401</v>
      </c>
      <c r="B415" s="1" t="s">
        <v>10</v>
      </c>
      <c r="C415" s="2">
        <v>0.8847222222222223</v>
      </c>
      <c r="D415" s="2">
        <v>0.89861111111111114</v>
      </c>
      <c r="E415" s="2">
        <f t="shared" si="15"/>
        <v>1.388888888888884E-2</v>
      </c>
      <c r="F415" s="3">
        <f t="shared" si="16"/>
        <v>2.0833333333333259E-3</v>
      </c>
    </row>
    <row r="416" spans="1:6" x14ac:dyDescent="0.25">
      <c r="A416" s="20">
        <v>42401</v>
      </c>
      <c r="B416" s="1" t="s">
        <v>10</v>
      </c>
      <c r="C416" s="2">
        <v>0.70208333333333339</v>
      </c>
      <c r="D416" s="2">
        <v>0.71388888888888891</v>
      </c>
      <c r="E416" s="2">
        <f t="shared" si="15"/>
        <v>1.1805555555555514E-2</v>
      </c>
      <c r="F416" s="3">
        <f t="shared" si="16"/>
        <v>4.8611111111110938E-3</v>
      </c>
    </row>
    <row r="417" spans="1:6" x14ac:dyDescent="0.25">
      <c r="A417" s="20">
        <v>42401</v>
      </c>
      <c r="B417" s="1" t="s">
        <v>10</v>
      </c>
      <c r="C417" s="2">
        <v>0.75763888888888886</v>
      </c>
      <c r="D417" s="2">
        <v>0.77430555555555547</v>
      </c>
      <c r="E417" s="2">
        <f t="shared" si="15"/>
        <v>1.6666666666666607E-2</v>
      </c>
      <c r="F417" s="3">
        <f t="shared" si="16"/>
        <v>7.638888888888834E-3</v>
      </c>
    </row>
    <row r="418" spans="1:6" x14ac:dyDescent="0.25">
      <c r="A418" s="20">
        <v>42401</v>
      </c>
      <c r="B418" s="1" t="s">
        <v>10</v>
      </c>
      <c r="C418" s="2">
        <v>0.12291666666666667</v>
      </c>
      <c r="D418" s="2">
        <v>0.13194444444444445</v>
      </c>
      <c r="E418" s="2">
        <f t="shared" si="15"/>
        <v>9.0277777777777735E-3</v>
      </c>
      <c r="F418" s="3">
        <f t="shared" si="16"/>
        <v>1.2499999999999983E-2</v>
      </c>
    </row>
    <row r="419" spans="1:6" x14ac:dyDescent="0.25">
      <c r="A419" s="20">
        <v>42401</v>
      </c>
      <c r="B419" s="1" t="s">
        <v>10</v>
      </c>
      <c r="C419" s="2">
        <v>0.28958333333333336</v>
      </c>
      <c r="D419" s="2">
        <v>0.31111111111111112</v>
      </c>
      <c r="E419" s="2">
        <f t="shared" si="15"/>
        <v>2.1527777777777757E-2</v>
      </c>
      <c r="F419" s="3">
        <f t="shared" si="16"/>
        <v>6.2500000000000333E-3</v>
      </c>
    </row>
    <row r="420" spans="1:6" x14ac:dyDescent="0.25">
      <c r="A420" s="20">
        <v>42401</v>
      </c>
      <c r="B420" s="1" t="s">
        <v>10</v>
      </c>
      <c r="C420" s="2">
        <v>0.52569444444444446</v>
      </c>
      <c r="D420" s="2">
        <v>0.54097222222222219</v>
      </c>
      <c r="E420" s="2">
        <f t="shared" si="15"/>
        <v>1.5277777777777724E-2</v>
      </c>
      <c r="F420" s="3">
        <f t="shared" si="16"/>
        <v>6.9444444444444198E-4</v>
      </c>
    </row>
    <row r="421" spans="1:6" x14ac:dyDescent="0.25">
      <c r="A421" s="20">
        <v>42401</v>
      </c>
      <c r="B421" s="1" t="s">
        <v>10</v>
      </c>
      <c r="C421" s="2">
        <v>0.75138888888888899</v>
      </c>
      <c r="D421" s="2">
        <v>0.76736111111111116</v>
      </c>
      <c r="E421" s="2">
        <f t="shared" si="15"/>
        <v>1.5972222222222165E-2</v>
      </c>
      <c r="F421" s="3">
        <f t="shared" si="16"/>
        <v>0</v>
      </c>
    </row>
    <row r="422" spans="1:6" x14ac:dyDescent="0.25">
      <c r="A422" s="20">
        <v>42401</v>
      </c>
      <c r="B422" s="1" t="s">
        <v>10</v>
      </c>
      <c r="C422" s="2">
        <v>0.7680555555555556</v>
      </c>
      <c r="D422" s="2">
        <v>0.78402777777777777</v>
      </c>
      <c r="E422" s="2">
        <f t="shared" si="15"/>
        <v>1.5972222222222165E-2</v>
      </c>
      <c r="F422" s="3">
        <f t="shared" si="16"/>
        <v>2.1527777777777812E-2</v>
      </c>
    </row>
    <row r="423" spans="1:6" x14ac:dyDescent="0.25">
      <c r="A423" s="20">
        <v>42401</v>
      </c>
      <c r="B423" s="1" t="s">
        <v>10</v>
      </c>
      <c r="C423" s="2">
        <v>0.79861111111111116</v>
      </c>
      <c r="D423" s="2">
        <v>0.83611111111111114</v>
      </c>
      <c r="E423" s="2">
        <f t="shared" si="15"/>
        <v>3.7499999999999978E-2</v>
      </c>
      <c r="F423" s="3">
        <f t="shared" si="16"/>
        <v>2.3611111111111138E-2</v>
      </c>
    </row>
    <row r="424" spans="1:6" x14ac:dyDescent="0.25">
      <c r="A424" s="20">
        <v>42401</v>
      </c>
      <c r="B424" s="1" t="s">
        <v>10</v>
      </c>
      <c r="C424" s="2">
        <v>0.83263888888888893</v>
      </c>
      <c r="D424" s="2">
        <v>0.84652777777777777</v>
      </c>
      <c r="E424" s="2">
        <f t="shared" si="15"/>
        <v>1.388888888888884E-2</v>
      </c>
      <c r="F424" s="3">
        <f t="shared" si="16"/>
        <v>6.9444444444433095E-4</v>
      </c>
    </row>
    <row r="425" spans="1:6" x14ac:dyDescent="0.25">
      <c r="A425" s="20">
        <v>42401</v>
      </c>
      <c r="B425" s="1" t="s">
        <v>10</v>
      </c>
      <c r="C425" s="2">
        <v>0.9472222222222223</v>
      </c>
      <c r="D425" s="2">
        <v>0.96180555555555547</v>
      </c>
      <c r="E425" s="2">
        <f t="shared" si="15"/>
        <v>1.4583333333333171E-2</v>
      </c>
      <c r="F425" s="3">
        <f t="shared" si="16"/>
        <v>1.8750000000000211E-2</v>
      </c>
    </row>
    <row r="426" spans="1:6" x14ac:dyDescent="0.25">
      <c r="A426" s="20">
        <v>42401</v>
      </c>
      <c r="B426" s="1" t="s">
        <v>10</v>
      </c>
      <c r="C426" s="2">
        <v>0.37291666666666662</v>
      </c>
      <c r="D426" s="2">
        <v>0.40625</v>
      </c>
      <c r="E426" s="2">
        <f t="shared" si="15"/>
        <v>3.3333333333333381E-2</v>
      </c>
      <c r="F426" s="3">
        <f t="shared" si="16"/>
        <v>6.2500000000000888E-3</v>
      </c>
    </row>
    <row r="427" spans="1:6" x14ac:dyDescent="0.25">
      <c r="A427" s="20">
        <v>42401</v>
      </c>
      <c r="B427" s="1" t="s">
        <v>10</v>
      </c>
      <c r="C427" s="2">
        <v>0.3888888888888889</v>
      </c>
      <c r="D427" s="2">
        <v>0.41597222222222219</v>
      </c>
      <c r="E427" s="2">
        <f t="shared" si="15"/>
        <v>2.7083333333333293E-2</v>
      </c>
      <c r="F427" s="3">
        <f t="shared" si="16"/>
        <v>1.4583333333333226E-2</v>
      </c>
    </row>
    <row r="428" spans="1:6" x14ac:dyDescent="0.25">
      <c r="A428" s="20">
        <v>42401</v>
      </c>
      <c r="B428" s="1" t="s">
        <v>10</v>
      </c>
      <c r="C428" s="2">
        <v>0.51458333333333328</v>
      </c>
      <c r="D428" s="2">
        <v>0.52708333333333335</v>
      </c>
      <c r="E428" s="2">
        <f t="shared" si="15"/>
        <v>1.2500000000000067E-2</v>
      </c>
      <c r="F428" s="3">
        <f t="shared" si="16"/>
        <v>4.5138888888888784E-2</v>
      </c>
    </row>
    <row r="429" spans="1:6" x14ac:dyDescent="0.25">
      <c r="A429" s="20">
        <v>42401</v>
      </c>
      <c r="B429" s="1" t="s">
        <v>10</v>
      </c>
      <c r="C429" s="2">
        <v>0.48958333333333331</v>
      </c>
      <c r="D429" s="2">
        <v>0.54722222222222217</v>
      </c>
      <c r="E429" s="2">
        <f t="shared" si="15"/>
        <v>5.7638888888888851E-2</v>
      </c>
      <c r="F429" s="3">
        <f t="shared" si="16"/>
        <v>4.9305555555555436E-2</v>
      </c>
    </row>
    <row r="430" spans="1:6" x14ac:dyDescent="0.25">
      <c r="A430" s="20">
        <v>42401</v>
      </c>
      <c r="B430" s="1" t="s">
        <v>10</v>
      </c>
      <c r="C430" s="2">
        <v>0.70416666666666661</v>
      </c>
      <c r="D430" s="2">
        <v>0.71250000000000002</v>
      </c>
      <c r="E430" s="2">
        <f t="shared" si="15"/>
        <v>8.3333333333334147E-3</v>
      </c>
      <c r="F430" s="3">
        <f t="shared" si="16"/>
        <v>1.1111111111111016E-2</v>
      </c>
    </row>
    <row r="431" spans="1:6" x14ac:dyDescent="0.25">
      <c r="A431" s="20">
        <v>42401</v>
      </c>
      <c r="B431" s="1" t="s">
        <v>10</v>
      </c>
      <c r="C431" s="2">
        <v>0.26319444444444445</v>
      </c>
      <c r="D431" s="2">
        <v>0.28263888888888888</v>
      </c>
      <c r="E431" s="2">
        <f t="shared" si="15"/>
        <v>1.9444444444444431E-2</v>
      </c>
      <c r="F431" s="3">
        <f t="shared" si="16"/>
        <v>6.9444444444449749E-4</v>
      </c>
    </row>
    <row r="432" spans="1:6" x14ac:dyDescent="0.25">
      <c r="A432" s="20">
        <v>42401</v>
      </c>
      <c r="B432" s="1" t="s">
        <v>10</v>
      </c>
      <c r="C432" s="2">
        <v>0.39861111111111108</v>
      </c>
      <c r="D432" s="2">
        <v>0.41875000000000001</v>
      </c>
      <c r="E432" s="2">
        <f t="shared" si="15"/>
        <v>2.0138888888888928E-2</v>
      </c>
      <c r="F432" s="3">
        <f t="shared" si="16"/>
        <v>4.1666666666666519E-3</v>
      </c>
    </row>
    <row r="433" spans="1:6" x14ac:dyDescent="0.25">
      <c r="A433" s="20">
        <v>42401</v>
      </c>
      <c r="B433" s="1" t="s">
        <v>10</v>
      </c>
      <c r="C433" s="2">
        <v>0.4368055555555555</v>
      </c>
      <c r="D433" s="2">
        <v>0.45277777777777778</v>
      </c>
      <c r="E433" s="2">
        <f t="shared" si="15"/>
        <v>1.5972222222222276E-2</v>
      </c>
      <c r="F433" s="3">
        <f t="shared" si="16"/>
        <v>5.5555555555554803E-3</v>
      </c>
    </row>
    <row r="434" spans="1:6" x14ac:dyDescent="0.25">
      <c r="A434" s="20">
        <v>42401</v>
      </c>
      <c r="B434" s="1" t="s">
        <v>10</v>
      </c>
      <c r="C434" s="2">
        <v>0.48194444444444445</v>
      </c>
      <c r="D434" s="2">
        <v>0.50347222222222221</v>
      </c>
      <c r="E434" s="2">
        <f t="shared" si="15"/>
        <v>2.1527777777777757E-2</v>
      </c>
      <c r="F434" s="3">
        <f t="shared" si="16"/>
        <v>4.1666666666667074E-3</v>
      </c>
    </row>
    <row r="435" spans="1:6" x14ac:dyDescent="0.25">
      <c r="A435" s="20">
        <v>42401</v>
      </c>
      <c r="B435" s="1" t="s">
        <v>10</v>
      </c>
      <c r="C435" s="2">
        <v>0.5625</v>
      </c>
      <c r="D435" s="2">
        <v>0.57986111111111105</v>
      </c>
      <c r="E435" s="2">
        <f t="shared" si="15"/>
        <v>1.7361111111111049E-2</v>
      </c>
      <c r="F435" s="3">
        <f t="shared" si="16"/>
        <v>1.388888888888884E-3</v>
      </c>
    </row>
    <row r="436" spans="1:6" x14ac:dyDescent="0.25">
      <c r="A436" s="20">
        <v>42401</v>
      </c>
      <c r="B436" s="1" t="s">
        <v>10</v>
      </c>
      <c r="C436" s="2">
        <v>0.5854166666666667</v>
      </c>
      <c r="D436" s="2">
        <v>0.60416666666666663</v>
      </c>
      <c r="E436" s="2">
        <f t="shared" si="15"/>
        <v>1.8749999999999933E-2</v>
      </c>
      <c r="F436" s="3">
        <f t="shared" si="16"/>
        <v>2.0833333333332149E-3</v>
      </c>
    </row>
    <row r="437" spans="1:6" x14ac:dyDescent="0.25">
      <c r="A437" s="20">
        <v>42401</v>
      </c>
      <c r="B437" s="1" t="s">
        <v>10</v>
      </c>
      <c r="C437" s="2">
        <v>0.66736111111111107</v>
      </c>
      <c r="D437" s="2">
        <v>0.68402777777777779</v>
      </c>
      <c r="E437" s="2">
        <f t="shared" si="15"/>
        <v>1.6666666666666718E-2</v>
      </c>
      <c r="F437" s="3">
        <f t="shared" si="16"/>
        <v>1.388888888888884E-3</v>
      </c>
    </row>
    <row r="438" spans="1:6" x14ac:dyDescent="0.25">
      <c r="A438" s="20">
        <v>42401</v>
      </c>
      <c r="B438" s="1" t="s">
        <v>10</v>
      </c>
      <c r="C438" s="2">
        <v>0.74652777777777779</v>
      </c>
      <c r="D438" s="2">
        <v>0.76180555555555562</v>
      </c>
      <c r="E438" s="2">
        <f t="shared" si="15"/>
        <v>1.5277777777777835E-2</v>
      </c>
      <c r="F438" s="3">
        <f t="shared" si="16"/>
        <v>2.083333333333437E-3</v>
      </c>
    </row>
    <row r="439" spans="1:6" x14ac:dyDescent="0.25">
      <c r="A439" s="20">
        <v>42401</v>
      </c>
      <c r="B439" s="1" t="s">
        <v>10</v>
      </c>
      <c r="C439" s="2">
        <v>0.79236111111111107</v>
      </c>
      <c r="D439" s="2">
        <v>0.80555555555555547</v>
      </c>
      <c r="E439" s="2">
        <f t="shared" si="15"/>
        <v>1.3194444444444398E-2</v>
      </c>
      <c r="F439" s="3">
        <f t="shared" si="16"/>
        <v>2.083333333333437E-3</v>
      </c>
    </row>
    <row r="440" spans="1:6" x14ac:dyDescent="0.25">
      <c r="A440" s="20">
        <v>42401</v>
      </c>
      <c r="B440" s="1" t="s">
        <v>10</v>
      </c>
      <c r="C440" s="2">
        <v>0.8125</v>
      </c>
      <c r="D440" s="2">
        <v>0.82777777777777783</v>
      </c>
      <c r="E440" s="2">
        <f t="shared" si="15"/>
        <v>1.5277777777777835E-2</v>
      </c>
      <c r="F440" s="3">
        <f t="shared" si="16"/>
        <v>1.3888888888887729E-3</v>
      </c>
    </row>
    <row r="441" spans="1:6" x14ac:dyDescent="0.25">
      <c r="A441" s="20">
        <v>42401</v>
      </c>
      <c r="B441" s="1" t="s">
        <v>10</v>
      </c>
      <c r="C441" s="2">
        <v>0.53055555555555556</v>
      </c>
      <c r="D441" s="2">
        <v>0.54722222222222217</v>
      </c>
      <c r="E441" s="2">
        <f t="shared" si="15"/>
        <v>1.6666666666666607E-2</v>
      </c>
      <c r="F441" s="3">
        <f t="shared" si="16"/>
        <v>1.3194444444444509E-2</v>
      </c>
    </row>
    <row r="442" spans="1:6" x14ac:dyDescent="0.25">
      <c r="A442" s="20">
        <v>42401</v>
      </c>
      <c r="B442" s="1" t="s">
        <v>10</v>
      </c>
      <c r="C442" s="2">
        <v>0.24861111111111112</v>
      </c>
      <c r="D442" s="2">
        <v>0.27847222222222223</v>
      </c>
      <c r="E442" s="2">
        <f t="shared" si="15"/>
        <v>2.9861111111111116E-2</v>
      </c>
      <c r="F442" s="3">
        <f t="shared" si="16"/>
        <v>5.5555555555555358E-3</v>
      </c>
    </row>
    <row r="443" spans="1:6" x14ac:dyDescent="0.25">
      <c r="A443" s="20">
        <v>42401</v>
      </c>
      <c r="B443" s="1" t="s">
        <v>10</v>
      </c>
      <c r="C443" s="2">
        <v>0.45347222222222222</v>
      </c>
      <c r="D443" s="2">
        <v>0.4777777777777778</v>
      </c>
      <c r="E443" s="2">
        <f t="shared" si="15"/>
        <v>2.430555555555558E-2</v>
      </c>
      <c r="F443" s="3">
        <f t="shared" si="16"/>
        <v>3.4722222222222099E-3</v>
      </c>
    </row>
    <row r="444" spans="1:6" x14ac:dyDescent="0.25">
      <c r="A444" s="20">
        <v>42401</v>
      </c>
      <c r="B444" s="1" t="s">
        <v>10</v>
      </c>
      <c r="C444" s="2">
        <v>0.5131944444444444</v>
      </c>
      <c r="D444" s="2">
        <v>0.54097222222222219</v>
      </c>
      <c r="E444" s="2">
        <f t="shared" si="15"/>
        <v>2.777777777777779E-2</v>
      </c>
      <c r="F444" s="3">
        <f t="shared" si="16"/>
        <v>1.0416666666666741E-2</v>
      </c>
    </row>
    <row r="445" spans="1:6" x14ac:dyDescent="0.25">
      <c r="A445" s="20">
        <v>42401</v>
      </c>
      <c r="B445" s="1" t="s">
        <v>10</v>
      </c>
      <c r="C445" s="2">
        <v>0.52430555555555558</v>
      </c>
      <c r="D445" s="2">
        <v>0.54166666666666663</v>
      </c>
      <c r="E445" s="2">
        <f t="shared" si="15"/>
        <v>1.7361111111111049E-2</v>
      </c>
      <c r="F445" s="3">
        <f t="shared" si="16"/>
        <v>2.0833333333332149E-3</v>
      </c>
    </row>
    <row r="446" spans="1:6" x14ac:dyDescent="0.25">
      <c r="A446" s="20">
        <v>42401</v>
      </c>
      <c r="B446" s="1" t="s">
        <v>10</v>
      </c>
      <c r="C446" s="2">
        <v>0.68402777777777779</v>
      </c>
      <c r="D446" s="2">
        <v>0.69930555555555562</v>
      </c>
      <c r="E446" s="2">
        <f t="shared" si="15"/>
        <v>1.5277777777777835E-2</v>
      </c>
      <c r="F446" s="3">
        <f t="shared" si="16"/>
        <v>6.9444444444444198E-4</v>
      </c>
    </row>
    <row r="447" spans="1:6" x14ac:dyDescent="0.25">
      <c r="A447" s="20">
        <v>42401</v>
      </c>
      <c r="B447" s="1" t="s">
        <v>10</v>
      </c>
      <c r="C447" s="2">
        <v>0.73263888888888884</v>
      </c>
      <c r="D447" s="2">
        <v>0.74722222222222223</v>
      </c>
      <c r="E447" s="2">
        <f t="shared" si="15"/>
        <v>1.4583333333333393E-2</v>
      </c>
      <c r="F447" s="3">
        <f t="shared" si="16"/>
        <v>2.7777777777777679E-3</v>
      </c>
    </row>
    <row r="448" spans="1:6" x14ac:dyDescent="0.25">
      <c r="A448" s="20">
        <v>42401</v>
      </c>
      <c r="B448" s="1" t="s">
        <v>10</v>
      </c>
      <c r="C448" s="2">
        <v>0.94374999999999998</v>
      </c>
      <c r="D448" s="2">
        <v>0.96111111111111114</v>
      </c>
      <c r="E448" s="2">
        <f t="shared" ref="E448:E511" si="17">D448-C448</f>
        <v>1.736111111111116E-2</v>
      </c>
      <c r="F448" s="3">
        <f t="shared" si="16"/>
        <v>2.0833333333333814E-3</v>
      </c>
    </row>
    <row r="449" spans="1:6" x14ac:dyDescent="0.25">
      <c r="A449" s="20">
        <v>42401</v>
      </c>
      <c r="B449" s="1" t="s">
        <v>10</v>
      </c>
      <c r="C449" s="2">
        <v>5.5555555555555552E-2</v>
      </c>
      <c r="D449" s="2">
        <v>7.0833333333333331E-2</v>
      </c>
      <c r="E449" s="2">
        <f t="shared" si="17"/>
        <v>1.5277777777777779E-2</v>
      </c>
      <c r="F449" s="3">
        <f t="shared" si="16"/>
        <v>6.2499999999999223E-3</v>
      </c>
    </row>
    <row r="450" spans="1:6" x14ac:dyDescent="0.25">
      <c r="A450" s="20">
        <v>42401</v>
      </c>
      <c r="B450" s="1" t="s">
        <v>10</v>
      </c>
      <c r="C450" s="2">
        <v>0.44513888888888892</v>
      </c>
      <c r="D450" s="2">
        <v>0.46666666666666662</v>
      </c>
      <c r="E450" s="2">
        <f t="shared" si="17"/>
        <v>2.1527777777777701E-2</v>
      </c>
      <c r="F450" s="3">
        <f t="shared" si="16"/>
        <v>4.1666666666667074E-3</v>
      </c>
    </row>
    <row r="451" spans="1:6" x14ac:dyDescent="0.25">
      <c r="A451" s="20">
        <v>42401</v>
      </c>
      <c r="B451" s="1" t="s">
        <v>10</v>
      </c>
      <c r="C451" s="2">
        <v>0.4861111111111111</v>
      </c>
      <c r="D451" s="2">
        <v>0.51180555555555551</v>
      </c>
      <c r="E451" s="2">
        <f t="shared" si="17"/>
        <v>2.5694444444444409E-2</v>
      </c>
      <c r="F451" s="3">
        <f t="shared" si="16"/>
        <v>7.6388888888888062E-3</v>
      </c>
    </row>
    <row r="452" spans="1:6" x14ac:dyDescent="0.25">
      <c r="A452" s="20">
        <v>42401</v>
      </c>
      <c r="B452" s="1" t="s">
        <v>10</v>
      </c>
      <c r="C452" s="2">
        <v>0.54583333333333328</v>
      </c>
      <c r="D452" s="2">
        <v>0.56388888888888888</v>
      </c>
      <c r="E452" s="2">
        <f t="shared" si="17"/>
        <v>1.8055555555555602E-2</v>
      </c>
      <c r="F452" s="3">
        <f t="shared" si="16"/>
        <v>3.4722222222220989E-3</v>
      </c>
    </row>
    <row r="453" spans="1:6" x14ac:dyDescent="0.25">
      <c r="A453" s="20">
        <v>42401</v>
      </c>
      <c r="B453" s="1" t="s">
        <v>10</v>
      </c>
      <c r="C453" s="2">
        <v>0.58958333333333335</v>
      </c>
      <c r="D453" s="2">
        <v>0.61111111111111105</v>
      </c>
      <c r="E453" s="2">
        <f t="shared" si="17"/>
        <v>2.1527777777777701E-2</v>
      </c>
      <c r="F453" s="3">
        <f t="shared" si="16"/>
        <v>2.7083333333333459E-2</v>
      </c>
    </row>
    <row r="454" spans="1:6" x14ac:dyDescent="0.25">
      <c r="A454" s="20">
        <v>42401</v>
      </c>
      <c r="B454" s="1" t="s">
        <v>10</v>
      </c>
      <c r="C454" s="2">
        <v>0.65416666666666667</v>
      </c>
      <c r="D454" s="2">
        <v>0.70277777777777783</v>
      </c>
      <c r="E454" s="2">
        <f t="shared" si="17"/>
        <v>4.861111111111116E-2</v>
      </c>
      <c r="F454" s="3">
        <f t="shared" si="16"/>
        <v>2.7777777777777901E-2</v>
      </c>
    </row>
    <row r="455" spans="1:6" x14ac:dyDescent="0.25">
      <c r="A455" s="20">
        <v>42401</v>
      </c>
      <c r="B455" s="1" t="s">
        <v>10</v>
      </c>
      <c r="C455" s="2">
        <v>0.72777777777777775</v>
      </c>
      <c r="D455" s="2">
        <v>0.74861111111111101</v>
      </c>
      <c r="E455" s="2">
        <f t="shared" si="17"/>
        <v>2.0833333333333259E-2</v>
      </c>
      <c r="F455" s="3">
        <f t="shared" ref="F455:F518" si="18">ABS(E455-E456)</f>
        <v>3.4722222222224319E-3</v>
      </c>
    </row>
    <row r="456" spans="1:6" x14ac:dyDescent="0.25">
      <c r="A456" s="20">
        <v>42401</v>
      </c>
      <c r="B456" s="1" t="s">
        <v>10</v>
      </c>
      <c r="C456" s="2">
        <v>0.77708333333333324</v>
      </c>
      <c r="D456" s="2">
        <v>0.80138888888888893</v>
      </c>
      <c r="E456" s="2">
        <f t="shared" si="17"/>
        <v>2.4305555555555691E-2</v>
      </c>
      <c r="F456" s="3">
        <f t="shared" si="18"/>
        <v>7.6388888888889728E-3</v>
      </c>
    </row>
    <row r="457" spans="1:6" x14ac:dyDescent="0.25">
      <c r="A457" s="20">
        <v>42401</v>
      </c>
      <c r="B457" s="1" t="s">
        <v>10</v>
      </c>
      <c r="C457" s="2">
        <v>0.82916666666666661</v>
      </c>
      <c r="D457" s="2">
        <v>0.84583333333333333</v>
      </c>
      <c r="E457" s="2">
        <f t="shared" si="17"/>
        <v>1.6666666666666718E-2</v>
      </c>
      <c r="F457" s="3">
        <f t="shared" si="18"/>
        <v>4.1666666666666519E-3</v>
      </c>
    </row>
    <row r="458" spans="1:6" x14ac:dyDescent="0.25">
      <c r="A458" s="20">
        <v>42401</v>
      </c>
      <c r="B458" s="1" t="s">
        <v>10</v>
      </c>
      <c r="C458" s="2">
        <v>0.95486111111111116</v>
      </c>
      <c r="D458" s="2">
        <v>0.97569444444444453</v>
      </c>
      <c r="E458" s="2">
        <f t="shared" si="17"/>
        <v>2.083333333333337E-2</v>
      </c>
      <c r="F458" s="3">
        <f t="shared" si="18"/>
        <v>7.6388888888889173E-3</v>
      </c>
    </row>
    <row r="459" spans="1:6" x14ac:dyDescent="0.25">
      <c r="A459" s="20">
        <v>42401</v>
      </c>
      <c r="B459" s="1" t="s">
        <v>10</v>
      </c>
      <c r="C459" s="2">
        <v>0.19652777777777777</v>
      </c>
      <c r="D459" s="2">
        <v>0.20972222222222223</v>
      </c>
      <c r="E459" s="2">
        <f t="shared" si="17"/>
        <v>1.3194444444444453E-2</v>
      </c>
      <c r="F459" s="3">
        <f t="shared" si="18"/>
        <v>7.6388888888888618E-3</v>
      </c>
    </row>
    <row r="460" spans="1:6" x14ac:dyDescent="0.25">
      <c r="A460" s="20">
        <v>42401</v>
      </c>
      <c r="B460" s="1" t="s">
        <v>10</v>
      </c>
      <c r="C460" s="2">
        <v>0.43333333333333335</v>
      </c>
      <c r="D460" s="2">
        <v>0.45416666666666666</v>
      </c>
      <c r="E460" s="2">
        <f t="shared" si="17"/>
        <v>2.0833333333333315E-2</v>
      </c>
      <c r="F460" s="3">
        <f t="shared" si="18"/>
        <v>2.0833333333333814E-3</v>
      </c>
    </row>
    <row r="461" spans="1:6" x14ac:dyDescent="0.25">
      <c r="A461" s="20">
        <v>42401</v>
      </c>
      <c r="B461" s="1" t="s">
        <v>10</v>
      </c>
      <c r="C461" s="2">
        <v>0.4548611111111111</v>
      </c>
      <c r="D461" s="2">
        <v>0.4777777777777778</v>
      </c>
      <c r="E461" s="2">
        <f t="shared" si="17"/>
        <v>2.2916666666666696E-2</v>
      </c>
      <c r="F461" s="3">
        <f t="shared" si="18"/>
        <v>4.1666666666665408E-3</v>
      </c>
    </row>
    <row r="462" spans="1:6" x14ac:dyDescent="0.25">
      <c r="A462" s="20">
        <v>42401</v>
      </c>
      <c r="B462" s="1" t="s">
        <v>10</v>
      </c>
      <c r="C462" s="2">
        <v>0.55555555555555558</v>
      </c>
      <c r="D462" s="2">
        <v>0.58263888888888882</v>
      </c>
      <c r="E462" s="2">
        <f t="shared" si="17"/>
        <v>2.7083333333333237E-2</v>
      </c>
      <c r="F462" s="3">
        <f t="shared" si="18"/>
        <v>1.3888888888887729E-3</v>
      </c>
    </row>
    <row r="463" spans="1:6" x14ac:dyDescent="0.25">
      <c r="A463" s="20">
        <v>42401</v>
      </c>
      <c r="B463" s="1" t="s">
        <v>10</v>
      </c>
      <c r="C463" s="2">
        <v>0.59027777777777779</v>
      </c>
      <c r="D463" s="2">
        <v>0.61597222222222225</v>
      </c>
      <c r="E463" s="2">
        <f t="shared" si="17"/>
        <v>2.5694444444444464E-2</v>
      </c>
      <c r="F463" s="3">
        <f t="shared" si="18"/>
        <v>6.9444444444444198E-4</v>
      </c>
    </row>
    <row r="464" spans="1:6" x14ac:dyDescent="0.25">
      <c r="A464" s="20">
        <v>42401</v>
      </c>
      <c r="B464" s="1" t="s">
        <v>10</v>
      </c>
      <c r="C464" s="2">
        <v>0.62152777777777779</v>
      </c>
      <c r="D464" s="2">
        <v>0.64652777777777781</v>
      </c>
      <c r="E464" s="2">
        <f t="shared" si="17"/>
        <v>2.5000000000000022E-2</v>
      </c>
      <c r="F464" s="3">
        <f t="shared" si="18"/>
        <v>1.388888888888884E-3</v>
      </c>
    </row>
    <row r="465" spans="1:6" x14ac:dyDescent="0.25">
      <c r="A465" s="20">
        <v>42401</v>
      </c>
      <c r="B465" s="1" t="s">
        <v>10</v>
      </c>
      <c r="C465" s="2">
        <v>0.67638888888888893</v>
      </c>
      <c r="D465" s="2">
        <v>0.70277777777777783</v>
      </c>
      <c r="E465" s="2">
        <f t="shared" si="17"/>
        <v>2.6388888888888906E-2</v>
      </c>
      <c r="F465" s="3">
        <f t="shared" si="18"/>
        <v>2.3611111111111249E-2</v>
      </c>
    </row>
    <row r="466" spans="1:6" x14ac:dyDescent="0.25">
      <c r="A466" s="20">
        <v>42401</v>
      </c>
      <c r="B466" s="1" t="s">
        <v>10</v>
      </c>
      <c r="C466" s="2">
        <v>0.67569444444444438</v>
      </c>
      <c r="D466" s="2">
        <v>0.72569444444444453</v>
      </c>
      <c r="E466" s="2">
        <f t="shared" si="17"/>
        <v>5.0000000000000155E-2</v>
      </c>
      <c r="F466" s="3">
        <f t="shared" si="18"/>
        <v>2.0138888888888928E-2</v>
      </c>
    </row>
    <row r="467" spans="1:6" x14ac:dyDescent="0.25">
      <c r="A467" s="20">
        <v>42401</v>
      </c>
      <c r="B467" s="1" t="s">
        <v>10</v>
      </c>
      <c r="C467" s="2">
        <v>0.67013888888888884</v>
      </c>
      <c r="D467" s="2">
        <v>0.70000000000000007</v>
      </c>
      <c r="E467" s="2">
        <f t="shared" si="17"/>
        <v>2.9861111111111227E-2</v>
      </c>
      <c r="F467" s="3">
        <f t="shared" si="18"/>
        <v>1.6666666666666829E-2</v>
      </c>
    </row>
    <row r="468" spans="1:6" x14ac:dyDescent="0.25">
      <c r="A468" s="20">
        <v>42401</v>
      </c>
      <c r="B468" s="1" t="s">
        <v>10</v>
      </c>
      <c r="C468" s="2">
        <v>0.73541666666666661</v>
      </c>
      <c r="D468" s="2">
        <v>0.74861111111111101</v>
      </c>
      <c r="E468" s="2">
        <f t="shared" si="17"/>
        <v>1.3194444444444398E-2</v>
      </c>
      <c r="F468" s="3">
        <f t="shared" si="18"/>
        <v>3.4722222222223209E-3</v>
      </c>
    </row>
    <row r="469" spans="1:6" x14ac:dyDescent="0.25">
      <c r="A469" s="20">
        <v>42401</v>
      </c>
      <c r="B469" s="1" t="s">
        <v>10</v>
      </c>
      <c r="C469" s="2">
        <v>0.7583333333333333</v>
      </c>
      <c r="D469" s="2">
        <v>0.77500000000000002</v>
      </c>
      <c r="E469" s="2">
        <f t="shared" si="17"/>
        <v>1.6666666666666718E-2</v>
      </c>
      <c r="F469" s="3">
        <f t="shared" si="18"/>
        <v>2.0833333333333814E-3</v>
      </c>
    </row>
    <row r="470" spans="1:6" x14ac:dyDescent="0.25">
      <c r="A470" s="20">
        <v>42401</v>
      </c>
      <c r="B470" s="1" t="s">
        <v>10</v>
      </c>
      <c r="C470" s="2">
        <v>8.819444444444445E-2</v>
      </c>
      <c r="D470" s="2">
        <v>0.10277777777777779</v>
      </c>
      <c r="E470" s="2">
        <f t="shared" si="17"/>
        <v>1.4583333333333337E-2</v>
      </c>
      <c r="F470" s="3">
        <f t="shared" si="18"/>
        <v>4.8611111111110938E-3</v>
      </c>
    </row>
    <row r="471" spans="1:6" x14ac:dyDescent="0.25">
      <c r="A471" s="20">
        <v>42401</v>
      </c>
      <c r="B471" s="1" t="s">
        <v>10</v>
      </c>
      <c r="C471" s="2">
        <v>0.4236111111111111</v>
      </c>
      <c r="D471" s="2">
        <v>0.44305555555555554</v>
      </c>
      <c r="E471" s="2">
        <f t="shared" si="17"/>
        <v>1.9444444444444431E-2</v>
      </c>
      <c r="F471" s="3">
        <f t="shared" si="18"/>
        <v>6.9444444444449749E-4</v>
      </c>
    </row>
    <row r="472" spans="1:6" x14ac:dyDescent="0.25">
      <c r="A472" s="20">
        <v>42401</v>
      </c>
      <c r="B472" s="1" t="s">
        <v>10</v>
      </c>
      <c r="C472" s="2">
        <v>0.41597222222222219</v>
      </c>
      <c r="D472" s="2">
        <v>0.43611111111111112</v>
      </c>
      <c r="E472" s="2">
        <f t="shared" si="17"/>
        <v>2.0138888888888928E-2</v>
      </c>
      <c r="F472" s="3">
        <f t="shared" si="18"/>
        <v>2.7777777777777679E-3</v>
      </c>
    </row>
    <row r="473" spans="1:6" x14ac:dyDescent="0.25">
      <c r="A473" s="20">
        <v>42401</v>
      </c>
      <c r="B473" s="1" t="s">
        <v>10</v>
      </c>
      <c r="C473" s="2">
        <v>0.60069444444444442</v>
      </c>
      <c r="D473" s="2">
        <v>0.61805555555555558</v>
      </c>
      <c r="E473" s="2">
        <f t="shared" si="17"/>
        <v>1.736111111111116E-2</v>
      </c>
      <c r="F473" s="3">
        <f t="shared" si="18"/>
        <v>6.9444444444444198E-4</v>
      </c>
    </row>
    <row r="474" spans="1:6" x14ac:dyDescent="0.25">
      <c r="A474" s="20">
        <v>42401</v>
      </c>
      <c r="B474" s="1" t="s">
        <v>10</v>
      </c>
      <c r="C474" s="2">
        <v>0.81319444444444444</v>
      </c>
      <c r="D474" s="2">
        <v>0.82986111111111116</v>
      </c>
      <c r="E474" s="2">
        <f t="shared" si="17"/>
        <v>1.6666666666666718E-2</v>
      </c>
      <c r="F474" s="3">
        <f t="shared" si="18"/>
        <v>6.9444444444444198E-4</v>
      </c>
    </row>
    <row r="475" spans="1:6" x14ac:dyDescent="0.25">
      <c r="A475" s="20">
        <v>42401</v>
      </c>
      <c r="B475" s="1" t="s">
        <v>10</v>
      </c>
      <c r="C475" s="2">
        <v>0.81805555555555554</v>
      </c>
      <c r="D475" s="2">
        <v>0.8354166666666667</v>
      </c>
      <c r="E475" s="2">
        <f t="shared" si="17"/>
        <v>1.736111111111116E-2</v>
      </c>
      <c r="F475" s="3">
        <f t="shared" si="18"/>
        <v>1.5277777777777835E-2</v>
      </c>
    </row>
    <row r="476" spans="1:6" x14ac:dyDescent="0.25">
      <c r="A476" s="20">
        <v>42401</v>
      </c>
      <c r="B476" s="1" t="s">
        <v>10</v>
      </c>
      <c r="C476" s="2">
        <v>0.87361111111111101</v>
      </c>
      <c r="D476" s="2">
        <v>0.90625</v>
      </c>
      <c r="E476" s="2">
        <f t="shared" si="17"/>
        <v>3.2638888888888995E-2</v>
      </c>
      <c r="F476" s="3">
        <f t="shared" si="18"/>
        <v>1.736111111111116E-2</v>
      </c>
    </row>
    <row r="477" spans="1:6" x14ac:dyDescent="0.25">
      <c r="A477" s="20">
        <v>42401</v>
      </c>
      <c r="B477" s="1" t="s">
        <v>10</v>
      </c>
      <c r="C477" s="2">
        <v>0.91388888888888886</v>
      </c>
      <c r="D477" s="2">
        <v>0.9291666666666667</v>
      </c>
      <c r="E477" s="2">
        <f t="shared" si="17"/>
        <v>1.5277777777777835E-2</v>
      </c>
      <c r="F477" s="3">
        <f t="shared" si="18"/>
        <v>5.5511151231257827E-17</v>
      </c>
    </row>
    <row r="478" spans="1:6" x14ac:dyDescent="0.25">
      <c r="A478" s="20">
        <v>42401</v>
      </c>
      <c r="B478" s="1" t="s">
        <v>10</v>
      </c>
      <c r="C478" s="2">
        <v>9.0972222222222218E-2</v>
      </c>
      <c r="D478" s="2">
        <v>0.10625</v>
      </c>
      <c r="E478" s="2">
        <f t="shared" si="17"/>
        <v>1.5277777777777779E-2</v>
      </c>
      <c r="F478" s="3">
        <f t="shared" si="18"/>
        <v>5.5555555555555358E-3</v>
      </c>
    </row>
    <row r="479" spans="1:6" x14ac:dyDescent="0.25">
      <c r="A479" s="20">
        <v>42401</v>
      </c>
      <c r="B479" s="1" t="s">
        <v>10</v>
      </c>
      <c r="C479" s="2">
        <v>0.3611111111111111</v>
      </c>
      <c r="D479" s="2">
        <v>0.38194444444444442</v>
      </c>
      <c r="E479" s="2">
        <f t="shared" si="17"/>
        <v>2.0833333333333315E-2</v>
      </c>
      <c r="F479" s="3">
        <f t="shared" si="18"/>
        <v>3.4722222222221544E-3</v>
      </c>
    </row>
    <row r="480" spans="1:6" x14ac:dyDescent="0.25">
      <c r="A480" s="20">
        <v>42401</v>
      </c>
      <c r="B480" s="1" t="s">
        <v>10</v>
      </c>
      <c r="C480" s="2">
        <v>0.42222222222222222</v>
      </c>
      <c r="D480" s="2">
        <v>0.43958333333333338</v>
      </c>
      <c r="E480" s="2">
        <f t="shared" si="17"/>
        <v>1.736111111111116E-2</v>
      </c>
      <c r="F480" s="3">
        <f t="shared" si="18"/>
        <v>3.4722222222223209E-3</v>
      </c>
    </row>
    <row r="481" spans="1:6" x14ac:dyDescent="0.25">
      <c r="A481" s="20">
        <v>42401</v>
      </c>
      <c r="B481" s="1" t="s">
        <v>10</v>
      </c>
      <c r="C481" s="2">
        <v>0.92986111111111114</v>
      </c>
      <c r="D481" s="2">
        <v>0.94374999999999998</v>
      </c>
      <c r="E481" s="2">
        <f t="shared" si="17"/>
        <v>1.388888888888884E-2</v>
      </c>
      <c r="F481" s="3">
        <f t="shared" si="18"/>
        <v>2.083333333333378E-3</v>
      </c>
    </row>
    <row r="482" spans="1:6" x14ac:dyDescent="0.25">
      <c r="A482" s="20">
        <v>42401</v>
      </c>
      <c r="B482" s="1" t="s">
        <v>10</v>
      </c>
      <c r="C482" s="2">
        <v>1.8055555555555557E-2</v>
      </c>
      <c r="D482" s="2">
        <v>3.4027777777777775E-2</v>
      </c>
      <c r="E482" s="2">
        <f t="shared" si="17"/>
        <v>1.5972222222222218E-2</v>
      </c>
      <c r="F482" s="3">
        <f t="shared" si="18"/>
        <v>9.0277777777777769E-3</v>
      </c>
    </row>
    <row r="483" spans="1:6" x14ac:dyDescent="0.25">
      <c r="A483" s="20">
        <v>42401</v>
      </c>
      <c r="B483" s="1" t="s">
        <v>10</v>
      </c>
      <c r="C483" s="2">
        <v>5.486111111111111E-2</v>
      </c>
      <c r="D483" s="2">
        <v>7.9861111111111105E-2</v>
      </c>
      <c r="E483" s="2">
        <f t="shared" si="17"/>
        <v>2.4999999999999994E-2</v>
      </c>
      <c r="F483" s="3">
        <f t="shared" si="18"/>
        <v>4.1666666666666241E-3</v>
      </c>
    </row>
    <row r="484" spans="1:6" x14ac:dyDescent="0.25">
      <c r="A484" s="20">
        <v>42401</v>
      </c>
      <c r="B484" s="1" t="s">
        <v>10</v>
      </c>
      <c r="C484" s="2">
        <v>0.39444444444444443</v>
      </c>
      <c r="D484" s="2">
        <v>0.4152777777777778</v>
      </c>
      <c r="E484" s="2">
        <f t="shared" si="17"/>
        <v>2.083333333333337E-2</v>
      </c>
      <c r="F484" s="3">
        <f t="shared" si="18"/>
        <v>4.1666666666667074E-3</v>
      </c>
    </row>
    <row r="485" spans="1:6" x14ac:dyDescent="0.25">
      <c r="A485" s="20">
        <v>42401</v>
      </c>
      <c r="B485" s="1" t="s">
        <v>10</v>
      </c>
      <c r="C485" s="2">
        <v>0.40902777777777777</v>
      </c>
      <c r="D485" s="2">
        <v>0.42569444444444443</v>
      </c>
      <c r="E485" s="2">
        <f t="shared" si="17"/>
        <v>1.6666666666666663E-2</v>
      </c>
      <c r="F485" s="3">
        <f t="shared" si="18"/>
        <v>5.5555555555555913E-3</v>
      </c>
    </row>
    <row r="486" spans="1:6" x14ac:dyDescent="0.25">
      <c r="A486" s="20">
        <v>42401</v>
      </c>
      <c r="B486" s="1" t="s">
        <v>10</v>
      </c>
      <c r="C486" s="2">
        <v>0.42430555555555555</v>
      </c>
      <c r="D486" s="2">
        <v>0.4465277777777778</v>
      </c>
      <c r="E486" s="2">
        <f t="shared" si="17"/>
        <v>2.2222222222222254E-2</v>
      </c>
      <c r="F486" s="3">
        <f t="shared" si="18"/>
        <v>2.0833333333333814E-3</v>
      </c>
    </row>
    <row r="487" spans="1:6" x14ac:dyDescent="0.25">
      <c r="A487" s="20">
        <v>42401</v>
      </c>
      <c r="B487" s="1" t="s">
        <v>10</v>
      </c>
      <c r="C487" s="2">
        <v>0.43333333333333335</v>
      </c>
      <c r="D487" s="2">
        <v>0.45347222222222222</v>
      </c>
      <c r="E487" s="2">
        <f t="shared" si="17"/>
        <v>2.0138888888888873E-2</v>
      </c>
      <c r="F487" s="3">
        <f t="shared" si="18"/>
        <v>2.0833333333332704E-3</v>
      </c>
    </row>
    <row r="488" spans="1:6" x14ac:dyDescent="0.25">
      <c r="A488" s="20">
        <v>42401</v>
      </c>
      <c r="B488" s="1" t="s">
        <v>10</v>
      </c>
      <c r="C488" s="2">
        <v>0.58958333333333335</v>
      </c>
      <c r="D488" s="2">
        <v>0.60763888888888895</v>
      </c>
      <c r="E488" s="2">
        <f t="shared" si="17"/>
        <v>1.8055555555555602E-2</v>
      </c>
      <c r="F488" s="3">
        <f t="shared" si="18"/>
        <v>2.7777777777777679E-3</v>
      </c>
    </row>
    <row r="489" spans="1:6" x14ac:dyDescent="0.25">
      <c r="A489" s="20">
        <v>42401</v>
      </c>
      <c r="B489" s="1" t="s">
        <v>10</v>
      </c>
      <c r="C489" s="2">
        <v>0.62222222222222223</v>
      </c>
      <c r="D489" s="2">
        <v>0.6430555555555556</v>
      </c>
      <c r="E489" s="2">
        <f t="shared" si="17"/>
        <v>2.083333333333337E-2</v>
      </c>
      <c r="F489" s="3">
        <f t="shared" si="18"/>
        <v>2.7777777777778789E-3</v>
      </c>
    </row>
    <row r="490" spans="1:6" x14ac:dyDescent="0.25">
      <c r="A490" s="20">
        <v>42401</v>
      </c>
      <c r="B490" s="1" t="s">
        <v>10</v>
      </c>
      <c r="C490" s="2">
        <v>0.7597222222222223</v>
      </c>
      <c r="D490" s="2">
        <v>0.77777777777777779</v>
      </c>
      <c r="E490" s="2">
        <f t="shared" si="17"/>
        <v>1.8055555555555491E-2</v>
      </c>
      <c r="F490" s="3">
        <f t="shared" si="18"/>
        <v>1.388888888888884E-3</v>
      </c>
    </row>
    <row r="491" spans="1:6" x14ac:dyDescent="0.25">
      <c r="A491" s="20">
        <v>42401</v>
      </c>
      <c r="B491" s="1" t="s">
        <v>10</v>
      </c>
      <c r="C491" s="2">
        <v>0.77500000000000002</v>
      </c>
      <c r="D491" s="2">
        <v>0.7944444444444444</v>
      </c>
      <c r="E491" s="2">
        <f t="shared" si="17"/>
        <v>1.9444444444444375E-2</v>
      </c>
      <c r="F491" s="3">
        <f t="shared" si="18"/>
        <v>2.7777777777776569E-3</v>
      </c>
    </row>
    <row r="492" spans="1:6" x14ac:dyDescent="0.25">
      <c r="A492" s="20">
        <v>42401</v>
      </c>
      <c r="B492" s="1" t="s">
        <v>10</v>
      </c>
      <c r="C492" s="2">
        <v>0.79791666666666661</v>
      </c>
      <c r="D492" s="2">
        <v>0.81458333333333333</v>
      </c>
      <c r="E492" s="2">
        <f t="shared" si="17"/>
        <v>1.6666666666666718E-2</v>
      </c>
      <c r="F492" s="3">
        <f t="shared" si="18"/>
        <v>1.3888888888887729E-3</v>
      </c>
    </row>
    <row r="493" spans="1:6" x14ac:dyDescent="0.25">
      <c r="A493" s="20">
        <v>42401</v>
      </c>
      <c r="B493" s="1" t="s">
        <v>10</v>
      </c>
      <c r="C493" s="2">
        <v>0.81597222222222221</v>
      </c>
      <c r="D493" s="2">
        <v>0.8340277777777777</v>
      </c>
      <c r="E493" s="2">
        <f t="shared" si="17"/>
        <v>1.8055555555555491E-2</v>
      </c>
      <c r="F493" s="3">
        <f t="shared" si="18"/>
        <v>5.5555555555554248E-3</v>
      </c>
    </row>
    <row r="494" spans="1:6" x14ac:dyDescent="0.25">
      <c r="A494" s="20">
        <v>42401</v>
      </c>
      <c r="B494" s="1" t="s">
        <v>10</v>
      </c>
      <c r="C494" s="2">
        <v>0.87430555555555556</v>
      </c>
      <c r="D494" s="2">
        <v>0.88680555555555562</v>
      </c>
      <c r="E494" s="2">
        <f t="shared" si="17"/>
        <v>1.2500000000000067E-2</v>
      </c>
      <c r="F494" s="3">
        <f t="shared" si="18"/>
        <v>4.1666666666665964E-3</v>
      </c>
    </row>
    <row r="495" spans="1:6" x14ac:dyDescent="0.25">
      <c r="A495" s="20">
        <v>42401</v>
      </c>
      <c r="B495" s="1" t="s">
        <v>10</v>
      </c>
      <c r="C495" s="2">
        <v>0.34791666666666665</v>
      </c>
      <c r="D495" s="2">
        <v>0.36458333333333331</v>
      </c>
      <c r="E495" s="2">
        <f t="shared" si="17"/>
        <v>1.6666666666666663E-2</v>
      </c>
      <c r="F495" s="3">
        <f t="shared" si="18"/>
        <v>2.0833333333333259E-3</v>
      </c>
    </row>
    <row r="496" spans="1:6" x14ac:dyDescent="0.25">
      <c r="A496" s="20">
        <v>42401</v>
      </c>
      <c r="B496" s="1" t="s">
        <v>10</v>
      </c>
      <c r="C496" s="2">
        <v>0.3888888888888889</v>
      </c>
      <c r="D496" s="2">
        <v>0.40763888888888888</v>
      </c>
      <c r="E496" s="2">
        <f t="shared" si="17"/>
        <v>1.8749999999999989E-2</v>
      </c>
      <c r="F496" s="3">
        <f t="shared" si="18"/>
        <v>6.9444444444444198E-4</v>
      </c>
    </row>
    <row r="497" spans="1:6" x14ac:dyDescent="0.25">
      <c r="A497" s="20">
        <v>42401</v>
      </c>
      <c r="B497" s="1" t="s">
        <v>10</v>
      </c>
      <c r="C497" s="2">
        <v>0.41944444444444445</v>
      </c>
      <c r="D497" s="2">
        <v>0.43888888888888888</v>
      </c>
      <c r="E497" s="2">
        <f t="shared" si="17"/>
        <v>1.9444444444444431E-2</v>
      </c>
      <c r="F497" s="3">
        <f t="shared" si="18"/>
        <v>1.5277777777777835E-2</v>
      </c>
    </row>
    <row r="498" spans="1:6" x14ac:dyDescent="0.25">
      <c r="A498" s="20">
        <v>42401</v>
      </c>
      <c r="B498" s="1" t="s">
        <v>10</v>
      </c>
      <c r="C498" s="2">
        <v>0.43541666666666662</v>
      </c>
      <c r="D498" s="2">
        <v>0.47013888888888888</v>
      </c>
      <c r="E498" s="2">
        <f t="shared" si="17"/>
        <v>3.4722222222222265E-2</v>
      </c>
      <c r="F498" s="3">
        <f t="shared" si="18"/>
        <v>1.8055555555555658E-2</v>
      </c>
    </row>
    <row r="499" spans="1:6" x14ac:dyDescent="0.25">
      <c r="A499" s="20">
        <v>42401</v>
      </c>
      <c r="B499" s="1" t="s">
        <v>10</v>
      </c>
      <c r="C499" s="2">
        <v>0.4826388888888889</v>
      </c>
      <c r="D499" s="2">
        <v>0.4993055555555555</v>
      </c>
      <c r="E499" s="2">
        <f t="shared" si="17"/>
        <v>1.6666666666666607E-2</v>
      </c>
      <c r="F499" s="3">
        <f t="shared" si="18"/>
        <v>1.5277777777777835E-2</v>
      </c>
    </row>
    <row r="500" spans="1:6" x14ac:dyDescent="0.25">
      <c r="A500" s="20">
        <v>42401</v>
      </c>
      <c r="B500" s="1" t="s">
        <v>10</v>
      </c>
      <c r="C500" s="2">
        <v>0.47847222222222219</v>
      </c>
      <c r="D500" s="2">
        <v>0.51041666666666663</v>
      </c>
      <c r="E500" s="2">
        <f t="shared" si="17"/>
        <v>3.1944444444444442E-2</v>
      </c>
      <c r="F500" s="3">
        <f t="shared" si="18"/>
        <v>1.041666666666663E-2</v>
      </c>
    </row>
    <row r="501" spans="1:6" x14ac:dyDescent="0.25">
      <c r="A501" s="20">
        <v>42401</v>
      </c>
      <c r="B501" s="1" t="s">
        <v>10</v>
      </c>
      <c r="C501" s="2">
        <v>0.52222222222222225</v>
      </c>
      <c r="D501" s="2">
        <v>0.54375000000000007</v>
      </c>
      <c r="E501" s="2">
        <f t="shared" si="17"/>
        <v>2.1527777777777812E-2</v>
      </c>
      <c r="F501" s="3">
        <f t="shared" si="18"/>
        <v>6.94444444444553E-4</v>
      </c>
    </row>
    <row r="502" spans="1:6" x14ac:dyDescent="0.25">
      <c r="A502" s="20">
        <v>42401</v>
      </c>
      <c r="B502" s="1" t="s">
        <v>10</v>
      </c>
      <c r="C502" s="2">
        <v>0.5805555555555556</v>
      </c>
      <c r="D502" s="2">
        <v>0.60138888888888886</v>
      </c>
      <c r="E502" s="2">
        <f t="shared" si="17"/>
        <v>2.0833333333333259E-2</v>
      </c>
      <c r="F502" s="3">
        <f t="shared" si="18"/>
        <v>5.5555555555555358E-3</v>
      </c>
    </row>
    <row r="503" spans="1:6" x14ac:dyDescent="0.25">
      <c r="A503" s="20">
        <v>42401</v>
      </c>
      <c r="B503" s="1" t="s">
        <v>10</v>
      </c>
      <c r="C503" s="2">
        <v>0.66527777777777775</v>
      </c>
      <c r="D503" s="2">
        <v>0.68055555555555547</v>
      </c>
      <c r="E503" s="2">
        <f t="shared" si="17"/>
        <v>1.5277777777777724E-2</v>
      </c>
      <c r="F503" s="3">
        <f t="shared" si="18"/>
        <v>2.7777777777776569E-3</v>
      </c>
    </row>
    <row r="504" spans="1:6" x14ac:dyDescent="0.25">
      <c r="A504" s="20">
        <v>42401</v>
      </c>
      <c r="B504" s="1" t="s">
        <v>10</v>
      </c>
      <c r="C504" s="2">
        <v>0.79305555555555562</v>
      </c>
      <c r="D504" s="2">
        <v>0.81111111111111101</v>
      </c>
      <c r="E504" s="2">
        <f t="shared" si="17"/>
        <v>1.805555555555538E-2</v>
      </c>
      <c r="F504" s="3">
        <f t="shared" si="18"/>
        <v>2.7777777777775459E-3</v>
      </c>
    </row>
    <row r="505" spans="1:6" x14ac:dyDescent="0.25">
      <c r="A505" s="20">
        <v>42401</v>
      </c>
      <c r="B505" s="1" t="s">
        <v>10</v>
      </c>
      <c r="C505" s="2">
        <v>0.81736111111111109</v>
      </c>
      <c r="D505" s="2">
        <v>0.83263888888888893</v>
      </c>
      <c r="E505" s="2">
        <f t="shared" si="17"/>
        <v>1.5277777777777835E-2</v>
      </c>
      <c r="F505" s="3">
        <f t="shared" si="18"/>
        <v>3.4722222222220989E-3</v>
      </c>
    </row>
    <row r="506" spans="1:6" x14ac:dyDescent="0.25">
      <c r="A506" s="20">
        <v>42401</v>
      </c>
      <c r="B506" s="1" t="s">
        <v>10</v>
      </c>
      <c r="C506" s="2">
        <v>0.82777777777777783</v>
      </c>
      <c r="D506" s="2">
        <v>0.84652777777777777</v>
      </c>
      <c r="E506" s="2">
        <f t="shared" si="17"/>
        <v>1.8749999999999933E-2</v>
      </c>
      <c r="F506" s="3">
        <f t="shared" si="18"/>
        <v>2.7777777777778512E-3</v>
      </c>
    </row>
    <row r="507" spans="1:6" x14ac:dyDescent="0.25">
      <c r="A507" s="20">
        <v>42401</v>
      </c>
      <c r="B507" s="1" t="s">
        <v>10</v>
      </c>
      <c r="C507" s="2">
        <v>6.8749999999999992E-2</v>
      </c>
      <c r="D507" s="2">
        <v>9.0277777777777776E-2</v>
      </c>
      <c r="E507" s="2">
        <f t="shared" si="17"/>
        <v>2.1527777777777785E-2</v>
      </c>
      <c r="F507" s="3">
        <f t="shared" si="18"/>
        <v>3.4722222222222099E-3</v>
      </c>
    </row>
    <row r="508" spans="1:6" x14ac:dyDescent="0.25">
      <c r="A508" s="20">
        <v>42401</v>
      </c>
      <c r="B508" s="1" t="s">
        <v>10</v>
      </c>
      <c r="C508" s="2">
        <v>0.19305555555555554</v>
      </c>
      <c r="D508" s="2">
        <v>0.21111111111111111</v>
      </c>
      <c r="E508" s="2">
        <f t="shared" si="17"/>
        <v>1.8055555555555575E-2</v>
      </c>
      <c r="F508" s="3">
        <f t="shared" si="18"/>
        <v>6.9444444444446973E-4</v>
      </c>
    </row>
    <row r="509" spans="1:6" x14ac:dyDescent="0.25">
      <c r="A509" s="20">
        <v>42401</v>
      </c>
      <c r="B509" s="1" t="s">
        <v>10</v>
      </c>
      <c r="C509" s="2">
        <v>0.34097222222222223</v>
      </c>
      <c r="D509" s="2">
        <v>0.35833333333333334</v>
      </c>
      <c r="E509" s="2">
        <f t="shared" si="17"/>
        <v>1.7361111111111105E-2</v>
      </c>
      <c r="F509" s="3">
        <f t="shared" si="18"/>
        <v>3.4722222222222654E-3</v>
      </c>
    </row>
    <row r="510" spans="1:6" x14ac:dyDescent="0.25">
      <c r="A510" s="20">
        <v>42401</v>
      </c>
      <c r="B510" s="1" t="s">
        <v>10</v>
      </c>
      <c r="C510" s="2">
        <v>0.39305555555555555</v>
      </c>
      <c r="D510" s="2">
        <v>0.41388888888888892</v>
      </c>
      <c r="E510" s="2">
        <f t="shared" si="17"/>
        <v>2.083333333333337E-2</v>
      </c>
      <c r="F510" s="3">
        <f t="shared" si="18"/>
        <v>1.1805555555555625E-2</v>
      </c>
    </row>
    <row r="511" spans="1:6" x14ac:dyDescent="0.25">
      <c r="A511" s="20">
        <v>42401</v>
      </c>
      <c r="B511" s="1" t="s">
        <v>10</v>
      </c>
      <c r="C511" s="2">
        <v>0.38541666666666669</v>
      </c>
      <c r="D511" s="2">
        <v>0.39444444444444443</v>
      </c>
      <c r="E511" s="2">
        <f t="shared" si="17"/>
        <v>9.0277777777777457E-3</v>
      </c>
      <c r="F511" s="3">
        <f t="shared" si="18"/>
        <v>6.2500000000000333E-3</v>
      </c>
    </row>
    <row r="512" spans="1:6" x14ac:dyDescent="0.25">
      <c r="A512" s="20">
        <v>42401</v>
      </c>
      <c r="B512" s="1" t="s">
        <v>10</v>
      </c>
      <c r="C512" s="2">
        <v>0.46875</v>
      </c>
      <c r="D512" s="2">
        <v>0.48402777777777778</v>
      </c>
      <c r="E512" s="2">
        <f t="shared" ref="E512:E573" si="19">D512-C512</f>
        <v>1.5277777777777779E-2</v>
      </c>
      <c r="F512" s="3">
        <f t="shared" si="18"/>
        <v>7.6388888888889173E-3</v>
      </c>
    </row>
    <row r="513" spans="1:6" x14ac:dyDescent="0.25">
      <c r="A513" s="20">
        <v>42401</v>
      </c>
      <c r="B513" s="1" t="s">
        <v>10</v>
      </c>
      <c r="C513" s="2">
        <v>0.54999999999999993</v>
      </c>
      <c r="D513" s="2">
        <v>0.57291666666666663</v>
      </c>
      <c r="E513" s="2">
        <f t="shared" si="19"/>
        <v>2.2916666666666696E-2</v>
      </c>
      <c r="F513" s="3">
        <f t="shared" si="18"/>
        <v>6.9444444444433095E-4</v>
      </c>
    </row>
    <row r="514" spans="1:6" x14ac:dyDescent="0.25">
      <c r="A514" s="20">
        <v>42401</v>
      </c>
      <c r="B514" s="1" t="s">
        <v>10</v>
      </c>
      <c r="C514" s="2">
        <v>0.5493055555555556</v>
      </c>
      <c r="D514" s="2">
        <v>0.57291666666666663</v>
      </c>
      <c r="E514" s="2">
        <f t="shared" si="19"/>
        <v>2.3611111111111027E-2</v>
      </c>
      <c r="F514" s="3">
        <f t="shared" si="18"/>
        <v>4.8611111111110938E-3</v>
      </c>
    </row>
    <row r="515" spans="1:6" x14ac:dyDescent="0.25">
      <c r="A515" s="20">
        <v>42401</v>
      </c>
      <c r="B515" s="1" t="s">
        <v>10</v>
      </c>
      <c r="C515" s="2">
        <v>0.625</v>
      </c>
      <c r="D515" s="2">
        <v>0.64374999999999993</v>
      </c>
      <c r="E515" s="2">
        <f t="shared" si="19"/>
        <v>1.8749999999999933E-2</v>
      </c>
      <c r="F515" s="3">
        <f t="shared" si="18"/>
        <v>2.7777777777776569E-3</v>
      </c>
    </row>
    <row r="516" spans="1:6" x14ac:dyDescent="0.25">
      <c r="A516" s="20">
        <v>42401</v>
      </c>
      <c r="B516" s="1" t="s">
        <v>10</v>
      </c>
      <c r="C516" s="2">
        <v>0.68402777777777779</v>
      </c>
      <c r="D516" s="2">
        <v>0.70000000000000007</v>
      </c>
      <c r="E516" s="2">
        <f t="shared" si="19"/>
        <v>1.5972222222222276E-2</v>
      </c>
      <c r="F516" s="3">
        <f t="shared" si="18"/>
        <v>3.4722222222222099E-3</v>
      </c>
    </row>
    <row r="517" spans="1:6" x14ac:dyDescent="0.25">
      <c r="A517" s="20">
        <v>42401</v>
      </c>
      <c r="B517" s="1" t="s">
        <v>10</v>
      </c>
      <c r="C517" s="2">
        <v>0.78749999999999998</v>
      </c>
      <c r="D517" s="2">
        <v>0.80694444444444446</v>
      </c>
      <c r="E517" s="2">
        <f t="shared" si="19"/>
        <v>1.9444444444444486E-2</v>
      </c>
      <c r="F517" s="3">
        <f t="shared" si="18"/>
        <v>1.1102230246251565E-16</v>
      </c>
    </row>
    <row r="518" spans="1:6" x14ac:dyDescent="0.25">
      <c r="A518" s="20">
        <v>42401</v>
      </c>
      <c r="B518" s="1" t="s">
        <v>10</v>
      </c>
      <c r="C518" s="2">
        <v>0.7715277777777777</v>
      </c>
      <c r="D518" s="2">
        <v>0.7909722222222223</v>
      </c>
      <c r="E518" s="2">
        <f t="shared" si="19"/>
        <v>1.9444444444444597E-2</v>
      </c>
      <c r="F518" s="3">
        <f t="shared" si="18"/>
        <v>4.1666666666668739E-3</v>
      </c>
    </row>
    <row r="519" spans="1:6" x14ac:dyDescent="0.25">
      <c r="A519" s="20">
        <v>42401</v>
      </c>
      <c r="B519" s="1" t="s">
        <v>10</v>
      </c>
      <c r="C519" s="2">
        <v>0.92708333333333337</v>
      </c>
      <c r="D519" s="2">
        <v>0.94236111111111109</v>
      </c>
      <c r="E519" s="2">
        <f t="shared" si="19"/>
        <v>1.5277777777777724E-2</v>
      </c>
      <c r="F519" s="3">
        <f t="shared" ref="F519:F555" si="20">ABS(E519-E520)</f>
        <v>2.7777777777778234E-3</v>
      </c>
    </row>
    <row r="520" spans="1:6" x14ac:dyDescent="0.25">
      <c r="A520" s="20">
        <v>42401</v>
      </c>
      <c r="B520" s="1" t="s">
        <v>10</v>
      </c>
      <c r="C520" s="2">
        <v>0.37638888888888888</v>
      </c>
      <c r="D520" s="2">
        <v>0.39444444444444443</v>
      </c>
      <c r="E520" s="2">
        <f t="shared" si="19"/>
        <v>1.8055555555555547E-2</v>
      </c>
      <c r="F520" s="3">
        <f t="shared" si="20"/>
        <v>8.3333333333333592E-3</v>
      </c>
    </row>
    <row r="521" spans="1:6" x14ac:dyDescent="0.25">
      <c r="A521" s="20">
        <v>42401</v>
      </c>
      <c r="B521" s="1" t="s">
        <v>10</v>
      </c>
      <c r="C521" s="2">
        <v>0.53402777777777777</v>
      </c>
      <c r="D521" s="2">
        <v>0.56041666666666667</v>
      </c>
      <c r="E521" s="2">
        <f t="shared" si="19"/>
        <v>2.6388888888888906E-2</v>
      </c>
      <c r="F521" s="3">
        <f t="shared" si="20"/>
        <v>1.1102230246251565E-16</v>
      </c>
    </row>
    <row r="522" spans="1:6" x14ac:dyDescent="0.25">
      <c r="A522" s="20">
        <v>42401</v>
      </c>
      <c r="B522" s="1" t="s">
        <v>10</v>
      </c>
      <c r="C522" s="2">
        <v>0.61458333333333337</v>
      </c>
      <c r="D522" s="2">
        <v>0.64097222222222217</v>
      </c>
      <c r="E522" s="2">
        <f t="shared" si="19"/>
        <v>2.6388888888888795E-2</v>
      </c>
      <c r="F522" s="3">
        <f t="shared" si="20"/>
        <v>6.2499999999998668E-3</v>
      </c>
    </row>
    <row r="523" spans="1:6" x14ac:dyDescent="0.25">
      <c r="A523" s="20">
        <v>42401</v>
      </c>
      <c r="B523" s="1" t="s">
        <v>10</v>
      </c>
      <c r="C523" s="2">
        <v>0.67291666666666661</v>
      </c>
      <c r="D523" s="2">
        <v>0.69305555555555554</v>
      </c>
      <c r="E523" s="2">
        <f t="shared" si="19"/>
        <v>2.0138888888888928E-2</v>
      </c>
      <c r="F523" s="3">
        <f t="shared" si="20"/>
        <v>2.0833333333333259E-3</v>
      </c>
    </row>
    <row r="524" spans="1:6" x14ac:dyDescent="0.25">
      <c r="A524" s="20">
        <v>42401</v>
      </c>
      <c r="B524" s="1" t="s">
        <v>10</v>
      </c>
      <c r="C524" s="2">
        <v>0.68680555555555556</v>
      </c>
      <c r="D524" s="2">
        <v>0.70486111111111116</v>
      </c>
      <c r="E524" s="2">
        <f t="shared" si="19"/>
        <v>1.8055555555555602E-2</v>
      </c>
      <c r="F524" s="3">
        <f t="shared" si="20"/>
        <v>1.041666666666663E-2</v>
      </c>
    </row>
    <row r="525" spans="1:6" x14ac:dyDescent="0.25">
      <c r="A525" s="20">
        <v>42401</v>
      </c>
      <c r="B525" s="1" t="s">
        <v>10</v>
      </c>
      <c r="C525" s="2">
        <v>0.6972222222222223</v>
      </c>
      <c r="D525" s="2">
        <v>0.72569444444444453</v>
      </c>
      <c r="E525" s="2">
        <f t="shared" si="19"/>
        <v>2.8472222222222232E-2</v>
      </c>
      <c r="F525" s="3">
        <f t="shared" si="20"/>
        <v>1.1111111111111183E-2</v>
      </c>
    </row>
    <row r="526" spans="1:6" x14ac:dyDescent="0.25">
      <c r="A526" s="20">
        <v>42401</v>
      </c>
      <c r="B526" s="1" t="s">
        <v>10</v>
      </c>
      <c r="C526" s="2">
        <v>0.72083333333333333</v>
      </c>
      <c r="D526" s="2">
        <v>0.73819444444444438</v>
      </c>
      <c r="E526" s="2">
        <f t="shared" si="19"/>
        <v>1.7361111111111049E-2</v>
      </c>
      <c r="F526" s="3">
        <f t="shared" si="20"/>
        <v>2.5000000000000022E-2</v>
      </c>
    </row>
    <row r="527" spans="1:6" x14ac:dyDescent="0.25">
      <c r="A527" s="20">
        <v>42401</v>
      </c>
      <c r="B527" s="1" t="s">
        <v>10</v>
      </c>
      <c r="C527" s="2">
        <v>0.80208333333333337</v>
      </c>
      <c r="D527" s="2">
        <v>0.84444444444444444</v>
      </c>
      <c r="E527" s="2">
        <f t="shared" si="19"/>
        <v>4.2361111111111072E-2</v>
      </c>
      <c r="F527" s="3">
        <f t="shared" si="20"/>
        <v>1.7361111111111049E-2</v>
      </c>
    </row>
    <row r="528" spans="1:6" x14ac:dyDescent="0.25">
      <c r="A528" s="20">
        <v>42401</v>
      </c>
      <c r="B528" s="1" t="s">
        <v>10</v>
      </c>
      <c r="C528" s="2">
        <v>0.82638888888888884</v>
      </c>
      <c r="D528" s="2">
        <v>0.85138888888888886</v>
      </c>
      <c r="E528" s="2">
        <f t="shared" si="19"/>
        <v>2.5000000000000022E-2</v>
      </c>
      <c r="F528" s="3">
        <f t="shared" si="20"/>
        <v>2.4305555555555552E-2</v>
      </c>
    </row>
    <row r="529" spans="1:6" x14ac:dyDescent="0.25">
      <c r="A529" s="20">
        <v>42401</v>
      </c>
      <c r="B529" s="1" t="s">
        <v>10</v>
      </c>
      <c r="C529" s="2">
        <v>0.20972222222222223</v>
      </c>
      <c r="D529" s="2">
        <v>0.2590277777777778</v>
      </c>
      <c r="E529" s="2">
        <f t="shared" si="19"/>
        <v>4.9305555555555575E-2</v>
      </c>
      <c r="F529" s="3">
        <f t="shared" si="20"/>
        <v>2.6388888888888878E-2</v>
      </c>
    </row>
    <row r="530" spans="1:6" x14ac:dyDescent="0.25">
      <c r="A530" s="20">
        <v>42401</v>
      </c>
      <c r="B530" s="1" t="s">
        <v>10</v>
      </c>
      <c r="C530" s="2">
        <v>0.3972222222222222</v>
      </c>
      <c r="D530" s="2">
        <v>0.4201388888888889</v>
      </c>
      <c r="E530" s="2">
        <f t="shared" si="19"/>
        <v>2.2916666666666696E-2</v>
      </c>
      <c r="F530" s="3">
        <f t="shared" si="20"/>
        <v>5.5555555555556468E-3</v>
      </c>
    </row>
    <row r="531" spans="1:6" x14ac:dyDescent="0.25">
      <c r="A531" s="20">
        <v>42401</v>
      </c>
      <c r="B531" s="1" t="s">
        <v>10</v>
      </c>
      <c r="C531" s="2">
        <v>0.47638888888888892</v>
      </c>
      <c r="D531" s="2">
        <v>0.49374999999999997</v>
      </c>
      <c r="E531" s="2">
        <f t="shared" si="19"/>
        <v>1.7361111111111049E-2</v>
      </c>
      <c r="F531" s="3">
        <f t="shared" si="20"/>
        <v>3.4722222222223209E-3</v>
      </c>
    </row>
    <row r="532" spans="1:6" x14ac:dyDescent="0.25">
      <c r="A532" s="20">
        <v>42401</v>
      </c>
      <c r="B532" s="1" t="s">
        <v>10</v>
      </c>
      <c r="C532" s="2">
        <v>0.56874999999999998</v>
      </c>
      <c r="D532" s="2">
        <v>0.58958333333333335</v>
      </c>
      <c r="E532" s="2">
        <f t="shared" si="19"/>
        <v>2.083333333333337E-2</v>
      </c>
      <c r="F532" s="3">
        <f t="shared" si="20"/>
        <v>4.8611111111111494E-3</v>
      </c>
    </row>
    <row r="533" spans="1:6" x14ac:dyDescent="0.25">
      <c r="A533" s="20">
        <v>42401</v>
      </c>
      <c r="B533" s="1" t="s">
        <v>10</v>
      </c>
      <c r="C533" s="2">
        <v>9.7222222222222224E-2</v>
      </c>
      <c r="D533" s="2">
        <v>0.11319444444444444</v>
      </c>
      <c r="E533" s="2">
        <f t="shared" si="19"/>
        <v>1.5972222222222221E-2</v>
      </c>
      <c r="F533" s="3">
        <f t="shared" si="20"/>
        <v>1.3888888888889395E-3</v>
      </c>
    </row>
    <row r="534" spans="1:6" x14ac:dyDescent="0.25">
      <c r="A534" s="20">
        <v>42401</v>
      </c>
      <c r="B534" s="1" t="s">
        <v>10</v>
      </c>
      <c r="C534" s="2">
        <v>0.33749999999999997</v>
      </c>
      <c r="D534" s="2">
        <v>0.35486111111111113</v>
      </c>
      <c r="E534" s="2">
        <f t="shared" si="19"/>
        <v>1.736111111111116E-2</v>
      </c>
      <c r="F534" s="3">
        <f t="shared" si="20"/>
        <v>1.3888888888887729E-3</v>
      </c>
    </row>
    <row r="535" spans="1:6" x14ac:dyDescent="0.25">
      <c r="A535" s="20">
        <v>42401</v>
      </c>
      <c r="B535" s="1" t="s">
        <v>10</v>
      </c>
      <c r="C535" s="2">
        <v>0.73611111111111116</v>
      </c>
      <c r="D535" s="2">
        <v>0.75486111111111109</v>
      </c>
      <c r="E535" s="2">
        <f t="shared" si="19"/>
        <v>1.8749999999999933E-2</v>
      </c>
      <c r="F535" s="3">
        <f t="shared" si="20"/>
        <v>1.1102230246251565E-16</v>
      </c>
    </row>
    <row r="536" spans="1:6" x14ac:dyDescent="0.25">
      <c r="A536" s="20">
        <v>42401</v>
      </c>
      <c r="B536" s="1" t="s">
        <v>10</v>
      </c>
      <c r="C536" s="2">
        <v>0.76874999999999993</v>
      </c>
      <c r="D536" s="2">
        <v>0.78749999999999998</v>
      </c>
      <c r="E536" s="2">
        <f t="shared" si="19"/>
        <v>1.8750000000000044E-2</v>
      </c>
      <c r="F536" s="3">
        <f t="shared" si="20"/>
        <v>0</v>
      </c>
    </row>
    <row r="537" spans="1:6" x14ac:dyDescent="0.25">
      <c r="A537" s="20">
        <v>42401</v>
      </c>
      <c r="B537" s="1" t="s">
        <v>10</v>
      </c>
      <c r="C537" s="2">
        <v>0.4770833333333333</v>
      </c>
      <c r="D537" s="2">
        <v>0.49583333333333335</v>
      </c>
      <c r="E537" s="2">
        <f t="shared" si="19"/>
        <v>1.8750000000000044E-2</v>
      </c>
      <c r="F537" s="3">
        <f t="shared" si="20"/>
        <v>2.7777777777778234E-3</v>
      </c>
    </row>
    <row r="538" spans="1:6" x14ac:dyDescent="0.25">
      <c r="A538" s="20">
        <v>42401</v>
      </c>
      <c r="B538" s="1" t="s">
        <v>10</v>
      </c>
      <c r="C538" s="2">
        <v>0.48749999999999999</v>
      </c>
      <c r="D538" s="2">
        <v>0.50347222222222221</v>
      </c>
      <c r="E538" s="2">
        <f t="shared" si="19"/>
        <v>1.5972222222222221E-2</v>
      </c>
      <c r="F538" s="3">
        <f t="shared" si="20"/>
        <v>1.3888888888889395E-3</v>
      </c>
    </row>
    <row r="539" spans="1:6" x14ac:dyDescent="0.25">
      <c r="A539" s="20">
        <v>42401</v>
      </c>
      <c r="B539" s="1" t="s">
        <v>10</v>
      </c>
      <c r="C539" s="2">
        <v>0.72499999999999998</v>
      </c>
      <c r="D539" s="2">
        <v>0.74236111111111114</v>
      </c>
      <c r="E539" s="2">
        <f t="shared" si="19"/>
        <v>1.736111111111116E-2</v>
      </c>
      <c r="F539" s="3">
        <f t="shared" si="20"/>
        <v>2.1527777777777701E-2</v>
      </c>
    </row>
    <row r="540" spans="1:6" x14ac:dyDescent="0.25">
      <c r="A540" s="20">
        <v>42401</v>
      </c>
      <c r="B540" s="1" t="s">
        <v>10</v>
      </c>
      <c r="C540" s="2">
        <v>0.72222222222222221</v>
      </c>
      <c r="D540" s="2">
        <v>0.76111111111111107</v>
      </c>
      <c r="E540" s="2">
        <f t="shared" si="19"/>
        <v>3.8888888888888862E-2</v>
      </c>
      <c r="F540" s="3">
        <f t="shared" si="20"/>
        <v>1.7361111111110938E-2</v>
      </c>
    </row>
    <row r="541" spans="1:6" x14ac:dyDescent="0.25">
      <c r="A541" s="20">
        <v>42401</v>
      </c>
      <c r="B541" s="1" t="s">
        <v>10</v>
      </c>
      <c r="C541" s="2">
        <v>0.73263888888888884</v>
      </c>
      <c r="D541" s="2">
        <v>0.75416666666666676</v>
      </c>
      <c r="E541" s="2">
        <f t="shared" si="19"/>
        <v>2.1527777777777923E-2</v>
      </c>
      <c r="F541" s="3">
        <f t="shared" si="20"/>
        <v>2.083333333333548E-3</v>
      </c>
    </row>
    <row r="542" spans="1:6" x14ac:dyDescent="0.25">
      <c r="A542" s="20">
        <v>42401</v>
      </c>
      <c r="B542" s="1" t="s">
        <v>10</v>
      </c>
      <c r="C542" s="2">
        <v>0.85625000000000007</v>
      </c>
      <c r="D542" s="2">
        <v>0.87569444444444444</v>
      </c>
      <c r="E542" s="2">
        <f t="shared" si="19"/>
        <v>1.9444444444444375E-2</v>
      </c>
      <c r="F542" s="3">
        <f t="shared" si="20"/>
        <v>6.2499999999999778E-3</v>
      </c>
    </row>
    <row r="543" spans="1:6" x14ac:dyDescent="0.25">
      <c r="A543" s="20">
        <v>42401</v>
      </c>
      <c r="B543" s="1" t="s">
        <v>10</v>
      </c>
      <c r="C543" s="2">
        <v>0.80347222222222225</v>
      </c>
      <c r="D543" s="2">
        <v>0.82916666666666661</v>
      </c>
      <c r="E543" s="2">
        <f t="shared" si="19"/>
        <v>2.5694444444444353E-2</v>
      </c>
      <c r="F543" s="3">
        <f t="shared" si="20"/>
        <v>3.4722222222223105E-3</v>
      </c>
    </row>
    <row r="544" spans="1:6" x14ac:dyDescent="0.25">
      <c r="A544" s="20">
        <v>42401</v>
      </c>
      <c r="B544" s="1" t="s">
        <v>10</v>
      </c>
      <c r="C544" s="2">
        <v>1.5972222222222224E-2</v>
      </c>
      <c r="D544" s="2">
        <v>4.5138888888888888E-2</v>
      </c>
      <c r="E544" s="2">
        <f t="shared" si="19"/>
        <v>2.9166666666666664E-2</v>
      </c>
      <c r="F544" s="3">
        <f t="shared" si="20"/>
        <v>6.2500000000000021E-3</v>
      </c>
    </row>
    <row r="545" spans="1:6" x14ac:dyDescent="0.25">
      <c r="A545" s="20">
        <v>42401</v>
      </c>
      <c r="B545" s="1" t="s">
        <v>10</v>
      </c>
      <c r="C545" s="2">
        <v>3.4722222222222224E-2</v>
      </c>
      <c r="D545" s="2">
        <v>5.7638888888888885E-2</v>
      </c>
      <c r="E545" s="2">
        <f t="shared" si="19"/>
        <v>2.2916666666666662E-2</v>
      </c>
      <c r="F545" s="3">
        <f t="shared" si="20"/>
        <v>5.5555555555556121E-3</v>
      </c>
    </row>
    <row r="546" spans="1:6" x14ac:dyDescent="0.25">
      <c r="A546" s="20">
        <v>42401</v>
      </c>
      <c r="B546" s="1" t="s">
        <v>10</v>
      </c>
      <c r="C546" s="2">
        <v>0.38263888888888892</v>
      </c>
      <c r="D546" s="2">
        <v>0.39999999999999997</v>
      </c>
      <c r="E546" s="2">
        <f t="shared" si="19"/>
        <v>1.7361111111111049E-2</v>
      </c>
      <c r="F546" s="3">
        <f t="shared" si="20"/>
        <v>6.9444444444444198E-4</v>
      </c>
    </row>
    <row r="547" spans="1:6" x14ac:dyDescent="0.25">
      <c r="A547" s="20">
        <v>42401</v>
      </c>
      <c r="B547" s="1" t="s">
        <v>10</v>
      </c>
      <c r="C547" s="2">
        <v>0.4069444444444445</v>
      </c>
      <c r="D547" s="2">
        <v>0.42499999999999999</v>
      </c>
      <c r="E547" s="2">
        <f t="shared" si="19"/>
        <v>1.8055555555555491E-2</v>
      </c>
      <c r="F547" s="3">
        <f t="shared" si="20"/>
        <v>1.3888888888889395E-3</v>
      </c>
    </row>
    <row r="548" spans="1:6" x14ac:dyDescent="0.25">
      <c r="A548" s="20">
        <v>42401</v>
      </c>
      <c r="B548" s="1" t="s">
        <v>10</v>
      </c>
      <c r="C548" s="2">
        <v>0.40069444444444446</v>
      </c>
      <c r="D548" s="2">
        <v>0.4201388888888889</v>
      </c>
      <c r="E548" s="2">
        <f t="shared" si="19"/>
        <v>1.9444444444444431E-2</v>
      </c>
      <c r="F548" s="3">
        <f t="shared" si="20"/>
        <v>1.1805555555555569E-2</v>
      </c>
    </row>
    <row r="549" spans="1:6" x14ac:dyDescent="0.25">
      <c r="A549" s="20">
        <v>42401</v>
      </c>
      <c r="B549" s="1" t="s">
        <v>10</v>
      </c>
      <c r="C549" s="2">
        <v>0.4604166666666667</v>
      </c>
      <c r="D549" s="2">
        <v>0.4916666666666667</v>
      </c>
      <c r="E549" s="2">
        <f t="shared" si="19"/>
        <v>3.125E-2</v>
      </c>
      <c r="F549" s="3">
        <f t="shared" si="20"/>
        <v>2.1527777777777757E-2</v>
      </c>
    </row>
    <row r="550" spans="1:6" x14ac:dyDescent="0.25">
      <c r="A550" s="20">
        <v>42401</v>
      </c>
      <c r="B550" s="1" t="s">
        <v>10</v>
      </c>
      <c r="C550" s="2">
        <v>0.48194444444444445</v>
      </c>
      <c r="D550" s="2">
        <v>0.4916666666666667</v>
      </c>
      <c r="E550" s="2">
        <f t="shared" si="19"/>
        <v>9.7222222222222432E-3</v>
      </c>
      <c r="F550" s="3">
        <f t="shared" si="20"/>
        <v>6.2499999999999223E-3</v>
      </c>
    </row>
    <row r="551" spans="1:6" x14ac:dyDescent="0.25">
      <c r="A551" s="20">
        <v>42401</v>
      </c>
      <c r="B551" s="1" t="s">
        <v>10</v>
      </c>
      <c r="C551" s="2">
        <v>0.49583333333333335</v>
      </c>
      <c r="D551" s="2">
        <v>0.51180555555555551</v>
      </c>
      <c r="E551" s="2">
        <f t="shared" si="19"/>
        <v>1.5972222222222165E-2</v>
      </c>
      <c r="F551" s="3">
        <f t="shared" si="20"/>
        <v>2.7777777777777679E-3</v>
      </c>
    </row>
    <row r="552" spans="1:6" x14ac:dyDescent="0.25">
      <c r="A552" s="20">
        <v>42401</v>
      </c>
      <c r="B552" s="1" t="s">
        <v>10</v>
      </c>
      <c r="C552" s="2">
        <v>0.51527777777777783</v>
      </c>
      <c r="D552" s="2">
        <v>0.53402777777777777</v>
      </c>
      <c r="E552" s="2">
        <f t="shared" si="19"/>
        <v>1.8749999999999933E-2</v>
      </c>
      <c r="F552" s="3">
        <f t="shared" si="20"/>
        <v>1.388888888888884E-3</v>
      </c>
    </row>
    <row r="553" spans="1:6" x14ac:dyDescent="0.25">
      <c r="A553" s="20">
        <v>42401</v>
      </c>
      <c r="B553" s="1" t="s">
        <v>10</v>
      </c>
      <c r="C553" s="2">
        <v>0.60763888888888895</v>
      </c>
      <c r="D553" s="2">
        <v>0.62777777777777777</v>
      </c>
      <c r="E553" s="2">
        <f t="shared" si="19"/>
        <v>2.0138888888888817E-2</v>
      </c>
      <c r="F553" s="3">
        <f t="shared" si="20"/>
        <v>4.1666666666667629E-3</v>
      </c>
    </row>
    <row r="554" spans="1:6" x14ac:dyDescent="0.25">
      <c r="A554" s="20">
        <v>42401</v>
      </c>
      <c r="B554" s="1" t="s">
        <v>10</v>
      </c>
      <c r="C554" s="2">
        <v>0.64444444444444449</v>
      </c>
      <c r="D554" s="2">
        <v>0.66875000000000007</v>
      </c>
      <c r="E554" s="2">
        <f t="shared" si="19"/>
        <v>2.430555555555558E-2</v>
      </c>
      <c r="F554" s="3">
        <f t="shared" si="20"/>
        <v>7.6388888888887507E-3</v>
      </c>
    </row>
    <row r="555" spans="1:6" x14ac:dyDescent="0.25">
      <c r="A555" s="20">
        <v>42401</v>
      </c>
      <c r="B555" s="1" t="s">
        <v>10</v>
      </c>
      <c r="C555" s="2">
        <v>0.71458333333333324</v>
      </c>
      <c r="D555" s="2">
        <v>0.73125000000000007</v>
      </c>
      <c r="E555" s="2">
        <f t="shared" si="19"/>
        <v>1.6666666666666829E-2</v>
      </c>
      <c r="F555" s="3">
        <f t="shared" si="20"/>
        <v>2.2204460492503131E-16</v>
      </c>
    </row>
    <row r="556" spans="1:6" x14ac:dyDescent="0.25">
      <c r="A556" s="20">
        <v>42401</v>
      </c>
      <c r="B556" s="1" t="s">
        <v>10</v>
      </c>
      <c r="C556" s="2">
        <v>0.96805555555555556</v>
      </c>
      <c r="D556" s="2">
        <v>0.98472222222222217</v>
      </c>
      <c r="E556" s="2">
        <f t="shared" si="19"/>
        <v>1.6666666666666607E-2</v>
      </c>
      <c r="F556" s="3"/>
    </row>
    <row r="557" spans="1:6" x14ac:dyDescent="0.25">
      <c r="A557" s="20">
        <v>42401</v>
      </c>
      <c r="B557" s="1" t="s">
        <v>11</v>
      </c>
      <c r="C557" s="2">
        <v>8.0555555555555561E-2</v>
      </c>
      <c r="D557" s="2">
        <v>0.10277777777777779</v>
      </c>
      <c r="E557" s="2">
        <f t="shared" si="19"/>
        <v>2.2222222222222227E-2</v>
      </c>
      <c r="F557" s="3">
        <f>ABS(E557-E558)</f>
        <v>2.0833333333333398E-3</v>
      </c>
    </row>
    <row r="558" spans="1:6" x14ac:dyDescent="0.25">
      <c r="A558" s="20">
        <v>42401</v>
      </c>
      <c r="B558" s="1" t="s">
        <v>11</v>
      </c>
      <c r="C558" s="2">
        <v>0.10416666666666667</v>
      </c>
      <c r="D558" s="2">
        <v>0.12430555555555556</v>
      </c>
      <c r="E558" s="2">
        <f t="shared" si="19"/>
        <v>2.0138888888888887E-2</v>
      </c>
      <c r="F558" s="3">
        <f t="shared" ref="F558:F621" si="21">ABS(E558-E559)</f>
        <v>6.9444444444445586E-4</v>
      </c>
    </row>
    <row r="559" spans="1:6" x14ac:dyDescent="0.25">
      <c r="A559" s="20">
        <v>42401</v>
      </c>
      <c r="B559" s="1" t="s">
        <v>11</v>
      </c>
      <c r="C559" s="2">
        <v>0.40902777777777777</v>
      </c>
      <c r="D559" s="2">
        <v>0.4284722222222222</v>
      </c>
      <c r="E559" s="2">
        <f t="shared" si="19"/>
        <v>1.9444444444444431E-2</v>
      </c>
      <c r="F559" s="3">
        <f t="shared" si="21"/>
        <v>4.1666666666666519E-3</v>
      </c>
    </row>
    <row r="560" spans="1:6" x14ac:dyDescent="0.25">
      <c r="A560" s="20">
        <v>42401</v>
      </c>
      <c r="B560" s="1" t="s">
        <v>11</v>
      </c>
      <c r="C560" s="2">
        <v>0.4375</v>
      </c>
      <c r="D560" s="2">
        <v>0.46111111111111108</v>
      </c>
      <c r="E560" s="2">
        <f t="shared" si="19"/>
        <v>2.3611111111111083E-2</v>
      </c>
      <c r="F560" s="3">
        <f t="shared" si="21"/>
        <v>1.388888888888884E-3</v>
      </c>
    </row>
    <row r="561" spans="1:6" x14ac:dyDescent="0.25">
      <c r="A561" s="20">
        <v>42401</v>
      </c>
      <c r="B561" s="1" t="s">
        <v>11</v>
      </c>
      <c r="C561" s="2">
        <v>0.48819444444444443</v>
      </c>
      <c r="D561" s="2">
        <v>0.5131944444444444</v>
      </c>
      <c r="E561" s="2">
        <f t="shared" si="19"/>
        <v>2.4999999999999967E-2</v>
      </c>
      <c r="F561" s="3">
        <f t="shared" si="21"/>
        <v>4.1666666666665964E-3</v>
      </c>
    </row>
    <row r="562" spans="1:6" x14ac:dyDescent="0.25">
      <c r="A562" s="20">
        <v>42401</v>
      </c>
      <c r="B562" s="1" t="s">
        <v>11</v>
      </c>
      <c r="C562" s="2">
        <v>0.60416666666666663</v>
      </c>
      <c r="D562" s="2">
        <v>0.625</v>
      </c>
      <c r="E562" s="2">
        <f t="shared" si="19"/>
        <v>2.083333333333337E-2</v>
      </c>
      <c r="F562" s="3">
        <f t="shared" si="21"/>
        <v>1.3888888888887729E-3</v>
      </c>
    </row>
    <row r="563" spans="1:6" x14ac:dyDescent="0.25">
      <c r="A563" s="20">
        <v>42401</v>
      </c>
      <c r="B563" s="1" t="s">
        <v>11</v>
      </c>
      <c r="C563" s="2">
        <v>0.76458333333333339</v>
      </c>
      <c r="D563" s="2">
        <v>0.78680555555555554</v>
      </c>
      <c r="E563" s="2">
        <f t="shared" si="19"/>
        <v>2.2222222222222143E-2</v>
      </c>
      <c r="F563" s="3">
        <f t="shared" si="21"/>
        <v>2.77777777777799E-3</v>
      </c>
    </row>
    <row r="564" spans="1:6" x14ac:dyDescent="0.25">
      <c r="A564" s="20">
        <v>42401</v>
      </c>
      <c r="B564" s="1" t="s">
        <v>11</v>
      </c>
      <c r="C564" s="2">
        <v>0.74305555555555547</v>
      </c>
      <c r="D564" s="2">
        <v>0.7680555555555556</v>
      </c>
      <c r="E564" s="2">
        <f t="shared" si="19"/>
        <v>2.5000000000000133E-2</v>
      </c>
      <c r="F564" s="3">
        <f t="shared" si="21"/>
        <v>4.8611111111112049E-3</v>
      </c>
    </row>
    <row r="565" spans="1:6" x14ac:dyDescent="0.25">
      <c r="A565" s="20">
        <v>42401</v>
      </c>
      <c r="B565" s="1" t="s">
        <v>11</v>
      </c>
      <c r="C565" s="2">
        <v>0.75208333333333333</v>
      </c>
      <c r="D565" s="2">
        <v>0.77222222222222225</v>
      </c>
      <c r="E565" s="2">
        <f t="shared" si="19"/>
        <v>2.0138888888888928E-2</v>
      </c>
      <c r="F565" s="3">
        <f t="shared" si="21"/>
        <v>1.6666666666666607E-2</v>
      </c>
    </row>
    <row r="566" spans="1:6" x14ac:dyDescent="0.25">
      <c r="A566" s="20">
        <v>42401</v>
      </c>
      <c r="B566" s="1" t="s">
        <v>11</v>
      </c>
      <c r="C566" s="2">
        <v>0.85763888888888884</v>
      </c>
      <c r="D566" s="2">
        <v>0.89444444444444438</v>
      </c>
      <c r="E566" s="2">
        <f t="shared" si="19"/>
        <v>3.6805555555555536E-2</v>
      </c>
      <c r="F566" s="3">
        <f t="shared" si="21"/>
        <v>1.388888888888884E-2</v>
      </c>
    </row>
    <row r="567" spans="1:6" x14ac:dyDescent="0.25">
      <c r="A567" s="20">
        <v>42401</v>
      </c>
      <c r="B567" s="1" t="s">
        <v>11</v>
      </c>
      <c r="C567" s="2">
        <v>0.91388888888888886</v>
      </c>
      <c r="D567" s="2">
        <v>0.93680555555555556</v>
      </c>
      <c r="E567" s="2">
        <f t="shared" si="19"/>
        <v>2.2916666666666696E-2</v>
      </c>
      <c r="F567" s="3">
        <f t="shared" si="21"/>
        <v>1.388888888888884E-3</v>
      </c>
    </row>
    <row r="568" spans="1:6" x14ac:dyDescent="0.25">
      <c r="A568" s="20">
        <v>42401</v>
      </c>
      <c r="B568" s="1" t="s">
        <v>11</v>
      </c>
      <c r="C568" s="2">
        <v>0.16944444444444443</v>
      </c>
      <c r="D568" s="2">
        <v>0.19375000000000001</v>
      </c>
      <c r="E568" s="2">
        <f t="shared" si="19"/>
        <v>2.430555555555558E-2</v>
      </c>
      <c r="F568" s="3">
        <f t="shared" si="21"/>
        <v>2.7777777777778026E-3</v>
      </c>
    </row>
    <row r="569" spans="1:6" x14ac:dyDescent="0.25">
      <c r="A569" s="20">
        <v>42401</v>
      </c>
      <c r="B569" s="1" t="s">
        <v>11</v>
      </c>
      <c r="C569" s="2">
        <v>4.027777777777778E-2</v>
      </c>
      <c r="D569" s="2">
        <v>6.1805555555555558E-2</v>
      </c>
      <c r="E569" s="2">
        <f t="shared" si="19"/>
        <v>2.1527777777777778E-2</v>
      </c>
      <c r="F569" s="3">
        <f t="shared" si="21"/>
        <v>4.8611111111111147E-3</v>
      </c>
    </row>
    <row r="570" spans="1:6" x14ac:dyDescent="0.25">
      <c r="A570" s="20">
        <v>42401</v>
      </c>
      <c r="B570" s="1" t="s">
        <v>11</v>
      </c>
      <c r="C570" s="2">
        <v>8.7500000000000008E-2</v>
      </c>
      <c r="D570" s="2">
        <v>0.10416666666666667</v>
      </c>
      <c r="E570" s="2">
        <f t="shared" si="19"/>
        <v>1.6666666666666663E-2</v>
      </c>
      <c r="F570" s="3">
        <f t="shared" si="21"/>
        <v>1.0416666666666685E-2</v>
      </c>
    </row>
    <row r="571" spans="1:6" x14ac:dyDescent="0.25">
      <c r="A571" s="20">
        <v>42401</v>
      </c>
      <c r="B571" s="1" t="s">
        <v>11</v>
      </c>
      <c r="C571" s="2">
        <v>0.21319444444444444</v>
      </c>
      <c r="D571" s="2">
        <v>0.24027777777777778</v>
      </c>
      <c r="E571" s="2">
        <f t="shared" si="19"/>
        <v>2.7083333333333348E-2</v>
      </c>
      <c r="F571" s="3">
        <f t="shared" si="21"/>
        <v>5.5555555555555636E-3</v>
      </c>
    </row>
    <row r="572" spans="1:6" x14ac:dyDescent="0.25">
      <c r="A572" s="20">
        <v>42401</v>
      </c>
      <c r="B572" s="1" t="s">
        <v>11</v>
      </c>
      <c r="C572" s="2">
        <v>0.22013888888888888</v>
      </c>
      <c r="D572" s="2">
        <v>0.24166666666666667</v>
      </c>
      <c r="E572" s="2">
        <f t="shared" si="19"/>
        <v>2.1527777777777785E-2</v>
      </c>
      <c r="F572" s="3">
        <f t="shared" si="21"/>
        <v>6.9444444444435871E-4</v>
      </c>
    </row>
    <row r="573" spans="1:6" x14ac:dyDescent="0.25">
      <c r="A573" s="20">
        <v>42401</v>
      </c>
      <c r="B573" s="1" t="s">
        <v>11</v>
      </c>
      <c r="C573" s="2">
        <v>0.9472222222222223</v>
      </c>
      <c r="D573" s="2">
        <v>0.96944444444444444</v>
      </c>
      <c r="E573" s="2">
        <f t="shared" si="19"/>
        <v>2.2222222222222143E-2</v>
      </c>
      <c r="F573" s="3">
        <f t="shared" si="21"/>
        <v>4.1666666666665859E-3</v>
      </c>
    </row>
    <row r="574" spans="1:6" x14ac:dyDescent="0.25">
      <c r="A574" s="20">
        <v>42401</v>
      </c>
      <c r="B574" s="1" t="s">
        <v>11</v>
      </c>
      <c r="C574" s="2">
        <v>1.8055555555555557E-2</v>
      </c>
      <c r="D574" s="2">
        <v>3.6111111111111115E-2</v>
      </c>
      <c r="E574" s="2">
        <f t="shared" ref="E574:E636" si="22">D574-C574</f>
        <v>1.8055555555555557E-2</v>
      </c>
      <c r="F574" s="3">
        <f t="shared" si="21"/>
        <v>6.9444444444444649E-3</v>
      </c>
    </row>
    <row r="575" spans="1:6" x14ac:dyDescent="0.25">
      <c r="A575" s="20">
        <v>42401</v>
      </c>
      <c r="B575" s="1" t="s">
        <v>11</v>
      </c>
      <c r="C575" s="2">
        <v>0.3263888888888889</v>
      </c>
      <c r="D575" s="2">
        <v>0.35138888888888892</v>
      </c>
      <c r="E575" s="2">
        <f t="shared" si="22"/>
        <v>2.5000000000000022E-2</v>
      </c>
      <c r="F575" s="3">
        <f t="shared" si="21"/>
        <v>5.5511151231257827E-17</v>
      </c>
    </row>
    <row r="576" spans="1:6" x14ac:dyDescent="0.25">
      <c r="A576" s="20">
        <v>42401</v>
      </c>
      <c r="B576" s="1" t="s">
        <v>11</v>
      </c>
      <c r="C576" s="2">
        <v>0.46597222222222223</v>
      </c>
      <c r="D576" s="2">
        <v>0.4909722222222222</v>
      </c>
      <c r="E576" s="2">
        <f t="shared" si="22"/>
        <v>2.4999999999999967E-2</v>
      </c>
      <c r="F576" s="3">
        <f t="shared" si="21"/>
        <v>1.3888888888889395E-3</v>
      </c>
    </row>
    <row r="577" spans="1:6" x14ac:dyDescent="0.25">
      <c r="A577" s="20">
        <v>42401</v>
      </c>
      <c r="B577" s="1" t="s">
        <v>11</v>
      </c>
      <c r="C577" s="2">
        <v>0.68888888888888899</v>
      </c>
      <c r="D577" s="2">
        <v>0.71250000000000002</v>
      </c>
      <c r="E577" s="2">
        <f t="shared" si="22"/>
        <v>2.3611111111111027E-2</v>
      </c>
      <c r="F577" s="3">
        <f t="shared" si="21"/>
        <v>2.0833333333332149E-3</v>
      </c>
    </row>
    <row r="578" spans="1:6" x14ac:dyDescent="0.25">
      <c r="A578" s="20">
        <v>42401</v>
      </c>
      <c r="B578" s="1" t="s">
        <v>11</v>
      </c>
      <c r="C578" s="2">
        <v>0.71805555555555556</v>
      </c>
      <c r="D578" s="2">
        <v>0.73958333333333337</v>
      </c>
      <c r="E578" s="2">
        <f t="shared" si="22"/>
        <v>2.1527777777777812E-2</v>
      </c>
      <c r="F578" s="3">
        <f t="shared" si="21"/>
        <v>2.0833333333333259E-3</v>
      </c>
    </row>
    <row r="579" spans="1:6" x14ac:dyDescent="0.25">
      <c r="A579" s="20">
        <v>42401</v>
      </c>
      <c r="B579" s="1" t="s">
        <v>11</v>
      </c>
      <c r="C579" s="2">
        <v>0.83680555555555547</v>
      </c>
      <c r="D579" s="2">
        <v>0.86041666666666661</v>
      </c>
      <c r="E579" s="2">
        <f t="shared" si="22"/>
        <v>2.3611111111111138E-2</v>
      </c>
      <c r="F579" s="3">
        <f t="shared" si="21"/>
        <v>4.1666666666667629E-3</v>
      </c>
    </row>
    <row r="580" spans="1:6" x14ac:dyDescent="0.25">
      <c r="A580" s="20">
        <v>42401</v>
      </c>
      <c r="B580" s="1" t="s">
        <v>11</v>
      </c>
      <c r="C580" s="2">
        <v>0.97083333333333333</v>
      </c>
      <c r="D580" s="2">
        <v>0.9902777777777777</v>
      </c>
      <c r="E580" s="2">
        <f t="shared" si="22"/>
        <v>1.9444444444444375E-2</v>
      </c>
      <c r="F580" s="3">
        <f t="shared" si="21"/>
        <v>6.9444444444444198E-4</v>
      </c>
    </row>
    <row r="581" spans="1:6" x14ac:dyDescent="0.25">
      <c r="A581" s="20">
        <v>42401</v>
      </c>
      <c r="B581" s="1" t="s">
        <v>11</v>
      </c>
      <c r="C581" s="2">
        <v>0.85555555555555562</v>
      </c>
      <c r="D581" s="2">
        <v>0.87430555555555556</v>
      </c>
      <c r="E581" s="2">
        <f t="shared" si="22"/>
        <v>1.8749999999999933E-2</v>
      </c>
      <c r="F581" s="3">
        <f t="shared" si="21"/>
        <v>1.2500000000000067E-2</v>
      </c>
    </row>
    <row r="582" spans="1:6" x14ac:dyDescent="0.25">
      <c r="A582" s="20">
        <v>42401</v>
      </c>
      <c r="B582" s="1" t="s">
        <v>11</v>
      </c>
      <c r="C582" s="2">
        <v>0.17916666666666667</v>
      </c>
      <c r="D582" s="2">
        <v>0.21041666666666667</v>
      </c>
      <c r="E582" s="2">
        <f t="shared" si="22"/>
        <v>3.125E-2</v>
      </c>
      <c r="F582" s="3">
        <f t="shared" si="21"/>
        <v>1.1111111111111072E-2</v>
      </c>
    </row>
    <row r="583" spans="1:6" x14ac:dyDescent="0.25">
      <c r="A583" s="20">
        <v>42401</v>
      </c>
      <c r="B583" s="1" t="s">
        <v>11</v>
      </c>
      <c r="C583" s="2">
        <v>0.44375000000000003</v>
      </c>
      <c r="D583" s="2">
        <v>0.4861111111111111</v>
      </c>
      <c r="E583" s="2">
        <f t="shared" si="22"/>
        <v>4.2361111111111072E-2</v>
      </c>
      <c r="F583" s="3">
        <f t="shared" si="21"/>
        <v>2.3611111111111138E-2</v>
      </c>
    </row>
    <row r="584" spans="1:6" x14ac:dyDescent="0.25">
      <c r="A584" s="20">
        <v>42401</v>
      </c>
      <c r="B584" s="1" t="s">
        <v>11</v>
      </c>
      <c r="C584" s="2">
        <v>0.44097222222222227</v>
      </c>
      <c r="D584" s="2">
        <v>0.4597222222222222</v>
      </c>
      <c r="E584" s="2">
        <f t="shared" si="22"/>
        <v>1.8749999999999933E-2</v>
      </c>
      <c r="F584" s="3">
        <f t="shared" si="21"/>
        <v>6.9444444444433095E-4</v>
      </c>
    </row>
    <row r="585" spans="1:6" x14ac:dyDescent="0.25">
      <c r="A585" s="20">
        <v>42401</v>
      </c>
      <c r="B585" s="1" t="s">
        <v>11</v>
      </c>
      <c r="C585" s="2">
        <v>0.71597222222222223</v>
      </c>
      <c r="D585" s="2">
        <v>0.73402777777777783</v>
      </c>
      <c r="E585" s="2">
        <f t="shared" si="22"/>
        <v>1.8055555555555602E-2</v>
      </c>
      <c r="F585" s="3">
        <f t="shared" si="21"/>
        <v>8.3333333333333037E-3</v>
      </c>
    </row>
    <row r="586" spans="1:6" x14ac:dyDescent="0.25">
      <c r="A586" s="20">
        <v>42401</v>
      </c>
      <c r="B586" s="1" t="s">
        <v>11</v>
      </c>
      <c r="C586" s="2">
        <v>0.25416666666666665</v>
      </c>
      <c r="D586" s="2">
        <v>0.28055555555555556</v>
      </c>
      <c r="E586" s="2">
        <f t="shared" si="22"/>
        <v>2.6388888888888906E-2</v>
      </c>
      <c r="F586" s="3">
        <f t="shared" si="21"/>
        <v>1.1111111111111072E-2</v>
      </c>
    </row>
    <row r="587" spans="1:6" x14ac:dyDescent="0.25">
      <c r="A587" s="20">
        <v>42401</v>
      </c>
      <c r="B587" s="1" t="s">
        <v>11</v>
      </c>
      <c r="C587" s="2">
        <v>0.81527777777777777</v>
      </c>
      <c r="D587" s="2">
        <v>0.8305555555555556</v>
      </c>
      <c r="E587" s="2">
        <f t="shared" si="22"/>
        <v>1.5277777777777835E-2</v>
      </c>
      <c r="F587" s="3">
        <f t="shared" si="21"/>
        <v>2.7777777777777679E-3</v>
      </c>
    </row>
    <row r="588" spans="1:6" x14ac:dyDescent="0.25">
      <c r="A588" s="20">
        <v>42401</v>
      </c>
      <c r="B588" s="1" t="s">
        <v>11</v>
      </c>
      <c r="C588" s="2">
        <v>0.87083333333333324</v>
      </c>
      <c r="D588" s="2">
        <v>0.88888888888888884</v>
      </c>
      <c r="E588" s="2">
        <f t="shared" si="22"/>
        <v>1.8055555555555602E-2</v>
      </c>
      <c r="F588" s="3">
        <f t="shared" si="21"/>
        <v>6.2499999999999778E-3</v>
      </c>
    </row>
    <row r="589" spans="1:6" x14ac:dyDescent="0.25">
      <c r="A589" s="20">
        <v>42401</v>
      </c>
      <c r="B589" s="1" t="s">
        <v>11</v>
      </c>
      <c r="C589" s="2">
        <v>0.83333333333333337</v>
      </c>
      <c r="D589" s="2">
        <v>0.84513888888888899</v>
      </c>
      <c r="E589" s="2">
        <f t="shared" si="22"/>
        <v>1.1805555555555625E-2</v>
      </c>
      <c r="F589" s="3">
        <f t="shared" si="21"/>
        <v>1.7361111111111049E-2</v>
      </c>
    </row>
    <row r="590" spans="1:6" x14ac:dyDescent="0.25">
      <c r="A590" s="20">
        <v>42401</v>
      </c>
      <c r="B590" s="1" t="s">
        <v>11</v>
      </c>
      <c r="C590" s="2">
        <v>0.14375000000000002</v>
      </c>
      <c r="D590" s="2">
        <v>0.17291666666666669</v>
      </c>
      <c r="E590" s="2">
        <f t="shared" si="22"/>
        <v>2.9166666666666674E-2</v>
      </c>
      <c r="F590" s="3">
        <f t="shared" si="21"/>
        <v>3.4722222222222654E-3</v>
      </c>
    </row>
    <row r="591" spans="1:6" x14ac:dyDescent="0.25">
      <c r="A591" s="20">
        <v>42401</v>
      </c>
      <c r="B591" s="1" t="s">
        <v>11</v>
      </c>
      <c r="C591" s="2">
        <v>0.48888888888888887</v>
      </c>
      <c r="D591" s="2">
        <v>0.51458333333333328</v>
      </c>
      <c r="E591" s="2">
        <f t="shared" si="22"/>
        <v>2.5694444444444409E-2</v>
      </c>
      <c r="F591" s="3">
        <f t="shared" si="21"/>
        <v>6.9444444444444198E-4</v>
      </c>
    </row>
    <row r="592" spans="1:6" x14ac:dyDescent="0.25">
      <c r="A592" s="20">
        <v>42401</v>
      </c>
      <c r="B592" s="1" t="s">
        <v>11</v>
      </c>
      <c r="C592" s="2">
        <v>0.48958333333333331</v>
      </c>
      <c r="D592" s="2">
        <v>0.51458333333333328</v>
      </c>
      <c r="E592" s="2">
        <f t="shared" si="22"/>
        <v>2.4999999999999967E-2</v>
      </c>
      <c r="F592" s="3">
        <f t="shared" si="21"/>
        <v>4.8611111111110383E-3</v>
      </c>
    </row>
    <row r="593" spans="1:6" x14ac:dyDescent="0.25">
      <c r="A593" s="20">
        <v>42401</v>
      </c>
      <c r="B593" s="1" t="s">
        <v>11</v>
      </c>
      <c r="C593" s="2">
        <v>0.76250000000000007</v>
      </c>
      <c r="D593" s="2">
        <v>0.78263888888888899</v>
      </c>
      <c r="E593" s="2">
        <f t="shared" si="22"/>
        <v>2.0138888888888928E-2</v>
      </c>
      <c r="F593" s="3">
        <f t="shared" si="21"/>
        <v>5.5555555555554803E-3</v>
      </c>
    </row>
    <row r="594" spans="1:6" x14ac:dyDescent="0.25">
      <c r="A594" s="20">
        <v>42401</v>
      </c>
      <c r="B594" s="1" t="s">
        <v>11</v>
      </c>
      <c r="C594" s="2">
        <v>0.47986111111111113</v>
      </c>
      <c r="D594" s="2">
        <v>0.50555555555555554</v>
      </c>
      <c r="E594" s="2">
        <f t="shared" si="22"/>
        <v>2.5694444444444409E-2</v>
      </c>
      <c r="F594" s="3">
        <f t="shared" si="21"/>
        <v>5.5555555555555913E-3</v>
      </c>
    </row>
    <row r="595" spans="1:6" x14ac:dyDescent="0.25">
      <c r="A595" s="20">
        <v>42401</v>
      </c>
      <c r="B595" s="1" t="s">
        <v>11</v>
      </c>
      <c r="C595" s="2">
        <v>0.54375000000000007</v>
      </c>
      <c r="D595" s="2">
        <v>0.56388888888888888</v>
      </c>
      <c r="E595" s="2">
        <f t="shared" si="22"/>
        <v>2.0138888888888817E-2</v>
      </c>
      <c r="F595" s="3">
        <f t="shared" si="21"/>
        <v>4.1666666666665964E-3</v>
      </c>
    </row>
    <row r="596" spans="1:6" x14ac:dyDescent="0.25">
      <c r="A596" s="20">
        <v>42401</v>
      </c>
      <c r="B596" s="1" t="s">
        <v>11</v>
      </c>
      <c r="C596" s="2">
        <v>3.9583333333333331E-2</v>
      </c>
      <c r="D596" s="2">
        <v>5.5555555555555552E-2</v>
      </c>
      <c r="E596" s="2">
        <f t="shared" si="22"/>
        <v>1.5972222222222221E-2</v>
      </c>
      <c r="F596" s="3">
        <f t="shared" si="21"/>
        <v>7.6388888888888618E-3</v>
      </c>
    </row>
    <row r="597" spans="1:6" x14ac:dyDescent="0.25">
      <c r="A597" s="20">
        <v>42401</v>
      </c>
      <c r="B597" s="1" t="s">
        <v>11</v>
      </c>
      <c r="C597" s="2">
        <v>0.28958333333333336</v>
      </c>
      <c r="D597" s="2">
        <v>0.31319444444444444</v>
      </c>
      <c r="E597" s="2">
        <f t="shared" si="22"/>
        <v>2.3611111111111083E-2</v>
      </c>
      <c r="F597" s="3">
        <f t="shared" si="21"/>
        <v>4.1666666666667074E-3</v>
      </c>
    </row>
    <row r="598" spans="1:6" x14ac:dyDescent="0.25">
      <c r="A598" s="20">
        <v>42401</v>
      </c>
      <c r="B598" s="1" t="s">
        <v>11</v>
      </c>
      <c r="C598" s="2">
        <v>0.54513888888888895</v>
      </c>
      <c r="D598" s="2">
        <v>0.56458333333333333</v>
      </c>
      <c r="E598" s="2">
        <f t="shared" si="22"/>
        <v>1.9444444444444375E-2</v>
      </c>
      <c r="F598" s="3">
        <f t="shared" si="21"/>
        <v>8.3333333333334147E-3</v>
      </c>
    </row>
    <row r="599" spans="1:6" x14ac:dyDescent="0.25">
      <c r="A599" s="20">
        <v>42401</v>
      </c>
      <c r="B599" s="1" t="s">
        <v>11</v>
      </c>
      <c r="C599" s="2">
        <v>0.52430555555555558</v>
      </c>
      <c r="D599" s="2">
        <v>0.55208333333333337</v>
      </c>
      <c r="E599" s="2">
        <f t="shared" si="22"/>
        <v>2.777777777777779E-2</v>
      </c>
      <c r="F599" s="3">
        <f t="shared" si="21"/>
        <v>1.3888888888888951E-2</v>
      </c>
    </row>
    <row r="600" spans="1:6" x14ac:dyDescent="0.25">
      <c r="A600" s="20">
        <v>42401</v>
      </c>
      <c r="B600" s="1" t="s">
        <v>11</v>
      </c>
      <c r="C600" s="2">
        <v>0.64027777777777783</v>
      </c>
      <c r="D600" s="2">
        <v>0.65416666666666667</v>
      </c>
      <c r="E600" s="2">
        <f t="shared" si="22"/>
        <v>1.388888888888884E-2</v>
      </c>
      <c r="F600" s="3">
        <f t="shared" si="21"/>
        <v>7.6388888888888618E-3</v>
      </c>
    </row>
    <row r="601" spans="1:6" x14ac:dyDescent="0.25">
      <c r="A601" s="20">
        <v>42401</v>
      </c>
      <c r="B601" s="1" t="s">
        <v>11</v>
      </c>
      <c r="C601" s="2">
        <v>0.76180555555555562</v>
      </c>
      <c r="D601" s="2">
        <v>0.78333333333333333</v>
      </c>
      <c r="E601" s="2">
        <f t="shared" si="22"/>
        <v>2.1527777777777701E-2</v>
      </c>
      <c r="F601" s="3">
        <f t="shared" si="21"/>
        <v>1.3888888888889395E-3</v>
      </c>
    </row>
    <row r="602" spans="1:6" x14ac:dyDescent="0.25">
      <c r="A602" s="20">
        <v>42401</v>
      </c>
      <c r="B602" s="1" t="s">
        <v>11</v>
      </c>
      <c r="C602" s="2">
        <v>0.27569444444444446</v>
      </c>
      <c r="D602" s="2">
        <v>0.2986111111111111</v>
      </c>
      <c r="E602" s="2">
        <f t="shared" si="22"/>
        <v>2.2916666666666641E-2</v>
      </c>
      <c r="F602" s="3">
        <f t="shared" si="21"/>
        <v>9.7222222222221322E-3</v>
      </c>
    </row>
    <row r="603" spans="1:6" x14ac:dyDescent="0.25">
      <c r="A603" s="20">
        <v>42401</v>
      </c>
      <c r="B603" s="1" t="s">
        <v>11</v>
      </c>
      <c r="C603" s="2">
        <v>0.42499999999999999</v>
      </c>
      <c r="D603" s="2">
        <v>0.4381944444444445</v>
      </c>
      <c r="E603" s="2">
        <f t="shared" si="22"/>
        <v>1.3194444444444509E-2</v>
      </c>
      <c r="F603" s="3">
        <f t="shared" si="21"/>
        <v>3.6111111111111094E-2</v>
      </c>
    </row>
    <row r="604" spans="1:6" x14ac:dyDescent="0.25">
      <c r="A604" s="20">
        <v>42401</v>
      </c>
      <c r="B604" s="1" t="s">
        <v>11</v>
      </c>
      <c r="C604" s="2">
        <v>0.66666666666666663</v>
      </c>
      <c r="D604" s="2">
        <v>0.71597222222222223</v>
      </c>
      <c r="E604" s="2">
        <f t="shared" si="22"/>
        <v>4.9305555555555602E-2</v>
      </c>
      <c r="F604" s="3">
        <f t="shared" si="21"/>
        <v>3.4722222222222654E-3</v>
      </c>
    </row>
    <row r="605" spans="1:6" x14ac:dyDescent="0.25">
      <c r="A605" s="20">
        <v>42401</v>
      </c>
      <c r="B605" s="1" t="s">
        <v>11</v>
      </c>
      <c r="C605" s="2">
        <v>0.38750000000000001</v>
      </c>
      <c r="D605" s="2">
        <v>0.43333333333333335</v>
      </c>
      <c r="E605" s="2">
        <f t="shared" si="22"/>
        <v>4.5833333333333337E-2</v>
      </c>
      <c r="F605" s="3">
        <f t="shared" si="21"/>
        <v>2.9166666666666674E-2</v>
      </c>
    </row>
    <row r="606" spans="1:6" x14ac:dyDescent="0.25">
      <c r="A606" s="20">
        <v>42401</v>
      </c>
      <c r="B606" s="1" t="s">
        <v>11</v>
      </c>
      <c r="C606" s="2">
        <v>0.41805555555555557</v>
      </c>
      <c r="D606" s="2">
        <v>0.43472222222222223</v>
      </c>
      <c r="E606" s="2">
        <f t="shared" si="22"/>
        <v>1.6666666666666663E-2</v>
      </c>
      <c r="F606" s="3">
        <f t="shared" si="21"/>
        <v>2.7777777777778234E-3</v>
      </c>
    </row>
    <row r="607" spans="1:6" x14ac:dyDescent="0.25">
      <c r="A607" s="20">
        <v>42401</v>
      </c>
      <c r="B607" s="1" t="s">
        <v>11</v>
      </c>
      <c r="C607" s="2">
        <v>0.49583333333333335</v>
      </c>
      <c r="D607" s="2">
        <v>0.51527777777777783</v>
      </c>
      <c r="E607" s="2">
        <f t="shared" si="22"/>
        <v>1.9444444444444486E-2</v>
      </c>
      <c r="F607" s="3">
        <f t="shared" si="21"/>
        <v>1.388888888888884E-3</v>
      </c>
    </row>
    <row r="608" spans="1:6" x14ac:dyDescent="0.25">
      <c r="A608" s="20">
        <v>42401</v>
      </c>
      <c r="B608" s="1" t="s">
        <v>11</v>
      </c>
      <c r="C608" s="2">
        <v>0.71597222222222223</v>
      </c>
      <c r="D608" s="2">
        <v>0.73402777777777783</v>
      </c>
      <c r="E608" s="2">
        <f t="shared" si="22"/>
        <v>1.8055555555555602E-2</v>
      </c>
      <c r="F608" s="3">
        <f t="shared" si="21"/>
        <v>6.9444444444444198E-4</v>
      </c>
    </row>
    <row r="609" spans="1:6" x14ac:dyDescent="0.25">
      <c r="A609" s="20">
        <v>42401</v>
      </c>
      <c r="B609" s="1" t="s">
        <v>11</v>
      </c>
      <c r="C609" s="2">
        <v>0.87847222222222221</v>
      </c>
      <c r="D609" s="2">
        <v>0.89722222222222225</v>
      </c>
      <c r="E609" s="2">
        <f t="shared" si="22"/>
        <v>1.8750000000000044E-2</v>
      </c>
      <c r="F609" s="3">
        <f t="shared" si="21"/>
        <v>9.7222222222221877E-3</v>
      </c>
    </row>
    <row r="610" spans="1:6" x14ac:dyDescent="0.25">
      <c r="A610" s="20">
        <v>42401</v>
      </c>
      <c r="B610" s="1" t="s">
        <v>11</v>
      </c>
      <c r="C610" s="2">
        <v>0.55763888888888891</v>
      </c>
      <c r="D610" s="2">
        <v>0.58611111111111114</v>
      </c>
      <c r="E610" s="2">
        <f t="shared" si="22"/>
        <v>2.8472222222222232E-2</v>
      </c>
      <c r="F610" s="3">
        <f t="shared" si="21"/>
        <v>9.7222222222221877E-3</v>
      </c>
    </row>
    <row r="611" spans="1:6" x14ac:dyDescent="0.25">
      <c r="A611" s="20">
        <v>42401</v>
      </c>
      <c r="B611" s="1" t="s">
        <v>11</v>
      </c>
      <c r="C611" s="2">
        <v>0.62152777777777779</v>
      </c>
      <c r="D611" s="2">
        <v>0.64027777777777783</v>
      </c>
      <c r="E611" s="2">
        <f t="shared" si="22"/>
        <v>1.8750000000000044E-2</v>
      </c>
      <c r="F611" s="3">
        <f t="shared" si="21"/>
        <v>1.0416666666666741E-2</v>
      </c>
    </row>
    <row r="612" spans="1:6" x14ac:dyDescent="0.25">
      <c r="A612" s="20">
        <v>42401</v>
      </c>
      <c r="B612" s="1" t="s">
        <v>11</v>
      </c>
      <c r="C612" s="2">
        <v>0.54583333333333328</v>
      </c>
      <c r="D612" s="2">
        <v>0.57500000000000007</v>
      </c>
      <c r="E612" s="2">
        <f t="shared" si="22"/>
        <v>2.9166666666666785E-2</v>
      </c>
      <c r="F612" s="3">
        <f t="shared" si="21"/>
        <v>9.0277777777778567E-3</v>
      </c>
    </row>
    <row r="613" spans="1:6" x14ac:dyDescent="0.25">
      <c r="A613" s="20">
        <v>42401</v>
      </c>
      <c r="B613" s="1" t="s">
        <v>11</v>
      </c>
      <c r="C613" s="2">
        <v>0.6791666666666667</v>
      </c>
      <c r="D613" s="2">
        <v>0.69930555555555562</v>
      </c>
      <c r="E613" s="2">
        <f t="shared" si="22"/>
        <v>2.0138888888888928E-2</v>
      </c>
      <c r="F613" s="3">
        <f t="shared" si="21"/>
        <v>4.8611111111113159E-3</v>
      </c>
    </row>
    <row r="614" spans="1:6" x14ac:dyDescent="0.25">
      <c r="A614" s="20">
        <v>42401</v>
      </c>
      <c r="B614" s="1" t="s">
        <v>11</v>
      </c>
      <c r="C614" s="2">
        <v>0.70208333333333339</v>
      </c>
      <c r="D614" s="2">
        <v>0.71736111111111101</v>
      </c>
      <c r="E614" s="2">
        <f t="shared" si="22"/>
        <v>1.5277777777777612E-2</v>
      </c>
      <c r="F614" s="3">
        <f t="shared" si="21"/>
        <v>6.2500000000001443E-3</v>
      </c>
    </row>
    <row r="615" spans="1:6" x14ac:dyDescent="0.25">
      <c r="A615" s="20">
        <v>42401</v>
      </c>
      <c r="B615" s="1" t="s">
        <v>11</v>
      </c>
      <c r="C615" s="2">
        <v>0.28958333333333336</v>
      </c>
      <c r="D615" s="2">
        <v>0.31111111111111112</v>
      </c>
      <c r="E615" s="2">
        <f t="shared" si="22"/>
        <v>2.1527777777777757E-2</v>
      </c>
      <c r="F615" s="3">
        <f t="shared" si="21"/>
        <v>3.4722222222221544E-3</v>
      </c>
    </row>
    <row r="616" spans="1:6" x14ac:dyDescent="0.25">
      <c r="A616" s="20">
        <v>42401</v>
      </c>
      <c r="B616" s="1" t="s">
        <v>11</v>
      </c>
      <c r="C616" s="2">
        <v>0.79861111111111116</v>
      </c>
      <c r="D616" s="2">
        <v>0.81666666666666676</v>
      </c>
      <c r="E616" s="2">
        <f t="shared" si="22"/>
        <v>1.8055555555555602E-2</v>
      </c>
      <c r="F616" s="3">
        <f t="shared" si="21"/>
        <v>1.1805555555555514E-2</v>
      </c>
    </row>
    <row r="617" spans="1:6" x14ac:dyDescent="0.25">
      <c r="A617" s="20">
        <v>42401</v>
      </c>
      <c r="B617" s="1" t="s">
        <v>11</v>
      </c>
      <c r="C617" s="2">
        <v>0.3888888888888889</v>
      </c>
      <c r="D617" s="2">
        <v>0.41875000000000001</v>
      </c>
      <c r="E617" s="2">
        <f t="shared" si="22"/>
        <v>2.9861111111111116E-2</v>
      </c>
      <c r="F617" s="3">
        <f t="shared" si="21"/>
        <v>3.4722222222222099E-3</v>
      </c>
    </row>
    <row r="618" spans="1:6" x14ac:dyDescent="0.25">
      <c r="A618" s="20">
        <v>42401</v>
      </c>
      <c r="B618" s="1" t="s">
        <v>11</v>
      </c>
      <c r="C618" s="2">
        <v>0.64722222222222225</v>
      </c>
      <c r="D618" s="2">
        <v>0.67361111111111116</v>
      </c>
      <c r="E618" s="2">
        <f t="shared" si="22"/>
        <v>2.6388888888888906E-2</v>
      </c>
      <c r="F618" s="3">
        <f t="shared" si="21"/>
        <v>1.4583333333333282E-2</v>
      </c>
    </row>
    <row r="619" spans="1:6" x14ac:dyDescent="0.25">
      <c r="A619" s="20">
        <v>42401</v>
      </c>
      <c r="B619" s="1" t="s">
        <v>11</v>
      </c>
      <c r="C619" s="2">
        <v>0.70416666666666661</v>
      </c>
      <c r="D619" s="2">
        <v>0.71597222222222223</v>
      </c>
      <c r="E619" s="2">
        <f t="shared" si="22"/>
        <v>1.1805555555555625E-2</v>
      </c>
      <c r="F619" s="3">
        <f t="shared" si="21"/>
        <v>4.9305555555555602E-2</v>
      </c>
    </row>
    <row r="620" spans="1:6" x14ac:dyDescent="0.25">
      <c r="A620" s="20">
        <v>42401</v>
      </c>
      <c r="B620" s="1" t="s">
        <v>11</v>
      </c>
      <c r="C620" s="2">
        <v>0.73263888888888884</v>
      </c>
      <c r="D620" s="2">
        <v>0.79375000000000007</v>
      </c>
      <c r="E620" s="2">
        <f t="shared" si="22"/>
        <v>6.1111111111111227E-2</v>
      </c>
      <c r="F620" s="3">
        <f t="shared" si="21"/>
        <v>3.8194444444444531E-2</v>
      </c>
    </row>
    <row r="621" spans="1:6" x14ac:dyDescent="0.25">
      <c r="A621" s="20">
        <v>42401</v>
      </c>
      <c r="B621" s="1" t="s">
        <v>11</v>
      </c>
      <c r="C621" s="2">
        <v>0.26319444444444445</v>
      </c>
      <c r="D621" s="2">
        <v>0.28611111111111115</v>
      </c>
      <c r="E621" s="2">
        <f t="shared" si="22"/>
        <v>2.2916666666666696E-2</v>
      </c>
      <c r="F621" s="3">
        <f t="shared" si="21"/>
        <v>2.0833333333333259E-3</v>
      </c>
    </row>
    <row r="622" spans="1:6" x14ac:dyDescent="0.25">
      <c r="A622" s="20">
        <v>42401</v>
      </c>
      <c r="B622" s="1" t="s">
        <v>11</v>
      </c>
      <c r="C622" s="2">
        <v>0.39861111111111108</v>
      </c>
      <c r="D622" s="2">
        <v>0.41944444444444445</v>
      </c>
      <c r="E622" s="2">
        <f t="shared" si="22"/>
        <v>2.083333333333337E-2</v>
      </c>
      <c r="F622" s="3">
        <f t="shared" ref="F622:F672" si="23">ABS(E622-E623)</f>
        <v>4.8611111111110938E-3</v>
      </c>
    </row>
    <row r="623" spans="1:6" x14ac:dyDescent="0.25">
      <c r="A623" s="20">
        <v>42401</v>
      </c>
      <c r="B623" s="1" t="s">
        <v>11</v>
      </c>
      <c r="C623" s="2">
        <v>0.38263888888888892</v>
      </c>
      <c r="D623" s="2">
        <v>0.40833333333333338</v>
      </c>
      <c r="E623" s="2">
        <f t="shared" si="22"/>
        <v>2.5694444444444464E-2</v>
      </c>
      <c r="F623" s="3">
        <f t="shared" si="23"/>
        <v>3.4722222222222099E-3</v>
      </c>
    </row>
    <row r="624" spans="1:6" x14ac:dyDescent="0.25">
      <c r="A624" s="20">
        <v>42401</v>
      </c>
      <c r="B624" s="1" t="s">
        <v>11</v>
      </c>
      <c r="C624" s="2">
        <v>0.5625</v>
      </c>
      <c r="D624" s="2">
        <v>0.58472222222222225</v>
      </c>
      <c r="E624" s="2">
        <f t="shared" si="22"/>
        <v>2.2222222222222254E-2</v>
      </c>
      <c r="F624" s="3">
        <f t="shared" si="23"/>
        <v>6.9444444444444198E-4</v>
      </c>
    </row>
    <row r="625" spans="1:6" x14ac:dyDescent="0.25">
      <c r="A625" s="20">
        <v>42401</v>
      </c>
      <c r="B625" s="1" t="s">
        <v>11</v>
      </c>
      <c r="C625" s="2">
        <v>0.53055555555555556</v>
      </c>
      <c r="D625" s="2">
        <v>0.55347222222222225</v>
      </c>
      <c r="E625" s="2">
        <f t="shared" si="22"/>
        <v>2.2916666666666696E-2</v>
      </c>
      <c r="F625" s="3">
        <f t="shared" si="23"/>
        <v>7.6388888888888756E-3</v>
      </c>
    </row>
    <row r="626" spans="1:6" x14ac:dyDescent="0.25">
      <c r="A626" s="20">
        <v>42401</v>
      </c>
      <c r="B626" s="1" t="s">
        <v>11</v>
      </c>
      <c r="C626" s="2">
        <v>5.5555555555555552E-2</v>
      </c>
      <c r="D626" s="2">
        <v>8.6111111111111124E-2</v>
      </c>
      <c r="E626" s="2">
        <f t="shared" si="22"/>
        <v>3.0555555555555572E-2</v>
      </c>
      <c r="F626" s="3">
        <f t="shared" si="23"/>
        <v>2.7777777777778095E-3</v>
      </c>
    </row>
    <row r="627" spans="1:6" x14ac:dyDescent="0.25">
      <c r="A627" s="20">
        <v>42401</v>
      </c>
      <c r="B627" s="1" t="s">
        <v>11</v>
      </c>
      <c r="C627" s="2">
        <v>0.31111111111111112</v>
      </c>
      <c r="D627" s="2">
        <v>0.3444444444444445</v>
      </c>
      <c r="E627" s="2">
        <f t="shared" si="22"/>
        <v>3.3333333333333381E-2</v>
      </c>
      <c r="F627" s="3">
        <f t="shared" si="23"/>
        <v>3.4722222222222654E-3</v>
      </c>
    </row>
    <row r="628" spans="1:6" x14ac:dyDescent="0.25">
      <c r="A628" s="20">
        <v>42401</v>
      </c>
      <c r="B628" s="1" t="s">
        <v>11</v>
      </c>
      <c r="C628" s="2">
        <v>0.55763888888888891</v>
      </c>
      <c r="D628" s="2">
        <v>0.58750000000000002</v>
      </c>
      <c r="E628" s="2">
        <f t="shared" si="22"/>
        <v>2.9861111111111116E-2</v>
      </c>
      <c r="F628" s="3">
        <f t="shared" si="23"/>
        <v>6.2500000000000333E-3</v>
      </c>
    </row>
    <row r="629" spans="1:6" x14ac:dyDescent="0.25">
      <c r="A629" s="20">
        <v>42401</v>
      </c>
      <c r="B629" s="1" t="s">
        <v>11</v>
      </c>
      <c r="C629" s="2">
        <v>0.44513888888888892</v>
      </c>
      <c r="D629" s="2">
        <v>0.46875</v>
      </c>
      <c r="E629" s="2">
        <f t="shared" si="22"/>
        <v>2.3611111111111083E-2</v>
      </c>
      <c r="F629" s="3">
        <f t="shared" si="23"/>
        <v>1.1805555555555625E-2</v>
      </c>
    </row>
    <row r="630" spans="1:6" x14ac:dyDescent="0.25">
      <c r="A630" s="20">
        <v>42401</v>
      </c>
      <c r="B630" s="1" t="s">
        <v>11</v>
      </c>
      <c r="C630" s="2">
        <v>0.4861111111111111</v>
      </c>
      <c r="D630" s="2">
        <v>0.52152777777777781</v>
      </c>
      <c r="E630" s="2">
        <f t="shared" si="22"/>
        <v>3.5416666666666707E-2</v>
      </c>
      <c r="F630" s="3">
        <f t="shared" si="23"/>
        <v>1.1111111111111016E-2</v>
      </c>
    </row>
    <row r="631" spans="1:6" x14ac:dyDescent="0.25">
      <c r="A631" s="20">
        <v>42401</v>
      </c>
      <c r="B631" s="1" t="s">
        <v>11</v>
      </c>
      <c r="C631" s="2">
        <v>0.77708333333333324</v>
      </c>
      <c r="D631" s="2">
        <v>0.80138888888888893</v>
      </c>
      <c r="E631" s="2">
        <f t="shared" si="22"/>
        <v>2.4305555555555691E-2</v>
      </c>
      <c r="F631" s="3">
        <f t="shared" si="23"/>
        <v>4.8611111111112326E-3</v>
      </c>
    </row>
    <row r="632" spans="1:6" x14ac:dyDescent="0.25">
      <c r="A632" s="20">
        <v>42401</v>
      </c>
      <c r="B632" s="1" t="s">
        <v>11</v>
      </c>
      <c r="C632" s="2">
        <v>0.19652777777777777</v>
      </c>
      <c r="D632" s="2">
        <v>0.21597222222222223</v>
      </c>
      <c r="E632" s="2">
        <f t="shared" si="22"/>
        <v>1.9444444444444459E-2</v>
      </c>
      <c r="F632" s="3">
        <f t="shared" si="23"/>
        <v>1.1805555555555541E-2</v>
      </c>
    </row>
    <row r="633" spans="1:6" x14ac:dyDescent="0.25">
      <c r="A633" s="20">
        <v>42401</v>
      </c>
      <c r="B633" s="1" t="s">
        <v>11</v>
      </c>
      <c r="C633" s="2">
        <v>0.36458333333333331</v>
      </c>
      <c r="D633" s="2">
        <v>0.37222222222222223</v>
      </c>
      <c r="E633" s="2">
        <f t="shared" si="22"/>
        <v>7.6388888888889173E-3</v>
      </c>
      <c r="F633" s="3">
        <f t="shared" si="23"/>
        <v>3.5416666666666596E-2</v>
      </c>
    </row>
    <row r="634" spans="1:6" x14ac:dyDescent="0.25">
      <c r="A634" s="20">
        <v>42401</v>
      </c>
      <c r="B634" s="1" t="s">
        <v>11</v>
      </c>
      <c r="C634" s="2">
        <v>0.4548611111111111</v>
      </c>
      <c r="D634" s="2">
        <v>0.49791666666666662</v>
      </c>
      <c r="E634" s="2">
        <f t="shared" si="22"/>
        <v>4.3055555555555514E-2</v>
      </c>
      <c r="F634" s="3">
        <f t="shared" si="23"/>
        <v>7.6388888888888618E-3</v>
      </c>
    </row>
    <row r="635" spans="1:6" x14ac:dyDescent="0.25">
      <c r="A635" s="20">
        <v>42401</v>
      </c>
      <c r="B635" s="1" t="s">
        <v>11</v>
      </c>
      <c r="C635" s="2">
        <v>0.62152777777777779</v>
      </c>
      <c r="D635" s="2">
        <v>0.65694444444444444</v>
      </c>
      <c r="E635" s="2">
        <f t="shared" si="22"/>
        <v>3.5416666666666652E-2</v>
      </c>
      <c r="F635" s="3">
        <f t="shared" si="23"/>
        <v>2.0833333333333259E-3</v>
      </c>
    </row>
    <row r="636" spans="1:6" x14ac:dyDescent="0.25">
      <c r="A636" s="20">
        <v>42401</v>
      </c>
      <c r="B636" s="1" t="s">
        <v>11</v>
      </c>
      <c r="C636" s="2">
        <v>0.67638888888888893</v>
      </c>
      <c r="D636" s="2">
        <v>0.70972222222222225</v>
      </c>
      <c r="E636" s="2">
        <f t="shared" si="22"/>
        <v>3.3333333333333326E-2</v>
      </c>
      <c r="F636" s="3">
        <f t="shared" si="23"/>
        <v>1.5277777777777779E-2</v>
      </c>
    </row>
    <row r="637" spans="1:6" x14ac:dyDescent="0.25">
      <c r="A637" s="20">
        <v>42401</v>
      </c>
      <c r="B637" s="1" t="s">
        <v>11</v>
      </c>
      <c r="C637" s="2">
        <v>8.819444444444445E-2</v>
      </c>
      <c r="D637" s="2">
        <v>0.10625</v>
      </c>
      <c r="E637" s="2">
        <f t="shared" ref="E637:E700" si="24">D637-C637</f>
        <v>1.8055555555555547E-2</v>
      </c>
      <c r="F637" s="3">
        <f t="shared" si="23"/>
        <v>2.7777777777778234E-3</v>
      </c>
    </row>
    <row r="638" spans="1:6" x14ac:dyDescent="0.25">
      <c r="A638" s="20">
        <v>42401</v>
      </c>
      <c r="B638" s="1" t="s">
        <v>11</v>
      </c>
      <c r="C638" s="2">
        <v>0.81805555555555554</v>
      </c>
      <c r="D638" s="2">
        <v>0.83888888888888891</v>
      </c>
      <c r="E638" s="2">
        <f t="shared" si="24"/>
        <v>2.083333333333337E-2</v>
      </c>
      <c r="F638" s="3">
        <f t="shared" si="23"/>
        <v>3.4722222222222099E-3</v>
      </c>
    </row>
    <row r="639" spans="1:6" x14ac:dyDescent="0.25">
      <c r="A639" s="20">
        <v>42401</v>
      </c>
      <c r="B639" s="1" t="s">
        <v>11</v>
      </c>
      <c r="C639" s="2">
        <v>0.92986111111111114</v>
      </c>
      <c r="D639" s="2">
        <v>0.9472222222222223</v>
      </c>
      <c r="E639" s="2">
        <f t="shared" si="24"/>
        <v>1.736111111111116E-2</v>
      </c>
      <c r="F639" s="3">
        <f t="shared" si="23"/>
        <v>3.4722222222222099E-3</v>
      </c>
    </row>
    <row r="640" spans="1:6" x14ac:dyDescent="0.25">
      <c r="A640" s="20">
        <v>42401</v>
      </c>
      <c r="B640" s="1" t="s">
        <v>11</v>
      </c>
      <c r="C640" s="2">
        <v>0.39444444444444443</v>
      </c>
      <c r="D640" s="2">
        <v>0.4152777777777778</v>
      </c>
      <c r="E640" s="2">
        <f t="shared" si="24"/>
        <v>2.083333333333337E-2</v>
      </c>
      <c r="F640" s="3">
        <f t="shared" si="23"/>
        <v>4.1666666666666519E-3</v>
      </c>
    </row>
    <row r="641" spans="1:6" x14ac:dyDescent="0.25">
      <c r="A641" s="20">
        <v>42401</v>
      </c>
      <c r="B641" s="1" t="s">
        <v>11</v>
      </c>
      <c r="C641" s="2">
        <v>0.4597222222222222</v>
      </c>
      <c r="D641" s="2">
        <v>0.48472222222222222</v>
      </c>
      <c r="E641" s="2">
        <f t="shared" si="24"/>
        <v>2.5000000000000022E-2</v>
      </c>
      <c r="F641" s="3">
        <f t="shared" si="23"/>
        <v>4.1666666666667074E-3</v>
      </c>
    </row>
    <row r="642" spans="1:6" x14ac:dyDescent="0.25">
      <c r="A642" s="20">
        <v>42401</v>
      </c>
      <c r="B642" s="1" t="s">
        <v>11</v>
      </c>
      <c r="C642" s="2">
        <v>0.40902777777777777</v>
      </c>
      <c r="D642" s="2">
        <v>0.42986111111111108</v>
      </c>
      <c r="E642" s="2">
        <f t="shared" si="24"/>
        <v>2.0833333333333315E-2</v>
      </c>
      <c r="F642" s="3">
        <f t="shared" si="23"/>
        <v>4.1666666666667074E-3</v>
      </c>
    </row>
    <row r="643" spans="1:6" x14ac:dyDescent="0.25">
      <c r="A643" s="20">
        <v>42401</v>
      </c>
      <c r="B643" s="1" t="s">
        <v>11</v>
      </c>
      <c r="C643" s="2">
        <v>0.4597222222222222</v>
      </c>
      <c r="D643" s="2">
        <v>0.48472222222222222</v>
      </c>
      <c r="E643" s="2">
        <f t="shared" si="24"/>
        <v>2.5000000000000022E-2</v>
      </c>
      <c r="F643" s="3">
        <f t="shared" si="23"/>
        <v>6.9444444444444198E-4</v>
      </c>
    </row>
    <row r="644" spans="1:6" x14ac:dyDescent="0.25">
      <c r="A644" s="20">
        <v>42401</v>
      </c>
      <c r="B644" s="1" t="s">
        <v>11</v>
      </c>
      <c r="C644" s="2">
        <v>0.42430555555555555</v>
      </c>
      <c r="D644" s="2">
        <v>0.45</v>
      </c>
      <c r="E644" s="2">
        <f t="shared" si="24"/>
        <v>2.5694444444444464E-2</v>
      </c>
      <c r="F644" s="3">
        <f t="shared" si="23"/>
        <v>6.9444444444445308E-3</v>
      </c>
    </row>
    <row r="645" spans="1:6" x14ac:dyDescent="0.25">
      <c r="A645" s="20">
        <v>42401</v>
      </c>
      <c r="B645" s="1" t="s">
        <v>11</v>
      </c>
      <c r="C645" s="2">
        <v>0.66875000000000007</v>
      </c>
      <c r="D645" s="2">
        <v>0.6875</v>
      </c>
      <c r="E645" s="2">
        <f t="shared" si="24"/>
        <v>1.8749999999999933E-2</v>
      </c>
      <c r="F645" s="3">
        <f t="shared" si="23"/>
        <v>6.9444444444444198E-4</v>
      </c>
    </row>
    <row r="646" spans="1:6" x14ac:dyDescent="0.25">
      <c r="A646" s="20">
        <v>42401</v>
      </c>
      <c r="B646" s="1" t="s">
        <v>11</v>
      </c>
      <c r="C646" s="2">
        <v>0.68194444444444446</v>
      </c>
      <c r="D646" s="2">
        <v>0.70138888888888884</v>
      </c>
      <c r="E646" s="2">
        <f t="shared" si="24"/>
        <v>1.9444444444444375E-2</v>
      </c>
      <c r="F646" s="3">
        <f t="shared" si="23"/>
        <v>1.388888888888884E-3</v>
      </c>
    </row>
    <row r="647" spans="1:6" x14ac:dyDescent="0.25">
      <c r="A647" s="20">
        <v>42401</v>
      </c>
      <c r="B647" s="1" t="s">
        <v>11</v>
      </c>
      <c r="C647" s="2">
        <v>0.7597222222222223</v>
      </c>
      <c r="D647" s="2">
        <v>0.78055555555555556</v>
      </c>
      <c r="E647" s="2">
        <f t="shared" si="24"/>
        <v>2.0833333333333259E-2</v>
      </c>
      <c r="F647" s="3">
        <f t="shared" si="23"/>
        <v>4.1666666666668739E-3</v>
      </c>
    </row>
    <row r="648" spans="1:6" x14ac:dyDescent="0.25">
      <c r="A648" s="20">
        <v>42401</v>
      </c>
      <c r="B648" s="1" t="s">
        <v>11</v>
      </c>
      <c r="C648" s="2">
        <v>0.82013888888888886</v>
      </c>
      <c r="D648" s="2">
        <v>0.84513888888888899</v>
      </c>
      <c r="E648" s="2">
        <f t="shared" si="24"/>
        <v>2.5000000000000133E-2</v>
      </c>
      <c r="F648" s="3">
        <f t="shared" si="23"/>
        <v>4.1666666666665408E-3</v>
      </c>
    </row>
    <row r="649" spans="1:6" x14ac:dyDescent="0.25">
      <c r="A649" s="20">
        <v>42401</v>
      </c>
      <c r="B649" s="1" t="s">
        <v>11</v>
      </c>
      <c r="C649" s="2">
        <v>0.77500000000000002</v>
      </c>
      <c r="D649" s="2">
        <v>0.8041666666666667</v>
      </c>
      <c r="E649" s="2">
        <f t="shared" si="24"/>
        <v>2.9166666666666674E-2</v>
      </c>
      <c r="F649" s="3">
        <f t="shared" si="23"/>
        <v>9.0277777777777735E-3</v>
      </c>
    </row>
    <row r="650" spans="1:6" x14ac:dyDescent="0.25">
      <c r="A650" s="20">
        <v>42401</v>
      </c>
      <c r="B650" s="1" t="s">
        <v>11</v>
      </c>
      <c r="C650" s="2">
        <v>0.13402777777777777</v>
      </c>
      <c r="D650" s="2">
        <v>0.15416666666666667</v>
      </c>
      <c r="E650" s="2">
        <f t="shared" si="24"/>
        <v>2.0138888888888901E-2</v>
      </c>
      <c r="F650" s="3">
        <f t="shared" si="23"/>
        <v>2.0833333333333537E-3</v>
      </c>
    </row>
    <row r="651" spans="1:6" x14ac:dyDescent="0.25">
      <c r="A651" s="20">
        <v>42401</v>
      </c>
      <c r="B651" s="1" t="s">
        <v>11</v>
      </c>
      <c r="C651" s="2">
        <v>0.3888888888888889</v>
      </c>
      <c r="D651" s="2">
        <v>0.41111111111111115</v>
      </c>
      <c r="E651" s="2">
        <f t="shared" si="24"/>
        <v>2.2222222222222254E-2</v>
      </c>
      <c r="F651" s="3">
        <f t="shared" si="23"/>
        <v>3.4722222222222099E-3</v>
      </c>
    </row>
    <row r="652" spans="1:6" x14ac:dyDescent="0.25">
      <c r="A652" s="20">
        <v>42401</v>
      </c>
      <c r="B652" s="1" t="s">
        <v>11</v>
      </c>
      <c r="C652" s="2">
        <v>0.34791666666666665</v>
      </c>
      <c r="D652" s="2">
        <v>0.3666666666666667</v>
      </c>
      <c r="E652" s="2">
        <f t="shared" si="24"/>
        <v>1.8750000000000044E-2</v>
      </c>
      <c r="F652" s="3">
        <f t="shared" si="23"/>
        <v>2.0833333333332149E-3</v>
      </c>
    </row>
    <row r="653" spans="1:6" x14ac:dyDescent="0.25">
      <c r="A653" s="20">
        <v>42401</v>
      </c>
      <c r="B653" s="1" t="s">
        <v>11</v>
      </c>
      <c r="C653" s="2">
        <v>0.5805555555555556</v>
      </c>
      <c r="D653" s="2">
        <v>0.60138888888888886</v>
      </c>
      <c r="E653" s="2">
        <f t="shared" si="24"/>
        <v>2.0833333333333259E-2</v>
      </c>
      <c r="F653" s="3">
        <f t="shared" si="23"/>
        <v>6.9444444444449749E-4</v>
      </c>
    </row>
    <row r="654" spans="1:6" x14ac:dyDescent="0.25">
      <c r="A654" s="20">
        <v>42401</v>
      </c>
      <c r="B654" s="1" t="s">
        <v>11</v>
      </c>
      <c r="C654" s="2">
        <v>0.39305555555555555</v>
      </c>
      <c r="D654" s="2">
        <v>0.4145833333333333</v>
      </c>
      <c r="E654" s="2">
        <f t="shared" si="24"/>
        <v>2.1527777777777757E-2</v>
      </c>
      <c r="F654" s="3">
        <f t="shared" si="23"/>
        <v>1.3888888888889395E-3</v>
      </c>
    </row>
    <row r="655" spans="1:6" x14ac:dyDescent="0.25">
      <c r="A655" s="20">
        <v>42401</v>
      </c>
      <c r="B655" s="1" t="s">
        <v>11</v>
      </c>
      <c r="C655" s="2">
        <v>0.44791666666666669</v>
      </c>
      <c r="D655" s="2">
        <v>0.4680555555555555</v>
      </c>
      <c r="E655" s="2">
        <f t="shared" si="24"/>
        <v>2.0138888888888817E-2</v>
      </c>
      <c r="F655" s="3">
        <f t="shared" si="23"/>
        <v>1.1805555555555514E-2</v>
      </c>
    </row>
    <row r="656" spans="1:6" x14ac:dyDescent="0.25">
      <c r="A656" s="20">
        <v>42401</v>
      </c>
      <c r="B656" s="1" t="s">
        <v>11</v>
      </c>
      <c r="C656" s="2">
        <v>0.5493055555555556</v>
      </c>
      <c r="D656" s="2">
        <v>0.58124999999999993</v>
      </c>
      <c r="E656" s="2">
        <f t="shared" si="24"/>
        <v>3.1944444444444331E-2</v>
      </c>
      <c r="F656" s="3">
        <f t="shared" si="23"/>
        <v>9.0277777777776347E-3</v>
      </c>
    </row>
    <row r="657" spans="1:6" x14ac:dyDescent="0.25">
      <c r="A657" s="20">
        <v>42401</v>
      </c>
      <c r="B657" s="1" t="s">
        <v>11</v>
      </c>
      <c r="C657" s="2">
        <v>0.625</v>
      </c>
      <c r="D657" s="2">
        <v>0.6479166666666667</v>
      </c>
      <c r="E657" s="2">
        <f t="shared" si="24"/>
        <v>2.2916666666666696E-2</v>
      </c>
      <c r="F657" s="3">
        <f t="shared" si="23"/>
        <v>1.1805555555555514E-2</v>
      </c>
    </row>
    <row r="658" spans="1:6" x14ac:dyDescent="0.25">
      <c r="A658" s="20">
        <v>42401</v>
      </c>
      <c r="B658" s="1" t="s">
        <v>11</v>
      </c>
      <c r="C658" s="2">
        <v>0.68958333333333333</v>
      </c>
      <c r="D658" s="2">
        <v>0.72430555555555554</v>
      </c>
      <c r="E658" s="2">
        <f t="shared" si="24"/>
        <v>3.472222222222221E-2</v>
      </c>
      <c r="F658" s="3">
        <f t="shared" si="23"/>
        <v>1.1805555555555625E-2</v>
      </c>
    </row>
    <row r="659" spans="1:6" x14ac:dyDescent="0.25">
      <c r="A659" s="20">
        <v>42401</v>
      </c>
      <c r="B659" s="1" t="s">
        <v>11</v>
      </c>
      <c r="C659" s="2">
        <v>0.68402777777777779</v>
      </c>
      <c r="D659" s="2">
        <v>0.70694444444444438</v>
      </c>
      <c r="E659" s="2">
        <f t="shared" si="24"/>
        <v>2.2916666666666585E-2</v>
      </c>
      <c r="F659" s="3">
        <f t="shared" si="23"/>
        <v>1.1805555555555736E-2</v>
      </c>
    </row>
    <row r="660" spans="1:6" x14ac:dyDescent="0.25">
      <c r="A660" s="20">
        <v>42401</v>
      </c>
      <c r="B660" s="1" t="s">
        <v>11</v>
      </c>
      <c r="C660" s="2">
        <v>0.7715277777777777</v>
      </c>
      <c r="D660" s="2">
        <v>0.80625000000000002</v>
      </c>
      <c r="E660" s="2">
        <f t="shared" si="24"/>
        <v>3.4722222222222321E-2</v>
      </c>
      <c r="F660" s="3">
        <f t="shared" si="23"/>
        <v>8.3333333333334147E-3</v>
      </c>
    </row>
    <row r="661" spans="1:6" x14ac:dyDescent="0.25">
      <c r="A661" s="20">
        <v>42401</v>
      </c>
      <c r="B661" s="1" t="s">
        <v>11</v>
      </c>
      <c r="C661" s="2">
        <v>0.85833333333333339</v>
      </c>
      <c r="D661" s="2">
        <v>0.8847222222222223</v>
      </c>
      <c r="E661" s="2">
        <f t="shared" si="24"/>
        <v>2.6388888888888906E-2</v>
      </c>
      <c r="F661" s="3">
        <f t="shared" si="23"/>
        <v>4.1666666666666519E-3</v>
      </c>
    </row>
    <row r="662" spans="1:6" x14ac:dyDescent="0.25">
      <c r="A662" s="20">
        <v>42401</v>
      </c>
      <c r="B662" s="1" t="s">
        <v>11</v>
      </c>
      <c r="C662" s="2">
        <v>0.93541666666666667</v>
      </c>
      <c r="D662" s="2">
        <v>0.96597222222222223</v>
      </c>
      <c r="E662" s="2">
        <f t="shared" si="24"/>
        <v>3.0555555555555558E-2</v>
      </c>
      <c r="F662" s="3">
        <f t="shared" si="23"/>
        <v>5.5555555555555358E-3</v>
      </c>
    </row>
    <row r="663" spans="1:6" x14ac:dyDescent="0.25">
      <c r="A663" s="20">
        <v>42401</v>
      </c>
      <c r="B663" s="1" t="s">
        <v>11</v>
      </c>
      <c r="C663" s="2">
        <v>0.94097222222222221</v>
      </c>
      <c r="D663" s="2">
        <v>0.96597222222222223</v>
      </c>
      <c r="E663" s="2">
        <f t="shared" si="24"/>
        <v>2.5000000000000022E-2</v>
      </c>
      <c r="F663" s="3">
        <f t="shared" si="23"/>
        <v>2.0833333333333537E-3</v>
      </c>
    </row>
    <row r="664" spans="1:6" x14ac:dyDescent="0.25">
      <c r="A664" s="20">
        <v>42401</v>
      </c>
      <c r="B664" s="1" t="s">
        <v>11</v>
      </c>
      <c r="C664" s="2">
        <v>0.15416666666666667</v>
      </c>
      <c r="D664" s="2">
        <v>0.17708333333333334</v>
      </c>
      <c r="E664" s="2">
        <f t="shared" si="24"/>
        <v>2.2916666666666669E-2</v>
      </c>
      <c r="F664" s="3">
        <f t="shared" si="23"/>
        <v>2.0833333333333537E-3</v>
      </c>
    </row>
    <row r="665" spans="1:6" x14ac:dyDescent="0.25">
      <c r="A665" s="20">
        <v>42401</v>
      </c>
      <c r="B665" s="1" t="s">
        <v>11</v>
      </c>
      <c r="C665" s="2">
        <v>0.53402777777777777</v>
      </c>
      <c r="D665" s="2">
        <v>0.55902777777777779</v>
      </c>
      <c r="E665" s="2">
        <f t="shared" si="24"/>
        <v>2.5000000000000022E-2</v>
      </c>
      <c r="F665" s="3">
        <f t="shared" si="23"/>
        <v>7.6388888888889728E-3</v>
      </c>
    </row>
    <row r="666" spans="1:6" x14ac:dyDescent="0.25">
      <c r="A666" s="20">
        <v>42401</v>
      </c>
      <c r="B666" s="1" t="s">
        <v>11</v>
      </c>
      <c r="C666" s="2">
        <v>0.67291666666666661</v>
      </c>
      <c r="D666" s="2">
        <v>0.7055555555555556</v>
      </c>
      <c r="E666" s="2">
        <f t="shared" si="24"/>
        <v>3.2638888888888995E-2</v>
      </c>
      <c r="F666" s="3">
        <f t="shared" si="23"/>
        <v>6.9444444444445308E-3</v>
      </c>
    </row>
    <row r="667" spans="1:6" x14ac:dyDescent="0.25">
      <c r="A667" s="20">
        <v>42401</v>
      </c>
      <c r="B667" s="1" t="s">
        <v>11</v>
      </c>
      <c r="C667" s="2">
        <v>0.6972222222222223</v>
      </c>
      <c r="D667" s="2">
        <v>0.72291666666666676</v>
      </c>
      <c r="E667" s="2">
        <f t="shared" si="24"/>
        <v>2.5694444444444464E-2</v>
      </c>
      <c r="F667" s="3">
        <f t="shared" si="23"/>
        <v>1.3888888888887729E-3</v>
      </c>
    </row>
    <row r="668" spans="1:6" x14ac:dyDescent="0.25">
      <c r="A668" s="20">
        <v>42401</v>
      </c>
      <c r="B668" s="1" t="s">
        <v>11</v>
      </c>
      <c r="C668" s="2">
        <v>0.82638888888888884</v>
      </c>
      <c r="D668" s="2">
        <v>0.85069444444444453</v>
      </c>
      <c r="E668" s="2">
        <f t="shared" si="24"/>
        <v>2.4305555555555691E-2</v>
      </c>
      <c r="F668" s="3">
        <f t="shared" si="23"/>
        <v>6.9444444444460851E-4</v>
      </c>
    </row>
    <row r="669" spans="1:6" x14ac:dyDescent="0.25">
      <c r="A669" s="20">
        <v>42401</v>
      </c>
      <c r="B669" s="1" t="s">
        <v>11</v>
      </c>
      <c r="C669" s="2">
        <v>0.47638888888888892</v>
      </c>
      <c r="D669" s="2">
        <v>0.5</v>
      </c>
      <c r="E669" s="2">
        <f t="shared" si="24"/>
        <v>2.3611111111111083E-2</v>
      </c>
      <c r="F669" s="3">
        <f t="shared" si="23"/>
        <v>2.0833333333333814E-3</v>
      </c>
    </row>
    <row r="670" spans="1:6" x14ac:dyDescent="0.25">
      <c r="A670" s="20">
        <v>42401</v>
      </c>
      <c r="B670" s="1" t="s">
        <v>11</v>
      </c>
      <c r="C670" s="2">
        <v>0.56874999999999998</v>
      </c>
      <c r="D670" s="2">
        <v>0.59444444444444444</v>
      </c>
      <c r="E670" s="2">
        <f t="shared" si="24"/>
        <v>2.5694444444444464E-2</v>
      </c>
      <c r="F670" s="3">
        <f t="shared" si="23"/>
        <v>6.9444444444444198E-3</v>
      </c>
    </row>
    <row r="671" spans="1:6" x14ac:dyDescent="0.25">
      <c r="A671" s="20">
        <v>42401</v>
      </c>
      <c r="B671" s="1" t="s">
        <v>11</v>
      </c>
      <c r="C671" s="2">
        <v>0.95347222222222217</v>
      </c>
      <c r="D671" s="2">
        <v>0.97222222222222221</v>
      </c>
      <c r="E671" s="2">
        <f t="shared" si="24"/>
        <v>1.8750000000000044E-2</v>
      </c>
      <c r="F671" s="3">
        <f t="shared" si="23"/>
        <v>2.77777777777782E-3</v>
      </c>
    </row>
    <row r="672" spans="1:6" x14ac:dyDescent="0.25">
      <c r="A672" s="20">
        <v>42401</v>
      </c>
      <c r="B672" s="1" t="s">
        <v>11</v>
      </c>
      <c r="C672" s="2">
        <v>2.4999999999999998E-2</v>
      </c>
      <c r="D672" s="2">
        <v>4.0972222222222222E-2</v>
      </c>
      <c r="E672" s="2">
        <f t="shared" si="24"/>
        <v>1.5972222222222224E-2</v>
      </c>
      <c r="F672" s="3">
        <f t="shared" si="23"/>
        <v>6.9444444444444718E-3</v>
      </c>
    </row>
    <row r="673" spans="1:6" x14ac:dyDescent="0.25">
      <c r="A673" s="20">
        <v>42401</v>
      </c>
      <c r="B673" s="1" t="s">
        <v>11</v>
      </c>
      <c r="C673" s="2">
        <v>0.72499999999999998</v>
      </c>
      <c r="D673" s="2">
        <v>0.74791666666666667</v>
      </c>
      <c r="E673" s="2">
        <f t="shared" si="24"/>
        <v>2.2916666666666696E-2</v>
      </c>
      <c r="F673" s="3"/>
    </row>
    <row r="674" spans="1:6" x14ac:dyDescent="0.25">
      <c r="A674" s="20">
        <v>42401</v>
      </c>
      <c r="B674" s="1" t="s">
        <v>8</v>
      </c>
      <c r="C674" s="2">
        <v>0.40902777777777777</v>
      </c>
      <c r="D674" s="2">
        <v>0.42152777777777778</v>
      </c>
      <c r="E674" s="2">
        <f t="shared" si="24"/>
        <v>1.2500000000000011E-2</v>
      </c>
      <c r="F674" s="3">
        <f>ABS(E675-E674)</f>
        <v>6.2499999999999778E-3</v>
      </c>
    </row>
    <row r="675" spans="1:6" x14ac:dyDescent="0.25">
      <c r="A675" s="20">
        <v>42401</v>
      </c>
      <c r="B675" s="1" t="s">
        <v>8</v>
      </c>
      <c r="C675" s="2">
        <v>0.4375</v>
      </c>
      <c r="D675" s="2">
        <v>0.45624999999999999</v>
      </c>
      <c r="E675" s="2">
        <f t="shared" si="24"/>
        <v>1.8749999999999989E-2</v>
      </c>
      <c r="F675" s="3">
        <f t="shared" ref="F675:F714" si="25">ABS(E676-E675)</f>
        <v>3.4722222222221544E-3</v>
      </c>
    </row>
    <row r="676" spans="1:6" x14ac:dyDescent="0.25">
      <c r="A676" s="20">
        <v>42401</v>
      </c>
      <c r="B676" s="1" t="s">
        <v>8</v>
      </c>
      <c r="C676" s="2">
        <v>0.74305555555555547</v>
      </c>
      <c r="D676" s="2">
        <v>0.7583333333333333</v>
      </c>
      <c r="E676" s="2">
        <f t="shared" si="24"/>
        <v>1.5277777777777835E-2</v>
      </c>
      <c r="F676" s="3">
        <f t="shared" si="25"/>
        <v>1.8055555555555491E-2</v>
      </c>
    </row>
    <row r="677" spans="1:6" x14ac:dyDescent="0.25">
      <c r="A677" s="20">
        <v>42401</v>
      </c>
      <c r="B677" s="1" t="s">
        <v>8</v>
      </c>
      <c r="C677" s="2">
        <v>0.94652777777777775</v>
      </c>
      <c r="D677" s="2">
        <v>0.97986111111111107</v>
      </c>
      <c r="E677" s="2">
        <f t="shared" si="24"/>
        <v>3.3333333333333326E-2</v>
      </c>
      <c r="F677" s="3">
        <f t="shared" si="25"/>
        <v>2.2916666666666669E-2</v>
      </c>
    </row>
    <row r="678" spans="1:6" x14ac:dyDescent="0.25">
      <c r="A678" s="20">
        <v>42401</v>
      </c>
      <c r="B678" s="1" t="s">
        <v>8</v>
      </c>
      <c r="C678" s="2">
        <v>0.21249999999999999</v>
      </c>
      <c r="D678" s="2">
        <v>0.22291666666666665</v>
      </c>
      <c r="E678" s="2">
        <f t="shared" si="24"/>
        <v>1.0416666666666657E-2</v>
      </c>
      <c r="F678" s="3">
        <f t="shared" si="25"/>
        <v>6.9444444444444198E-4</v>
      </c>
    </row>
    <row r="679" spans="1:6" x14ac:dyDescent="0.25">
      <c r="A679" s="20">
        <v>42401</v>
      </c>
      <c r="B679" s="1" t="s">
        <v>8</v>
      </c>
      <c r="C679" s="2">
        <v>0.22013888888888888</v>
      </c>
      <c r="D679" s="2">
        <v>0.2298611111111111</v>
      </c>
      <c r="E679" s="2">
        <f t="shared" si="24"/>
        <v>9.7222222222222154E-3</v>
      </c>
      <c r="F679" s="3">
        <f t="shared" si="25"/>
        <v>6.9444444444441422E-4</v>
      </c>
    </row>
    <row r="680" spans="1:6" x14ac:dyDescent="0.25">
      <c r="A680" s="20">
        <v>42401</v>
      </c>
      <c r="B680" s="1" t="s">
        <v>8</v>
      </c>
      <c r="C680" s="2">
        <v>0.33333333333333331</v>
      </c>
      <c r="D680" s="2">
        <v>0.34236111111111112</v>
      </c>
      <c r="E680" s="2">
        <f t="shared" si="24"/>
        <v>9.0277777777778012E-3</v>
      </c>
      <c r="F680" s="3">
        <f t="shared" si="25"/>
        <v>1.8055555555555533E-2</v>
      </c>
    </row>
    <row r="681" spans="1:6" x14ac:dyDescent="0.25">
      <c r="A681" s="20">
        <v>42401</v>
      </c>
      <c r="B681" s="1" t="s">
        <v>8</v>
      </c>
      <c r="C681" s="2">
        <v>3.4722222222222224E-2</v>
      </c>
      <c r="D681" s="2">
        <v>6.1805555555555558E-2</v>
      </c>
      <c r="E681" s="2">
        <f t="shared" si="24"/>
        <v>2.7083333333333334E-2</v>
      </c>
      <c r="F681" s="3">
        <f t="shared" si="25"/>
        <v>2.4305555555555566E-2</v>
      </c>
    </row>
    <row r="682" spans="1:6" x14ac:dyDescent="0.25">
      <c r="A682" s="20">
        <v>42401</v>
      </c>
      <c r="B682" s="1" t="s">
        <v>8</v>
      </c>
      <c r="C682" s="2">
        <v>0.3354166666666667</v>
      </c>
      <c r="D682" s="2">
        <v>0.33819444444444446</v>
      </c>
      <c r="E682" s="2">
        <f t="shared" si="24"/>
        <v>2.7777777777777679E-3</v>
      </c>
      <c r="F682" s="3">
        <f t="shared" si="25"/>
        <v>1.0416666666666741E-2</v>
      </c>
    </row>
    <row r="683" spans="1:6" x14ac:dyDescent="0.25">
      <c r="A683" s="20">
        <v>42401</v>
      </c>
      <c r="B683" s="1" t="s">
        <v>8</v>
      </c>
      <c r="C683" s="2">
        <v>0.66527777777777775</v>
      </c>
      <c r="D683" s="2">
        <v>0.67847222222222225</v>
      </c>
      <c r="E683" s="2">
        <f t="shared" si="24"/>
        <v>1.3194444444444509E-2</v>
      </c>
      <c r="F683" s="3">
        <f t="shared" si="25"/>
        <v>2.083333333333437E-3</v>
      </c>
    </row>
    <row r="684" spans="1:6" x14ac:dyDescent="0.25">
      <c r="A684" s="20">
        <v>42401</v>
      </c>
      <c r="B684" s="1" t="s">
        <v>8</v>
      </c>
      <c r="C684" s="2">
        <v>0.32916666666666666</v>
      </c>
      <c r="D684" s="2">
        <v>0.34027777777777773</v>
      </c>
      <c r="E684" s="2">
        <f t="shared" si="24"/>
        <v>1.1111111111111072E-2</v>
      </c>
      <c r="F684" s="3">
        <f t="shared" si="25"/>
        <v>9.0277777777777457E-3</v>
      </c>
    </row>
    <row r="685" spans="1:6" x14ac:dyDescent="0.25">
      <c r="A685" s="20">
        <v>42401</v>
      </c>
      <c r="B685" s="1" t="s">
        <v>8</v>
      </c>
      <c r="C685" s="2">
        <v>0.44097222222222227</v>
      </c>
      <c r="D685" s="2">
        <v>0.46111111111111108</v>
      </c>
      <c r="E685" s="2">
        <f t="shared" si="24"/>
        <v>2.0138888888888817E-2</v>
      </c>
      <c r="F685" s="3">
        <f t="shared" si="25"/>
        <v>2.0833333333333426E-2</v>
      </c>
    </row>
    <row r="686" spans="1:6" x14ac:dyDescent="0.25">
      <c r="A686" s="20">
        <v>42401</v>
      </c>
      <c r="B686" s="1" t="s">
        <v>8</v>
      </c>
      <c r="C686" s="2">
        <v>0.28541666666666665</v>
      </c>
      <c r="D686" s="2">
        <v>0.3263888888888889</v>
      </c>
      <c r="E686" s="2">
        <f t="shared" si="24"/>
        <v>4.0972222222222243E-2</v>
      </c>
      <c r="F686" s="3">
        <f t="shared" si="25"/>
        <v>2.2916666666666696E-2</v>
      </c>
    </row>
    <row r="687" spans="1:6" x14ac:dyDescent="0.25">
      <c r="A687" s="20">
        <v>42401</v>
      </c>
      <c r="B687" s="1" t="s">
        <v>8</v>
      </c>
      <c r="C687" s="2">
        <v>0.14375000000000002</v>
      </c>
      <c r="D687" s="2">
        <v>0.16180555555555556</v>
      </c>
      <c r="E687" s="2">
        <f t="shared" si="24"/>
        <v>1.8055555555555547E-2</v>
      </c>
      <c r="F687" s="3">
        <f t="shared" si="25"/>
        <v>1.388888888888884E-3</v>
      </c>
    </row>
    <row r="688" spans="1:6" x14ac:dyDescent="0.25">
      <c r="A688" s="20">
        <v>42401</v>
      </c>
      <c r="B688" s="1" t="s">
        <v>8</v>
      </c>
      <c r="C688" s="2">
        <v>0.48888888888888887</v>
      </c>
      <c r="D688" s="2">
        <v>0.5083333333333333</v>
      </c>
      <c r="E688" s="2">
        <f t="shared" si="24"/>
        <v>1.9444444444444431E-2</v>
      </c>
      <c r="F688" s="3">
        <f t="shared" si="25"/>
        <v>4.1666666666667074E-3</v>
      </c>
    </row>
    <row r="689" spans="1:6" x14ac:dyDescent="0.25">
      <c r="A689" s="20">
        <v>42401</v>
      </c>
      <c r="B689" s="1" t="s">
        <v>8</v>
      </c>
      <c r="C689" s="2">
        <v>0.28958333333333336</v>
      </c>
      <c r="D689" s="2">
        <v>0.30486111111111108</v>
      </c>
      <c r="E689" s="2">
        <f t="shared" si="24"/>
        <v>1.5277777777777724E-2</v>
      </c>
      <c r="F689" s="3">
        <f t="shared" si="25"/>
        <v>2.0833333333333814E-3</v>
      </c>
    </row>
    <row r="690" spans="1:6" x14ac:dyDescent="0.25">
      <c r="A690" s="20">
        <v>42401</v>
      </c>
      <c r="B690" s="1" t="s">
        <v>8</v>
      </c>
      <c r="C690" s="2">
        <v>0.10208333333333335</v>
      </c>
      <c r="D690" s="2">
        <v>0.11944444444444445</v>
      </c>
      <c r="E690" s="2">
        <f t="shared" si="24"/>
        <v>1.7361111111111105E-2</v>
      </c>
      <c r="F690" s="3">
        <f t="shared" si="25"/>
        <v>4.8611111111111494E-3</v>
      </c>
    </row>
    <row r="691" spans="1:6" x14ac:dyDescent="0.25">
      <c r="A691" s="20">
        <v>42401</v>
      </c>
      <c r="B691" s="1" t="s">
        <v>8</v>
      </c>
      <c r="C691" s="2">
        <v>0.87847222222222221</v>
      </c>
      <c r="D691" s="2">
        <v>0.89097222222222217</v>
      </c>
      <c r="E691" s="2">
        <f t="shared" si="24"/>
        <v>1.2499999999999956E-2</v>
      </c>
      <c r="F691" s="3">
        <f t="shared" si="25"/>
        <v>3.4722222222222654E-3</v>
      </c>
    </row>
    <row r="692" spans="1:6" x14ac:dyDescent="0.25">
      <c r="A692" s="20">
        <v>42401</v>
      </c>
      <c r="B692" s="1" t="s">
        <v>8</v>
      </c>
      <c r="C692" s="2">
        <v>0.33194444444444443</v>
      </c>
      <c r="D692" s="2">
        <v>0.34791666666666665</v>
      </c>
      <c r="E692" s="2">
        <f t="shared" si="24"/>
        <v>1.5972222222222221E-2</v>
      </c>
      <c r="F692" s="3">
        <f t="shared" si="25"/>
        <v>2.0833333333333814E-3</v>
      </c>
    </row>
    <row r="693" spans="1:6" x14ac:dyDescent="0.25">
      <c r="A693" s="20">
        <v>42401</v>
      </c>
      <c r="B693" s="1" t="s">
        <v>8</v>
      </c>
      <c r="C693" s="2">
        <v>0.61944444444444446</v>
      </c>
      <c r="D693" s="2">
        <v>0.63750000000000007</v>
      </c>
      <c r="E693" s="2">
        <f t="shared" si="24"/>
        <v>1.8055555555555602E-2</v>
      </c>
      <c r="F693" s="3">
        <f t="shared" si="25"/>
        <v>6.9444444444445308E-3</v>
      </c>
    </row>
    <row r="694" spans="1:6" x14ac:dyDescent="0.25">
      <c r="A694" s="20">
        <v>42401</v>
      </c>
      <c r="B694" s="1" t="s">
        <v>8</v>
      </c>
      <c r="C694" s="2">
        <v>0.73402777777777783</v>
      </c>
      <c r="D694" s="2">
        <v>0.74513888888888891</v>
      </c>
      <c r="E694" s="2">
        <f t="shared" si="24"/>
        <v>1.1111111111111072E-2</v>
      </c>
      <c r="F694" s="3">
        <f t="shared" si="25"/>
        <v>2.7777777777777679E-3</v>
      </c>
    </row>
    <row r="695" spans="1:6" x14ac:dyDescent="0.25">
      <c r="A695" s="20">
        <v>42401</v>
      </c>
      <c r="B695" s="1" t="s">
        <v>8</v>
      </c>
      <c r="C695" s="2">
        <v>0.70208333333333339</v>
      </c>
      <c r="D695" s="2">
        <v>0.7104166666666667</v>
      </c>
      <c r="E695" s="2">
        <f t="shared" si="24"/>
        <v>8.3333333333333037E-3</v>
      </c>
      <c r="F695" s="3">
        <f t="shared" si="25"/>
        <v>2.9861111111111227E-2</v>
      </c>
    </row>
    <row r="696" spans="1:6" x14ac:dyDescent="0.25">
      <c r="A696" s="20">
        <v>42401</v>
      </c>
      <c r="B696" s="1" t="s">
        <v>8</v>
      </c>
      <c r="C696" s="2">
        <v>0.37291666666666662</v>
      </c>
      <c r="D696" s="2">
        <v>0.41111111111111115</v>
      </c>
      <c r="E696" s="2">
        <f t="shared" si="24"/>
        <v>3.8194444444444531E-2</v>
      </c>
      <c r="F696" s="3">
        <f t="shared" si="25"/>
        <v>3.2638888888888995E-2</v>
      </c>
    </row>
    <row r="697" spans="1:6" x14ac:dyDescent="0.25">
      <c r="A697" s="20">
        <v>42401</v>
      </c>
      <c r="B697" s="1" t="s">
        <v>8</v>
      </c>
      <c r="C697" s="2">
        <v>0.98055555555555562</v>
      </c>
      <c r="D697" s="2">
        <v>0.98611111111111116</v>
      </c>
      <c r="E697" s="2">
        <f t="shared" si="24"/>
        <v>5.5555555555555358E-3</v>
      </c>
      <c r="F697" s="3">
        <f t="shared" si="25"/>
        <v>6.9444444444444753E-3</v>
      </c>
    </row>
    <row r="698" spans="1:6" x14ac:dyDescent="0.25">
      <c r="A698" s="20">
        <v>42401</v>
      </c>
      <c r="B698" s="1" t="s">
        <v>8</v>
      </c>
      <c r="C698" s="2">
        <v>0.26319444444444445</v>
      </c>
      <c r="D698" s="2">
        <v>0.27569444444444446</v>
      </c>
      <c r="E698" s="2">
        <f t="shared" si="24"/>
        <v>1.2500000000000011E-2</v>
      </c>
      <c r="F698" s="3">
        <f t="shared" si="25"/>
        <v>0</v>
      </c>
    </row>
    <row r="699" spans="1:6" x14ac:dyDescent="0.25">
      <c r="A699" s="20">
        <v>42401</v>
      </c>
      <c r="B699" s="1" t="s">
        <v>8</v>
      </c>
      <c r="C699" s="2">
        <v>0.48194444444444445</v>
      </c>
      <c r="D699" s="2">
        <v>0.49444444444444446</v>
      </c>
      <c r="E699" s="2">
        <f t="shared" si="24"/>
        <v>1.2500000000000011E-2</v>
      </c>
      <c r="F699" s="3">
        <f t="shared" si="25"/>
        <v>1.1805555555555569E-2</v>
      </c>
    </row>
    <row r="700" spans="1:6" x14ac:dyDescent="0.25">
      <c r="A700" s="20">
        <v>42401</v>
      </c>
      <c r="B700" s="1" t="s">
        <v>8</v>
      </c>
      <c r="C700" s="2">
        <v>0.50624999999999998</v>
      </c>
      <c r="D700" s="2">
        <v>0.53055555555555556</v>
      </c>
      <c r="E700" s="2">
        <f t="shared" si="24"/>
        <v>2.430555555555558E-2</v>
      </c>
      <c r="F700" s="3">
        <f t="shared" si="25"/>
        <v>1.1111111111111183E-2</v>
      </c>
    </row>
    <row r="701" spans="1:6" x14ac:dyDescent="0.25">
      <c r="A701" s="20">
        <v>42401</v>
      </c>
      <c r="B701" s="1" t="s">
        <v>8</v>
      </c>
      <c r="C701" s="2">
        <v>0.52430555555555558</v>
      </c>
      <c r="D701" s="2">
        <v>0.53749999999999998</v>
      </c>
      <c r="E701" s="2">
        <f t="shared" ref="E701:E715" si="26">D701-C701</f>
        <v>1.3194444444444398E-2</v>
      </c>
      <c r="F701" s="3">
        <f t="shared" si="25"/>
        <v>6.2499999999999778E-3</v>
      </c>
    </row>
    <row r="702" spans="1:6" x14ac:dyDescent="0.25">
      <c r="A702" s="20">
        <v>42401</v>
      </c>
      <c r="B702" s="1" t="s">
        <v>8</v>
      </c>
      <c r="C702" s="2">
        <v>0.73333333333333339</v>
      </c>
      <c r="D702" s="2">
        <v>0.75277777777777777</v>
      </c>
      <c r="E702" s="2">
        <f t="shared" si="26"/>
        <v>1.9444444444444375E-2</v>
      </c>
      <c r="F702" s="3">
        <f t="shared" si="25"/>
        <v>2.2204460492503131E-16</v>
      </c>
    </row>
    <row r="703" spans="1:6" x14ac:dyDescent="0.25">
      <c r="A703" s="20">
        <v>42401</v>
      </c>
      <c r="B703" s="1" t="s">
        <v>8</v>
      </c>
      <c r="C703" s="2">
        <v>0.77708333333333324</v>
      </c>
      <c r="D703" s="2">
        <v>0.79652777777777783</v>
      </c>
      <c r="E703" s="2">
        <f t="shared" si="26"/>
        <v>1.9444444444444597E-2</v>
      </c>
      <c r="F703" s="3">
        <f t="shared" si="25"/>
        <v>1.3888888888887174E-3</v>
      </c>
    </row>
    <row r="704" spans="1:6" x14ac:dyDescent="0.25">
      <c r="A704" s="20">
        <v>42401</v>
      </c>
      <c r="B704" s="1" t="s">
        <v>8</v>
      </c>
      <c r="C704" s="2">
        <v>0.43333333333333335</v>
      </c>
      <c r="D704" s="2">
        <v>0.45416666666666666</v>
      </c>
      <c r="E704" s="2">
        <f t="shared" si="26"/>
        <v>2.0833333333333315E-2</v>
      </c>
      <c r="F704" s="3">
        <f t="shared" si="25"/>
        <v>2.0833333333332704E-3</v>
      </c>
    </row>
    <row r="705" spans="1:6" x14ac:dyDescent="0.25">
      <c r="A705" s="20">
        <v>42401</v>
      </c>
      <c r="B705" s="1" t="s">
        <v>8</v>
      </c>
      <c r="C705" s="2">
        <v>0.56736111111111109</v>
      </c>
      <c r="D705" s="2">
        <v>0.58611111111111114</v>
      </c>
      <c r="E705" s="2">
        <f t="shared" si="26"/>
        <v>1.8750000000000044E-2</v>
      </c>
      <c r="F705" s="3">
        <f t="shared" si="25"/>
        <v>2.0833333333333259E-3</v>
      </c>
    </row>
    <row r="706" spans="1:6" x14ac:dyDescent="0.25">
      <c r="A706" s="20">
        <v>42401</v>
      </c>
      <c r="B706" s="1" t="s">
        <v>8</v>
      </c>
      <c r="C706" s="2">
        <v>0.91388888888888886</v>
      </c>
      <c r="D706" s="2">
        <v>0.93472222222222223</v>
      </c>
      <c r="E706" s="2">
        <f t="shared" si="26"/>
        <v>2.083333333333337E-2</v>
      </c>
      <c r="F706" s="3">
        <f t="shared" si="25"/>
        <v>1.388888888888884E-3</v>
      </c>
    </row>
    <row r="707" spans="1:6" x14ac:dyDescent="0.25">
      <c r="A707" s="20">
        <v>42401</v>
      </c>
      <c r="B707" s="1" t="s">
        <v>8</v>
      </c>
      <c r="C707" s="2">
        <v>0.42430555555555555</v>
      </c>
      <c r="D707" s="2">
        <v>0.4465277777777778</v>
      </c>
      <c r="E707" s="2">
        <f t="shared" si="26"/>
        <v>2.2222222222222254E-2</v>
      </c>
      <c r="F707" s="3">
        <f t="shared" si="25"/>
        <v>6.2499999999999778E-3</v>
      </c>
    </row>
    <row r="708" spans="1:6" x14ac:dyDescent="0.25">
      <c r="A708" s="20">
        <v>42401</v>
      </c>
      <c r="B708" s="1" t="s">
        <v>8</v>
      </c>
      <c r="C708" s="2">
        <v>0.77500000000000002</v>
      </c>
      <c r="D708" s="2">
        <v>0.7909722222222223</v>
      </c>
      <c r="E708" s="2">
        <f t="shared" si="26"/>
        <v>1.5972222222222276E-2</v>
      </c>
      <c r="F708" s="3">
        <f t="shared" si="25"/>
        <v>4.8611111111110383E-3</v>
      </c>
    </row>
    <row r="709" spans="1:6" x14ac:dyDescent="0.25">
      <c r="A709" s="20">
        <v>42401</v>
      </c>
      <c r="B709" s="1" t="s">
        <v>8</v>
      </c>
      <c r="C709" s="2">
        <v>0.38541666666666669</v>
      </c>
      <c r="D709" s="2">
        <v>0.40625</v>
      </c>
      <c r="E709" s="2">
        <f t="shared" si="26"/>
        <v>2.0833333333333315E-2</v>
      </c>
      <c r="F709" s="3">
        <f t="shared" si="25"/>
        <v>2.0833333333332704E-3</v>
      </c>
    </row>
    <row r="710" spans="1:6" x14ac:dyDescent="0.25">
      <c r="A710" s="20">
        <v>42401</v>
      </c>
      <c r="B710" s="1" t="s">
        <v>8</v>
      </c>
      <c r="C710" s="2">
        <v>0.54999999999999993</v>
      </c>
      <c r="D710" s="2">
        <v>0.56874999999999998</v>
      </c>
      <c r="E710" s="2">
        <f t="shared" si="26"/>
        <v>1.8750000000000044E-2</v>
      </c>
      <c r="F710" s="3">
        <f t="shared" si="25"/>
        <v>6.9444444444443088E-3</v>
      </c>
    </row>
    <row r="711" spans="1:6" x14ac:dyDescent="0.25">
      <c r="A711" s="20">
        <v>42401</v>
      </c>
      <c r="B711" s="1" t="s">
        <v>8</v>
      </c>
      <c r="C711" s="2">
        <v>0.85833333333333339</v>
      </c>
      <c r="D711" s="2">
        <v>0.88402777777777775</v>
      </c>
      <c r="E711" s="2">
        <f t="shared" si="26"/>
        <v>2.5694444444444353E-2</v>
      </c>
      <c r="F711" s="3">
        <f t="shared" si="25"/>
        <v>5.5555555555554248E-3</v>
      </c>
    </row>
    <row r="712" spans="1:6" x14ac:dyDescent="0.25">
      <c r="A712" s="20">
        <v>42401</v>
      </c>
      <c r="B712" s="1" t="s">
        <v>8</v>
      </c>
      <c r="C712" s="2">
        <v>0.67291666666666661</v>
      </c>
      <c r="D712" s="2">
        <v>0.69305555555555554</v>
      </c>
      <c r="E712" s="2">
        <f t="shared" si="26"/>
        <v>2.0138888888888928E-2</v>
      </c>
      <c r="F712" s="3">
        <f t="shared" si="25"/>
        <v>1.3888888888888895E-2</v>
      </c>
    </row>
    <row r="713" spans="1:6" x14ac:dyDescent="0.25">
      <c r="A713" s="20">
        <v>42401</v>
      </c>
      <c r="B713" s="1" t="s">
        <v>8</v>
      </c>
      <c r="C713" s="2">
        <v>0.28541666666666665</v>
      </c>
      <c r="D713" s="2">
        <v>0.29166666666666669</v>
      </c>
      <c r="E713" s="2">
        <f t="shared" si="26"/>
        <v>6.2500000000000333E-3</v>
      </c>
      <c r="F713" s="3">
        <f t="shared" si="25"/>
        <v>6.9444444444443643E-3</v>
      </c>
    </row>
    <row r="714" spans="1:6" x14ac:dyDescent="0.25">
      <c r="A714" s="20">
        <v>42401</v>
      </c>
      <c r="B714" s="1" t="s">
        <v>8</v>
      </c>
      <c r="C714" s="2">
        <v>0.81805555555555554</v>
      </c>
      <c r="D714" s="2">
        <v>0.83124999999999993</v>
      </c>
      <c r="E714" s="2">
        <f t="shared" si="26"/>
        <v>1.3194444444444398E-2</v>
      </c>
      <c r="F714" s="3">
        <f t="shared" si="25"/>
        <v>3.4722222222223209E-3</v>
      </c>
    </row>
    <row r="715" spans="1:6" x14ac:dyDescent="0.25">
      <c r="A715" s="20">
        <v>42401</v>
      </c>
      <c r="B715" s="1" t="s">
        <v>8</v>
      </c>
      <c r="C715" s="2">
        <v>0.5625</v>
      </c>
      <c r="D715" s="2">
        <v>0.57916666666666672</v>
      </c>
      <c r="E715" s="2">
        <f t="shared" si="26"/>
        <v>1.6666666666666718E-2</v>
      </c>
      <c r="F715" s="3"/>
    </row>
  </sheetData>
  <sortState ref="C2:E721">
    <sortCondition ref="E2:E721" customList="ABC,BMPNL,CMPNL,TROPI,PROTIM,HDIMER,CSF GRST"/>
  </sortState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715"/>
  <sheetViews>
    <sheetView topLeftCell="B1" workbookViewId="0">
      <selection activeCell="F2" sqref="F2:N40"/>
    </sheetView>
  </sheetViews>
  <sheetFormatPr defaultRowHeight="15" x14ac:dyDescent="0.25"/>
  <cols>
    <col min="1" max="1" width="15.7109375" hidden="1" customWidth="1"/>
    <col min="2" max="3" width="15.7109375" style="2" customWidth="1"/>
    <col min="4" max="4" width="15.7109375" style="1" customWidth="1"/>
    <col min="12" max="12" width="11.7109375" bestFit="1" customWidth="1"/>
  </cols>
  <sheetData>
    <row r="1" spans="1:13" s="1" customFormat="1" x14ac:dyDescent="0.25">
      <c r="B1" s="2" t="s">
        <v>4</v>
      </c>
      <c r="C1" s="2" t="s">
        <v>5</v>
      </c>
      <c r="D1" s="1" t="s">
        <v>2</v>
      </c>
    </row>
    <row r="2" spans="1:13" x14ac:dyDescent="0.25">
      <c r="A2" s="4">
        <v>0.29166666666666669</v>
      </c>
      <c r="B2" s="2">
        <v>0.35486111111111113</v>
      </c>
      <c r="C2" s="2">
        <v>0.37013888888888885</v>
      </c>
      <c r="D2" s="1" t="s">
        <v>9</v>
      </c>
      <c r="F2" s="1" t="s">
        <v>9</v>
      </c>
      <c r="G2" s="2">
        <v>0.35486111111111113</v>
      </c>
      <c r="H2" s="2">
        <v>0.37013888888888885</v>
      </c>
      <c r="I2" s="6">
        <f>H2-G2</f>
        <v>1.5277777777777724E-2</v>
      </c>
      <c r="J2" s="3">
        <f>ABS(I3-I2)</f>
        <v>2.0833333333332843E-3</v>
      </c>
    </row>
    <row r="3" spans="1:13" x14ac:dyDescent="0.25">
      <c r="A3" s="4">
        <v>0.65972222222222221</v>
      </c>
      <c r="B3" s="2">
        <v>4.027777777777778E-2</v>
      </c>
      <c r="C3" s="2">
        <v>5.347222222222222E-2</v>
      </c>
      <c r="D3" s="1" t="s">
        <v>9</v>
      </c>
      <c r="F3" s="1" t="s">
        <v>9</v>
      </c>
      <c r="G3" s="2">
        <v>4.027777777777778E-2</v>
      </c>
      <c r="H3" s="2">
        <v>5.347222222222222E-2</v>
      </c>
      <c r="I3" s="6">
        <f t="shared" ref="I3:I40" si="0">H3-G3</f>
        <v>1.3194444444444439E-2</v>
      </c>
      <c r="J3" s="3">
        <f t="shared" ref="J3:J39" si="1">ABS(I4-I3)</f>
        <v>4.1666666666666102E-3</v>
      </c>
      <c r="L3" t="s">
        <v>15</v>
      </c>
      <c r="M3">
        <f>COUNTA(J2:J39)</f>
        <v>38</v>
      </c>
    </row>
    <row r="4" spans="1:13" x14ac:dyDescent="0.25">
      <c r="A4" s="4">
        <v>6.9444444444444434E-2</v>
      </c>
      <c r="B4" s="2">
        <v>0.58333333333333337</v>
      </c>
      <c r="C4" s="2">
        <v>0.60069444444444442</v>
      </c>
      <c r="D4" s="1" t="s">
        <v>9</v>
      </c>
      <c r="F4" s="1" t="s">
        <v>9</v>
      </c>
      <c r="G4" s="2">
        <v>0.58333333333333337</v>
      </c>
      <c r="H4" s="2">
        <v>0.60069444444444442</v>
      </c>
      <c r="I4" s="6">
        <f t="shared" si="0"/>
        <v>1.7361111111111049E-2</v>
      </c>
      <c r="J4" s="3">
        <f t="shared" si="1"/>
        <v>8.3333333333334147E-3</v>
      </c>
      <c r="L4" t="s">
        <v>33</v>
      </c>
      <c r="M4" s="6">
        <f>AVERAGE(I2:I40)</f>
        <v>1.8126780626780612E-2</v>
      </c>
    </row>
    <row r="5" spans="1:13" x14ac:dyDescent="0.25">
      <c r="A5" s="4">
        <v>0.46875</v>
      </c>
      <c r="B5" s="2">
        <v>0.35416666666666669</v>
      </c>
      <c r="C5" s="2">
        <v>0.37986111111111115</v>
      </c>
      <c r="D5" s="1" t="s">
        <v>9</v>
      </c>
      <c r="F5" s="1" t="s">
        <v>9</v>
      </c>
      <c r="G5" s="2">
        <v>0.35416666666666669</v>
      </c>
      <c r="H5" s="2">
        <v>0.37986111111111115</v>
      </c>
      <c r="I5" s="6">
        <f t="shared" si="0"/>
        <v>2.5694444444444464E-2</v>
      </c>
      <c r="J5" s="3">
        <f t="shared" si="1"/>
        <v>5.5555555555555913E-3</v>
      </c>
      <c r="L5" t="s">
        <v>34</v>
      </c>
      <c r="M5" s="3">
        <f>AVERAGE(J2:J39)</f>
        <v>1.3724415204678389E-2</v>
      </c>
    </row>
    <row r="6" spans="1:13" x14ac:dyDescent="0.25">
      <c r="A6" s="4">
        <v>0.41666666666666669</v>
      </c>
      <c r="B6" s="2">
        <v>0.48541666666666666</v>
      </c>
      <c r="C6" s="2">
        <v>0.50555555555555554</v>
      </c>
      <c r="D6" s="1" t="s">
        <v>9</v>
      </c>
      <c r="F6" s="1" t="s">
        <v>9</v>
      </c>
      <c r="G6" s="2">
        <v>0.48541666666666666</v>
      </c>
      <c r="H6" s="2">
        <v>0.50555555555555554</v>
      </c>
      <c r="I6" s="6">
        <f t="shared" si="0"/>
        <v>2.0138888888888873E-2</v>
      </c>
      <c r="J6" s="3">
        <f t="shared" si="1"/>
        <v>1.4583333333333337E-2</v>
      </c>
    </row>
    <row r="7" spans="1:13" x14ac:dyDescent="0.25">
      <c r="A7" s="4">
        <v>0.65972222222222221</v>
      </c>
      <c r="B7" s="2">
        <v>0.36805555555555558</v>
      </c>
      <c r="C7" s="2">
        <v>0.37361111111111112</v>
      </c>
      <c r="D7" s="1" t="s">
        <v>9</v>
      </c>
      <c r="F7" s="1" t="s">
        <v>9</v>
      </c>
      <c r="G7" s="2">
        <v>0.36805555555555558</v>
      </c>
      <c r="H7" s="2">
        <v>0.37361111111111112</v>
      </c>
      <c r="I7" s="6">
        <f t="shared" si="0"/>
        <v>5.5555555555555358E-3</v>
      </c>
      <c r="J7" s="3">
        <f t="shared" si="1"/>
        <v>1.1805555555555625E-2</v>
      </c>
    </row>
    <row r="8" spans="1:13" x14ac:dyDescent="0.25">
      <c r="A8" s="4">
        <v>0.18472222222222223</v>
      </c>
      <c r="B8" s="2">
        <v>0.69791666666666663</v>
      </c>
      <c r="C8" s="2">
        <v>0.71527777777777779</v>
      </c>
      <c r="D8" s="1" t="s">
        <v>9</v>
      </c>
      <c r="F8" s="1" t="s">
        <v>9</v>
      </c>
      <c r="G8" s="2">
        <v>0.69791666666666663</v>
      </c>
      <c r="H8" s="2">
        <v>0.71527777777777779</v>
      </c>
      <c r="I8" s="6">
        <f t="shared" si="0"/>
        <v>1.736111111111116E-2</v>
      </c>
      <c r="J8" s="3">
        <f t="shared" si="1"/>
        <v>1.388888888888995E-3</v>
      </c>
    </row>
    <row r="9" spans="1:13" x14ac:dyDescent="0.25">
      <c r="A9" s="4">
        <v>0.88888888888888884</v>
      </c>
      <c r="B9" s="2">
        <v>0.3756944444444445</v>
      </c>
      <c r="C9" s="2">
        <v>0.39166666666666666</v>
      </c>
      <c r="D9" s="1" t="s">
        <v>9</v>
      </c>
      <c r="F9" s="1" t="s">
        <v>9</v>
      </c>
      <c r="G9" s="2">
        <v>0.3756944444444445</v>
      </c>
      <c r="H9" s="2">
        <v>0.39166666666666666</v>
      </c>
      <c r="I9" s="6">
        <f t="shared" si="0"/>
        <v>1.5972222222222165E-2</v>
      </c>
      <c r="J9" s="3">
        <f t="shared" si="1"/>
        <v>2.7777777777777679E-3</v>
      </c>
    </row>
    <row r="10" spans="1:13" x14ac:dyDescent="0.25">
      <c r="A10" s="4">
        <v>0.96666666666666667</v>
      </c>
      <c r="B10" s="2">
        <v>0.4069444444444445</v>
      </c>
      <c r="C10" s="2">
        <v>0.4201388888888889</v>
      </c>
      <c r="D10" s="1" t="s">
        <v>9</v>
      </c>
      <c r="F10" s="1" t="s">
        <v>9</v>
      </c>
      <c r="G10" s="2">
        <v>0.4069444444444445</v>
      </c>
      <c r="H10" s="2">
        <v>0.4201388888888889</v>
      </c>
      <c r="I10" s="6">
        <f t="shared" si="0"/>
        <v>1.3194444444444398E-2</v>
      </c>
      <c r="J10" s="3">
        <f t="shared" si="1"/>
        <v>8.3333333333333037E-3</v>
      </c>
    </row>
    <row r="11" spans="1:13" x14ac:dyDescent="0.25">
      <c r="A11" s="4">
        <v>0.40277777777777773</v>
      </c>
      <c r="B11" s="2">
        <v>0.6479166666666667</v>
      </c>
      <c r="C11" s="2">
        <v>0.6694444444444444</v>
      </c>
      <c r="D11" s="1" t="s">
        <v>9</v>
      </c>
      <c r="F11" s="1" t="s">
        <v>9</v>
      </c>
      <c r="G11" s="2">
        <v>0.6479166666666667</v>
      </c>
      <c r="H11" s="2">
        <v>0.6694444444444444</v>
      </c>
      <c r="I11" s="6">
        <f t="shared" si="0"/>
        <v>2.1527777777777701E-2</v>
      </c>
      <c r="J11" s="3">
        <f t="shared" si="1"/>
        <v>9.0277777777778567E-3</v>
      </c>
    </row>
    <row r="12" spans="1:13" x14ac:dyDescent="0.25">
      <c r="A12" s="4">
        <v>0.56111111111111112</v>
      </c>
      <c r="B12" s="2">
        <v>0.66319444444444442</v>
      </c>
      <c r="C12" s="2">
        <v>0.69374999999999998</v>
      </c>
      <c r="D12" s="1" t="s">
        <v>9</v>
      </c>
      <c r="F12" s="1" t="s">
        <v>9</v>
      </c>
      <c r="G12" s="2">
        <v>0.66319444444444442</v>
      </c>
      <c r="H12" s="2">
        <v>0.69374999999999998</v>
      </c>
      <c r="I12" s="6">
        <f t="shared" si="0"/>
        <v>3.0555555555555558E-2</v>
      </c>
      <c r="J12" s="3">
        <f t="shared" si="1"/>
        <v>2.4305555555555525E-2</v>
      </c>
    </row>
    <row r="13" spans="1:13" x14ac:dyDescent="0.25">
      <c r="A13" s="4">
        <v>0.62152777777777779</v>
      </c>
      <c r="B13" s="2">
        <v>0.33888888888888885</v>
      </c>
      <c r="C13" s="2">
        <v>0.34513888888888888</v>
      </c>
      <c r="D13" s="1" t="s">
        <v>9</v>
      </c>
      <c r="F13" s="1" t="s">
        <v>9</v>
      </c>
      <c r="G13" s="2">
        <v>0.33888888888888885</v>
      </c>
      <c r="H13" s="2">
        <v>0.34513888888888888</v>
      </c>
      <c r="I13" s="6">
        <f t="shared" si="0"/>
        <v>6.2500000000000333E-3</v>
      </c>
      <c r="J13" s="3">
        <f t="shared" si="1"/>
        <v>3.4722222222221544E-3</v>
      </c>
    </row>
    <row r="14" spans="1:13" x14ac:dyDescent="0.25">
      <c r="A14" s="4">
        <v>0.49305555555555558</v>
      </c>
      <c r="B14" s="2">
        <v>0.34722222222222227</v>
      </c>
      <c r="C14" s="2">
        <v>0.35694444444444445</v>
      </c>
      <c r="D14" s="1" t="s">
        <v>9</v>
      </c>
      <c r="F14" s="1" t="s">
        <v>9</v>
      </c>
      <c r="G14" s="2">
        <v>0.34722222222222227</v>
      </c>
      <c r="H14" s="2">
        <v>0.35694444444444445</v>
      </c>
      <c r="I14" s="6">
        <f t="shared" si="0"/>
        <v>9.7222222222221877E-3</v>
      </c>
      <c r="J14" s="3">
        <f t="shared" si="1"/>
        <v>1.8750000000000044E-2</v>
      </c>
    </row>
    <row r="15" spans="1:13" x14ac:dyDescent="0.25">
      <c r="A15" s="4">
        <v>0.53819444444444442</v>
      </c>
      <c r="B15" s="2">
        <v>0.74375000000000002</v>
      </c>
      <c r="C15" s="2">
        <v>0.77222222222222225</v>
      </c>
      <c r="D15" s="1" t="s">
        <v>9</v>
      </c>
      <c r="F15" s="1" t="s">
        <v>9</v>
      </c>
      <c r="G15" s="2">
        <v>0.74375000000000002</v>
      </c>
      <c r="H15" s="2">
        <v>0.77222222222222225</v>
      </c>
      <c r="I15" s="6">
        <f t="shared" si="0"/>
        <v>2.8472222222222232E-2</v>
      </c>
      <c r="J15" s="3">
        <f t="shared" si="1"/>
        <v>2.2916666666666696E-2</v>
      </c>
    </row>
    <row r="16" spans="1:13" x14ac:dyDescent="0.25">
      <c r="A16" s="4">
        <v>0.76736111111111116</v>
      </c>
      <c r="B16" s="2">
        <v>0.41875000000000001</v>
      </c>
      <c r="C16" s="2">
        <v>0.42430555555555555</v>
      </c>
      <c r="D16" s="1" t="s">
        <v>9</v>
      </c>
      <c r="F16" s="1" t="s">
        <v>9</v>
      </c>
      <c r="G16" s="2">
        <v>0.41875000000000001</v>
      </c>
      <c r="H16" s="2">
        <v>0.42430555555555555</v>
      </c>
      <c r="I16" s="6">
        <f t="shared" si="0"/>
        <v>5.5555555555555358E-3</v>
      </c>
      <c r="J16" s="3">
        <f t="shared" si="1"/>
        <v>2.9861111111111116E-2</v>
      </c>
    </row>
    <row r="17" spans="1:10" x14ac:dyDescent="0.25">
      <c r="A17" s="4">
        <v>0.27083333333333331</v>
      </c>
      <c r="B17" s="2">
        <v>0.58888888888888891</v>
      </c>
      <c r="C17" s="2">
        <v>0.62430555555555556</v>
      </c>
      <c r="D17" s="1" t="s">
        <v>9</v>
      </c>
      <c r="F17" s="1" t="s">
        <v>9</v>
      </c>
      <c r="G17" s="2">
        <v>0.58888888888888891</v>
      </c>
      <c r="H17" s="2">
        <v>0.62430555555555556</v>
      </c>
      <c r="I17" s="6">
        <f t="shared" si="0"/>
        <v>3.5416666666666652E-2</v>
      </c>
      <c r="J17" s="3">
        <f t="shared" si="1"/>
        <v>2.2222222222222254E-2</v>
      </c>
    </row>
    <row r="18" spans="1:10" x14ac:dyDescent="0.25">
      <c r="A18" s="4">
        <v>0.49305555555555558</v>
      </c>
      <c r="B18" s="2">
        <v>0.92361111111111116</v>
      </c>
      <c r="C18" s="2">
        <v>0.93680555555555556</v>
      </c>
      <c r="D18" s="1" t="s">
        <v>9</v>
      </c>
      <c r="F18" s="1" t="s">
        <v>9</v>
      </c>
      <c r="G18" s="2">
        <v>0.92361111111111116</v>
      </c>
      <c r="H18" s="2">
        <v>0.93680555555555556</v>
      </c>
      <c r="I18" s="6">
        <f t="shared" si="0"/>
        <v>1.3194444444444398E-2</v>
      </c>
      <c r="J18" s="3">
        <f t="shared" si="1"/>
        <v>2.0138888888889039E-2</v>
      </c>
    </row>
    <row r="19" spans="1:10" x14ac:dyDescent="0.25">
      <c r="A19" s="4">
        <v>0.53472222222222221</v>
      </c>
      <c r="B19" s="2">
        <v>0.80555555555555547</v>
      </c>
      <c r="C19" s="2">
        <v>0.83888888888888891</v>
      </c>
      <c r="D19" s="1" t="s">
        <v>9</v>
      </c>
      <c r="F19" s="1" t="s">
        <v>9</v>
      </c>
      <c r="G19" s="2">
        <v>0.80555555555555547</v>
      </c>
      <c r="H19" s="2">
        <v>0.83888888888888891</v>
      </c>
      <c r="I19" s="6">
        <f t="shared" si="0"/>
        <v>3.3333333333333437E-2</v>
      </c>
      <c r="J19" s="3">
        <f t="shared" si="1"/>
        <v>1.7361111111111271E-2</v>
      </c>
    </row>
    <row r="20" spans="1:10" x14ac:dyDescent="0.25">
      <c r="A20" s="4">
        <v>0.3611111111111111</v>
      </c>
      <c r="B20" s="2">
        <v>0.64722222222222225</v>
      </c>
      <c r="C20" s="2">
        <v>0.66319444444444442</v>
      </c>
      <c r="D20" s="1" t="s">
        <v>9</v>
      </c>
      <c r="F20" s="1" t="s">
        <v>9</v>
      </c>
      <c r="G20" s="2">
        <v>0.64722222222222225</v>
      </c>
      <c r="H20" s="2">
        <v>0.66319444444444442</v>
      </c>
      <c r="I20" s="6">
        <f t="shared" si="0"/>
        <v>1.5972222222222165E-2</v>
      </c>
      <c r="J20" s="3">
        <f t="shared" si="1"/>
        <v>3.8888888888888973E-2</v>
      </c>
    </row>
    <row r="21" spans="1:10" x14ac:dyDescent="0.25">
      <c r="A21" s="4">
        <v>0.4826388888888889</v>
      </c>
      <c r="B21" s="2">
        <v>0.73263888888888884</v>
      </c>
      <c r="C21" s="2">
        <v>0.78749999999999998</v>
      </c>
      <c r="D21" s="1" t="s">
        <v>9</v>
      </c>
      <c r="F21" s="1" t="s">
        <v>9</v>
      </c>
      <c r="G21" s="2">
        <v>0.73263888888888884</v>
      </c>
      <c r="H21" s="2">
        <v>0.78749999999999998</v>
      </c>
      <c r="I21" s="6">
        <f t="shared" si="0"/>
        <v>5.4861111111111138E-2</v>
      </c>
      <c r="J21" s="3">
        <f t="shared" si="1"/>
        <v>4.7222222222222388E-2</v>
      </c>
    </row>
    <row r="22" spans="1:10" x14ac:dyDescent="0.25">
      <c r="A22" s="4">
        <v>0.65486111111111112</v>
      </c>
      <c r="B22" s="2">
        <v>0.98055555555555562</v>
      </c>
      <c r="C22" s="2">
        <v>0.98819444444444438</v>
      </c>
      <c r="D22" s="1" t="s">
        <v>9</v>
      </c>
      <c r="F22" s="1" t="s">
        <v>9</v>
      </c>
      <c r="G22" s="2">
        <v>0.98055555555555562</v>
      </c>
      <c r="H22" s="2">
        <v>0.98819444444444438</v>
      </c>
      <c r="I22" s="6">
        <f t="shared" si="0"/>
        <v>7.6388888888887507E-3</v>
      </c>
      <c r="J22" s="3">
        <f t="shared" si="1"/>
        <v>9.7222222222223542E-3</v>
      </c>
    </row>
    <row r="23" spans="1:10" x14ac:dyDescent="0.25">
      <c r="A23" s="4">
        <v>0.2986111111111111</v>
      </c>
      <c r="B23" s="2">
        <v>0.40486111111111112</v>
      </c>
      <c r="C23" s="2">
        <v>0.42222222222222222</v>
      </c>
      <c r="D23" s="1" t="s">
        <v>9</v>
      </c>
      <c r="F23" s="1" t="s">
        <v>9</v>
      </c>
      <c r="G23" s="2">
        <v>0.40486111111111112</v>
      </c>
      <c r="H23" s="2">
        <v>0.42222222222222222</v>
      </c>
      <c r="I23" s="6">
        <f t="shared" si="0"/>
        <v>1.7361111111111105E-2</v>
      </c>
      <c r="J23" s="3">
        <f t="shared" si="1"/>
        <v>6.2499999999999223E-3</v>
      </c>
    </row>
    <row r="24" spans="1:10" x14ac:dyDescent="0.25">
      <c r="A24" s="4">
        <v>0.54166666666666663</v>
      </c>
      <c r="B24" s="2">
        <v>0.66249999999999998</v>
      </c>
      <c r="C24" s="2">
        <v>0.67361111111111116</v>
      </c>
      <c r="D24" s="1" t="s">
        <v>9</v>
      </c>
      <c r="F24" s="1" t="s">
        <v>9</v>
      </c>
      <c r="G24" s="2">
        <v>0.66249999999999998</v>
      </c>
      <c r="H24" s="2">
        <v>0.67361111111111116</v>
      </c>
      <c r="I24" s="6">
        <f t="shared" si="0"/>
        <v>1.1111111111111183E-2</v>
      </c>
      <c r="J24" s="3">
        <f t="shared" si="1"/>
        <v>1.0416666666666741E-2</v>
      </c>
    </row>
    <row r="25" spans="1:10" x14ac:dyDescent="0.25">
      <c r="A25" s="4">
        <v>0.65833333333333333</v>
      </c>
      <c r="B25" s="2">
        <v>0.71180555555555547</v>
      </c>
      <c r="C25" s="2">
        <v>0.73333333333333339</v>
      </c>
      <c r="D25" s="1" t="s">
        <v>9</v>
      </c>
      <c r="F25" s="1" t="s">
        <v>9</v>
      </c>
      <c r="G25" s="2">
        <v>0.71180555555555547</v>
      </c>
      <c r="H25" s="2">
        <v>0.73333333333333339</v>
      </c>
      <c r="I25" s="6">
        <f t="shared" si="0"/>
        <v>2.1527777777777923E-2</v>
      </c>
      <c r="J25" s="3">
        <f t="shared" si="1"/>
        <v>2.083333333333548E-3</v>
      </c>
    </row>
    <row r="26" spans="1:10" x14ac:dyDescent="0.25">
      <c r="A26" s="4">
        <v>0.73125000000000007</v>
      </c>
      <c r="B26" s="2">
        <v>0.82430555555555562</v>
      </c>
      <c r="C26" s="2">
        <v>0.84375</v>
      </c>
      <c r="D26" s="1" t="s">
        <v>9</v>
      </c>
      <c r="F26" s="1" t="s">
        <v>9</v>
      </c>
      <c r="G26" s="2">
        <v>0.82430555555555562</v>
      </c>
      <c r="H26" s="2">
        <v>0.84375</v>
      </c>
      <c r="I26" s="6">
        <f t="shared" si="0"/>
        <v>1.9444444444444375E-2</v>
      </c>
      <c r="J26" s="3">
        <f t="shared" si="1"/>
        <v>7.6388888888889728E-3</v>
      </c>
    </row>
    <row r="27" spans="1:10" x14ac:dyDescent="0.25">
      <c r="A27" s="4">
        <v>7.9861111111111105E-2</v>
      </c>
      <c r="B27" s="2">
        <v>0.87638888888888899</v>
      </c>
      <c r="C27" s="2">
        <v>0.8881944444444444</v>
      </c>
      <c r="D27" s="1" t="s">
        <v>9</v>
      </c>
      <c r="F27" s="1" t="s">
        <v>9</v>
      </c>
      <c r="G27" s="2">
        <v>0.87638888888888899</v>
      </c>
      <c r="H27" s="2">
        <v>0.8881944444444444</v>
      </c>
      <c r="I27" s="6">
        <f t="shared" si="0"/>
        <v>1.1805555555555403E-2</v>
      </c>
      <c r="J27" s="3">
        <f t="shared" si="1"/>
        <v>1.5265566588595902E-16</v>
      </c>
    </row>
    <row r="28" spans="1:10" x14ac:dyDescent="0.25">
      <c r="A28" s="4">
        <v>0.66319444444444442</v>
      </c>
      <c r="B28" s="2">
        <v>5.4166666666666669E-2</v>
      </c>
      <c r="C28" s="2">
        <v>6.5972222222222224E-2</v>
      </c>
      <c r="D28" s="1" t="s">
        <v>9</v>
      </c>
      <c r="F28" s="1" t="s">
        <v>9</v>
      </c>
      <c r="G28" s="2">
        <v>5.4166666666666669E-2</v>
      </c>
      <c r="H28" s="2">
        <v>6.5972222222222224E-2</v>
      </c>
      <c r="I28" s="6">
        <f t="shared" si="0"/>
        <v>1.1805555555555555E-2</v>
      </c>
      <c r="J28" s="3">
        <f t="shared" si="1"/>
        <v>1.3888888888888423E-3</v>
      </c>
    </row>
    <row r="29" spans="1:10" x14ac:dyDescent="0.25">
      <c r="B29" s="2">
        <v>0.66875000000000007</v>
      </c>
      <c r="C29" s="2">
        <v>0.68194444444444446</v>
      </c>
      <c r="D29" s="1" t="s">
        <v>9</v>
      </c>
      <c r="F29" s="1" t="s">
        <v>9</v>
      </c>
      <c r="G29" s="2">
        <v>0.66875000000000007</v>
      </c>
      <c r="H29" s="2">
        <v>0.68194444444444446</v>
      </c>
      <c r="I29" s="6">
        <f t="shared" si="0"/>
        <v>1.3194444444444398E-2</v>
      </c>
      <c r="J29" s="3">
        <f t="shared" si="1"/>
        <v>0</v>
      </c>
    </row>
    <row r="30" spans="1:10" x14ac:dyDescent="0.25">
      <c r="B30" s="2">
        <v>0.68194444444444446</v>
      </c>
      <c r="C30" s="2">
        <v>0.69513888888888886</v>
      </c>
      <c r="D30" s="1" t="s">
        <v>9</v>
      </c>
      <c r="F30" s="1" t="s">
        <v>9</v>
      </c>
      <c r="G30" s="2">
        <v>0.68194444444444446</v>
      </c>
      <c r="H30" s="2">
        <v>0.69513888888888886</v>
      </c>
      <c r="I30" s="6">
        <f t="shared" si="0"/>
        <v>1.3194444444444398E-2</v>
      </c>
      <c r="J30" s="3">
        <f t="shared" si="1"/>
        <v>1.388888888888884E-3</v>
      </c>
    </row>
    <row r="31" spans="1:10" x14ac:dyDescent="0.25">
      <c r="B31" s="2">
        <v>0.90069444444444446</v>
      </c>
      <c r="C31" s="2">
        <v>0.91249999999999998</v>
      </c>
      <c r="D31" s="1" t="s">
        <v>9</v>
      </c>
      <c r="F31" s="1" t="s">
        <v>9</v>
      </c>
      <c r="G31" s="2">
        <v>0.90069444444444446</v>
      </c>
      <c r="H31" s="2">
        <v>0.91249999999999998</v>
      </c>
      <c r="I31" s="6">
        <f t="shared" si="0"/>
        <v>1.1805555555555514E-2</v>
      </c>
      <c r="J31" s="3">
        <f t="shared" si="1"/>
        <v>0</v>
      </c>
    </row>
    <row r="32" spans="1:10" x14ac:dyDescent="0.25">
      <c r="B32" s="2">
        <v>0.90069444444444446</v>
      </c>
      <c r="C32" s="2">
        <v>0.91249999999999998</v>
      </c>
      <c r="D32" s="1" t="s">
        <v>9</v>
      </c>
      <c r="F32" s="1" t="s">
        <v>9</v>
      </c>
      <c r="G32" s="2">
        <v>0.90069444444444446</v>
      </c>
      <c r="H32" s="2">
        <v>0.91249999999999998</v>
      </c>
      <c r="I32" s="6">
        <f t="shared" si="0"/>
        <v>1.1805555555555514E-2</v>
      </c>
      <c r="J32" s="3">
        <f t="shared" si="1"/>
        <v>4.6527777777777724E-2</v>
      </c>
    </row>
    <row r="33" spans="1:10" x14ac:dyDescent="0.25">
      <c r="B33" s="2">
        <v>0.85833333333333339</v>
      </c>
      <c r="C33" s="2">
        <v>0.91666666666666663</v>
      </c>
      <c r="D33" s="1" t="s">
        <v>9</v>
      </c>
      <c r="F33" s="1" t="s">
        <v>9</v>
      </c>
      <c r="G33" s="2">
        <v>0.85833333333333339</v>
      </c>
      <c r="H33" s="2">
        <v>0.91666666666666663</v>
      </c>
      <c r="I33" s="6">
        <f t="shared" si="0"/>
        <v>5.8333333333333237E-2</v>
      </c>
      <c r="J33" s="3">
        <f t="shared" si="1"/>
        <v>5.4166666666666585E-2</v>
      </c>
    </row>
    <row r="34" spans="1:10" x14ac:dyDescent="0.25">
      <c r="B34" s="2">
        <v>0.4513888888888889</v>
      </c>
      <c r="C34" s="2">
        <v>0.45555555555555555</v>
      </c>
      <c r="D34" s="1" t="s">
        <v>9</v>
      </c>
      <c r="F34" s="1" t="s">
        <v>9</v>
      </c>
      <c r="G34" s="2">
        <v>0.4513888888888889</v>
      </c>
      <c r="H34" s="2">
        <v>0.45555555555555555</v>
      </c>
      <c r="I34" s="6">
        <f t="shared" si="0"/>
        <v>4.1666666666666519E-3</v>
      </c>
      <c r="J34" s="3">
        <f t="shared" si="1"/>
        <v>1.9444444444444431E-2</v>
      </c>
    </row>
    <row r="35" spans="1:10" x14ac:dyDescent="0.25">
      <c r="B35" s="2">
        <v>0.47500000000000003</v>
      </c>
      <c r="C35" s="2">
        <v>0.49861111111111112</v>
      </c>
      <c r="D35" s="1" t="s">
        <v>9</v>
      </c>
      <c r="F35" s="1" t="s">
        <v>9</v>
      </c>
      <c r="G35" s="2">
        <v>0.47500000000000003</v>
      </c>
      <c r="H35" s="2">
        <v>0.49861111111111112</v>
      </c>
      <c r="I35" s="6">
        <f t="shared" si="0"/>
        <v>2.3611111111111083E-2</v>
      </c>
      <c r="J35" s="3">
        <f t="shared" si="1"/>
        <v>6.9444444444444753E-3</v>
      </c>
    </row>
    <row r="36" spans="1:10" x14ac:dyDescent="0.25">
      <c r="B36" s="2">
        <v>0.57291666666666663</v>
      </c>
      <c r="C36" s="2">
        <v>0.60347222222222219</v>
      </c>
      <c r="D36" s="1" t="s">
        <v>9</v>
      </c>
      <c r="F36" s="1" t="s">
        <v>9</v>
      </c>
      <c r="G36" s="2">
        <v>0.57291666666666663</v>
      </c>
      <c r="H36" s="2">
        <v>0.60347222222222219</v>
      </c>
      <c r="I36" s="6">
        <f t="shared" si="0"/>
        <v>3.0555555555555558E-2</v>
      </c>
      <c r="J36" s="3">
        <f t="shared" si="1"/>
        <v>2.7777777777777679E-2</v>
      </c>
    </row>
    <row r="37" spans="1:10" x14ac:dyDescent="0.25">
      <c r="B37" s="2">
        <v>0.67569444444444438</v>
      </c>
      <c r="C37" s="2">
        <v>0.67847222222222225</v>
      </c>
      <c r="D37" s="1" t="s">
        <v>9</v>
      </c>
      <c r="F37" s="1" t="s">
        <v>9</v>
      </c>
      <c r="G37" s="2">
        <v>0.67569444444444438</v>
      </c>
      <c r="H37" s="2">
        <v>0.67847222222222225</v>
      </c>
      <c r="I37" s="6">
        <f t="shared" si="0"/>
        <v>2.7777777777778789E-3</v>
      </c>
      <c r="J37" s="3">
        <f t="shared" si="1"/>
        <v>4.1666666666665964E-3</v>
      </c>
    </row>
    <row r="38" spans="1:10" x14ac:dyDescent="0.25">
      <c r="B38" s="2">
        <v>0.28541666666666665</v>
      </c>
      <c r="C38" s="2">
        <v>0.29236111111111113</v>
      </c>
      <c r="D38" s="1" t="s">
        <v>9</v>
      </c>
      <c r="F38" s="1" t="s">
        <v>9</v>
      </c>
      <c r="G38" s="2">
        <v>0.28541666666666665</v>
      </c>
      <c r="H38" s="2">
        <v>0.29236111111111113</v>
      </c>
      <c r="I38" s="6">
        <f t="shared" si="0"/>
        <v>6.9444444444444753E-3</v>
      </c>
      <c r="J38" s="3">
        <f t="shared" si="1"/>
        <v>6.9444444444444753E-3</v>
      </c>
    </row>
    <row r="39" spans="1:10" x14ac:dyDescent="0.25">
      <c r="B39" s="2">
        <v>0.69861111111111107</v>
      </c>
      <c r="C39" s="2">
        <v>0.71250000000000002</v>
      </c>
      <c r="D39" s="1" t="s">
        <v>9</v>
      </c>
      <c r="F39" s="1" t="s">
        <v>9</v>
      </c>
      <c r="G39" s="2">
        <v>0.69861111111111107</v>
      </c>
      <c r="H39" s="2">
        <v>0.71250000000000002</v>
      </c>
      <c r="I39" s="6">
        <f t="shared" si="0"/>
        <v>1.3888888888888951E-2</v>
      </c>
      <c r="J39" s="3">
        <f t="shared" si="1"/>
        <v>3.4722222222222099E-3</v>
      </c>
    </row>
    <row r="40" spans="1:10" x14ac:dyDescent="0.25">
      <c r="B40" s="2">
        <v>0.32847222222222222</v>
      </c>
      <c r="C40" s="2">
        <v>0.34583333333333338</v>
      </c>
      <c r="D40" s="1" t="s">
        <v>9</v>
      </c>
      <c r="F40" s="1" t="s">
        <v>9</v>
      </c>
      <c r="G40" s="2">
        <v>0.32847222222222222</v>
      </c>
      <c r="H40" s="2">
        <v>0.34583333333333338</v>
      </c>
      <c r="I40" s="6">
        <f t="shared" si="0"/>
        <v>1.736111111111116E-2</v>
      </c>
    </row>
    <row r="41" spans="1:10" x14ac:dyDescent="0.25">
      <c r="A41" t="s">
        <v>32</v>
      </c>
      <c r="B41" s="2">
        <v>8.0555555555555561E-2</v>
      </c>
      <c r="C41" s="2">
        <v>8.6805555555555566E-2</v>
      </c>
      <c r="D41" s="1" t="s">
        <v>3</v>
      </c>
    </row>
    <row r="42" spans="1:10" x14ac:dyDescent="0.25">
      <c r="A42" s="4">
        <v>0.26041666666666669</v>
      </c>
      <c r="B42" s="2">
        <v>0.10416666666666667</v>
      </c>
      <c r="C42" s="2">
        <v>0.10972222222222222</v>
      </c>
      <c r="D42" s="1" t="s">
        <v>3</v>
      </c>
    </row>
    <row r="43" spans="1:10" x14ac:dyDescent="0.25">
      <c r="A43" s="4">
        <v>0.29166666666666669</v>
      </c>
      <c r="B43" s="2">
        <v>0.35486111111111113</v>
      </c>
      <c r="C43" s="2">
        <v>0.35972222222222222</v>
      </c>
      <c r="D43" s="1" t="s">
        <v>3</v>
      </c>
    </row>
    <row r="44" spans="1:10" x14ac:dyDescent="0.25">
      <c r="A44" s="4">
        <v>0.4861111111111111</v>
      </c>
      <c r="B44" s="2">
        <v>0.40069444444444446</v>
      </c>
      <c r="C44" s="2">
        <v>0.41250000000000003</v>
      </c>
      <c r="D44" s="1" t="s">
        <v>3</v>
      </c>
    </row>
    <row r="45" spans="1:10" x14ac:dyDescent="0.25">
      <c r="A45" s="4">
        <v>0.52569444444444446</v>
      </c>
      <c r="B45" s="2">
        <v>0.40902777777777777</v>
      </c>
      <c r="C45" s="2">
        <v>0.41388888888888892</v>
      </c>
      <c r="D45" s="1" t="s">
        <v>3</v>
      </c>
    </row>
    <row r="46" spans="1:10" x14ac:dyDescent="0.25">
      <c r="A46" s="4">
        <v>0.58750000000000002</v>
      </c>
      <c r="B46" s="2">
        <v>0.49444444444444446</v>
      </c>
      <c r="C46" s="2">
        <v>0.50138888888888888</v>
      </c>
      <c r="D46" s="1" t="s">
        <v>3</v>
      </c>
    </row>
    <row r="47" spans="1:10" x14ac:dyDescent="0.25">
      <c r="A47" s="4">
        <v>0.59513888888888888</v>
      </c>
      <c r="B47" s="2">
        <v>0.4375</v>
      </c>
      <c r="C47" s="2">
        <v>0.44236111111111115</v>
      </c>
      <c r="D47" s="1" t="s">
        <v>3</v>
      </c>
    </row>
    <row r="48" spans="1:10" x14ac:dyDescent="0.25">
      <c r="A48" s="4">
        <v>0.58333333333333337</v>
      </c>
      <c r="B48" s="2">
        <v>0.45694444444444443</v>
      </c>
      <c r="C48" s="2">
        <v>0.45694444444444443</v>
      </c>
      <c r="D48" s="1" t="s">
        <v>3</v>
      </c>
    </row>
    <row r="49" spans="1:4" x14ac:dyDescent="0.25">
      <c r="A49" s="4">
        <v>0.6972222222222223</v>
      </c>
      <c r="B49" s="2">
        <v>0.48819444444444443</v>
      </c>
      <c r="C49" s="2">
        <v>0.5180555555555556</v>
      </c>
      <c r="D49" s="1" t="s">
        <v>3</v>
      </c>
    </row>
    <row r="50" spans="1:4" x14ac:dyDescent="0.25">
      <c r="A50" s="4">
        <v>0.72222222222222221</v>
      </c>
      <c r="B50" s="2">
        <v>0.60416666666666663</v>
      </c>
      <c r="C50" s="2">
        <v>0.60763888888888895</v>
      </c>
      <c r="D50" s="1" t="s">
        <v>3</v>
      </c>
    </row>
    <row r="51" spans="1:4" x14ac:dyDescent="0.25">
      <c r="A51" s="4">
        <v>0.85069444444444453</v>
      </c>
      <c r="B51" s="2">
        <v>0.76458333333333339</v>
      </c>
      <c r="C51" s="2">
        <v>0.77847222222222223</v>
      </c>
      <c r="D51" s="1" t="s">
        <v>3</v>
      </c>
    </row>
    <row r="52" spans="1:4" x14ac:dyDescent="0.25">
      <c r="A52" s="3">
        <v>1.0381944444444444</v>
      </c>
      <c r="B52" s="2">
        <v>0.74305555555555547</v>
      </c>
      <c r="C52" s="2">
        <v>0.75555555555555554</v>
      </c>
      <c r="D52" s="1" t="s">
        <v>3</v>
      </c>
    </row>
    <row r="53" spans="1:4" x14ac:dyDescent="0.25">
      <c r="A53" s="4">
        <v>0.1111111111111111</v>
      </c>
      <c r="B53" s="2">
        <v>0.75208333333333333</v>
      </c>
      <c r="C53" s="2">
        <v>0.7597222222222223</v>
      </c>
      <c r="D53" s="1" t="s">
        <v>3</v>
      </c>
    </row>
    <row r="54" spans="1:4" x14ac:dyDescent="0.25">
      <c r="A54" s="4">
        <v>0.25138888888888888</v>
      </c>
      <c r="B54" s="2">
        <v>0.85763888888888884</v>
      </c>
      <c r="C54" s="2">
        <v>0.87916666666666676</v>
      </c>
      <c r="D54" s="1" t="s">
        <v>3</v>
      </c>
    </row>
    <row r="55" spans="1:4" x14ac:dyDescent="0.25">
      <c r="A55" s="4">
        <v>0.57847222222222217</v>
      </c>
      <c r="B55" s="2">
        <v>0.94652777777777775</v>
      </c>
      <c r="C55" s="2">
        <v>0.9555555555555556</v>
      </c>
      <c r="D55" s="1" t="s">
        <v>3</v>
      </c>
    </row>
    <row r="56" spans="1:4" x14ac:dyDescent="0.25">
      <c r="A56" s="4">
        <v>0.64236111111111105</v>
      </c>
      <c r="B56" s="2">
        <v>4.027777777777778E-2</v>
      </c>
      <c r="C56" s="2">
        <v>4.5138888888888888E-2</v>
      </c>
      <c r="D56" s="1" t="s">
        <v>3</v>
      </c>
    </row>
    <row r="57" spans="1:4" x14ac:dyDescent="0.25">
      <c r="A57" s="4">
        <v>0.7006944444444444</v>
      </c>
      <c r="B57" s="2">
        <v>8.7500000000000008E-2</v>
      </c>
      <c r="C57" s="2">
        <v>9.3055555555555558E-2</v>
      </c>
      <c r="D57" s="1" t="s">
        <v>3</v>
      </c>
    </row>
    <row r="58" spans="1:4" x14ac:dyDescent="0.25">
      <c r="A58" s="4">
        <v>0.72916666666666663</v>
      </c>
      <c r="B58" s="2">
        <v>0.21249999999999999</v>
      </c>
      <c r="C58" s="2">
        <v>0.22291666666666665</v>
      </c>
      <c r="D58" s="1" t="s">
        <v>3</v>
      </c>
    </row>
    <row r="59" spans="1:4" x14ac:dyDescent="0.25">
      <c r="A59" s="4">
        <v>0.91666666666666663</v>
      </c>
      <c r="B59" s="2">
        <v>0.22013888888888888</v>
      </c>
      <c r="C59" s="2">
        <v>0.23402777777777781</v>
      </c>
      <c r="D59" s="1" t="s">
        <v>3</v>
      </c>
    </row>
    <row r="60" spans="1:4" x14ac:dyDescent="0.25">
      <c r="A60" s="4">
        <v>0.94444444444444453</v>
      </c>
      <c r="B60" s="2">
        <v>0.3888888888888889</v>
      </c>
      <c r="C60" s="2">
        <v>0.41041666666666665</v>
      </c>
      <c r="D60" s="1" t="s">
        <v>3</v>
      </c>
    </row>
    <row r="61" spans="1:4" x14ac:dyDescent="0.25">
      <c r="A61" s="4">
        <v>6.9444444444444434E-2</v>
      </c>
      <c r="B61" s="2">
        <v>0.4152777777777778</v>
      </c>
      <c r="C61" s="2">
        <v>0.42152777777777778</v>
      </c>
      <c r="D61" s="1" t="s">
        <v>3</v>
      </c>
    </row>
    <row r="62" spans="1:4" x14ac:dyDescent="0.25">
      <c r="A62" s="4">
        <v>0.21180555555555555</v>
      </c>
      <c r="B62" s="2">
        <v>0.6333333333333333</v>
      </c>
      <c r="C62" s="2">
        <v>0.64097222222222217</v>
      </c>
      <c r="D62" s="1" t="s">
        <v>3</v>
      </c>
    </row>
    <row r="63" spans="1:4" x14ac:dyDescent="0.25">
      <c r="A63" s="4">
        <v>0.28125</v>
      </c>
      <c r="B63" s="2">
        <v>0.6875</v>
      </c>
      <c r="C63" s="2">
        <v>0.69374999999999998</v>
      </c>
      <c r="D63" s="1" t="s">
        <v>3</v>
      </c>
    </row>
    <row r="64" spans="1:4" x14ac:dyDescent="0.25">
      <c r="A64" s="4">
        <v>0.35416666666666669</v>
      </c>
      <c r="B64" s="2">
        <v>0.68819444444444444</v>
      </c>
      <c r="C64" s="2">
        <v>0.69444444444444453</v>
      </c>
      <c r="D64" s="1" t="s">
        <v>3</v>
      </c>
    </row>
    <row r="65" spans="1:4" x14ac:dyDescent="0.25">
      <c r="A65" s="4">
        <v>0.35069444444444442</v>
      </c>
      <c r="B65" s="2">
        <v>0.78263888888888899</v>
      </c>
      <c r="C65" s="2">
        <v>0.7909722222222223</v>
      </c>
      <c r="D65" s="1" t="s">
        <v>3</v>
      </c>
    </row>
    <row r="66" spans="1:4" x14ac:dyDescent="0.25">
      <c r="A66" s="4">
        <v>0.45833333333333331</v>
      </c>
      <c r="B66" s="2">
        <v>1.8055555555555557E-2</v>
      </c>
      <c r="C66" s="2">
        <v>2.4999999999999998E-2</v>
      </c>
      <c r="D66" s="1" t="s">
        <v>3</v>
      </c>
    </row>
    <row r="67" spans="1:4" x14ac:dyDescent="0.25">
      <c r="A67" s="4">
        <v>0.46875</v>
      </c>
      <c r="B67" s="2">
        <v>0.3263888888888889</v>
      </c>
      <c r="C67" s="2">
        <v>0.33402777777777781</v>
      </c>
      <c r="D67" s="1" t="s">
        <v>3</v>
      </c>
    </row>
    <row r="68" spans="1:4" x14ac:dyDescent="0.25">
      <c r="A68" s="4">
        <v>0.54166666666666663</v>
      </c>
      <c r="B68" s="2">
        <v>0.46597222222222223</v>
      </c>
      <c r="C68" s="2">
        <v>0.47222222222222227</v>
      </c>
      <c r="D68" s="1" t="s">
        <v>3</v>
      </c>
    </row>
    <row r="69" spans="1:4" x14ac:dyDescent="0.25">
      <c r="A69" s="4">
        <v>0.54166666666666663</v>
      </c>
      <c r="B69" s="2">
        <v>0.46736111111111112</v>
      </c>
      <c r="C69" s="2">
        <v>0.4777777777777778</v>
      </c>
      <c r="D69" s="1" t="s">
        <v>3</v>
      </c>
    </row>
    <row r="70" spans="1:4" x14ac:dyDescent="0.25">
      <c r="A70" s="4">
        <v>0.65972222222222221</v>
      </c>
      <c r="B70" s="2">
        <v>0.71805555555555556</v>
      </c>
      <c r="C70" s="2">
        <v>0.72291666666666676</v>
      </c>
      <c r="D70" s="1" t="s">
        <v>3</v>
      </c>
    </row>
    <row r="71" spans="1:4" x14ac:dyDescent="0.25">
      <c r="A71" s="4">
        <v>0.83680555555555547</v>
      </c>
      <c r="B71" s="2">
        <v>0.71111111111111114</v>
      </c>
      <c r="C71" s="2">
        <v>0.71666666666666667</v>
      </c>
      <c r="D71" s="1" t="s">
        <v>3</v>
      </c>
    </row>
    <row r="72" spans="1:4" x14ac:dyDescent="0.25">
      <c r="A72" s="4">
        <v>0.80347222222222225</v>
      </c>
      <c r="B72" s="2">
        <v>0.83680555555555547</v>
      </c>
      <c r="C72" s="2">
        <v>0.84930555555555554</v>
      </c>
      <c r="D72" s="1" t="s">
        <v>3</v>
      </c>
    </row>
    <row r="73" spans="1:4" x14ac:dyDescent="0.25">
      <c r="A73" s="4">
        <v>0.9472222222222223</v>
      </c>
      <c r="B73" s="2">
        <v>0.85555555555555562</v>
      </c>
      <c r="C73" s="2">
        <v>0.8618055555555556</v>
      </c>
      <c r="D73" s="1" t="s">
        <v>3</v>
      </c>
    </row>
    <row r="74" spans="1:4" x14ac:dyDescent="0.25">
      <c r="A74" s="4">
        <v>0.95486111111111116</v>
      </c>
      <c r="B74" s="2">
        <v>0.90763888888888899</v>
      </c>
      <c r="C74" s="2">
        <v>0.91736111111111107</v>
      </c>
      <c r="D74" s="1" t="s">
        <v>3</v>
      </c>
    </row>
    <row r="75" spans="1:4" x14ac:dyDescent="0.25">
      <c r="A75" s="4">
        <v>9.375E-2</v>
      </c>
      <c r="B75" s="2">
        <v>3.4722222222222224E-2</v>
      </c>
      <c r="C75" s="2">
        <v>3.9583333333333331E-2</v>
      </c>
      <c r="D75" s="1" t="s">
        <v>3</v>
      </c>
    </row>
    <row r="76" spans="1:4" x14ac:dyDescent="0.25">
      <c r="A76" s="4">
        <v>0.42708333333333331</v>
      </c>
      <c r="B76" s="2">
        <v>0.37847222222222227</v>
      </c>
      <c r="C76" s="2">
        <v>0.39861111111111108</v>
      </c>
      <c r="D76" s="1" t="s">
        <v>3</v>
      </c>
    </row>
    <row r="77" spans="1:4" x14ac:dyDescent="0.25">
      <c r="A77" s="4">
        <v>0.41666666666666669</v>
      </c>
      <c r="B77" s="2">
        <v>0.42152777777777778</v>
      </c>
      <c r="C77" s="2">
        <v>0.4368055555555555</v>
      </c>
      <c r="D77" s="1" t="s">
        <v>3</v>
      </c>
    </row>
    <row r="78" spans="1:4" x14ac:dyDescent="0.25">
      <c r="A78" s="4">
        <v>0.44444444444444442</v>
      </c>
      <c r="B78" s="2">
        <v>0.48541666666666666</v>
      </c>
      <c r="C78" s="2">
        <v>0.50416666666666665</v>
      </c>
      <c r="D78" s="1" t="s">
        <v>3</v>
      </c>
    </row>
    <row r="79" spans="1:4" x14ac:dyDescent="0.25">
      <c r="A79" s="4">
        <v>0.70486111111111116</v>
      </c>
      <c r="B79" s="2">
        <v>0.7368055555555556</v>
      </c>
      <c r="C79" s="2">
        <v>0.75069444444444444</v>
      </c>
      <c r="D79" s="1" t="s">
        <v>3</v>
      </c>
    </row>
    <row r="80" spans="1:4" x14ac:dyDescent="0.25">
      <c r="A80" s="4">
        <v>0.60416666666666663</v>
      </c>
      <c r="B80" s="2">
        <v>0.66527777777777775</v>
      </c>
      <c r="C80" s="2">
        <v>0.68888888888888899</v>
      </c>
      <c r="D80" s="1" t="s">
        <v>3</v>
      </c>
    </row>
    <row r="81" spans="1:4" x14ac:dyDescent="0.25">
      <c r="A81" s="4">
        <v>0.63541666666666663</v>
      </c>
      <c r="B81" s="2">
        <v>0.81458333333333333</v>
      </c>
      <c r="C81" s="2">
        <v>0.82291666666666663</v>
      </c>
      <c r="D81" s="1" t="s">
        <v>3</v>
      </c>
    </row>
    <row r="82" spans="1:4" x14ac:dyDescent="0.25">
      <c r="A82" s="4">
        <v>0.68888888888888899</v>
      </c>
      <c r="B82" s="2">
        <v>0.34791666666666665</v>
      </c>
      <c r="C82" s="2">
        <v>0.35833333333333334</v>
      </c>
      <c r="D82" s="1" t="s">
        <v>3</v>
      </c>
    </row>
    <row r="83" spans="1:4" x14ac:dyDescent="0.25">
      <c r="A83" s="4">
        <v>0.74305555555555547</v>
      </c>
      <c r="B83" s="2">
        <v>0.44097222222222227</v>
      </c>
      <c r="C83" s="2">
        <v>0.44861111111111113</v>
      </c>
      <c r="D83" s="1" t="s">
        <v>3</v>
      </c>
    </row>
    <row r="84" spans="1:4" x14ac:dyDescent="0.25">
      <c r="A84" s="4">
        <v>0.8881944444444444</v>
      </c>
      <c r="B84" s="2">
        <v>0.54305555555555551</v>
      </c>
      <c r="C84" s="2">
        <v>0.54652777777777783</v>
      </c>
      <c r="D84" s="1" t="s">
        <v>3</v>
      </c>
    </row>
    <row r="85" spans="1:4" x14ac:dyDescent="0.25">
      <c r="A85" s="4">
        <v>7.1527777777777787E-2</v>
      </c>
      <c r="B85" s="2">
        <v>0.57708333333333328</v>
      </c>
      <c r="C85" s="2">
        <v>0.58750000000000002</v>
      </c>
      <c r="D85" s="1" t="s">
        <v>3</v>
      </c>
    </row>
    <row r="86" spans="1:4" x14ac:dyDescent="0.25">
      <c r="A86" s="4">
        <v>7.1527777777777787E-2</v>
      </c>
      <c r="B86" s="2">
        <v>0.62569444444444444</v>
      </c>
      <c r="C86" s="2">
        <v>0.62847222222222221</v>
      </c>
      <c r="D86" s="1" t="s">
        <v>3</v>
      </c>
    </row>
    <row r="87" spans="1:4" x14ac:dyDescent="0.25">
      <c r="A87" s="4">
        <v>0.14583333333333334</v>
      </c>
      <c r="B87" s="2">
        <v>0.62013888888888891</v>
      </c>
      <c r="C87" s="2">
        <v>0.62291666666666667</v>
      </c>
      <c r="D87" s="1" t="s">
        <v>3</v>
      </c>
    </row>
    <row r="88" spans="1:4" x14ac:dyDescent="0.25">
      <c r="A88" s="4">
        <v>0.18472222222222223</v>
      </c>
      <c r="B88" s="2">
        <v>0.67569444444444438</v>
      </c>
      <c r="C88" s="2">
        <v>0.6791666666666667</v>
      </c>
      <c r="D88" s="1" t="s">
        <v>3</v>
      </c>
    </row>
    <row r="89" spans="1:4" x14ac:dyDescent="0.25">
      <c r="A89" s="4">
        <v>0.18472222222222223</v>
      </c>
      <c r="B89" s="2">
        <v>0.69791666666666663</v>
      </c>
      <c r="C89" s="2">
        <v>0.70208333333333339</v>
      </c>
      <c r="D89" s="1" t="s">
        <v>3</v>
      </c>
    </row>
    <row r="90" spans="1:4" x14ac:dyDescent="0.25">
      <c r="A90" s="4">
        <v>0.35694444444444445</v>
      </c>
      <c r="B90" s="2">
        <v>0.74861111111111101</v>
      </c>
      <c r="C90" s="2">
        <v>0.75138888888888899</v>
      </c>
      <c r="D90" s="1" t="s">
        <v>3</v>
      </c>
    </row>
    <row r="91" spans="1:4" x14ac:dyDescent="0.25">
      <c r="A91" s="4">
        <v>0.39166666666666666</v>
      </c>
      <c r="B91" s="2">
        <v>0.78055555555555556</v>
      </c>
      <c r="C91" s="2">
        <v>0.79652777777777783</v>
      </c>
      <c r="D91" s="1" t="s">
        <v>3</v>
      </c>
    </row>
    <row r="92" spans="1:4" x14ac:dyDescent="0.25">
      <c r="A92" s="4">
        <v>0.40972222222222227</v>
      </c>
      <c r="B92" s="2">
        <v>0.82847222222222217</v>
      </c>
      <c r="C92" s="2">
        <v>0.83819444444444446</v>
      </c>
      <c r="D92" s="1" t="s">
        <v>3</v>
      </c>
    </row>
    <row r="93" spans="1:4" x14ac:dyDescent="0.25">
      <c r="A93" s="4">
        <v>0.46875</v>
      </c>
      <c r="B93" s="2">
        <v>0.25416666666666665</v>
      </c>
      <c r="C93" s="2">
        <v>0.2638888888888889</v>
      </c>
      <c r="D93" s="1" t="s">
        <v>3</v>
      </c>
    </row>
    <row r="94" spans="1:4" x14ac:dyDescent="0.25">
      <c r="A94" s="4">
        <v>0.59375</v>
      </c>
      <c r="B94" s="2">
        <v>0.81527777777777777</v>
      </c>
      <c r="C94" s="2">
        <v>0.81805555555555554</v>
      </c>
      <c r="D94" s="1" t="s">
        <v>3</v>
      </c>
    </row>
    <row r="95" spans="1:4" x14ac:dyDescent="0.25">
      <c r="A95" s="4">
        <v>0.7944444444444444</v>
      </c>
      <c r="B95" s="2">
        <v>0.83333333333333337</v>
      </c>
      <c r="C95" s="2">
        <v>0.83750000000000002</v>
      </c>
      <c r="D95" s="1" t="s">
        <v>3</v>
      </c>
    </row>
    <row r="96" spans="1:4" x14ac:dyDescent="0.25">
      <c r="A96" s="4">
        <v>0.94791666666666663</v>
      </c>
      <c r="B96" s="2">
        <v>3.125E-2</v>
      </c>
      <c r="C96" s="2">
        <v>4.0972222222222222E-2</v>
      </c>
      <c r="D96" s="1" t="s">
        <v>3</v>
      </c>
    </row>
    <row r="97" spans="1:4" x14ac:dyDescent="0.25">
      <c r="A97" s="4">
        <v>0.15138888888888888</v>
      </c>
      <c r="B97" s="2">
        <v>0.14375000000000002</v>
      </c>
      <c r="C97" s="2">
        <v>0.15208333333333332</v>
      </c>
      <c r="D97" s="1" t="s">
        <v>3</v>
      </c>
    </row>
    <row r="98" spans="1:4" x14ac:dyDescent="0.25">
      <c r="A98" s="4">
        <v>0.33680555555555558</v>
      </c>
      <c r="B98" s="2">
        <v>0.48888888888888887</v>
      </c>
      <c r="C98" s="2">
        <v>0.49722222222222223</v>
      </c>
      <c r="D98" s="1" t="s">
        <v>3</v>
      </c>
    </row>
    <row r="99" spans="1:4" x14ac:dyDescent="0.25">
      <c r="A99" s="4">
        <v>0.46875</v>
      </c>
      <c r="B99" s="2">
        <v>0.48958333333333331</v>
      </c>
      <c r="C99" s="2">
        <v>0.49722222222222223</v>
      </c>
      <c r="D99" s="1" t="s">
        <v>3</v>
      </c>
    </row>
    <row r="100" spans="1:4" x14ac:dyDescent="0.25">
      <c r="A100" s="4">
        <v>0.46875</v>
      </c>
      <c r="B100" s="2">
        <v>0.63611111111111118</v>
      </c>
      <c r="C100" s="2">
        <v>0.64027777777777783</v>
      </c>
      <c r="D100" s="1" t="s">
        <v>3</v>
      </c>
    </row>
    <row r="101" spans="1:4" x14ac:dyDescent="0.25">
      <c r="A101" s="4">
        <v>0.51944444444444449</v>
      </c>
      <c r="B101" s="2">
        <v>0.76250000000000007</v>
      </c>
      <c r="C101" s="2">
        <v>0.76736111111111116</v>
      </c>
      <c r="D101" s="1" t="s">
        <v>3</v>
      </c>
    </row>
    <row r="102" spans="1:4" x14ac:dyDescent="0.25">
      <c r="A102" s="4">
        <v>0.88888888888888884</v>
      </c>
      <c r="B102" s="2">
        <v>0.78819444444444453</v>
      </c>
      <c r="C102" s="2">
        <v>0.80069444444444438</v>
      </c>
      <c r="D102" s="1" t="s">
        <v>3</v>
      </c>
    </row>
    <row r="103" spans="1:4" x14ac:dyDescent="0.25">
      <c r="A103" s="4">
        <v>0.96666666666666667</v>
      </c>
      <c r="B103" s="2">
        <v>0.3756944444444445</v>
      </c>
      <c r="C103" s="2">
        <v>0.38263888888888892</v>
      </c>
      <c r="D103" s="1" t="s">
        <v>3</v>
      </c>
    </row>
    <row r="104" spans="1:4" x14ac:dyDescent="0.25">
      <c r="A104" s="4">
        <v>0.96666666666666667</v>
      </c>
      <c r="B104" s="2">
        <v>0.4069444444444445</v>
      </c>
      <c r="C104" s="2">
        <v>0.40972222222222227</v>
      </c>
      <c r="D104" s="1" t="s">
        <v>3</v>
      </c>
    </row>
    <row r="105" spans="1:4" x14ac:dyDescent="0.25">
      <c r="A105" s="4">
        <v>9.375E-2</v>
      </c>
      <c r="B105" s="2">
        <v>0.4770833333333333</v>
      </c>
      <c r="C105" s="2">
        <v>0.4861111111111111</v>
      </c>
      <c r="D105" s="1" t="s">
        <v>3</v>
      </c>
    </row>
    <row r="106" spans="1:4" x14ac:dyDescent="0.25">
      <c r="A106" s="4">
        <v>0.42708333333333331</v>
      </c>
      <c r="B106" s="2">
        <v>0.47986111111111113</v>
      </c>
      <c r="C106" s="2">
        <v>0.4861111111111111</v>
      </c>
      <c r="D106" s="1" t="s">
        <v>3</v>
      </c>
    </row>
    <row r="107" spans="1:4" x14ac:dyDescent="0.25">
      <c r="A107" s="4">
        <v>0.55833333333333335</v>
      </c>
      <c r="B107" s="2">
        <v>0.5541666666666667</v>
      </c>
      <c r="C107" s="2">
        <v>0.55694444444444446</v>
      </c>
      <c r="D107" s="1" t="s">
        <v>3</v>
      </c>
    </row>
    <row r="108" spans="1:4" x14ac:dyDescent="0.25">
      <c r="A108" s="4">
        <v>0.6875</v>
      </c>
      <c r="B108" s="2">
        <v>0.89097222222222217</v>
      </c>
      <c r="C108" s="2">
        <v>0.89861111111111114</v>
      </c>
      <c r="D108" s="1" t="s">
        <v>3</v>
      </c>
    </row>
    <row r="109" spans="1:4" x14ac:dyDescent="0.25">
      <c r="A109" s="4">
        <v>0.98472222222222217</v>
      </c>
      <c r="B109" s="2">
        <v>3.9583333333333331E-2</v>
      </c>
      <c r="C109" s="2">
        <v>4.7222222222222221E-2</v>
      </c>
      <c r="D109" s="1" t="s">
        <v>3</v>
      </c>
    </row>
    <row r="110" spans="1:4" x14ac:dyDescent="0.25">
      <c r="A110" s="4">
        <v>0.29166666666666669</v>
      </c>
      <c r="B110" s="2">
        <v>0.43958333333333338</v>
      </c>
      <c r="C110" s="2">
        <v>0.45694444444444443</v>
      </c>
      <c r="D110" s="1" t="s">
        <v>3</v>
      </c>
    </row>
    <row r="111" spans="1:4" x14ac:dyDescent="0.25">
      <c r="A111" s="4">
        <v>0.40277777777777773</v>
      </c>
      <c r="B111" s="2">
        <v>0.52430555555555558</v>
      </c>
      <c r="C111" s="2">
        <v>0.53472222222222221</v>
      </c>
      <c r="D111" s="1" t="s">
        <v>3</v>
      </c>
    </row>
    <row r="112" spans="1:4" x14ac:dyDescent="0.25">
      <c r="A112" s="4">
        <v>0.40277777777777773</v>
      </c>
      <c r="B112" s="2">
        <v>0.6479166666666667</v>
      </c>
      <c r="C112" s="2">
        <v>0.65555555555555556</v>
      </c>
      <c r="D112" s="1" t="s">
        <v>3</v>
      </c>
    </row>
    <row r="113" spans="1:4" x14ac:dyDescent="0.25">
      <c r="A113" s="4">
        <v>0.56111111111111112</v>
      </c>
      <c r="B113" s="2">
        <v>0.64027777777777783</v>
      </c>
      <c r="C113" s="2">
        <v>0.64652777777777781</v>
      </c>
      <c r="D113" s="1" t="s">
        <v>3</v>
      </c>
    </row>
    <row r="114" spans="1:4" x14ac:dyDescent="0.25">
      <c r="A114" s="4">
        <v>0.59375</v>
      </c>
      <c r="B114" s="2">
        <v>0.66319444444444442</v>
      </c>
      <c r="C114" s="2">
        <v>0.67847222222222225</v>
      </c>
      <c r="D114" s="1" t="s">
        <v>3</v>
      </c>
    </row>
    <row r="115" spans="1:4" x14ac:dyDescent="0.25">
      <c r="A115" s="4">
        <v>0.62847222222222221</v>
      </c>
      <c r="B115" s="2">
        <v>0.67013888888888884</v>
      </c>
      <c r="C115" s="2">
        <v>0.67291666666666661</v>
      </c>
      <c r="D115" s="5" t="s">
        <v>3</v>
      </c>
    </row>
    <row r="116" spans="1:4" x14ac:dyDescent="0.25">
      <c r="A116" s="4">
        <v>0.67638888888888893</v>
      </c>
      <c r="B116" s="2">
        <v>0.77500000000000002</v>
      </c>
      <c r="C116" s="2">
        <v>0.78333333333333333</v>
      </c>
      <c r="D116" s="1" t="s">
        <v>3</v>
      </c>
    </row>
    <row r="117" spans="1:4" x14ac:dyDescent="0.25">
      <c r="A117" s="4">
        <v>0.70833333333333337</v>
      </c>
      <c r="B117" s="2">
        <v>0.83194444444444438</v>
      </c>
      <c r="C117" s="2">
        <v>0.84097222222222223</v>
      </c>
      <c r="D117" s="1" t="s">
        <v>3</v>
      </c>
    </row>
    <row r="118" spans="1:4" x14ac:dyDescent="0.25">
      <c r="A118" s="4">
        <v>0.72916666666666663</v>
      </c>
      <c r="B118" s="2">
        <v>0.97222222222222221</v>
      </c>
      <c r="C118" s="2">
        <v>0.9819444444444444</v>
      </c>
      <c r="D118" s="1" t="s">
        <v>3</v>
      </c>
    </row>
    <row r="119" spans="1:4" x14ac:dyDescent="0.25">
      <c r="A119" s="4">
        <v>0.79305555555555562</v>
      </c>
      <c r="B119" s="2">
        <v>8.2638888888888887E-2</v>
      </c>
      <c r="C119" s="2">
        <v>8.7500000000000008E-2</v>
      </c>
      <c r="D119" s="1" t="s">
        <v>3</v>
      </c>
    </row>
    <row r="120" spans="1:4" x14ac:dyDescent="0.25">
      <c r="A120" s="4">
        <v>0.47222222222222227</v>
      </c>
      <c r="B120" s="2">
        <v>0.10208333333333335</v>
      </c>
      <c r="C120" s="2">
        <v>0.10555555555555556</v>
      </c>
      <c r="D120" s="1" t="s">
        <v>3</v>
      </c>
    </row>
    <row r="121" spans="1:4" x14ac:dyDescent="0.25">
      <c r="A121" s="4">
        <v>0.43055555555555558</v>
      </c>
      <c r="B121" s="2">
        <v>0.27569444444444446</v>
      </c>
      <c r="C121" s="2">
        <v>0.28472222222222221</v>
      </c>
      <c r="D121" s="1" t="s">
        <v>3</v>
      </c>
    </row>
    <row r="122" spans="1:4" x14ac:dyDescent="0.25">
      <c r="A122" s="4">
        <v>0.52430555555555558</v>
      </c>
      <c r="B122" s="2">
        <v>0.38750000000000001</v>
      </c>
      <c r="C122" s="2">
        <v>0.4152777777777778</v>
      </c>
      <c r="D122" s="1" t="s">
        <v>3</v>
      </c>
    </row>
    <row r="123" spans="1:4" x14ac:dyDescent="0.25">
      <c r="A123" s="4">
        <v>0.50069444444444444</v>
      </c>
      <c r="B123" s="2">
        <v>0.4381944444444445</v>
      </c>
      <c r="C123" s="2">
        <v>0.44305555555555554</v>
      </c>
      <c r="D123" s="1" t="s">
        <v>3</v>
      </c>
    </row>
    <row r="124" spans="1:4" x14ac:dyDescent="0.25">
      <c r="A124" s="4">
        <v>0.68055555555555547</v>
      </c>
      <c r="B124" s="2">
        <v>0.43958333333333338</v>
      </c>
      <c r="C124" s="2">
        <v>0.46458333333333335</v>
      </c>
      <c r="D124" s="1" t="s">
        <v>3</v>
      </c>
    </row>
    <row r="125" spans="1:4" x14ac:dyDescent="0.25">
      <c r="A125" s="4">
        <v>0.97361111111111109</v>
      </c>
      <c r="B125" s="2">
        <v>0.49583333333333335</v>
      </c>
      <c r="C125" s="2">
        <v>0.51111111111111118</v>
      </c>
      <c r="D125" s="1" t="s">
        <v>3</v>
      </c>
    </row>
    <row r="126" spans="1:4" x14ac:dyDescent="0.25">
      <c r="A126" s="4">
        <v>0.28472222222222221</v>
      </c>
      <c r="B126" s="2">
        <v>0.6166666666666667</v>
      </c>
      <c r="C126" s="2">
        <v>0.67222222222222217</v>
      </c>
      <c r="D126" s="1" t="s">
        <v>3</v>
      </c>
    </row>
    <row r="127" spans="1:4" x14ac:dyDescent="0.25">
      <c r="A127" s="4">
        <v>0.41666666666666669</v>
      </c>
      <c r="B127" s="2">
        <v>0.71597222222222223</v>
      </c>
      <c r="C127" s="2">
        <v>0.72222222222222221</v>
      </c>
      <c r="D127" s="1" t="s">
        <v>3</v>
      </c>
    </row>
    <row r="128" spans="1:4" x14ac:dyDescent="0.25">
      <c r="A128" s="4">
        <v>0.46597222222222223</v>
      </c>
      <c r="B128" s="2">
        <v>0.77430555555555547</v>
      </c>
      <c r="C128" s="2">
        <v>0.78263888888888899</v>
      </c>
      <c r="D128" s="1" t="s">
        <v>3</v>
      </c>
    </row>
    <row r="129" spans="1:4" x14ac:dyDescent="0.25">
      <c r="A129" s="4">
        <v>0.50694444444444442</v>
      </c>
      <c r="B129" s="2">
        <v>0.87847222222222221</v>
      </c>
      <c r="C129" s="2">
        <v>0.88263888888888886</v>
      </c>
      <c r="D129" s="1" t="s">
        <v>3</v>
      </c>
    </row>
    <row r="130" spans="1:4" x14ac:dyDescent="0.25">
      <c r="A130" s="4">
        <v>0.57638888888888895</v>
      </c>
      <c r="B130" s="2">
        <v>0.94652777777777775</v>
      </c>
      <c r="C130" s="2">
        <v>0.95208333333333339</v>
      </c>
      <c r="D130" s="1" t="s">
        <v>3</v>
      </c>
    </row>
    <row r="131" spans="1:4" x14ac:dyDescent="0.25">
      <c r="A131" s="4">
        <v>0.62152777777777779</v>
      </c>
      <c r="B131" s="2">
        <v>0.33888888888888885</v>
      </c>
      <c r="C131" s="2">
        <v>0.34722222222222227</v>
      </c>
      <c r="D131" s="1" t="s">
        <v>3</v>
      </c>
    </row>
    <row r="132" spans="1:4" x14ac:dyDescent="0.25">
      <c r="A132" s="4">
        <v>0.64583333333333337</v>
      </c>
      <c r="B132" s="2">
        <v>0.45347222222222222</v>
      </c>
      <c r="C132" s="2">
        <v>0.46319444444444446</v>
      </c>
      <c r="D132" s="1" t="s">
        <v>3</v>
      </c>
    </row>
    <row r="133" spans="1:4" x14ac:dyDescent="0.25">
      <c r="A133" s="4">
        <v>0.71111111111111114</v>
      </c>
      <c r="B133" s="2">
        <v>0.46319444444444446</v>
      </c>
      <c r="C133" s="2">
        <v>0.47569444444444442</v>
      </c>
      <c r="D133" s="1" t="s">
        <v>3</v>
      </c>
    </row>
    <row r="134" spans="1:4" x14ac:dyDescent="0.25">
      <c r="A134" s="4">
        <v>0.71111111111111114</v>
      </c>
      <c r="B134" s="2">
        <v>0.47430555555555554</v>
      </c>
      <c r="C134" s="2">
        <v>0.50138888888888888</v>
      </c>
      <c r="D134" s="1" t="s">
        <v>3</v>
      </c>
    </row>
    <row r="135" spans="1:4" x14ac:dyDescent="0.25">
      <c r="A135" s="4">
        <v>0.72569444444444453</v>
      </c>
      <c r="B135" s="2">
        <v>0.50902777777777775</v>
      </c>
      <c r="C135" s="2">
        <v>0.52152777777777781</v>
      </c>
      <c r="D135" s="1" t="s">
        <v>3</v>
      </c>
    </row>
    <row r="136" spans="1:4" x14ac:dyDescent="0.25">
      <c r="A136" s="4">
        <v>0.77777777777777779</v>
      </c>
      <c r="B136" s="2">
        <v>0.50208333333333333</v>
      </c>
      <c r="C136" s="2">
        <v>0.51041666666666663</v>
      </c>
      <c r="D136" s="1" t="s">
        <v>3</v>
      </c>
    </row>
    <row r="137" spans="1:4" x14ac:dyDescent="0.25">
      <c r="A137" s="4">
        <v>0.79861111111111116</v>
      </c>
      <c r="B137" s="2">
        <v>0.53819444444444442</v>
      </c>
      <c r="C137" s="2">
        <v>0.56111111111111112</v>
      </c>
      <c r="D137" s="1" t="s">
        <v>3</v>
      </c>
    </row>
    <row r="138" spans="1:4" x14ac:dyDescent="0.25">
      <c r="A138" s="4">
        <v>0.10486111111111111</v>
      </c>
      <c r="B138" s="2">
        <v>0.55763888888888891</v>
      </c>
      <c r="C138" s="2">
        <v>0.57013888888888886</v>
      </c>
      <c r="D138" s="1" t="s">
        <v>3</v>
      </c>
    </row>
    <row r="139" spans="1:4" x14ac:dyDescent="0.25">
      <c r="A139" s="4">
        <v>0.35069444444444442</v>
      </c>
      <c r="B139" s="2">
        <v>0.69166666666666676</v>
      </c>
      <c r="C139" s="2">
        <v>0.7104166666666667</v>
      </c>
      <c r="D139" s="1" t="s">
        <v>3</v>
      </c>
    </row>
    <row r="140" spans="1:4" x14ac:dyDescent="0.25">
      <c r="A140" s="4">
        <v>0.35972222222222222</v>
      </c>
      <c r="B140" s="2">
        <v>0.7583333333333333</v>
      </c>
      <c r="C140" s="2">
        <v>0.76597222222222217</v>
      </c>
      <c r="D140" s="1" t="s">
        <v>3</v>
      </c>
    </row>
    <row r="141" spans="1:4" x14ac:dyDescent="0.25">
      <c r="A141" s="4">
        <v>0.49305555555555558</v>
      </c>
      <c r="B141" s="2">
        <v>0.8125</v>
      </c>
      <c r="C141" s="2">
        <v>0.81805555555555554</v>
      </c>
      <c r="D141" s="1" t="s">
        <v>3</v>
      </c>
    </row>
    <row r="142" spans="1:4" x14ac:dyDescent="0.25">
      <c r="A142" s="4">
        <v>0.92708333333333337</v>
      </c>
      <c r="B142" s="2">
        <v>0.3520833333333333</v>
      </c>
      <c r="C142" s="2">
        <v>0.35972222222222222</v>
      </c>
      <c r="D142" s="1" t="s">
        <v>3</v>
      </c>
    </row>
    <row r="143" spans="1:4" x14ac:dyDescent="0.25">
      <c r="A143" s="4">
        <v>0.19791666666666666</v>
      </c>
      <c r="B143" s="2">
        <v>0.54583333333333328</v>
      </c>
      <c r="C143" s="2">
        <v>0.55277777777777781</v>
      </c>
      <c r="D143" s="1" t="s">
        <v>3</v>
      </c>
    </row>
    <row r="144" spans="1:4" x14ac:dyDescent="0.25">
      <c r="A144" s="4">
        <v>0.36180555555555555</v>
      </c>
      <c r="B144" s="2">
        <v>0.61944444444444446</v>
      </c>
      <c r="C144" s="2">
        <v>0.62708333333333333</v>
      </c>
      <c r="D144" s="1" t="s">
        <v>3</v>
      </c>
    </row>
    <row r="145" spans="1:4" x14ac:dyDescent="0.25">
      <c r="A145" s="4">
        <v>0.52777777777777779</v>
      </c>
      <c r="B145" s="2">
        <v>0.6791666666666667</v>
      </c>
      <c r="C145" s="2">
        <v>0.68472222222222223</v>
      </c>
      <c r="D145" s="1" t="s">
        <v>3</v>
      </c>
    </row>
    <row r="146" spans="1:4" x14ac:dyDescent="0.25">
      <c r="A146" s="4">
        <v>0.51388888888888895</v>
      </c>
      <c r="B146" s="2">
        <v>0.71944444444444444</v>
      </c>
      <c r="C146" s="2">
        <v>0.7284722222222223</v>
      </c>
      <c r="D146" s="1" t="s">
        <v>3</v>
      </c>
    </row>
    <row r="147" spans="1:4" x14ac:dyDescent="0.25">
      <c r="A147" s="4">
        <v>0.70138888888888884</v>
      </c>
      <c r="B147" s="2">
        <v>0.82638888888888884</v>
      </c>
      <c r="C147" s="2">
        <v>0.82986111111111116</v>
      </c>
      <c r="D147" s="1" t="s">
        <v>3</v>
      </c>
    </row>
    <row r="148" spans="1:4" x14ac:dyDescent="0.25">
      <c r="A148" s="4">
        <v>0.74305555555555547</v>
      </c>
      <c r="B148" s="2">
        <v>0.8847222222222223</v>
      </c>
      <c r="C148" s="2">
        <v>0.89027777777777783</v>
      </c>
      <c r="D148" s="1" t="s">
        <v>3</v>
      </c>
    </row>
    <row r="149" spans="1:4" x14ac:dyDescent="0.25">
      <c r="A149" s="4">
        <v>0.76736111111111116</v>
      </c>
      <c r="B149" s="2">
        <v>0.37708333333333338</v>
      </c>
      <c r="C149" s="2">
        <v>0.38263888888888892</v>
      </c>
      <c r="D149" s="1" t="s">
        <v>3</v>
      </c>
    </row>
    <row r="150" spans="1:4" x14ac:dyDescent="0.25">
      <c r="A150" s="4">
        <v>0.81944444444444453</v>
      </c>
      <c r="B150" s="2">
        <v>0.55833333333333335</v>
      </c>
      <c r="C150" s="2">
        <v>0.5708333333333333</v>
      </c>
      <c r="D150" s="1" t="s">
        <v>3</v>
      </c>
    </row>
    <row r="151" spans="1:4" x14ac:dyDescent="0.25">
      <c r="A151" s="4">
        <v>0.9375</v>
      </c>
      <c r="B151" s="2">
        <v>0.70208333333333339</v>
      </c>
      <c r="C151" s="2">
        <v>0.70486111111111116</v>
      </c>
      <c r="D151" s="1" t="s">
        <v>3</v>
      </c>
    </row>
    <row r="152" spans="1:4" x14ac:dyDescent="0.25">
      <c r="A152" s="4">
        <v>0.9375</v>
      </c>
      <c r="B152" s="2">
        <v>0.75763888888888886</v>
      </c>
      <c r="C152" s="2">
        <v>0.76944444444444438</v>
      </c>
      <c r="D152" s="1" t="s">
        <v>3</v>
      </c>
    </row>
    <row r="153" spans="1:4" x14ac:dyDescent="0.25">
      <c r="A153" s="4">
        <v>0.97916666666666663</v>
      </c>
      <c r="B153" s="2">
        <v>0.12291666666666667</v>
      </c>
      <c r="C153" s="2">
        <v>0.13194444444444445</v>
      </c>
      <c r="D153" s="1" t="s">
        <v>3</v>
      </c>
    </row>
    <row r="154" spans="1:4" x14ac:dyDescent="0.25">
      <c r="A154" s="3">
        <v>1.0138888888888888</v>
      </c>
      <c r="B154" s="2">
        <v>0.28958333333333336</v>
      </c>
      <c r="C154" s="2">
        <v>0.31875000000000003</v>
      </c>
      <c r="D154" s="1" t="s">
        <v>3</v>
      </c>
    </row>
    <row r="155" spans="1:4" x14ac:dyDescent="0.25">
      <c r="A155" s="3">
        <v>1</v>
      </c>
      <c r="B155" s="2">
        <v>0.52569444444444446</v>
      </c>
      <c r="C155" s="2">
        <v>0.54305555555555551</v>
      </c>
      <c r="D155" s="1" t="s">
        <v>3</v>
      </c>
    </row>
    <row r="156" spans="1:4" x14ac:dyDescent="0.25">
      <c r="A156" s="4">
        <v>0.49305555555555558</v>
      </c>
      <c r="B156" s="2">
        <v>0.58888888888888891</v>
      </c>
      <c r="C156" s="2">
        <v>0.59513888888888888</v>
      </c>
      <c r="D156" s="1" t="s">
        <v>3</v>
      </c>
    </row>
    <row r="157" spans="1:4" x14ac:dyDescent="0.25">
      <c r="A157" s="4">
        <v>0.54861111111111105</v>
      </c>
      <c r="B157" s="2">
        <v>0.75138888888888899</v>
      </c>
      <c r="C157" s="2">
        <v>0.75624999999999998</v>
      </c>
      <c r="D157" s="1" t="s">
        <v>3</v>
      </c>
    </row>
    <row r="158" spans="1:4" x14ac:dyDescent="0.25">
      <c r="A158" s="4">
        <v>0.53472222222222221</v>
      </c>
      <c r="B158" s="2">
        <v>0.7680555555555556</v>
      </c>
      <c r="C158" s="2">
        <v>0.77638888888888891</v>
      </c>
      <c r="D158" s="1" t="s">
        <v>3</v>
      </c>
    </row>
    <row r="159" spans="1:4" x14ac:dyDescent="0.25">
      <c r="A159" s="4">
        <v>0.61458333333333337</v>
      </c>
      <c r="B159" s="2">
        <v>0.80555555555555547</v>
      </c>
      <c r="C159" s="2">
        <v>0.81111111111111101</v>
      </c>
      <c r="D159" s="1" t="s">
        <v>3</v>
      </c>
    </row>
    <row r="160" spans="1:4" x14ac:dyDescent="0.25">
      <c r="A160" s="4">
        <v>0.61458333333333337</v>
      </c>
      <c r="B160" s="2">
        <v>0.79861111111111116</v>
      </c>
      <c r="C160" s="2">
        <v>0.81111111111111101</v>
      </c>
      <c r="D160" s="1" t="s">
        <v>3</v>
      </c>
    </row>
    <row r="161" spans="1:4" x14ac:dyDescent="0.25">
      <c r="A161" s="4">
        <v>0.875</v>
      </c>
      <c r="B161" s="2">
        <v>0.83263888888888893</v>
      </c>
      <c r="C161" s="2">
        <v>0.83750000000000002</v>
      </c>
      <c r="D161" s="1" t="s">
        <v>3</v>
      </c>
    </row>
    <row r="162" spans="1:4" x14ac:dyDescent="0.25">
      <c r="A162" s="4">
        <v>0.73958333333333337</v>
      </c>
      <c r="B162" s="2">
        <v>0.9472222222222223</v>
      </c>
      <c r="C162" s="2">
        <v>0.95208333333333339</v>
      </c>
      <c r="D162" s="1" t="s">
        <v>3</v>
      </c>
    </row>
    <row r="163" spans="1:4" x14ac:dyDescent="0.25">
      <c r="A163" s="4">
        <v>0.77083333333333337</v>
      </c>
      <c r="B163" s="2">
        <v>0.99236111111111114</v>
      </c>
      <c r="C163" s="2">
        <v>0.99930555555555556</v>
      </c>
      <c r="D163" s="1" t="s">
        <v>3</v>
      </c>
    </row>
    <row r="164" spans="1:4" x14ac:dyDescent="0.25">
      <c r="A164" s="4">
        <v>0.77083333333333337</v>
      </c>
      <c r="B164" s="2">
        <v>0.37291666666666662</v>
      </c>
      <c r="C164" s="2">
        <v>0.38680555555555557</v>
      </c>
      <c r="D164" s="1" t="s">
        <v>3</v>
      </c>
    </row>
    <row r="165" spans="1:4" x14ac:dyDescent="0.25">
      <c r="A165" s="4">
        <v>0.85069444444444453</v>
      </c>
      <c r="B165" s="2">
        <v>0.3888888888888889</v>
      </c>
      <c r="C165" s="2">
        <v>0.40833333333333338</v>
      </c>
      <c r="D165" s="1" t="s">
        <v>3</v>
      </c>
    </row>
    <row r="166" spans="1:4" x14ac:dyDescent="0.25">
      <c r="A166" s="4">
        <v>0.85069444444444453</v>
      </c>
      <c r="B166" s="2">
        <v>0.45763888888888887</v>
      </c>
      <c r="C166" s="2">
        <v>0.46875</v>
      </c>
      <c r="D166" s="1" t="s">
        <v>3</v>
      </c>
    </row>
    <row r="167" spans="1:4" x14ac:dyDescent="0.25">
      <c r="A167" s="4">
        <v>0.94444444444444453</v>
      </c>
      <c r="B167" s="2">
        <v>0.51458333333333328</v>
      </c>
      <c r="C167" s="2">
        <v>0.52083333333333337</v>
      </c>
      <c r="D167" s="1" t="s">
        <v>3</v>
      </c>
    </row>
    <row r="168" spans="1:4" x14ac:dyDescent="0.25">
      <c r="A168" s="4">
        <v>0.19097222222222221</v>
      </c>
      <c r="B168" s="2">
        <v>0.48958333333333331</v>
      </c>
      <c r="C168" s="2">
        <v>0.52986111111111112</v>
      </c>
      <c r="D168" s="1" t="s">
        <v>3</v>
      </c>
    </row>
    <row r="169" spans="1:4" x14ac:dyDescent="0.25">
      <c r="A169" s="4">
        <v>0.36944444444444446</v>
      </c>
      <c r="B169" s="2">
        <v>0.64722222222222225</v>
      </c>
      <c r="C169" s="2">
        <v>0.65416666666666667</v>
      </c>
      <c r="D169" s="1" t="s">
        <v>3</v>
      </c>
    </row>
    <row r="170" spans="1:4" x14ac:dyDescent="0.25">
      <c r="A170" s="4">
        <v>0.31944444444444448</v>
      </c>
      <c r="B170" s="2">
        <v>0.70416666666666661</v>
      </c>
      <c r="C170" s="2">
        <v>0.71111111111111114</v>
      </c>
      <c r="D170" s="1" t="s">
        <v>3</v>
      </c>
    </row>
    <row r="171" spans="1:4" x14ac:dyDescent="0.25">
      <c r="A171" s="4">
        <v>0.65277777777777779</v>
      </c>
      <c r="B171" s="2">
        <v>0.73263888888888884</v>
      </c>
      <c r="C171" s="2">
        <v>0.78888888888888886</v>
      </c>
      <c r="D171" s="1" t="s">
        <v>3</v>
      </c>
    </row>
    <row r="172" spans="1:4" x14ac:dyDescent="0.25">
      <c r="A172" s="4">
        <v>0.65277777777777779</v>
      </c>
      <c r="B172" s="2">
        <v>0.8652777777777777</v>
      </c>
      <c r="C172" s="2">
        <v>0.88888888888888884</v>
      </c>
      <c r="D172" s="1" t="s">
        <v>3</v>
      </c>
    </row>
    <row r="173" spans="1:4" x14ac:dyDescent="0.25">
      <c r="A173" s="4">
        <v>0.67361111111111116</v>
      </c>
      <c r="B173" s="2">
        <v>0.98055555555555562</v>
      </c>
      <c r="C173" s="2">
        <v>0.98541666666666661</v>
      </c>
      <c r="D173" s="1" t="s">
        <v>3</v>
      </c>
    </row>
    <row r="174" spans="1:4" x14ac:dyDescent="0.25">
      <c r="A174" s="4">
        <v>0.69097222222222221</v>
      </c>
      <c r="B174" s="2">
        <v>0.26319444444444445</v>
      </c>
      <c r="C174" s="2">
        <v>0.26874999999999999</v>
      </c>
      <c r="D174" s="1" t="s">
        <v>3</v>
      </c>
    </row>
    <row r="175" spans="1:4" x14ac:dyDescent="0.25">
      <c r="A175" s="4">
        <v>0.72916666666666663</v>
      </c>
      <c r="B175" s="2">
        <v>0.39861111111111108</v>
      </c>
      <c r="C175" s="2">
        <v>0.40416666666666662</v>
      </c>
      <c r="D175" s="1" t="s">
        <v>3</v>
      </c>
    </row>
    <row r="176" spans="1:4" x14ac:dyDescent="0.25">
      <c r="A176" s="4">
        <v>0.72222222222222221</v>
      </c>
      <c r="B176" s="2">
        <v>0.4368055555555555</v>
      </c>
      <c r="C176" s="2">
        <v>0.44236111111111115</v>
      </c>
      <c r="D176" s="1" t="s">
        <v>3</v>
      </c>
    </row>
    <row r="177" spans="1:4" x14ac:dyDescent="0.25">
      <c r="A177" s="4">
        <v>0.75694444444444453</v>
      </c>
      <c r="B177" s="2">
        <v>0.48194444444444445</v>
      </c>
      <c r="C177" s="2">
        <v>0.48472222222222222</v>
      </c>
      <c r="D177" s="1" t="s">
        <v>3</v>
      </c>
    </row>
    <row r="178" spans="1:4" x14ac:dyDescent="0.25">
      <c r="A178" s="3">
        <v>1.0006944444444443</v>
      </c>
      <c r="B178" s="2">
        <v>0.5625</v>
      </c>
      <c r="C178" s="2">
        <v>0.56736111111111109</v>
      </c>
      <c r="D178" s="1" t="s">
        <v>3</v>
      </c>
    </row>
    <row r="179" spans="1:4" x14ac:dyDescent="0.25">
      <c r="A179" s="4">
        <v>0.3125</v>
      </c>
      <c r="B179" s="2">
        <v>0.5854166666666667</v>
      </c>
      <c r="C179" s="2">
        <v>0.59027777777777779</v>
      </c>
      <c r="D179" s="1" t="s">
        <v>3</v>
      </c>
    </row>
    <row r="180" spans="1:4" x14ac:dyDescent="0.25">
      <c r="A180" s="4">
        <v>0.375</v>
      </c>
      <c r="B180" s="2">
        <v>0.66736111111111107</v>
      </c>
      <c r="C180" s="2">
        <v>0.67847222222222225</v>
      </c>
      <c r="D180" s="1" t="s">
        <v>3</v>
      </c>
    </row>
    <row r="181" spans="1:4" x14ac:dyDescent="0.25">
      <c r="A181" s="4">
        <v>0.34722222222222227</v>
      </c>
      <c r="B181" s="2">
        <v>0.74652777777777779</v>
      </c>
      <c r="C181" s="2">
        <v>0.75138888888888899</v>
      </c>
      <c r="D181" s="1" t="s">
        <v>3</v>
      </c>
    </row>
    <row r="182" spans="1:4" x14ac:dyDescent="0.25">
      <c r="A182" s="4">
        <v>0.39583333333333331</v>
      </c>
      <c r="B182" s="2">
        <v>0.79236111111111107</v>
      </c>
      <c r="C182" s="2">
        <v>0.80069444444444438</v>
      </c>
      <c r="D182" s="1" t="s">
        <v>3</v>
      </c>
    </row>
    <row r="183" spans="1:4" x14ac:dyDescent="0.25">
      <c r="A183" s="4">
        <v>0.42708333333333331</v>
      </c>
      <c r="B183" s="2">
        <v>0.8125</v>
      </c>
      <c r="C183" s="2">
        <v>0.81944444444444453</v>
      </c>
      <c r="D183" s="1" t="s">
        <v>3</v>
      </c>
    </row>
    <row r="184" spans="1:4" x14ac:dyDescent="0.25">
      <c r="A184" s="4">
        <v>0.65277777777777779</v>
      </c>
      <c r="B184" s="2">
        <v>0.53055555555555556</v>
      </c>
      <c r="C184" s="2">
        <v>0.53541666666666665</v>
      </c>
      <c r="D184" s="1" t="s">
        <v>3</v>
      </c>
    </row>
    <row r="185" spans="1:4" x14ac:dyDescent="0.25">
      <c r="A185" s="4">
        <v>0.93888888888888899</v>
      </c>
      <c r="B185" s="2">
        <v>0.24861111111111112</v>
      </c>
      <c r="C185" s="2">
        <v>0.26041666666666669</v>
      </c>
      <c r="D185" s="1" t="s">
        <v>3</v>
      </c>
    </row>
    <row r="186" spans="1:4" x14ac:dyDescent="0.25">
      <c r="A186" s="4">
        <v>0.97569444444444453</v>
      </c>
      <c r="B186" s="2">
        <v>0.45347222222222222</v>
      </c>
      <c r="C186" s="2">
        <v>0.46111111111111108</v>
      </c>
      <c r="D186" s="1" t="s">
        <v>3</v>
      </c>
    </row>
    <row r="187" spans="1:4" x14ac:dyDescent="0.25">
      <c r="A187" s="4">
        <v>0.97569444444444453</v>
      </c>
      <c r="B187" s="2">
        <v>0.4770833333333333</v>
      </c>
      <c r="C187" s="2">
        <v>0.5</v>
      </c>
      <c r="D187" s="1" t="s">
        <v>3</v>
      </c>
    </row>
    <row r="188" spans="1:4" x14ac:dyDescent="0.25">
      <c r="A188" s="3">
        <v>1.0381944444444444</v>
      </c>
      <c r="B188" s="2">
        <v>0.50694444444444442</v>
      </c>
      <c r="C188" s="2">
        <v>0.51041666666666663</v>
      </c>
      <c r="D188" s="1" t="s">
        <v>3</v>
      </c>
    </row>
    <row r="189" spans="1:4" x14ac:dyDescent="0.25">
      <c r="A189" s="4">
        <v>0.14583333333333334</v>
      </c>
      <c r="B189" s="2">
        <v>0.5131944444444444</v>
      </c>
      <c r="C189" s="2">
        <v>0.53680555555555554</v>
      </c>
      <c r="D189" s="1" t="s">
        <v>3</v>
      </c>
    </row>
    <row r="190" spans="1:4" x14ac:dyDescent="0.25">
      <c r="A190" s="4">
        <v>0.18472222222222223</v>
      </c>
      <c r="B190" s="2">
        <v>0.52430555555555558</v>
      </c>
      <c r="C190" s="2">
        <v>0.52777777777777779</v>
      </c>
      <c r="D190" s="1" t="s">
        <v>3</v>
      </c>
    </row>
    <row r="191" spans="1:4" x14ac:dyDescent="0.25">
      <c r="A191" s="4">
        <v>0.24652777777777779</v>
      </c>
      <c r="B191" s="2">
        <v>0.58611111111111114</v>
      </c>
      <c r="C191" s="2">
        <v>0.59166666666666667</v>
      </c>
      <c r="D191" s="1" t="s">
        <v>3</v>
      </c>
    </row>
    <row r="192" spans="1:4" x14ac:dyDescent="0.25">
      <c r="A192" s="4">
        <v>0.34027777777777773</v>
      </c>
      <c r="B192" s="2">
        <v>0.66388888888888886</v>
      </c>
      <c r="C192" s="2">
        <v>0.66666666666666663</v>
      </c>
      <c r="D192" s="1" t="s">
        <v>3</v>
      </c>
    </row>
    <row r="193" spans="1:4" x14ac:dyDescent="0.25">
      <c r="A193" s="4">
        <v>0.38541666666666669</v>
      </c>
      <c r="B193" s="2">
        <v>0.73263888888888884</v>
      </c>
      <c r="C193" s="2">
        <v>0.73749999999999993</v>
      </c>
      <c r="D193" s="1" t="s">
        <v>3</v>
      </c>
    </row>
    <row r="194" spans="1:4" x14ac:dyDescent="0.25">
      <c r="A194" s="4">
        <v>0.40972222222222227</v>
      </c>
      <c r="B194" s="2">
        <v>0.85833333333333339</v>
      </c>
      <c r="C194" s="2">
        <v>0.86597222222222225</v>
      </c>
      <c r="D194" s="1" t="s">
        <v>3</v>
      </c>
    </row>
    <row r="195" spans="1:4" x14ac:dyDescent="0.25">
      <c r="A195" s="4">
        <v>0.24305555555555555</v>
      </c>
      <c r="B195" s="2">
        <v>0.94374999999999998</v>
      </c>
      <c r="C195" s="2">
        <v>0.95277777777777783</v>
      </c>
      <c r="D195" s="1" t="s">
        <v>3</v>
      </c>
    </row>
    <row r="196" spans="1:4" x14ac:dyDescent="0.25">
      <c r="A196" s="4">
        <v>0.26874999999999999</v>
      </c>
      <c r="B196" s="2">
        <v>5.5555555555555552E-2</v>
      </c>
      <c r="C196" s="2">
        <v>6.458333333333334E-2</v>
      </c>
      <c r="D196" s="1" t="s">
        <v>3</v>
      </c>
    </row>
    <row r="197" spans="1:4" x14ac:dyDescent="0.25">
      <c r="A197" s="4">
        <v>0.34722222222222227</v>
      </c>
      <c r="B197" s="2">
        <v>0.44513888888888892</v>
      </c>
      <c r="C197" s="2">
        <v>0.46111111111111108</v>
      </c>
      <c r="D197" s="1" t="s">
        <v>3</v>
      </c>
    </row>
    <row r="198" spans="1:4" x14ac:dyDescent="0.25">
      <c r="A198" s="4">
        <v>0.49652777777777773</v>
      </c>
      <c r="B198" s="2">
        <v>0.4861111111111111</v>
      </c>
      <c r="C198" s="2">
        <v>0.50694444444444442</v>
      </c>
      <c r="D198" s="1" t="s">
        <v>3</v>
      </c>
    </row>
    <row r="199" spans="1:4" x14ac:dyDescent="0.25">
      <c r="A199" s="4">
        <v>0.53125</v>
      </c>
      <c r="B199" s="2">
        <v>0.54583333333333328</v>
      </c>
      <c r="C199" s="2">
        <v>0.55694444444444446</v>
      </c>
      <c r="D199" s="1" t="s">
        <v>3</v>
      </c>
    </row>
    <row r="200" spans="1:4" x14ac:dyDescent="0.25">
      <c r="A200" s="4">
        <v>0.53125</v>
      </c>
      <c r="B200" s="2">
        <v>0.58958333333333335</v>
      </c>
      <c r="C200" s="2">
        <v>0.60625000000000007</v>
      </c>
      <c r="D200" s="1" t="s">
        <v>3</v>
      </c>
    </row>
    <row r="201" spans="1:4" x14ac:dyDescent="0.25">
      <c r="A201" s="4">
        <v>0.67013888888888884</v>
      </c>
      <c r="B201" s="2">
        <v>0.71180555555555547</v>
      </c>
      <c r="C201" s="2">
        <v>0.7270833333333333</v>
      </c>
      <c r="D201" s="1" t="s">
        <v>3</v>
      </c>
    </row>
    <row r="202" spans="1:4" x14ac:dyDescent="0.25">
      <c r="A202" s="4">
        <v>0.65625</v>
      </c>
      <c r="B202" s="2">
        <v>0.72777777777777775</v>
      </c>
      <c r="C202" s="2">
        <v>0.73611111111111116</v>
      </c>
      <c r="D202" s="1" t="s">
        <v>3</v>
      </c>
    </row>
    <row r="203" spans="1:4" x14ac:dyDescent="0.25">
      <c r="A203" s="4">
        <v>0.92708333333333337</v>
      </c>
      <c r="B203" s="2">
        <v>0.77708333333333324</v>
      </c>
      <c r="C203" s="2">
        <v>0.78333333333333333</v>
      </c>
      <c r="D203" s="1" t="s">
        <v>3</v>
      </c>
    </row>
    <row r="204" spans="1:4" x14ac:dyDescent="0.25">
      <c r="A204" s="4">
        <v>7.9861111111111105E-2</v>
      </c>
      <c r="B204" s="2">
        <v>0.82916666666666661</v>
      </c>
      <c r="C204" s="2">
        <v>0.83472222222222225</v>
      </c>
      <c r="D204" s="1" t="s">
        <v>3</v>
      </c>
    </row>
    <row r="205" spans="1:4" x14ac:dyDescent="0.25">
      <c r="A205" s="4">
        <v>0.2673611111111111</v>
      </c>
      <c r="B205" s="2">
        <v>0.87638888888888899</v>
      </c>
      <c r="C205" s="2">
        <v>0.88124999999999998</v>
      </c>
      <c r="D205" s="1" t="s">
        <v>3</v>
      </c>
    </row>
    <row r="206" spans="1:4" x14ac:dyDescent="0.25">
      <c r="A206" s="4">
        <v>0.34722222222222227</v>
      </c>
      <c r="B206" s="2">
        <v>0.95486111111111116</v>
      </c>
      <c r="C206" s="2">
        <v>5.4166666666666669E-2</v>
      </c>
      <c r="D206" s="1" t="s">
        <v>3</v>
      </c>
    </row>
    <row r="207" spans="1:4" x14ac:dyDescent="0.25">
      <c r="A207" s="4">
        <v>0.47083333333333338</v>
      </c>
      <c r="B207" s="2">
        <v>0.19652777777777777</v>
      </c>
      <c r="C207" s="2">
        <v>0.21666666666666667</v>
      </c>
      <c r="D207" s="1" t="s">
        <v>3</v>
      </c>
    </row>
    <row r="208" spans="1:4" x14ac:dyDescent="0.25">
      <c r="A208" s="4">
        <v>0.49305555555555558</v>
      </c>
      <c r="B208" s="2">
        <v>0.43333333333333335</v>
      </c>
      <c r="C208" s="2">
        <v>0.44444444444444442</v>
      </c>
      <c r="D208" s="1" t="s">
        <v>3</v>
      </c>
    </row>
    <row r="209" spans="1:4" x14ac:dyDescent="0.25">
      <c r="A209" s="4">
        <v>0.55208333333333337</v>
      </c>
      <c r="B209" s="2">
        <v>0.4548611111111111</v>
      </c>
      <c r="C209" s="2">
        <v>0.4597222222222222</v>
      </c>
      <c r="D209" s="1" t="s">
        <v>3</v>
      </c>
    </row>
    <row r="210" spans="1:4" x14ac:dyDescent="0.25">
      <c r="A210" s="4">
        <v>0.55208333333333337</v>
      </c>
      <c r="B210" s="2">
        <v>0.55555555555555558</v>
      </c>
      <c r="C210" s="2">
        <v>0.58333333333333337</v>
      </c>
      <c r="D210" s="1" t="s">
        <v>3</v>
      </c>
    </row>
    <row r="211" spans="1:4" x14ac:dyDescent="0.25">
      <c r="A211" s="4">
        <v>0.63194444444444442</v>
      </c>
      <c r="B211" s="2">
        <v>0.56666666666666665</v>
      </c>
      <c r="C211" s="2">
        <v>0.58611111111111114</v>
      </c>
      <c r="D211" s="1" t="s">
        <v>3</v>
      </c>
    </row>
    <row r="212" spans="1:4" x14ac:dyDescent="0.25">
      <c r="A212" s="4">
        <v>0.64930555555555558</v>
      </c>
      <c r="B212" s="2">
        <v>0.62152777777777779</v>
      </c>
      <c r="C212" s="2">
        <v>0.62638888888888888</v>
      </c>
      <c r="D212" s="1" t="s">
        <v>3</v>
      </c>
    </row>
    <row r="213" spans="1:4" x14ac:dyDescent="0.25">
      <c r="A213" s="4">
        <v>0.65277777777777779</v>
      </c>
      <c r="B213" s="2">
        <v>0.67638888888888893</v>
      </c>
      <c r="C213" s="2">
        <v>0.68819444444444444</v>
      </c>
      <c r="D213" s="1" t="s">
        <v>3</v>
      </c>
    </row>
    <row r="214" spans="1:4" x14ac:dyDescent="0.25">
      <c r="A214" s="4">
        <v>0.71875</v>
      </c>
      <c r="B214" s="2">
        <v>0.67569444444444438</v>
      </c>
      <c r="C214" s="2">
        <v>0.69652777777777775</v>
      </c>
      <c r="D214" s="1" t="s">
        <v>3</v>
      </c>
    </row>
    <row r="215" spans="1:4" x14ac:dyDescent="0.25">
      <c r="A215" s="4">
        <v>0.71875</v>
      </c>
      <c r="B215" s="2">
        <v>0.67013888888888884</v>
      </c>
      <c r="C215" s="2">
        <v>0.68958333333333333</v>
      </c>
      <c r="D215" s="1" t="s">
        <v>3</v>
      </c>
    </row>
    <row r="216" spans="1:4" x14ac:dyDescent="0.25">
      <c r="A216" s="4">
        <v>0.44791666666666669</v>
      </c>
      <c r="B216" s="2">
        <v>0.7583333333333333</v>
      </c>
      <c r="C216" s="2">
        <v>0.77083333333333337</v>
      </c>
      <c r="D216" s="1" t="s">
        <v>3</v>
      </c>
    </row>
    <row r="217" spans="1:4" x14ac:dyDescent="0.25">
      <c r="A217" s="4">
        <v>0.97222222222222221</v>
      </c>
      <c r="B217" s="2">
        <v>8.819444444444445E-2</v>
      </c>
      <c r="C217" s="2">
        <v>9.8611111111111108E-2</v>
      </c>
      <c r="D217" s="1" t="s">
        <v>3</v>
      </c>
    </row>
    <row r="218" spans="1:4" x14ac:dyDescent="0.25">
      <c r="A218" s="4">
        <v>0.1111111111111111</v>
      </c>
      <c r="B218" s="2">
        <v>0.4236111111111111</v>
      </c>
      <c r="C218" s="2">
        <v>0.4381944444444445</v>
      </c>
      <c r="D218" s="1" t="s">
        <v>3</v>
      </c>
    </row>
    <row r="219" spans="1:4" x14ac:dyDescent="0.25">
      <c r="A219" s="4">
        <v>0.24305555555555555</v>
      </c>
      <c r="B219" s="2">
        <v>0.41597222222222219</v>
      </c>
      <c r="C219" s="2">
        <v>0.43472222222222223</v>
      </c>
      <c r="D219" s="1" t="s">
        <v>3</v>
      </c>
    </row>
    <row r="220" spans="1:4" x14ac:dyDescent="0.25">
      <c r="A220" s="4">
        <v>0.41180555555555554</v>
      </c>
      <c r="B220" s="2">
        <v>0.60069444444444442</v>
      </c>
      <c r="C220" s="2">
        <v>0.61458333333333337</v>
      </c>
      <c r="D220" s="1" t="s">
        <v>3</v>
      </c>
    </row>
    <row r="221" spans="1:4" x14ac:dyDescent="0.25">
      <c r="A221" s="4">
        <v>0.56041666666666667</v>
      </c>
      <c r="B221" s="2">
        <v>0.81319444444444444</v>
      </c>
      <c r="C221" s="2">
        <v>0.82291666666666663</v>
      </c>
      <c r="D221" s="1" t="s">
        <v>3</v>
      </c>
    </row>
    <row r="222" spans="1:4" x14ac:dyDescent="0.25">
      <c r="A222" s="4">
        <v>0.63750000000000007</v>
      </c>
      <c r="B222" s="2">
        <v>0.81805555555555554</v>
      </c>
      <c r="C222" s="2">
        <v>0.82152777777777775</v>
      </c>
      <c r="D222" s="1" t="s">
        <v>3</v>
      </c>
    </row>
    <row r="223" spans="1:4" x14ac:dyDescent="0.25">
      <c r="A223" s="4">
        <v>0.65972222222222221</v>
      </c>
      <c r="B223" s="2">
        <v>0.87361111111111101</v>
      </c>
      <c r="C223" s="2">
        <v>0.88194444444444453</v>
      </c>
      <c r="D223" s="1" t="s">
        <v>3</v>
      </c>
    </row>
    <row r="224" spans="1:4" x14ac:dyDescent="0.25">
      <c r="A224" s="4">
        <v>0.72777777777777775</v>
      </c>
      <c r="B224" s="2">
        <v>0.91388888888888886</v>
      </c>
      <c r="C224" s="2">
        <v>0.92083333333333339</v>
      </c>
      <c r="D224" s="1" t="s">
        <v>3</v>
      </c>
    </row>
    <row r="225" spans="1:4" x14ac:dyDescent="0.25">
      <c r="A225" s="4">
        <v>0.72777777777777775</v>
      </c>
      <c r="B225" s="2">
        <v>0.95694444444444438</v>
      </c>
      <c r="C225" s="2">
        <v>0.95972222222222225</v>
      </c>
      <c r="D225" s="1" t="s">
        <v>3</v>
      </c>
    </row>
    <row r="226" spans="1:4" x14ac:dyDescent="0.25">
      <c r="A226" s="4">
        <v>0.85416666666666663</v>
      </c>
      <c r="B226" s="2">
        <v>9.0972222222222218E-2</v>
      </c>
      <c r="C226" s="2">
        <v>9.9999999999999992E-2</v>
      </c>
      <c r="D226" s="1" t="s">
        <v>3</v>
      </c>
    </row>
    <row r="227" spans="1:4" x14ac:dyDescent="0.25">
      <c r="A227" s="4">
        <v>0.36249999999999999</v>
      </c>
      <c r="B227" s="2">
        <v>0.3611111111111111</v>
      </c>
      <c r="C227" s="2">
        <v>0.36736111111111108</v>
      </c>
      <c r="D227" s="1" t="s">
        <v>3</v>
      </c>
    </row>
    <row r="228" spans="1:4" x14ac:dyDescent="0.25">
      <c r="A228" s="4">
        <v>0.36249999999999999</v>
      </c>
      <c r="B228" s="2">
        <v>0.28055555555555556</v>
      </c>
      <c r="C228" s="2">
        <v>0.41041666666666665</v>
      </c>
      <c r="D228" s="1" t="s">
        <v>3</v>
      </c>
    </row>
    <row r="229" spans="1:4" x14ac:dyDescent="0.25">
      <c r="A229" s="4">
        <v>0.46527777777777773</v>
      </c>
      <c r="B229" s="2">
        <v>0.42222222222222222</v>
      </c>
      <c r="C229" s="2">
        <v>0.43472222222222223</v>
      </c>
      <c r="D229" s="1" t="s">
        <v>3</v>
      </c>
    </row>
    <row r="230" spans="1:4" x14ac:dyDescent="0.25">
      <c r="A230" s="4">
        <v>0.63194444444444442</v>
      </c>
      <c r="B230" s="2">
        <v>0.92986111111111114</v>
      </c>
      <c r="C230" s="2">
        <v>0.93541666666666667</v>
      </c>
      <c r="D230" s="1" t="s">
        <v>3</v>
      </c>
    </row>
    <row r="231" spans="1:4" x14ac:dyDescent="0.25">
      <c r="A231" s="4">
        <v>0.63194444444444442</v>
      </c>
      <c r="B231" s="2">
        <v>1.8055555555555557E-2</v>
      </c>
      <c r="C231" s="2">
        <v>2.361111111111111E-2</v>
      </c>
      <c r="D231" s="1" t="s">
        <v>3</v>
      </c>
    </row>
    <row r="232" spans="1:4" x14ac:dyDescent="0.25">
      <c r="A232" s="4">
        <v>0.63541666666666663</v>
      </c>
      <c r="B232" s="2">
        <v>5.486111111111111E-2</v>
      </c>
      <c r="C232" s="2">
        <v>6.0416666666666667E-2</v>
      </c>
      <c r="D232" s="1" t="s">
        <v>3</v>
      </c>
    </row>
    <row r="233" spans="1:4" x14ac:dyDescent="0.25">
      <c r="A233" s="4">
        <v>0.66319444444444442</v>
      </c>
      <c r="B233" s="2">
        <v>5.4166666666666669E-2</v>
      </c>
      <c r="C233" s="2">
        <v>6.458333333333334E-2</v>
      </c>
      <c r="D233" s="1" t="s">
        <v>3</v>
      </c>
    </row>
    <row r="234" spans="1:4" x14ac:dyDescent="0.25">
      <c r="A234" s="4">
        <v>0.75138888888888899</v>
      </c>
      <c r="B234" s="2">
        <v>0.39444444444444443</v>
      </c>
      <c r="C234" s="2">
        <v>0.40138888888888885</v>
      </c>
      <c r="D234" s="1" t="s">
        <v>3</v>
      </c>
    </row>
    <row r="235" spans="1:4" x14ac:dyDescent="0.25">
      <c r="A235" s="4">
        <v>0.20138888888888887</v>
      </c>
      <c r="B235" s="2">
        <v>0.40902777777777777</v>
      </c>
      <c r="C235" s="2">
        <v>0.41597222222222219</v>
      </c>
      <c r="D235" s="1" t="s">
        <v>3</v>
      </c>
    </row>
    <row r="236" spans="1:4" x14ac:dyDescent="0.25">
      <c r="A236" s="4">
        <v>0.29166666666666669</v>
      </c>
      <c r="B236" s="2">
        <v>0.42430555555555555</v>
      </c>
      <c r="C236" s="2">
        <v>0.4284722222222222</v>
      </c>
      <c r="D236" s="1" t="s">
        <v>3</v>
      </c>
    </row>
    <row r="237" spans="1:4" x14ac:dyDescent="0.25">
      <c r="A237" s="4">
        <v>0.3520833333333333</v>
      </c>
      <c r="B237" s="2">
        <v>0.43333333333333335</v>
      </c>
      <c r="C237" s="2">
        <v>0.43958333333333338</v>
      </c>
      <c r="D237" s="1" t="s">
        <v>3</v>
      </c>
    </row>
    <row r="238" spans="1:4" x14ac:dyDescent="0.25">
      <c r="A238" s="4">
        <v>0.56874999999999998</v>
      </c>
      <c r="B238" s="2">
        <v>0.4381944444444445</v>
      </c>
      <c r="C238" s="2">
        <v>0.44513888888888892</v>
      </c>
      <c r="D238" s="1" t="s">
        <v>3</v>
      </c>
    </row>
    <row r="239" spans="1:4" x14ac:dyDescent="0.25">
      <c r="B239" s="2">
        <v>0.58958333333333335</v>
      </c>
      <c r="C239" s="2">
        <v>0.61597222222222225</v>
      </c>
      <c r="D239" s="1" t="s">
        <v>3</v>
      </c>
    </row>
    <row r="240" spans="1:4" x14ac:dyDescent="0.25">
      <c r="B240" s="2">
        <v>0.62222222222222223</v>
      </c>
      <c r="C240" s="2">
        <v>0.62638888888888888</v>
      </c>
      <c r="D240" s="1" t="s">
        <v>3</v>
      </c>
    </row>
    <row r="241" spans="2:4" x14ac:dyDescent="0.25">
      <c r="B241" s="2">
        <v>0.66875000000000007</v>
      </c>
      <c r="C241" s="2">
        <v>0.67569444444444438</v>
      </c>
      <c r="D241" s="1" t="s">
        <v>3</v>
      </c>
    </row>
    <row r="242" spans="2:4" x14ac:dyDescent="0.25">
      <c r="B242" s="2">
        <v>0.68194444444444446</v>
      </c>
      <c r="C242" s="2">
        <v>0.6875</v>
      </c>
      <c r="D242" s="1" t="s">
        <v>3</v>
      </c>
    </row>
    <row r="243" spans="2:4" x14ac:dyDescent="0.25">
      <c r="B243" s="2">
        <v>0.7597222222222223</v>
      </c>
      <c r="C243" s="2">
        <v>0.78055555555555556</v>
      </c>
      <c r="D243" s="1" t="s">
        <v>3</v>
      </c>
    </row>
    <row r="244" spans="2:4" x14ac:dyDescent="0.25">
      <c r="B244" s="2">
        <v>0.77500000000000002</v>
      </c>
      <c r="C244" s="2">
        <v>0.78333333333333333</v>
      </c>
      <c r="D244" s="1" t="s">
        <v>3</v>
      </c>
    </row>
    <row r="245" spans="2:4" x14ac:dyDescent="0.25">
      <c r="B245" s="2">
        <v>0.79791666666666661</v>
      </c>
      <c r="C245" s="2">
        <v>0.8125</v>
      </c>
      <c r="D245" s="1" t="s">
        <v>3</v>
      </c>
    </row>
    <row r="246" spans="2:4" x14ac:dyDescent="0.25">
      <c r="B246" s="2">
        <v>0.81597222222222221</v>
      </c>
      <c r="C246" s="2">
        <v>0.82916666666666661</v>
      </c>
      <c r="D246" s="1" t="s">
        <v>3</v>
      </c>
    </row>
    <row r="247" spans="2:4" x14ac:dyDescent="0.25">
      <c r="B247" s="2">
        <v>0.87430555555555556</v>
      </c>
      <c r="C247" s="2">
        <v>0.89027777777777783</v>
      </c>
      <c r="D247" s="1" t="s">
        <v>3</v>
      </c>
    </row>
    <row r="248" spans="2:4" x14ac:dyDescent="0.25">
      <c r="B248" s="2">
        <v>0.90069444444444446</v>
      </c>
      <c r="C248" s="2">
        <v>0.90347222222222223</v>
      </c>
      <c r="D248" s="1" t="s">
        <v>3</v>
      </c>
    </row>
    <row r="249" spans="2:4" x14ac:dyDescent="0.25">
      <c r="B249" s="2">
        <v>0.34791666666666665</v>
      </c>
      <c r="C249" s="2">
        <v>0.36319444444444443</v>
      </c>
      <c r="D249" s="1" t="s">
        <v>3</v>
      </c>
    </row>
    <row r="250" spans="2:4" x14ac:dyDescent="0.25">
      <c r="B250" s="2">
        <v>0.3888888888888889</v>
      </c>
      <c r="C250" s="2">
        <v>0.39374999999999999</v>
      </c>
      <c r="D250" s="1" t="s">
        <v>3</v>
      </c>
    </row>
    <row r="251" spans="2:4" x14ac:dyDescent="0.25">
      <c r="B251" s="2">
        <v>0.41944444444444445</v>
      </c>
      <c r="C251" s="2">
        <v>0.42499999999999999</v>
      </c>
      <c r="D251" s="1" t="s">
        <v>3</v>
      </c>
    </row>
    <row r="252" spans="2:4" x14ac:dyDescent="0.25">
      <c r="B252" s="2">
        <v>0.43541666666666662</v>
      </c>
      <c r="C252" s="2">
        <v>0.4597222222222222</v>
      </c>
      <c r="D252" s="1" t="s">
        <v>3</v>
      </c>
    </row>
    <row r="253" spans="2:4" x14ac:dyDescent="0.25">
      <c r="B253" s="2">
        <v>0.4826388888888889</v>
      </c>
      <c r="C253" s="2">
        <v>0.48680555555555555</v>
      </c>
      <c r="D253" s="1" t="s">
        <v>3</v>
      </c>
    </row>
    <row r="254" spans="2:4" x14ac:dyDescent="0.25">
      <c r="B254" s="2">
        <v>0.47847222222222219</v>
      </c>
      <c r="C254" s="2">
        <v>0.52638888888888891</v>
      </c>
      <c r="D254" s="1" t="s">
        <v>3</v>
      </c>
    </row>
    <row r="255" spans="2:4" x14ac:dyDescent="0.25">
      <c r="B255" s="2">
        <v>0.52222222222222225</v>
      </c>
      <c r="C255" s="2">
        <v>0.53055555555555556</v>
      </c>
      <c r="D255" s="1" t="s">
        <v>3</v>
      </c>
    </row>
    <row r="256" spans="2:4" x14ac:dyDescent="0.25">
      <c r="B256" s="2">
        <v>0.5805555555555556</v>
      </c>
      <c r="C256" s="2">
        <v>0.60138888888888886</v>
      </c>
      <c r="D256" s="1" t="s">
        <v>3</v>
      </c>
    </row>
    <row r="257" spans="2:4" x14ac:dyDescent="0.25">
      <c r="B257" s="2">
        <v>0.66527777777777775</v>
      </c>
      <c r="C257" s="2">
        <v>0.67638888888888893</v>
      </c>
      <c r="D257" s="1" t="s">
        <v>3</v>
      </c>
    </row>
    <row r="258" spans="2:4" x14ac:dyDescent="0.25">
      <c r="B258" s="2">
        <v>0.79305555555555562</v>
      </c>
      <c r="C258" s="2">
        <v>0.80069444444444438</v>
      </c>
      <c r="D258" s="1" t="s">
        <v>3</v>
      </c>
    </row>
    <row r="259" spans="2:4" x14ac:dyDescent="0.25">
      <c r="B259" s="2">
        <v>0.81736111111111109</v>
      </c>
      <c r="C259" s="2">
        <v>0.8256944444444444</v>
      </c>
      <c r="D259" s="1" t="s">
        <v>3</v>
      </c>
    </row>
    <row r="260" spans="2:4" x14ac:dyDescent="0.25">
      <c r="B260" s="2">
        <v>0.82777777777777783</v>
      </c>
      <c r="C260" s="2">
        <v>0.84652777777777777</v>
      </c>
      <c r="D260" s="1" t="s">
        <v>3</v>
      </c>
    </row>
    <row r="261" spans="2:4" x14ac:dyDescent="0.25">
      <c r="B261" s="2">
        <v>6.8749999999999992E-2</v>
      </c>
      <c r="C261" s="2">
        <v>7.3611111111111113E-2</v>
      </c>
      <c r="D261" s="1" t="s">
        <v>3</v>
      </c>
    </row>
    <row r="262" spans="2:4" x14ac:dyDescent="0.25">
      <c r="B262" s="2">
        <v>0.19305555555555554</v>
      </c>
      <c r="C262" s="2">
        <v>0.19722222222222222</v>
      </c>
      <c r="D262" s="1" t="s">
        <v>3</v>
      </c>
    </row>
    <row r="263" spans="2:4" x14ac:dyDescent="0.25">
      <c r="B263" s="2">
        <v>0.34097222222222223</v>
      </c>
      <c r="C263" s="2">
        <v>0.34930555555555554</v>
      </c>
      <c r="D263" s="1" t="s">
        <v>3</v>
      </c>
    </row>
    <row r="264" spans="2:4" x14ac:dyDescent="0.25">
      <c r="B264" s="2">
        <v>0.39305555555555555</v>
      </c>
      <c r="C264" s="2">
        <v>0.40138888888888885</v>
      </c>
      <c r="D264" s="1" t="s">
        <v>3</v>
      </c>
    </row>
    <row r="265" spans="2:4" x14ac:dyDescent="0.25">
      <c r="B265" s="2">
        <v>0.38541666666666669</v>
      </c>
      <c r="C265" s="2">
        <v>0.39444444444444443</v>
      </c>
      <c r="D265" s="1" t="s">
        <v>3</v>
      </c>
    </row>
    <row r="266" spans="2:4" x14ac:dyDescent="0.25">
      <c r="B266" s="2">
        <v>0.46875</v>
      </c>
      <c r="C266" s="2">
        <v>0.47500000000000003</v>
      </c>
      <c r="D266" s="1" t="s">
        <v>3</v>
      </c>
    </row>
    <row r="267" spans="2:4" x14ac:dyDescent="0.25">
      <c r="B267" s="2">
        <v>0.54999999999999993</v>
      </c>
      <c r="C267" s="2">
        <v>0.56527777777777777</v>
      </c>
      <c r="D267" s="1" t="s">
        <v>3</v>
      </c>
    </row>
    <row r="268" spans="2:4" x14ac:dyDescent="0.25">
      <c r="B268" s="2">
        <v>0.5493055555555556</v>
      </c>
      <c r="C268" s="2">
        <v>0.56527777777777777</v>
      </c>
      <c r="D268" s="1" t="s">
        <v>3</v>
      </c>
    </row>
    <row r="269" spans="2:4" x14ac:dyDescent="0.25">
      <c r="B269" s="2">
        <v>0.625</v>
      </c>
      <c r="C269" s="2">
        <v>0.63611111111111118</v>
      </c>
      <c r="D269" s="1" t="s">
        <v>3</v>
      </c>
    </row>
    <row r="270" spans="2:4" x14ac:dyDescent="0.25">
      <c r="B270" s="2">
        <v>0.68402777777777779</v>
      </c>
      <c r="C270" s="2">
        <v>0.69791666666666663</v>
      </c>
      <c r="D270" s="1" t="s">
        <v>3</v>
      </c>
    </row>
    <row r="271" spans="2:4" x14ac:dyDescent="0.25">
      <c r="B271" s="2">
        <v>0.67222222222222217</v>
      </c>
      <c r="C271" s="2">
        <v>0.67708333333333337</v>
      </c>
      <c r="D271" s="1" t="s">
        <v>3</v>
      </c>
    </row>
    <row r="272" spans="2:4" x14ac:dyDescent="0.25">
      <c r="B272" s="2">
        <v>0.78749999999999998</v>
      </c>
      <c r="C272" s="2">
        <v>0.80694444444444446</v>
      </c>
      <c r="D272" s="1" t="s">
        <v>3</v>
      </c>
    </row>
    <row r="273" spans="2:4" x14ac:dyDescent="0.25">
      <c r="B273" s="2">
        <v>0.7715277777777777</v>
      </c>
      <c r="C273" s="2">
        <v>0.7909722222222223</v>
      </c>
      <c r="D273" s="1" t="s">
        <v>3</v>
      </c>
    </row>
    <row r="274" spans="2:4" x14ac:dyDescent="0.25">
      <c r="B274" s="2">
        <v>0.85833333333333339</v>
      </c>
      <c r="C274" s="2">
        <v>0.85833333333333339</v>
      </c>
      <c r="D274" s="1" t="s">
        <v>3</v>
      </c>
    </row>
    <row r="275" spans="2:4" x14ac:dyDescent="0.25">
      <c r="B275" s="2">
        <v>0.92708333333333337</v>
      </c>
      <c r="C275" s="2">
        <v>0.93333333333333324</v>
      </c>
      <c r="D275" s="1" t="s">
        <v>3</v>
      </c>
    </row>
    <row r="276" spans="2:4" x14ac:dyDescent="0.25">
      <c r="B276" s="2">
        <v>0.37638888888888888</v>
      </c>
      <c r="C276" s="2">
        <v>4.1298611111111105</v>
      </c>
      <c r="D276" s="1" t="s">
        <v>3</v>
      </c>
    </row>
    <row r="277" spans="2:4" x14ac:dyDescent="0.25">
      <c r="B277" s="2">
        <v>0.4513888888888889</v>
      </c>
      <c r="C277" s="2">
        <v>0.47222222222222227</v>
      </c>
      <c r="D277" s="1" t="s">
        <v>3</v>
      </c>
    </row>
    <row r="278" spans="2:4" x14ac:dyDescent="0.25">
      <c r="B278" s="2">
        <v>0.58888888888888891</v>
      </c>
      <c r="C278" s="2">
        <v>0.58888888888888891</v>
      </c>
      <c r="D278" s="1" t="s">
        <v>3</v>
      </c>
    </row>
    <row r="279" spans="2:4" x14ac:dyDescent="0.25">
      <c r="B279" s="2">
        <v>0.47500000000000003</v>
      </c>
      <c r="C279" s="2">
        <v>0.50138888888888888</v>
      </c>
      <c r="D279" s="1" t="s">
        <v>3</v>
      </c>
    </row>
    <row r="280" spans="2:4" x14ac:dyDescent="0.25">
      <c r="B280" s="2">
        <v>0.53402777777777777</v>
      </c>
      <c r="C280" s="2">
        <v>0.54166666666666663</v>
      </c>
      <c r="D280" s="1" t="s">
        <v>3</v>
      </c>
    </row>
    <row r="281" spans="2:4" x14ac:dyDescent="0.25">
      <c r="B281" s="2">
        <v>0.57291666666666663</v>
      </c>
      <c r="C281" s="2">
        <v>0.58263888888888882</v>
      </c>
      <c r="D281" s="1" t="s">
        <v>3</v>
      </c>
    </row>
    <row r="282" spans="2:4" x14ac:dyDescent="0.25">
      <c r="B282" s="2">
        <v>0.61458333333333337</v>
      </c>
      <c r="C282" s="2">
        <v>0.62569444444444444</v>
      </c>
      <c r="D282" s="1" t="s">
        <v>3</v>
      </c>
    </row>
    <row r="283" spans="2:4" x14ac:dyDescent="0.25">
      <c r="B283" s="2">
        <v>0.61249999999999993</v>
      </c>
      <c r="C283" s="2">
        <v>0.61805555555555558</v>
      </c>
      <c r="D283" s="1" t="s">
        <v>3</v>
      </c>
    </row>
    <row r="284" spans="2:4" x14ac:dyDescent="0.25">
      <c r="B284" s="2">
        <v>0.67291666666666661</v>
      </c>
      <c r="C284" s="2">
        <v>0.67638888888888893</v>
      </c>
      <c r="D284" s="1" t="s">
        <v>3</v>
      </c>
    </row>
    <row r="285" spans="2:4" x14ac:dyDescent="0.25">
      <c r="B285" s="2">
        <v>0.68680555555555556</v>
      </c>
      <c r="C285" s="2">
        <v>0.7104166666666667</v>
      </c>
      <c r="D285" s="1" t="s">
        <v>3</v>
      </c>
    </row>
    <row r="286" spans="2:4" x14ac:dyDescent="0.25">
      <c r="B286" s="2">
        <v>0.6972222222222223</v>
      </c>
      <c r="C286" s="2">
        <v>0.70416666666666661</v>
      </c>
      <c r="D286" s="1" t="s">
        <v>3</v>
      </c>
    </row>
    <row r="287" spans="2:4" x14ac:dyDescent="0.25">
      <c r="B287" s="2">
        <v>0.72083333333333333</v>
      </c>
      <c r="C287" s="2">
        <v>0.73055555555555562</v>
      </c>
      <c r="D287" s="1" t="s">
        <v>3</v>
      </c>
    </row>
    <row r="288" spans="2:4" x14ac:dyDescent="0.25">
      <c r="B288" s="2">
        <v>0.80208333333333337</v>
      </c>
      <c r="C288" s="2">
        <v>0.80833333333333324</v>
      </c>
      <c r="D288" s="1" t="s">
        <v>3</v>
      </c>
    </row>
    <row r="289" spans="2:4" x14ac:dyDescent="0.25">
      <c r="B289" s="2">
        <v>0.82638888888888884</v>
      </c>
      <c r="C289" s="2">
        <v>0.84444444444444444</v>
      </c>
      <c r="D289" s="1" t="s">
        <v>3</v>
      </c>
    </row>
    <row r="290" spans="2:4" x14ac:dyDescent="0.25">
      <c r="B290" s="2">
        <v>0.20972222222222223</v>
      </c>
      <c r="C290" s="2">
        <v>0.25347222222222221</v>
      </c>
      <c r="D290" s="1" t="s">
        <v>3</v>
      </c>
    </row>
    <row r="291" spans="2:4" x14ac:dyDescent="0.25">
      <c r="B291" s="2">
        <v>0.28541666666666665</v>
      </c>
      <c r="C291" s="2">
        <v>0.28958333333333336</v>
      </c>
      <c r="D291" s="1" t="s">
        <v>3</v>
      </c>
    </row>
    <row r="292" spans="2:4" x14ac:dyDescent="0.25">
      <c r="B292" s="2">
        <v>0.53125</v>
      </c>
      <c r="C292" s="2">
        <v>0.54652777777777783</v>
      </c>
      <c r="D292" s="1" t="s">
        <v>3</v>
      </c>
    </row>
    <row r="293" spans="2:4" x14ac:dyDescent="0.25">
      <c r="B293" s="2">
        <v>0.3972222222222222</v>
      </c>
      <c r="C293" s="2">
        <v>0.40347222222222223</v>
      </c>
      <c r="D293" s="1" t="s">
        <v>3</v>
      </c>
    </row>
    <row r="294" spans="2:4" x14ac:dyDescent="0.25">
      <c r="B294" s="2">
        <v>0.47638888888888892</v>
      </c>
      <c r="C294" s="2">
        <v>0.48749999999999999</v>
      </c>
      <c r="D294" s="1" t="s">
        <v>3</v>
      </c>
    </row>
    <row r="295" spans="2:4" x14ac:dyDescent="0.25">
      <c r="B295" s="2">
        <v>0.56874999999999998</v>
      </c>
      <c r="C295" s="2">
        <v>0.57430555555555551</v>
      </c>
      <c r="D295" s="1" t="s">
        <v>3</v>
      </c>
    </row>
    <row r="296" spans="2:4" x14ac:dyDescent="0.25">
      <c r="B296" s="2">
        <v>0.69861111111111107</v>
      </c>
      <c r="C296" s="2">
        <v>0.70833333333333337</v>
      </c>
      <c r="D296" s="1" t="s">
        <v>3</v>
      </c>
    </row>
    <row r="297" spans="2:4" x14ac:dyDescent="0.25">
      <c r="B297" s="2">
        <v>0.95347222222222217</v>
      </c>
      <c r="C297" s="2">
        <v>0.9590277777777777</v>
      </c>
      <c r="D297" s="1" t="s">
        <v>3</v>
      </c>
    </row>
    <row r="298" spans="2:4" x14ac:dyDescent="0.25">
      <c r="B298" s="2">
        <v>9.7222222222222224E-2</v>
      </c>
      <c r="C298" s="2">
        <v>0.10902777777777778</v>
      </c>
      <c r="D298" s="1" t="s">
        <v>3</v>
      </c>
    </row>
    <row r="299" spans="2:4" x14ac:dyDescent="0.25">
      <c r="B299" s="2">
        <v>0.33749999999999997</v>
      </c>
      <c r="C299" s="2">
        <v>0.35555555555555557</v>
      </c>
      <c r="D299" s="1" t="s">
        <v>3</v>
      </c>
    </row>
    <row r="300" spans="2:4" x14ac:dyDescent="0.25">
      <c r="B300" s="2">
        <v>0.73611111111111116</v>
      </c>
      <c r="C300" s="2">
        <v>0.74236111111111114</v>
      </c>
      <c r="D300" s="1" t="s">
        <v>3</v>
      </c>
    </row>
    <row r="301" spans="2:4" x14ac:dyDescent="0.25">
      <c r="B301" s="2">
        <v>0.76874999999999993</v>
      </c>
      <c r="C301" s="2">
        <v>0.77430555555555547</v>
      </c>
      <c r="D301" s="1" t="s">
        <v>3</v>
      </c>
    </row>
    <row r="302" spans="2:4" x14ac:dyDescent="0.25">
      <c r="B302" s="2">
        <v>0.4770833333333333</v>
      </c>
      <c r="C302" s="2">
        <v>0.48125000000000001</v>
      </c>
      <c r="D302" s="1" t="s">
        <v>3</v>
      </c>
    </row>
    <row r="303" spans="2:4" x14ac:dyDescent="0.25">
      <c r="B303" s="2">
        <v>0.48749999999999999</v>
      </c>
      <c r="C303" s="2">
        <v>0.49861111111111112</v>
      </c>
      <c r="D303" s="1" t="s">
        <v>3</v>
      </c>
    </row>
    <row r="304" spans="2:4" x14ac:dyDescent="0.25">
      <c r="B304" s="2">
        <v>0.72499999999999998</v>
      </c>
      <c r="C304" s="2">
        <v>0.73333333333333339</v>
      </c>
      <c r="D304" s="1" t="s">
        <v>3</v>
      </c>
    </row>
    <row r="305" spans="2:4" x14ac:dyDescent="0.25">
      <c r="B305" s="2">
        <v>0.72222222222222221</v>
      </c>
      <c r="C305" s="2">
        <v>0.73333333333333339</v>
      </c>
      <c r="D305" s="1" t="s">
        <v>3</v>
      </c>
    </row>
    <row r="306" spans="2:4" x14ac:dyDescent="0.25">
      <c r="B306" s="2">
        <v>0.73263888888888884</v>
      </c>
      <c r="C306" s="2">
        <v>0.74652777777777779</v>
      </c>
      <c r="D306" s="1" t="s">
        <v>3</v>
      </c>
    </row>
    <row r="307" spans="2:4" x14ac:dyDescent="0.25">
      <c r="B307" s="2">
        <v>0.85625000000000007</v>
      </c>
      <c r="C307" s="2">
        <v>0.86875000000000002</v>
      </c>
      <c r="D307" s="1" t="s">
        <v>3</v>
      </c>
    </row>
    <row r="308" spans="2:4" x14ac:dyDescent="0.25">
      <c r="B308" s="2">
        <v>0.80347222222222225</v>
      </c>
      <c r="C308" s="2">
        <v>0.81527777777777777</v>
      </c>
      <c r="D308" s="1" t="s">
        <v>3</v>
      </c>
    </row>
    <row r="309" spans="2:4" x14ac:dyDescent="0.25">
      <c r="B309" s="2">
        <v>0.98819444444444438</v>
      </c>
      <c r="C309" s="2">
        <v>0.99375000000000002</v>
      </c>
      <c r="D309" s="1" t="s">
        <v>3</v>
      </c>
    </row>
    <row r="310" spans="2:4" x14ac:dyDescent="0.25">
      <c r="B310" s="2">
        <v>1.5972222222222224E-2</v>
      </c>
      <c r="C310" s="2">
        <v>2.361111111111111E-2</v>
      </c>
      <c r="D310" s="1" t="s">
        <v>3</v>
      </c>
    </row>
    <row r="311" spans="2:4" x14ac:dyDescent="0.25">
      <c r="B311" s="2">
        <v>3.4722222222222224E-2</v>
      </c>
      <c r="C311" s="2">
        <v>4.5138888888888888E-2</v>
      </c>
      <c r="D311" s="1" t="s">
        <v>3</v>
      </c>
    </row>
    <row r="312" spans="2:4" x14ac:dyDescent="0.25">
      <c r="B312" s="2">
        <v>0.38263888888888892</v>
      </c>
      <c r="C312" s="2">
        <v>0.3979166666666667</v>
      </c>
      <c r="D312" s="1" t="s">
        <v>3</v>
      </c>
    </row>
    <row r="313" spans="2:4" x14ac:dyDescent="0.25">
      <c r="B313" s="2">
        <v>0.40069444444444446</v>
      </c>
      <c r="C313" s="2">
        <v>0.43472222222222223</v>
      </c>
      <c r="D313" s="1" t="s">
        <v>3</v>
      </c>
    </row>
    <row r="314" spans="2:4" x14ac:dyDescent="0.25">
      <c r="B314" s="2">
        <v>0.4604166666666667</v>
      </c>
      <c r="C314" s="2">
        <v>0.46666666666666662</v>
      </c>
      <c r="D314" s="1" t="s">
        <v>3</v>
      </c>
    </row>
    <row r="315" spans="2:4" x14ac:dyDescent="0.25">
      <c r="B315" s="2">
        <v>0.48194444444444445</v>
      </c>
      <c r="C315" s="2">
        <v>0.49236111111111108</v>
      </c>
      <c r="D315" s="1" t="s">
        <v>3</v>
      </c>
    </row>
    <row r="316" spans="2:4" x14ac:dyDescent="0.25">
      <c r="B316" s="2">
        <v>0.49583333333333335</v>
      </c>
      <c r="C316" s="2">
        <v>0.5131944444444444</v>
      </c>
      <c r="D316" s="1" t="s">
        <v>3</v>
      </c>
    </row>
    <row r="317" spans="2:4" x14ac:dyDescent="0.25">
      <c r="B317" s="2">
        <v>0.51527777777777783</v>
      </c>
      <c r="C317" s="2">
        <v>0.52152777777777781</v>
      </c>
      <c r="D317" s="1" t="s">
        <v>3</v>
      </c>
    </row>
    <row r="318" spans="2:4" x14ac:dyDescent="0.25">
      <c r="B318" s="2">
        <v>0.60763888888888895</v>
      </c>
      <c r="C318" s="2">
        <v>0.61249999999999993</v>
      </c>
      <c r="D318" s="1" t="s">
        <v>3</v>
      </c>
    </row>
    <row r="319" spans="2:4" x14ac:dyDescent="0.25">
      <c r="B319" s="2">
        <v>0.64444444444444449</v>
      </c>
      <c r="C319" s="2">
        <v>0.65069444444444446</v>
      </c>
      <c r="D319" s="1" t="s">
        <v>3</v>
      </c>
    </row>
    <row r="320" spans="2:4" x14ac:dyDescent="0.25">
      <c r="B320" s="2">
        <v>0.71458333333333324</v>
      </c>
      <c r="C320" s="2">
        <v>0.72430555555555554</v>
      </c>
      <c r="D320" s="1" t="s">
        <v>3</v>
      </c>
    </row>
    <row r="321" spans="1:4" x14ac:dyDescent="0.25">
      <c r="B321" s="2">
        <v>0.96805555555555556</v>
      </c>
      <c r="C321" s="2">
        <v>0.97222222222222221</v>
      </c>
      <c r="D321" s="1" t="s">
        <v>3</v>
      </c>
    </row>
    <row r="322" spans="1:4" x14ac:dyDescent="0.25">
      <c r="B322" s="2">
        <v>8.0555555555555561E-2</v>
      </c>
      <c r="C322" s="2">
        <v>0.10277777777777779</v>
      </c>
      <c r="D322" s="1" t="s">
        <v>10</v>
      </c>
    </row>
    <row r="323" spans="1:4" x14ac:dyDescent="0.25">
      <c r="A323" s="4">
        <v>0.26041666666666669</v>
      </c>
      <c r="B323" s="2">
        <v>0.10416666666666667</v>
      </c>
      <c r="C323" s="2">
        <v>0.12430555555555556</v>
      </c>
      <c r="D323" s="1" t="s">
        <v>10</v>
      </c>
    </row>
    <row r="324" spans="1:4" x14ac:dyDescent="0.25">
      <c r="A324" s="4">
        <v>0.4861111111111111</v>
      </c>
      <c r="B324" s="2">
        <v>0.40069444444444446</v>
      </c>
      <c r="C324" s="2">
        <v>0.41875000000000001</v>
      </c>
      <c r="D324" s="1" t="s">
        <v>10</v>
      </c>
    </row>
    <row r="325" spans="1:4" x14ac:dyDescent="0.25">
      <c r="A325" s="4">
        <v>0.4861111111111111</v>
      </c>
      <c r="B325" s="2">
        <v>0.40902777777777777</v>
      </c>
      <c r="C325" s="2">
        <v>0.42569444444444443</v>
      </c>
      <c r="D325" s="1" t="s">
        <v>10</v>
      </c>
    </row>
    <row r="326" spans="1:4" x14ac:dyDescent="0.25">
      <c r="A326" s="4">
        <v>0.58750000000000002</v>
      </c>
      <c r="B326" s="2">
        <v>0.4375</v>
      </c>
      <c r="C326" s="2">
        <v>0.45902777777777781</v>
      </c>
      <c r="D326" s="1" t="s">
        <v>10</v>
      </c>
    </row>
    <row r="327" spans="1:4" x14ac:dyDescent="0.25">
      <c r="A327" s="4">
        <v>0.58333333333333337</v>
      </c>
      <c r="B327" s="2">
        <v>0.45694444444444443</v>
      </c>
      <c r="C327" s="2">
        <v>0.47569444444444442</v>
      </c>
      <c r="D327" s="1" t="s">
        <v>10</v>
      </c>
    </row>
    <row r="328" spans="1:4" x14ac:dyDescent="0.25">
      <c r="A328" s="4">
        <v>0.64583333333333337</v>
      </c>
      <c r="B328" s="2">
        <v>0.48819444444444443</v>
      </c>
      <c r="C328" s="2">
        <v>0.51250000000000007</v>
      </c>
      <c r="D328" s="1" t="s">
        <v>10</v>
      </c>
    </row>
    <row r="329" spans="1:4" x14ac:dyDescent="0.25">
      <c r="A329" s="4">
        <v>0.6972222222222223</v>
      </c>
      <c r="B329" s="2">
        <v>0.60416666666666663</v>
      </c>
      <c r="C329" s="2">
        <v>0.62291666666666667</v>
      </c>
      <c r="D329" s="1" t="s">
        <v>10</v>
      </c>
    </row>
    <row r="330" spans="1:4" x14ac:dyDescent="0.25">
      <c r="A330" s="4">
        <v>0.75</v>
      </c>
      <c r="B330" s="2">
        <v>0.76458333333333339</v>
      </c>
      <c r="C330" s="2">
        <v>0.78541666666666676</v>
      </c>
      <c r="D330" s="1" t="s">
        <v>10</v>
      </c>
    </row>
    <row r="331" spans="1:4" x14ac:dyDescent="0.25">
      <c r="A331" s="4">
        <v>0.85069444444444453</v>
      </c>
      <c r="B331" s="2">
        <v>0.74305555555555547</v>
      </c>
      <c r="C331" s="2">
        <v>0.76250000000000007</v>
      </c>
      <c r="D331" s="1" t="s">
        <v>10</v>
      </c>
    </row>
    <row r="332" spans="1:4" x14ac:dyDescent="0.25">
      <c r="A332" s="3">
        <v>1.0381944444444444</v>
      </c>
      <c r="B332" s="2">
        <v>0.75208333333333333</v>
      </c>
      <c r="C332" s="2">
        <v>0.7680555555555556</v>
      </c>
      <c r="D332" s="1" t="s">
        <v>10</v>
      </c>
    </row>
    <row r="333" spans="1:4" x14ac:dyDescent="0.25">
      <c r="A333" s="4">
        <v>0.1111111111111111</v>
      </c>
      <c r="B333" s="2">
        <v>0.85763888888888884</v>
      </c>
      <c r="C333" s="2">
        <v>0.88888888888888884</v>
      </c>
      <c r="D333" s="1" t="s">
        <v>10</v>
      </c>
    </row>
    <row r="334" spans="1:4" x14ac:dyDescent="0.25">
      <c r="A334" s="4">
        <v>0.34722222222222227</v>
      </c>
      <c r="B334" s="2">
        <v>0.94652777777777775</v>
      </c>
      <c r="C334" s="2">
        <v>0.98125000000000007</v>
      </c>
      <c r="D334" s="1" t="s">
        <v>10</v>
      </c>
    </row>
    <row r="335" spans="1:4" x14ac:dyDescent="0.25">
      <c r="A335" s="4">
        <v>0.64236111111111105</v>
      </c>
      <c r="B335" s="2">
        <v>8.7500000000000008E-2</v>
      </c>
      <c r="C335" s="2">
        <v>0.10069444444444443</v>
      </c>
      <c r="D335" s="1" t="s">
        <v>10</v>
      </c>
    </row>
    <row r="336" spans="1:4" x14ac:dyDescent="0.25">
      <c r="A336" s="4">
        <v>0.68055555555555547</v>
      </c>
      <c r="B336" s="2">
        <v>0.21249999999999999</v>
      </c>
      <c r="C336" s="2">
        <v>0.2298611111111111</v>
      </c>
      <c r="D336" s="1" t="s">
        <v>10</v>
      </c>
    </row>
    <row r="337" spans="1:4" x14ac:dyDescent="0.25">
      <c r="A337" s="4">
        <v>0.86805555555555547</v>
      </c>
      <c r="B337" s="2">
        <v>0.22013888888888888</v>
      </c>
      <c r="C337" s="2">
        <v>0.23611111111111113</v>
      </c>
      <c r="D337" s="1" t="s">
        <v>10</v>
      </c>
    </row>
    <row r="338" spans="1:4" x14ac:dyDescent="0.25">
      <c r="A338" s="4">
        <v>0.94444444444444453</v>
      </c>
      <c r="B338" s="2">
        <v>0.3888888888888889</v>
      </c>
      <c r="C338" s="2">
        <v>0.41041666666666665</v>
      </c>
      <c r="D338" s="1" t="s">
        <v>10</v>
      </c>
    </row>
    <row r="339" spans="1:4" x14ac:dyDescent="0.25">
      <c r="A339" s="3">
        <v>1.0083333333333333</v>
      </c>
      <c r="B339" s="2">
        <v>0.4152777777777778</v>
      </c>
      <c r="C339" s="2">
        <v>0.43958333333333338</v>
      </c>
      <c r="D339" s="1" t="s">
        <v>10</v>
      </c>
    </row>
    <row r="340" spans="1:4" x14ac:dyDescent="0.25">
      <c r="A340" s="4">
        <v>6.9444444444444434E-2</v>
      </c>
      <c r="B340" s="2">
        <v>0.6333333333333333</v>
      </c>
      <c r="C340" s="2">
        <v>0.66319444444444442</v>
      </c>
      <c r="D340" s="1" t="s">
        <v>10</v>
      </c>
    </row>
    <row r="341" spans="1:4" x14ac:dyDescent="0.25">
      <c r="A341" s="4">
        <v>0.21180555555555555</v>
      </c>
      <c r="B341" s="2">
        <v>0.6875</v>
      </c>
      <c r="C341" s="2">
        <v>0.70763888888888893</v>
      </c>
      <c r="D341" s="1" t="s">
        <v>10</v>
      </c>
    </row>
    <row r="342" spans="1:4" x14ac:dyDescent="0.25">
      <c r="A342" s="4">
        <v>0.35416666666666669</v>
      </c>
      <c r="B342" s="2">
        <v>0.68819444444444444</v>
      </c>
      <c r="C342" s="2">
        <v>0.70763888888888893</v>
      </c>
      <c r="D342" s="1" t="s">
        <v>10</v>
      </c>
    </row>
    <row r="343" spans="1:4" x14ac:dyDescent="0.25">
      <c r="A343" s="4">
        <v>0.35069444444444442</v>
      </c>
      <c r="B343" s="2">
        <v>0.78263888888888899</v>
      </c>
      <c r="C343" s="2">
        <v>0.79999999999999993</v>
      </c>
      <c r="D343" s="1" t="s">
        <v>10</v>
      </c>
    </row>
    <row r="344" spans="1:4" x14ac:dyDescent="0.25">
      <c r="A344" s="4">
        <v>0.41666666666666669</v>
      </c>
      <c r="B344" s="2">
        <v>1.8055555555555557E-2</v>
      </c>
      <c r="C344" s="2">
        <v>3.6111111111111115E-2</v>
      </c>
      <c r="D344" s="1" t="s">
        <v>10</v>
      </c>
    </row>
    <row r="345" spans="1:4" x14ac:dyDescent="0.25">
      <c r="A345" s="4">
        <v>0.45833333333333331</v>
      </c>
      <c r="B345" s="2">
        <v>0.3263888888888889</v>
      </c>
      <c r="C345" s="2">
        <v>0.33958333333333335</v>
      </c>
      <c r="D345" s="1" t="s">
        <v>10</v>
      </c>
    </row>
    <row r="346" spans="1:4" x14ac:dyDescent="0.25">
      <c r="A346" s="4">
        <v>0.46875</v>
      </c>
      <c r="B346" s="2">
        <v>0.46597222222222223</v>
      </c>
      <c r="C346" s="2">
        <v>0.4861111111111111</v>
      </c>
      <c r="D346" s="1" t="s">
        <v>10</v>
      </c>
    </row>
    <row r="347" spans="1:4" x14ac:dyDescent="0.25">
      <c r="A347" s="4">
        <v>0.54166666666666663</v>
      </c>
      <c r="B347" s="2">
        <v>0.46736111111111112</v>
      </c>
      <c r="C347" s="2">
        <v>0.4909722222222222</v>
      </c>
      <c r="D347" s="1" t="s">
        <v>10</v>
      </c>
    </row>
    <row r="348" spans="1:4" x14ac:dyDescent="0.25">
      <c r="A348" s="4">
        <v>0.57638888888888895</v>
      </c>
      <c r="B348" s="2">
        <v>0.70694444444444438</v>
      </c>
      <c r="C348" s="2">
        <v>0.72291666666666676</v>
      </c>
      <c r="D348" s="1" t="s">
        <v>10</v>
      </c>
    </row>
    <row r="349" spans="1:4" x14ac:dyDescent="0.25">
      <c r="A349" s="4">
        <v>0.57638888888888895</v>
      </c>
      <c r="B349" s="2">
        <v>0.71805555555555556</v>
      </c>
      <c r="C349" s="2">
        <v>0.73541666666666661</v>
      </c>
      <c r="D349" s="1" t="s">
        <v>10</v>
      </c>
    </row>
    <row r="350" spans="1:4" x14ac:dyDescent="0.25">
      <c r="A350" s="4">
        <v>8.3333333333333329E-2</v>
      </c>
      <c r="B350" s="2">
        <v>0.83680555555555547</v>
      </c>
      <c r="C350" s="2">
        <v>0.86041666666666661</v>
      </c>
      <c r="D350" s="1" t="s">
        <v>10</v>
      </c>
    </row>
    <row r="351" spans="1:4" x14ac:dyDescent="0.25">
      <c r="A351" s="4">
        <v>0.89930555555555547</v>
      </c>
      <c r="B351" s="2">
        <v>0.85555555555555562</v>
      </c>
      <c r="C351" s="2">
        <v>0.87430555555555556</v>
      </c>
      <c r="D351" s="1" t="s">
        <v>10</v>
      </c>
    </row>
    <row r="352" spans="1:4" x14ac:dyDescent="0.25">
      <c r="A352" s="4">
        <v>0.95486111111111116</v>
      </c>
      <c r="B352" s="2">
        <v>0.90763888888888899</v>
      </c>
      <c r="C352" s="2">
        <v>0.92569444444444438</v>
      </c>
      <c r="D352" s="1" t="s">
        <v>10</v>
      </c>
    </row>
    <row r="353" spans="1:4" x14ac:dyDescent="0.25">
      <c r="A353" s="4">
        <v>0.96875</v>
      </c>
      <c r="B353" s="2">
        <v>3.4722222222222224E-2</v>
      </c>
      <c r="C353" s="2">
        <v>5.0694444444444452E-2</v>
      </c>
      <c r="D353" s="1" t="s">
        <v>10</v>
      </c>
    </row>
    <row r="354" spans="1:4" x14ac:dyDescent="0.25">
      <c r="A354" s="4">
        <v>0.35416666666666669</v>
      </c>
      <c r="B354" s="2">
        <v>0.37847222222222227</v>
      </c>
      <c r="C354" s="2">
        <v>0.39513888888888887</v>
      </c>
      <c r="D354" s="1" t="s">
        <v>10</v>
      </c>
    </row>
    <row r="355" spans="1:4" x14ac:dyDescent="0.25">
      <c r="A355" s="4">
        <v>0.42708333333333331</v>
      </c>
      <c r="B355" s="2">
        <v>0.42152777777777778</v>
      </c>
      <c r="C355" s="2">
        <v>0.43888888888888888</v>
      </c>
      <c r="D355" s="1" t="s">
        <v>10</v>
      </c>
    </row>
    <row r="356" spans="1:4" x14ac:dyDescent="0.25">
      <c r="A356" s="4">
        <v>0.44444444444444442</v>
      </c>
      <c r="B356" s="2">
        <v>0.7368055555555556</v>
      </c>
      <c r="C356" s="2">
        <v>0.75694444444444453</v>
      </c>
      <c r="D356" s="1" t="s">
        <v>10</v>
      </c>
    </row>
    <row r="357" spans="1:4" x14ac:dyDescent="0.25">
      <c r="A357" s="4">
        <v>0.70486111111111116</v>
      </c>
      <c r="B357" s="2">
        <v>0.66527777777777775</v>
      </c>
      <c r="C357" s="2">
        <v>0.68472222222222223</v>
      </c>
      <c r="D357" s="1" t="s">
        <v>10</v>
      </c>
    </row>
    <row r="358" spans="1:4" x14ac:dyDescent="0.25">
      <c r="A358" s="4">
        <v>0.60416666666666663</v>
      </c>
      <c r="B358" s="2">
        <v>0.81458333333333333</v>
      </c>
      <c r="C358" s="2">
        <v>0.83124999999999993</v>
      </c>
      <c r="D358" s="1" t="s">
        <v>10</v>
      </c>
    </row>
    <row r="359" spans="1:4" x14ac:dyDescent="0.25">
      <c r="A359" s="4">
        <v>0.68888888888888899</v>
      </c>
      <c r="B359" s="2">
        <v>0.34791666666666665</v>
      </c>
      <c r="C359" s="2">
        <v>0.36736111111111108</v>
      </c>
      <c r="D359" s="1" t="s">
        <v>10</v>
      </c>
    </row>
    <row r="360" spans="1:4" x14ac:dyDescent="0.25">
      <c r="A360" s="4">
        <v>0.70486111111111116</v>
      </c>
      <c r="B360" s="2">
        <v>0.44097222222222227</v>
      </c>
      <c r="C360" s="2">
        <v>0.4513888888888889</v>
      </c>
      <c r="D360" s="1" t="s">
        <v>10</v>
      </c>
    </row>
    <row r="361" spans="1:4" x14ac:dyDescent="0.25">
      <c r="A361" s="4">
        <v>0.74305555555555547</v>
      </c>
      <c r="B361" s="2">
        <v>0.54305555555555551</v>
      </c>
      <c r="C361" s="2">
        <v>0.55972222222222223</v>
      </c>
      <c r="D361" s="1" t="s">
        <v>10</v>
      </c>
    </row>
    <row r="362" spans="1:4" x14ac:dyDescent="0.25">
      <c r="A362" s="4">
        <v>0.8881944444444444</v>
      </c>
      <c r="B362" s="2">
        <v>0.57708333333333328</v>
      </c>
      <c r="C362" s="2">
        <v>0.6020833333333333</v>
      </c>
      <c r="D362" s="1" t="s">
        <v>10</v>
      </c>
    </row>
    <row r="363" spans="1:4" x14ac:dyDescent="0.25">
      <c r="A363" s="4">
        <v>7.1527777777777787E-2</v>
      </c>
      <c r="B363" s="2">
        <v>0.62569444444444444</v>
      </c>
      <c r="C363" s="2">
        <v>0.64166666666666672</v>
      </c>
      <c r="D363" s="1" t="s">
        <v>10</v>
      </c>
    </row>
    <row r="364" spans="1:4" x14ac:dyDescent="0.25">
      <c r="A364" s="4">
        <v>0.14583333333333334</v>
      </c>
      <c r="B364" s="2">
        <v>0.67569444444444438</v>
      </c>
      <c r="C364" s="2">
        <v>0.70347222222222217</v>
      </c>
      <c r="D364" s="1" t="s">
        <v>10</v>
      </c>
    </row>
    <row r="365" spans="1:4" x14ac:dyDescent="0.25">
      <c r="A365" s="4">
        <v>0.35694444444444445</v>
      </c>
      <c r="B365" s="2">
        <v>0.74861111111111101</v>
      </c>
      <c r="C365" s="2">
        <v>0.76458333333333339</v>
      </c>
      <c r="D365" s="1" t="s">
        <v>10</v>
      </c>
    </row>
    <row r="366" spans="1:4" x14ac:dyDescent="0.25">
      <c r="A366" s="4">
        <v>0.39166666666666666</v>
      </c>
      <c r="B366" s="2">
        <v>0.78055555555555556</v>
      </c>
      <c r="C366" s="2">
        <v>0.79652777777777783</v>
      </c>
      <c r="D366" s="1" t="s">
        <v>10</v>
      </c>
    </row>
    <row r="367" spans="1:4" x14ac:dyDescent="0.25">
      <c r="A367" s="4">
        <v>0.3923611111111111</v>
      </c>
      <c r="B367" s="2">
        <v>0.82847222222222217</v>
      </c>
      <c r="C367" s="2">
        <v>0.84305555555555556</v>
      </c>
      <c r="D367" s="1" t="s">
        <v>10</v>
      </c>
    </row>
    <row r="368" spans="1:4" x14ac:dyDescent="0.25">
      <c r="A368" s="4">
        <v>0.46875</v>
      </c>
      <c r="B368" s="2">
        <v>0.25416666666666665</v>
      </c>
      <c r="C368" s="2">
        <v>0.27499999999999997</v>
      </c>
      <c r="D368" s="1" t="s">
        <v>10</v>
      </c>
    </row>
    <row r="369" spans="1:4" x14ac:dyDescent="0.25">
      <c r="A369" s="4">
        <v>0.46180555555555558</v>
      </c>
      <c r="B369" s="2">
        <v>0.81527777777777777</v>
      </c>
      <c r="C369" s="2">
        <v>0.83263888888888893</v>
      </c>
      <c r="D369" s="1" t="s">
        <v>10</v>
      </c>
    </row>
    <row r="370" spans="1:4" x14ac:dyDescent="0.25">
      <c r="A370" s="4">
        <v>0.69791666666666663</v>
      </c>
      <c r="B370" s="2">
        <v>0.83333333333333337</v>
      </c>
      <c r="C370" s="2">
        <v>0.84236111111111101</v>
      </c>
      <c r="D370" s="1" t="s">
        <v>10</v>
      </c>
    </row>
    <row r="371" spans="1:4" x14ac:dyDescent="0.25">
      <c r="A371" s="4">
        <v>0.94791666666666663</v>
      </c>
      <c r="B371" s="2">
        <v>3.125E-2</v>
      </c>
      <c r="C371" s="2">
        <v>4.6527777777777779E-2</v>
      </c>
      <c r="D371" s="1" t="s">
        <v>10</v>
      </c>
    </row>
    <row r="372" spans="1:4" x14ac:dyDescent="0.25">
      <c r="A372" s="3">
        <v>1.0208333333333333</v>
      </c>
      <c r="B372" s="2">
        <v>0.14375000000000002</v>
      </c>
      <c r="C372" s="2">
        <v>0.16180555555555556</v>
      </c>
      <c r="D372" s="1" t="s">
        <v>10</v>
      </c>
    </row>
    <row r="373" spans="1:4" x14ac:dyDescent="0.25">
      <c r="A373" s="4">
        <v>0.15138888888888888</v>
      </c>
      <c r="B373" s="2">
        <v>0.48888888888888887</v>
      </c>
      <c r="C373" s="2">
        <v>0.51111111111111118</v>
      </c>
      <c r="D373" s="1" t="s">
        <v>10</v>
      </c>
    </row>
    <row r="374" spans="1:4" x14ac:dyDescent="0.25">
      <c r="A374" s="4">
        <v>0.33680555555555558</v>
      </c>
      <c r="B374" s="2">
        <v>0.48958333333333331</v>
      </c>
      <c r="C374" s="2">
        <v>0.51111111111111118</v>
      </c>
      <c r="D374" s="1" t="s">
        <v>10</v>
      </c>
    </row>
    <row r="375" spans="1:4" x14ac:dyDescent="0.25">
      <c r="A375" s="4">
        <v>0.51944444444444449</v>
      </c>
      <c r="B375" s="2">
        <v>0.76250000000000007</v>
      </c>
      <c r="C375" s="2">
        <v>0.77916666666666667</v>
      </c>
      <c r="D375" s="1" t="s">
        <v>10</v>
      </c>
    </row>
    <row r="376" spans="1:4" x14ac:dyDescent="0.25">
      <c r="A376" s="4">
        <v>0.88888888888888884</v>
      </c>
      <c r="B376" s="2">
        <v>0.78819444444444453</v>
      </c>
      <c r="C376" s="2">
        <v>0.8041666666666667</v>
      </c>
      <c r="D376" s="1" t="s">
        <v>10</v>
      </c>
    </row>
    <row r="377" spans="1:4" x14ac:dyDescent="0.25">
      <c r="A377" s="4">
        <v>9.375E-2</v>
      </c>
      <c r="B377" s="2">
        <v>0.47986111111111113</v>
      </c>
      <c r="C377" s="2">
        <v>0.4993055555555555</v>
      </c>
      <c r="D377" s="1" t="s">
        <v>10</v>
      </c>
    </row>
    <row r="378" spans="1:4" x14ac:dyDescent="0.25">
      <c r="A378" s="4">
        <v>0.55833333333333335</v>
      </c>
      <c r="B378" s="2">
        <v>0.79027777777777775</v>
      </c>
      <c r="C378" s="2">
        <v>0.80694444444444446</v>
      </c>
      <c r="D378" s="1" t="s">
        <v>10</v>
      </c>
    </row>
    <row r="379" spans="1:4" x14ac:dyDescent="0.25">
      <c r="A379" s="4">
        <v>0.6875</v>
      </c>
      <c r="B379" s="2">
        <v>3.9583333333333331E-2</v>
      </c>
      <c r="C379" s="2">
        <v>5.2083333333333336E-2</v>
      </c>
      <c r="D379" s="1" t="s">
        <v>10</v>
      </c>
    </row>
    <row r="380" spans="1:4" x14ac:dyDescent="0.25">
      <c r="A380" s="4">
        <v>0.29166666666666669</v>
      </c>
      <c r="B380" s="2">
        <v>0.43958333333333338</v>
      </c>
      <c r="C380" s="2">
        <v>0.46597222222222223</v>
      </c>
      <c r="D380" s="1" t="s">
        <v>10</v>
      </c>
    </row>
    <row r="381" spans="1:4" x14ac:dyDescent="0.25">
      <c r="A381" s="4">
        <v>0.29166666666666669</v>
      </c>
      <c r="B381" s="2">
        <v>0.52430555555555558</v>
      </c>
      <c r="C381" s="2">
        <v>0.54791666666666672</v>
      </c>
      <c r="D381" s="1" t="s">
        <v>10</v>
      </c>
    </row>
    <row r="382" spans="1:4" x14ac:dyDescent="0.25">
      <c r="A382" s="4">
        <v>0.52083333333333337</v>
      </c>
      <c r="B382" s="2">
        <v>0.64027777777777783</v>
      </c>
      <c r="C382" s="2">
        <v>0.65138888888888891</v>
      </c>
      <c r="D382" s="1" t="s">
        <v>10</v>
      </c>
    </row>
    <row r="383" spans="1:4" x14ac:dyDescent="0.25">
      <c r="A383" s="4">
        <v>0.59375</v>
      </c>
      <c r="B383" s="2">
        <v>0.67013888888888884</v>
      </c>
      <c r="C383" s="2">
        <v>0.6791666666666667</v>
      </c>
      <c r="D383" s="1" t="s">
        <v>10</v>
      </c>
    </row>
    <row r="384" spans="1:4" x14ac:dyDescent="0.25">
      <c r="A384" s="4">
        <v>0.67638888888888893</v>
      </c>
      <c r="B384" s="2">
        <v>0.77500000000000002</v>
      </c>
      <c r="C384" s="2">
        <v>0.7909722222222223</v>
      </c>
      <c r="D384" s="1" t="s">
        <v>10</v>
      </c>
    </row>
    <row r="385" spans="1:4" x14ac:dyDescent="0.25">
      <c r="A385" s="4">
        <v>0.67638888888888893</v>
      </c>
      <c r="B385" s="2">
        <v>0.83194444444444438</v>
      </c>
      <c r="C385" s="2">
        <v>0.85</v>
      </c>
      <c r="D385" s="1" t="s">
        <v>10</v>
      </c>
    </row>
    <row r="386" spans="1:4" x14ac:dyDescent="0.25">
      <c r="A386" s="4">
        <v>0.72916666666666663</v>
      </c>
      <c r="B386" s="2">
        <v>0.97222222222222221</v>
      </c>
      <c r="C386" s="2">
        <v>0.99375000000000002</v>
      </c>
      <c r="D386" s="1" t="s">
        <v>10</v>
      </c>
    </row>
    <row r="387" spans="1:4" x14ac:dyDescent="0.25">
      <c r="A387" s="4">
        <v>0.79305555555555562</v>
      </c>
      <c r="B387" s="2">
        <v>8.2638888888888887E-2</v>
      </c>
      <c r="C387" s="2">
        <v>9.8611111111111108E-2</v>
      </c>
      <c r="D387" s="1" t="s">
        <v>10</v>
      </c>
    </row>
    <row r="388" spans="1:4" x14ac:dyDescent="0.25">
      <c r="A388" s="4">
        <v>0.47222222222222227</v>
      </c>
      <c r="B388" s="2">
        <v>0.27569444444444446</v>
      </c>
      <c r="C388" s="2">
        <v>0.28541666666666665</v>
      </c>
      <c r="D388" s="1" t="s">
        <v>10</v>
      </c>
    </row>
    <row r="389" spans="1:4" x14ac:dyDescent="0.25">
      <c r="A389" s="4">
        <v>0.46249999999999997</v>
      </c>
      <c r="B389" s="2">
        <v>0.38750000000000001</v>
      </c>
      <c r="C389" s="2">
        <v>0.42569444444444443</v>
      </c>
      <c r="D389" s="1" t="s">
        <v>10</v>
      </c>
    </row>
    <row r="390" spans="1:4" x14ac:dyDescent="0.25">
      <c r="A390" s="4">
        <v>0.50069444444444444</v>
      </c>
      <c r="B390" s="2">
        <v>0.4381944444444445</v>
      </c>
      <c r="C390" s="2">
        <v>0.50277777777777777</v>
      </c>
      <c r="D390" s="1" t="s">
        <v>10</v>
      </c>
    </row>
    <row r="391" spans="1:4" x14ac:dyDescent="0.25">
      <c r="A391" s="4">
        <v>0.50347222222222221</v>
      </c>
      <c r="B391" s="2">
        <v>0.42638888888888887</v>
      </c>
      <c r="C391" s="2">
        <v>0.50277777777777777</v>
      </c>
      <c r="D391" s="1" t="s">
        <v>10</v>
      </c>
    </row>
    <row r="392" spans="1:4" x14ac:dyDescent="0.25">
      <c r="A392" s="4">
        <v>0.50347222222222221</v>
      </c>
      <c r="B392" s="2">
        <v>0.43958333333333338</v>
      </c>
      <c r="C392" s="2">
        <v>0.46388888888888885</v>
      </c>
      <c r="D392" s="1" t="s">
        <v>10</v>
      </c>
    </row>
    <row r="393" spans="1:4" x14ac:dyDescent="0.25">
      <c r="A393" s="4">
        <v>0.68055555555555547</v>
      </c>
      <c r="B393" s="2">
        <v>0.49583333333333335</v>
      </c>
      <c r="C393" s="2">
        <v>0.5131944444444444</v>
      </c>
      <c r="D393" s="1" t="s">
        <v>10</v>
      </c>
    </row>
    <row r="394" spans="1:4" x14ac:dyDescent="0.25">
      <c r="A394" s="4">
        <v>0.3611111111111111</v>
      </c>
      <c r="B394" s="2">
        <v>0.71597222222222223</v>
      </c>
      <c r="C394" s="2">
        <v>0.73125000000000007</v>
      </c>
      <c r="D394" s="1" t="s">
        <v>10</v>
      </c>
    </row>
    <row r="395" spans="1:4" x14ac:dyDescent="0.25">
      <c r="A395" s="4">
        <v>0.46597222222222223</v>
      </c>
      <c r="B395" s="2">
        <v>0.77430555555555547</v>
      </c>
      <c r="C395" s="2">
        <v>0.79375000000000007</v>
      </c>
      <c r="D395" s="1" t="s">
        <v>10</v>
      </c>
    </row>
    <row r="396" spans="1:4" x14ac:dyDescent="0.25">
      <c r="A396" s="4">
        <v>0.46597222222222223</v>
      </c>
      <c r="B396" s="2">
        <v>0.87847222222222221</v>
      </c>
      <c r="C396" s="2">
        <v>0.89166666666666661</v>
      </c>
      <c r="D396" s="1" t="s">
        <v>10</v>
      </c>
    </row>
    <row r="397" spans="1:4" x14ac:dyDescent="0.25">
      <c r="A397" s="4">
        <v>0.50694444444444442</v>
      </c>
      <c r="B397" s="2">
        <v>0.94652777777777775</v>
      </c>
      <c r="C397" s="2">
        <v>0.9604166666666667</v>
      </c>
      <c r="D397" s="1" t="s">
        <v>10</v>
      </c>
    </row>
    <row r="398" spans="1:4" x14ac:dyDescent="0.25">
      <c r="A398" s="4">
        <v>0.62152777777777779</v>
      </c>
      <c r="B398" s="2">
        <v>0.45347222222222222</v>
      </c>
      <c r="C398" s="2">
        <v>0.47847222222222219</v>
      </c>
      <c r="D398" s="1" t="s">
        <v>10</v>
      </c>
    </row>
    <row r="399" spans="1:4" x14ac:dyDescent="0.25">
      <c r="A399" s="4">
        <v>0.64583333333333337</v>
      </c>
      <c r="B399" s="2">
        <v>0.46319444444444446</v>
      </c>
      <c r="C399" s="2">
        <v>0.4909722222222222</v>
      </c>
      <c r="D399" s="1" t="s">
        <v>10</v>
      </c>
    </row>
    <row r="400" spans="1:4" x14ac:dyDescent="0.25">
      <c r="A400" s="4">
        <v>0.71111111111111114</v>
      </c>
      <c r="B400" s="2">
        <v>0.47430555555555554</v>
      </c>
      <c r="C400" s="2">
        <v>0.50555555555555554</v>
      </c>
      <c r="D400" s="1" t="s">
        <v>10</v>
      </c>
    </row>
    <row r="401" spans="1:4" x14ac:dyDescent="0.25">
      <c r="A401" s="4">
        <v>0.72569444444444453</v>
      </c>
      <c r="B401" s="2">
        <v>0.50902777777777775</v>
      </c>
      <c r="C401" s="2">
        <v>0.52083333333333337</v>
      </c>
      <c r="D401" s="1" t="s">
        <v>10</v>
      </c>
    </row>
    <row r="402" spans="1:4" x14ac:dyDescent="0.25">
      <c r="A402" s="4">
        <v>0.77777777777777779</v>
      </c>
      <c r="B402" s="2">
        <v>0.53819444444444442</v>
      </c>
      <c r="C402" s="2">
        <v>0.56041666666666667</v>
      </c>
      <c r="D402" s="1" t="s">
        <v>10</v>
      </c>
    </row>
    <row r="403" spans="1:4" x14ac:dyDescent="0.25">
      <c r="A403" s="4">
        <v>0.79861111111111116</v>
      </c>
      <c r="B403" s="2">
        <v>0.55763888888888891</v>
      </c>
      <c r="C403" s="2">
        <v>0.57638888888888895</v>
      </c>
      <c r="D403" s="1" t="s">
        <v>10</v>
      </c>
    </row>
    <row r="404" spans="1:4" x14ac:dyDescent="0.25">
      <c r="A404" s="4">
        <v>0.35972222222222222</v>
      </c>
      <c r="B404" s="2">
        <v>0.7583333333333333</v>
      </c>
      <c r="C404" s="2">
        <v>0.77430555555555547</v>
      </c>
      <c r="D404" s="1" t="s">
        <v>10</v>
      </c>
    </row>
    <row r="405" spans="1:4" x14ac:dyDescent="0.25">
      <c r="A405" s="4">
        <v>0.49305555555555558</v>
      </c>
      <c r="B405" s="2">
        <v>0.8125</v>
      </c>
      <c r="C405" s="2">
        <v>0.82777777777777783</v>
      </c>
      <c r="D405" s="1" t="s">
        <v>10</v>
      </c>
    </row>
    <row r="406" spans="1:4" x14ac:dyDescent="0.25">
      <c r="A406" s="4">
        <v>7.2916666666666671E-2</v>
      </c>
      <c r="B406" s="2">
        <v>0.54583333333333328</v>
      </c>
      <c r="C406" s="2">
        <v>0.56805555555555554</v>
      </c>
      <c r="D406" s="1" t="s">
        <v>10</v>
      </c>
    </row>
    <row r="407" spans="1:4" x14ac:dyDescent="0.25">
      <c r="A407" s="4">
        <v>0.19791666666666666</v>
      </c>
      <c r="B407" s="2">
        <v>0.61944444444444446</v>
      </c>
      <c r="C407" s="2">
        <v>0.63750000000000007</v>
      </c>
      <c r="D407" s="1" t="s">
        <v>10</v>
      </c>
    </row>
    <row r="408" spans="1:4" x14ac:dyDescent="0.25">
      <c r="A408" s="4">
        <v>0.36180555555555555</v>
      </c>
      <c r="B408" s="2">
        <v>0.6791666666666667</v>
      </c>
      <c r="C408" s="2">
        <v>0.69791666666666663</v>
      </c>
      <c r="D408" s="1" t="s">
        <v>10</v>
      </c>
    </row>
    <row r="409" spans="1:4" x14ac:dyDescent="0.25">
      <c r="A409" s="4">
        <v>0.51388888888888895</v>
      </c>
      <c r="B409" s="2">
        <v>0.74305555555555547</v>
      </c>
      <c r="C409" s="2">
        <v>0.75208333333333333</v>
      </c>
      <c r="D409" s="1" t="s">
        <v>10</v>
      </c>
    </row>
    <row r="410" spans="1:4" x14ac:dyDescent="0.25">
      <c r="A410" s="4">
        <v>0.70138888888888884</v>
      </c>
      <c r="B410" s="2">
        <v>0.78541666666666676</v>
      </c>
      <c r="C410" s="2">
        <v>0.79861111111111116</v>
      </c>
      <c r="D410" s="1" t="s">
        <v>10</v>
      </c>
    </row>
    <row r="411" spans="1:4" x14ac:dyDescent="0.25">
      <c r="A411" s="4">
        <v>0.74305555555555547</v>
      </c>
      <c r="B411" s="2">
        <v>0.8847222222222223</v>
      </c>
      <c r="C411" s="2">
        <v>0.89861111111111114</v>
      </c>
      <c r="D411" s="1" t="s">
        <v>10</v>
      </c>
    </row>
    <row r="412" spans="1:4" x14ac:dyDescent="0.25">
      <c r="A412" s="4">
        <v>0.81944444444444453</v>
      </c>
      <c r="B412" s="2">
        <v>0.70208333333333339</v>
      </c>
      <c r="C412" s="2">
        <v>0.71388888888888891</v>
      </c>
      <c r="D412" s="1" t="s">
        <v>10</v>
      </c>
    </row>
    <row r="413" spans="1:4" x14ac:dyDescent="0.25">
      <c r="A413" s="4">
        <v>0.9375</v>
      </c>
      <c r="B413" s="2">
        <v>0.75763888888888886</v>
      </c>
      <c r="C413" s="2">
        <v>0.77430555555555547</v>
      </c>
      <c r="D413" s="1" t="s">
        <v>10</v>
      </c>
    </row>
    <row r="414" spans="1:4" x14ac:dyDescent="0.25">
      <c r="A414" s="4">
        <v>0.99930555555555556</v>
      </c>
      <c r="B414" s="2">
        <v>0.12291666666666667</v>
      </c>
      <c r="C414" s="2">
        <v>0.13194444444444445</v>
      </c>
      <c r="D414" s="1" t="s">
        <v>10</v>
      </c>
    </row>
    <row r="415" spans="1:4" x14ac:dyDescent="0.25">
      <c r="A415" s="4">
        <v>0.97916666666666663</v>
      </c>
      <c r="B415" s="2">
        <v>0.28958333333333336</v>
      </c>
      <c r="C415" s="2">
        <v>0.31111111111111112</v>
      </c>
      <c r="D415" s="1" t="s">
        <v>10</v>
      </c>
    </row>
    <row r="416" spans="1:4" x14ac:dyDescent="0.25">
      <c r="A416" s="3">
        <v>1.0138888888888888</v>
      </c>
      <c r="B416" s="2">
        <v>0.52569444444444446</v>
      </c>
      <c r="C416" s="2">
        <v>0.54097222222222219</v>
      </c>
      <c r="D416" s="1" t="s">
        <v>10</v>
      </c>
    </row>
    <row r="417" spans="1:4" x14ac:dyDescent="0.25">
      <c r="A417" s="4">
        <v>0.54861111111111105</v>
      </c>
      <c r="B417" s="2">
        <v>0.75138888888888899</v>
      </c>
      <c r="C417" s="2">
        <v>0.76736111111111116</v>
      </c>
      <c r="D417" s="1" t="s">
        <v>10</v>
      </c>
    </row>
    <row r="418" spans="1:4" x14ac:dyDescent="0.25">
      <c r="A418" s="4">
        <v>0.54861111111111105</v>
      </c>
      <c r="B418" s="2">
        <v>0.7680555555555556</v>
      </c>
      <c r="C418" s="2">
        <v>0.78402777777777777</v>
      </c>
      <c r="D418" s="1" t="s">
        <v>10</v>
      </c>
    </row>
    <row r="419" spans="1:4" x14ac:dyDescent="0.25">
      <c r="A419" s="4">
        <v>0.61458333333333337</v>
      </c>
      <c r="B419" s="2">
        <v>0.79861111111111116</v>
      </c>
      <c r="C419" s="2">
        <v>0.83611111111111114</v>
      </c>
      <c r="D419" s="1" t="s">
        <v>10</v>
      </c>
    </row>
    <row r="420" spans="1:4" x14ac:dyDescent="0.25">
      <c r="A420" s="4">
        <v>0.12847222222222224</v>
      </c>
      <c r="B420" s="2">
        <v>0.83263888888888893</v>
      </c>
      <c r="C420" s="2">
        <v>0.84652777777777777</v>
      </c>
      <c r="D420" s="1" t="s">
        <v>10</v>
      </c>
    </row>
    <row r="421" spans="1:4" x14ac:dyDescent="0.25">
      <c r="A421" s="4">
        <v>0.73958333333333337</v>
      </c>
      <c r="B421" s="2">
        <v>0.9472222222222223</v>
      </c>
      <c r="C421" s="2">
        <v>0.96180555555555547</v>
      </c>
      <c r="D421" s="1" t="s">
        <v>10</v>
      </c>
    </row>
    <row r="422" spans="1:4" x14ac:dyDescent="0.25">
      <c r="A422" s="4">
        <v>0.73958333333333337</v>
      </c>
      <c r="B422" s="2">
        <v>0.99236111111111114</v>
      </c>
      <c r="C422" s="2">
        <v>7.6388888888888886E-3</v>
      </c>
      <c r="D422" s="1" t="s">
        <v>10</v>
      </c>
    </row>
    <row r="423" spans="1:4" x14ac:dyDescent="0.25">
      <c r="A423" s="4">
        <v>0.77083333333333337</v>
      </c>
      <c r="B423" s="2">
        <v>0.37291666666666662</v>
      </c>
      <c r="C423" s="2">
        <v>0.40625</v>
      </c>
      <c r="D423" s="1" t="s">
        <v>10</v>
      </c>
    </row>
    <row r="424" spans="1:4" x14ac:dyDescent="0.25">
      <c r="A424" s="4">
        <v>0.99652777777777779</v>
      </c>
      <c r="B424" s="2">
        <v>0.3888888888888889</v>
      </c>
      <c r="C424" s="2">
        <v>0.41597222222222219</v>
      </c>
      <c r="D424" s="1" t="s">
        <v>10</v>
      </c>
    </row>
    <row r="425" spans="1:4" x14ac:dyDescent="0.25">
      <c r="A425" s="4">
        <v>0.94444444444444453</v>
      </c>
      <c r="B425" s="2">
        <v>0.51458333333333328</v>
      </c>
      <c r="C425" s="2">
        <v>0.52708333333333335</v>
      </c>
      <c r="D425" s="1" t="s">
        <v>10</v>
      </c>
    </row>
    <row r="426" spans="1:4" x14ac:dyDescent="0.25">
      <c r="A426" s="4">
        <v>0.19097222222222221</v>
      </c>
      <c r="B426" s="2">
        <v>0.48958333333333331</v>
      </c>
      <c r="C426" s="2">
        <v>0.54722222222222217</v>
      </c>
      <c r="D426" s="1" t="s">
        <v>10</v>
      </c>
    </row>
    <row r="427" spans="1:4" x14ac:dyDescent="0.25">
      <c r="A427" s="4">
        <v>0.36944444444444446</v>
      </c>
      <c r="B427" s="2">
        <v>0.70416666666666661</v>
      </c>
      <c r="C427" s="2">
        <v>0.71250000000000002</v>
      </c>
      <c r="D427" s="1" t="s">
        <v>10</v>
      </c>
    </row>
    <row r="428" spans="1:4" x14ac:dyDescent="0.25">
      <c r="A428" s="4">
        <v>0.67361111111111116</v>
      </c>
      <c r="B428" s="2">
        <v>0.26319444444444445</v>
      </c>
      <c r="C428" s="2">
        <v>0.28263888888888888</v>
      </c>
      <c r="D428" s="1" t="s">
        <v>10</v>
      </c>
    </row>
    <row r="429" spans="1:4" x14ac:dyDescent="0.25">
      <c r="A429" s="4">
        <v>0.69097222222222221</v>
      </c>
      <c r="B429" s="2">
        <v>0.39861111111111108</v>
      </c>
      <c r="C429" s="2">
        <v>0.41875000000000001</v>
      </c>
      <c r="D429" s="1" t="s">
        <v>10</v>
      </c>
    </row>
    <row r="430" spans="1:4" x14ac:dyDescent="0.25">
      <c r="A430" s="4">
        <v>0.72222222222222221</v>
      </c>
      <c r="B430" s="2">
        <v>0.4368055555555555</v>
      </c>
      <c r="C430" s="2">
        <v>0.45277777777777778</v>
      </c>
      <c r="D430" s="1" t="s">
        <v>10</v>
      </c>
    </row>
    <row r="431" spans="1:4" x14ac:dyDescent="0.25">
      <c r="A431" s="4">
        <v>0.75694444444444453</v>
      </c>
      <c r="B431" s="2">
        <v>0.48194444444444445</v>
      </c>
      <c r="C431" s="2">
        <v>0.50347222222222221</v>
      </c>
      <c r="D431" s="1" t="s">
        <v>10</v>
      </c>
    </row>
    <row r="432" spans="1:4" x14ac:dyDescent="0.25">
      <c r="A432" s="4">
        <v>0.81597222222222221</v>
      </c>
      <c r="B432" s="2">
        <v>0.5625</v>
      </c>
      <c r="C432" s="2">
        <v>0.57986111111111105</v>
      </c>
      <c r="D432" s="1" t="s">
        <v>10</v>
      </c>
    </row>
    <row r="433" spans="1:4" x14ac:dyDescent="0.25">
      <c r="A433" s="4">
        <v>0.24374999999999999</v>
      </c>
      <c r="B433" s="2">
        <v>0.5854166666666667</v>
      </c>
      <c r="C433" s="2">
        <v>0.60416666666666663</v>
      </c>
      <c r="D433" s="1" t="s">
        <v>10</v>
      </c>
    </row>
    <row r="434" spans="1:4" x14ac:dyDescent="0.25">
      <c r="A434" s="4">
        <v>0.3125</v>
      </c>
      <c r="B434" s="2">
        <v>0.66736111111111107</v>
      </c>
      <c r="C434" s="2">
        <v>0.68402777777777779</v>
      </c>
      <c r="D434" s="1" t="s">
        <v>10</v>
      </c>
    </row>
    <row r="435" spans="1:4" x14ac:dyDescent="0.25">
      <c r="A435" s="4">
        <v>0.375</v>
      </c>
      <c r="B435" s="2">
        <v>0.74652777777777779</v>
      </c>
      <c r="C435" s="2">
        <v>0.76180555555555562</v>
      </c>
      <c r="D435" s="1" t="s">
        <v>10</v>
      </c>
    </row>
    <row r="436" spans="1:4" x14ac:dyDescent="0.25">
      <c r="A436" s="4">
        <v>0.34722222222222227</v>
      </c>
      <c r="B436" s="2">
        <v>0.79236111111111107</v>
      </c>
      <c r="C436" s="2">
        <v>0.80555555555555547</v>
      </c>
      <c r="D436" s="1" t="s">
        <v>10</v>
      </c>
    </row>
    <row r="437" spans="1:4" x14ac:dyDescent="0.25">
      <c r="A437" s="4">
        <v>0.42708333333333331</v>
      </c>
      <c r="B437" s="2">
        <v>0.8125</v>
      </c>
      <c r="C437" s="2">
        <v>0.82777777777777783</v>
      </c>
      <c r="D437" s="1" t="s">
        <v>10</v>
      </c>
    </row>
    <row r="438" spans="1:4" x14ac:dyDescent="0.25">
      <c r="A438" s="4">
        <v>0.54375000000000007</v>
      </c>
      <c r="B438" s="2">
        <v>0.53055555555555556</v>
      </c>
      <c r="C438" s="2">
        <v>0.54722222222222217</v>
      </c>
      <c r="D438" s="1" t="s">
        <v>10</v>
      </c>
    </row>
    <row r="439" spans="1:4" x14ac:dyDescent="0.25">
      <c r="A439" s="4">
        <v>0.65625</v>
      </c>
      <c r="B439" s="2">
        <v>0.24861111111111112</v>
      </c>
      <c r="C439" s="2">
        <v>0.27847222222222223</v>
      </c>
      <c r="D439" s="1" t="s">
        <v>10</v>
      </c>
    </row>
    <row r="440" spans="1:4" x14ac:dyDescent="0.25">
      <c r="A440" s="4">
        <v>0.93888888888888899</v>
      </c>
      <c r="B440" s="2">
        <v>0.45347222222222222</v>
      </c>
      <c r="C440" s="2">
        <v>0.4777777777777778</v>
      </c>
      <c r="D440" s="1" t="s">
        <v>10</v>
      </c>
    </row>
    <row r="441" spans="1:4" x14ac:dyDescent="0.25">
      <c r="A441" s="4">
        <v>0.14583333333333334</v>
      </c>
      <c r="B441" s="2">
        <v>0.5131944444444444</v>
      </c>
      <c r="C441" s="2">
        <v>0.54097222222222219</v>
      </c>
      <c r="D441" s="1" t="s">
        <v>10</v>
      </c>
    </row>
    <row r="442" spans="1:4" x14ac:dyDescent="0.25">
      <c r="A442" s="4">
        <v>0.18472222222222223</v>
      </c>
      <c r="B442" s="2">
        <v>0.52430555555555558</v>
      </c>
      <c r="C442" s="2">
        <v>0.54166666666666663</v>
      </c>
      <c r="D442" s="1" t="s">
        <v>10</v>
      </c>
    </row>
    <row r="443" spans="1:4" x14ac:dyDescent="0.25">
      <c r="A443" s="4">
        <v>0.28958333333333336</v>
      </c>
      <c r="B443" s="2">
        <v>0.68402777777777779</v>
      </c>
      <c r="C443" s="2">
        <v>0.69930555555555562</v>
      </c>
      <c r="D443" s="1" t="s">
        <v>10</v>
      </c>
    </row>
    <row r="444" spans="1:4" x14ac:dyDescent="0.25">
      <c r="A444" s="4">
        <v>0.38541666666666669</v>
      </c>
      <c r="B444" s="2">
        <v>0.73263888888888884</v>
      </c>
      <c r="C444" s="2">
        <v>0.74722222222222223</v>
      </c>
      <c r="D444" s="1" t="s">
        <v>10</v>
      </c>
    </row>
    <row r="445" spans="1:4" x14ac:dyDescent="0.25">
      <c r="A445" s="4">
        <v>0.40972222222222227</v>
      </c>
      <c r="B445" s="2">
        <v>0.94374999999999998</v>
      </c>
      <c r="C445" s="2">
        <v>0.96111111111111114</v>
      </c>
      <c r="D445" s="1" t="s">
        <v>10</v>
      </c>
    </row>
    <row r="446" spans="1:4" x14ac:dyDescent="0.25">
      <c r="A446" s="4">
        <v>0.24305555555555555</v>
      </c>
      <c r="B446" s="2">
        <v>5.5555555555555552E-2</v>
      </c>
      <c r="C446" s="2">
        <v>7.0833333333333331E-2</v>
      </c>
      <c r="D446" s="1" t="s">
        <v>10</v>
      </c>
    </row>
    <row r="447" spans="1:4" x14ac:dyDescent="0.25">
      <c r="A447" s="4">
        <v>0.2986111111111111</v>
      </c>
      <c r="B447" s="2">
        <v>0.44513888888888892</v>
      </c>
      <c r="C447" s="2">
        <v>0.46666666666666662</v>
      </c>
      <c r="D447" s="1" t="s">
        <v>10</v>
      </c>
    </row>
    <row r="448" spans="1:4" x14ac:dyDescent="0.25">
      <c r="A448" s="4">
        <v>0.35069444444444442</v>
      </c>
      <c r="B448" s="2">
        <v>0.4861111111111111</v>
      </c>
      <c r="C448" s="2">
        <v>0.51180555555555551</v>
      </c>
      <c r="D448" s="1" t="s">
        <v>10</v>
      </c>
    </row>
    <row r="449" spans="1:4" x14ac:dyDescent="0.25">
      <c r="A449" s="4">
        <v>0.49652777777777773</v>
      </c>
      <c r="B449" s="2">
        <v>0.54583333333333328</v>
      </c>
      <c r="C449" s="2">
        <v>0.56388888888888888</v>
      </c>
      <c r="D449" s="1" t="s">
        <v>10</v>
      </c>
    </row>
    <row r="450" spans="1:4" x14ac:dyDescent="0.25">
      <c r="A450" s="4">
        <v>0.53125</v>
      </c>
      <c r="B450" s="2">
        <v>0.58958333333333335</v>
      </c>
      <c r="C450" s="2">
        <v>0.61111111111111105</v>
      </c>
      <c r="D450" s="1" t="s">
        <v>10</v>
      </c>
    </row>
    <row r="451" spans="1:4" x14ac:dyDescent="0.25">
      <c r="A451" s="4">
        <v>0.54166666666666663</v>
      </c>
      <c r="B451" s="2">
        <v>0.65416666666666667</v>
      </c>
      <c r="C451" s="2">
        <v>0.70277777777777783</v>
      </c>
      <c r="D451" s="1" t="s">
        <v>10</v>
      </c>
    </row>
    <row r="452" spans="1:4" x14ac:dyDescent="0.25">
      <c r="A452" s="4">
        <v>0.67013888888888884</v>
      </c>
      <c r="B452" s="2">
        <v>0.72777777777777775</v>
      </c>
      <c r="C452" s="2">
        <v>0.74861111111111101</v>
      </c>
      <c r="D452" s="1" t="s">
        <v>10</v>
      </c>
    </row>
    <row r="453" spans="1:4" x14ac:dyDescent="0.25">
      <c r="A453" s="4">
        <v>0.65625</v>
      </c>
      <c r="B453" s="2">
        <v>0.77708333333333324</v>
      </c>
      <c r="C453" s="2">
        <v>0.80138888888888893</v>
      </c>
      <c r="D453" s="1" t="s">
        <v>10</v>
      </c>
    </row>
    <row r="454" spans="1:4" x14ac:dyDescent="0.25">
      <c r="A454" s="4">
        <v>0.67708333333333337</v>
      </c>
      <c r="B454" s="2">
        <v>0.82916666666666661</v>
      </c>
      <c r="C454" s="2">
        <v>0.84583333333333333</v>
      </c>
      <c r="D454" s="1" t="s">
        <v>10</v>
      </c>
    </row>
    <row r="455" spans="1:4" x14ac:dyDescent="0.25">
      <c r="A455" s="4">
        <v>0.32569444444444445</v>
      </c>
      <c r="B455" s="2">
        <v>0.95486111111111116</v>
      </c>
      <c r="C455" s="2">
        <v>0.97569444444444453</v>
      </c>
      <c r="D455" s="1" t="s">
        <v>10</v>
      </c>
    </row>
    <row r="456" spans="1:4" x14ac:dyDescent="0.25">
      <c r="A456" s="4">
        <v>0.34722222222222227</v>
      </c>
      <c r="B456" s="2">
        <v>0.19652777777777777</v>
      </c>
      <c r="C456" s="2">
        <v>0.20972222222222223</v>
      </c>
      <c r="D456" s="1" t="s">
        <v>10</v>
      </c>
    </row>
    <row r="457" spans="1:4" x14ac:dyDescent="0.25">
      <c r="A457" s="4">
        <v>0.49305555555555558</v>
      </c>
      <c r="B457" s="2">
        <v>0.43333333333333335</v>
      </c>
      <c r="C457" s="2">
        <v>0.45416666666666666</v>
      </c>
      <c r="D457" s="1" t="s">
        <v>10</v>
      </c>
    </row>
    <row r="458" spans="1:4" x14ac:dyDescent="0.25">
      <c r="A458" s="4">
        <v>0.49305555555555558</v>
      </c>
      <c r="B458" s="2">
        <v>0.4548611111111111</v>
      </c>
      <c r="C458" s="2">
        <v>0.4777777777777778</v>
      </c>
      <c r="D458" s="1" t="s">
        <v>10</v>
      </c>
    </row>
    <row r="459" spans="1:4" x14ac:dyDescent="0.25">
      <c r="A459" s="4">
        <v>0.55208333333333337</v>
      </c>
      <c r="B459" s="2">
        <v>0.55555555555555558</v>
      </c>
      <c r="C459" s="2">
        <v>0.58263888888888882</v>
      </c>
      <c r="D459" s="1" t="s">
        <v>10</v>
      </c>
    </row>
    <row r="460" spans="1:4" x14ac:dyDescent="0.25">
      <c r="A460" s="4">
        <v>0.60555555555555551</v>
      </c>
      <c r="B460" s="2">
        <v>0.59027777777777779</v>
      </c>
      <c r="C460" s="2">
        <v>0.61597222222222225</v>
      </c>
      <c r="D460" s="1" t="s">
        <v>10</v>
      </c>
    </row>
    <row r="461" spans="1:4" x14ac:dyDescent="0.25">
      <c r="A461" s="4">
        <v>0.63194444444444442</v>
      </c>
      <c r="B461" s="2">
        <v>0.62152777777777779</v>
      </c>
      <c r="C461" s="2">
        <v>0.64652777777777781</v>
      </c>
      <c r="D461" s="1" t="s">
        <v>10</v>
      </c>
    </row>
    <row r="462" spans="1:4" x14ac:dyDescent="0.25">
      <c r="A462" s="4">
        <v>0.63958333333333328</v>
      </c>
      <c r="B462" s="2">
        <v>0.67638888888888893</v>
      </c>
      <c r="C462" s="2">
        <v>0.70277777777777783</v>
      </c>
      <c r="D462" s="1" t="s">
        <v>10</v>
      </c>
    </row>
    <row r="463" spans="1:4" x14ac:dyDescent="0.25">
      <c r="A463" s="4">
        <v>0.7090277777777777</v>
      </c>
      <c r="B463" s="2">
        <v>0.67569444444444438</v>
      </c>
      <c r="C463" s="2">
        <v>0.72569444444444453</v>
      </c>
      <c r="D463" s="1" t="s">
        <v>10</v>
      </c>
    </row>
    <row r="464" spans="1:4" x14ac:dyDescent="0.25">
      <c r="A464" s="4">
        <v>0.71875</v>
      </c>
      <c r="B464" s="2">
        <v>0.67013888888888884</v>
      </c>
      <c r="C464" s="2">
        <v>0.70000000000000007</v>
      </c>
      <c r="D464" s="1" t="s">
        <v>10</v>
      </c>
    </row>
    <row r="465" spans="1:4" x14ac:dyDescent="0.25">
      <c r="A465" s="4">
        <v>0.82986111111111116</v>
      </c>
      <c r="B465" s="2">
        <v>0.73541666666666661</v>
      </c>
      <c r="C465" s="2">
        <v>0.74861111111111101</v>
      </c>
      <c r="D465" s="1" t="s">
        <v>10</v>
      </c>
    </row>
    <row r="466" spans="1:4" x14ac:dyDescent="0.25">
      <c r="A466" s="4">
        <v>0.44791666666666669</v>
      </c>
      <c r="B466" s="2">
        <v>0.7583333333333333</v>
      </c>
      <c r="C466" s="2">
        <v>0.77500000000000002</v>
      </c>
      <c r="D466" s="1" t="s">
        <v>10</v>
      </c>
    </row>
    <row r="467" spans="1:4" x14ac:dyDescent="0.25">
      <c r="A467" s="4">
        <v>0.44791666666666669</v>
      </c>
      <c r="B467" s="2">
        <v>8.819444444444445E-2</v>
      </c>
      <c r="C467" s="2">
        <v>0.10277777777777779</v>
      </c>
      <c r="D467" s="1" t="s">
        <v>10</v>
      </c>
    </row>
    <row r="468" spans="1:4" x14ac:dyDescent="0.25">
      <c r="A468" s="4">
        <v>0.1111111111111111</v>
      </c>
      <c r="B468" s="2">
        <v>0.4236111111111111</v>
      </c>
      <c r="C468" s="2">
        <v>0.44305555555555554</v>
      </c>
      <c r="D468" s="1" t="s">
        <v>10</v>
      </c>
    </row>
    <row r="469" spans="1:4" x14ac:dyDescent="0.25">
      <c r="A469" s="4">
        <v>0.1111111111111111</v>
      </c>
      <c r="B469" s="2">
        <v>0.41597222222222219</v>
      </c>
      <c r="C469" s="2">
        <v>0.43611111111111112</v>
      </c>
      <c r="D469" s="1" t="s">
        <v>10</v>
      </c>
    </row>
    <row r="470" spans="1:4" x14ac:dyDescent="0.25">
      <c r="A470" s="4">
        <v>0.24305555555555555</v>
      </c>
      <c r="B470" s="2">
        <v>0.60069444444444442</v>
      </c>
      <c r="C470" s="2">
        <v>0.61805555555555558</v>
      </c>
      <c r="D470" s="1" t="s">
        <v>10</v>
      </c>
    </row>
    <row r="471" spans="1:4" x14ac:dyDescent="0.25">
      <c r="A471" s="4">
        <v>0.41180555555555554</v>
      </c>
      <c r="B471" s="2">
        <v>0.81319444444444444</v>
      </c>
      <c r="C471" s="2">
        <v>0.82986111111111116</v>
      </c>
      <c r="D471" s="1" t="s">
        <v>10</v>
      </c>
    </row>
    <row r="472" spans="1:4" x14ac:dyDescent="0.25">
      <c r="A472" s="4">
        <v>0.56041666666666667</v>
      </c>
      <c r="B472" s="2">
        <v>0.81805555555555554</v>
      </c>
      <c r="C472" s="2">
        <v>0.8354166666666667</v>
      </c>
      <c r="D472" s="1" t="s">
        <v>10</v>
      </c>
    </row>
    <row r="473" spans="1:4" x14ac:dyDescent="0.25">
      <c r="A473" s="4">
        <v>0.63750000000000007</v>
      </c>
      <c r="B473" s="2">
        <v>0.87361111111111101</v>
      </c>
      <c r="C473" s="2">
        <v>0.90625</v>
      </c>
      <c r="D473" s="1" t="s">
        <v>10</v>
      </c>
    </row>
    <row r="474" spans="1:4" x14ac:dyDescent="0.25">
      <c r="A474" s="4">
        <v>0.65972222222222221</v>
      </c>
      <c r="B474" s="2">
        <v>0.91388888888888886</v>
      </c>
      <c r="C474" s="2">
        <v>0.9291666666666667</v>
      </c>
      <c r="D474" s="1" t="s">
        <v>10</v>
      </c>
    </row>
    <row r="475" spans="1:4" x14ac:dyDescent="0.25">
      <c r="A475" s="4">
        <v>0.85416666666666663</v>
      </c>
      <c r="B475" s="2">
        <v>9.0972222222222218E-2</v>
      </c>
      <c r="C475" s="2">
        <v>0.10625</v>
      </c>
      <c r="D475" s="1" t="s">
        <v>10</v>
      </c>
    </row>
    <row r="476" spans="1:4" x14ac:dyDescent="0.25">
      <c r="A476" s="4">
        <v>0.85416666666666663</v>
      </c>
      <c r="B476" s="2">
        <v>0.3611111111111111</v>
      </c>
      <c r="C476" s="2">
        <v>0.38194444444444442</v>
      </c>
      <c r="D476" s="1" t="s">
        <v>10</v>
      </c>
    </row>
    <row r="477" spans="1:4" x14ac:dyDescent="0.25">
      <c r="A477" s="4">
        <v>0.46527777777777773</v>
      </c>
      <c r="B477" s="2">
        <v>0.42222222222222222</v>
      </c>
      <c r="C477" s="2">
        <v>0.43958333333333338</v>
      </c>
      <c r="D477" s="1" t="s">
        <v>10</v>
      </c>
    </row>
    <row r="478" spans="1:4" x14ac:dyDescent="0.25">
      <c r="A478" s="4">
        <v>0.54166666666666663</v>
      </c>
      <c r="B478" s="2">
        <v>0.92986111111111114</v>
      </c>
      <c r="C478" s="2">
        <v>0.94374999999999998</v>
      </c>
      <c r="D478" s="1" t="s">
        <v>10</v>
      </c>
    </row>
    <row r="479" spans="1:4" x14ac:dyDescent="0.25">
      <c r="A479" s="4">
        <v>0.63194444444444442</v>
      </c>
      <c r="B479" s="2">
        <v>1.8055555555555557E-2</v>
      </c>
      <c r="C479" s="2">
        <v>3.4027777777777775E-2</v>
      </c>
      <c r="D479" s="1" t="s">
        <v>10</v>
      </c>
    </row>
    <row r="480" spans="1:4" x14ac:dyDescent="0.25">
      <c r="A480" s="4">
        <v>0.63541666666666663</v>
      </c>
      <c r="B480" s="2">
        <v>5.486111111111111E-2</v>
      </c>
      <c r="C480" s="2">
        <v>7.9861111111111105E-2</v>
      </c>
      <c r="D480" s="1" t="s">
        <v>10</v>
      </c>
    </row>
    <row r="481" spans="1:4" x14ac:dyDescent="0.25">
      <c r="A481" s="4">
        <v>0.75138888888888899</v>
      </c>
      <c r="B481" s="2">
        <v>0.39444444444444443</v>
      </c>
      <c r="C481" s="2">
        <v>0.4152777777777778</v>
      </c>
      <c r="D481" s="1" t="s">
        <v>10</v>
      </c>
    </row>
    <row r="482" spans="1:4" x14ac:dyDescent="0.25">
      <c r="A482" s="4">
        <v>0.92361111111111116</v>
      </c>
      <c r="B482" s="2">
        <v>0.40902777777777777</v>
      </c>
      <c r="C482" s="2">
        <v>0.42569444444444443</v>
      </c>
      <c r="D482" s="1" t="s">
        <v>10</v>
      </c>
    </row>
    <row r="483" spans="1:4" x14ac:dyDescent="0.25">
      <c r="A483" s="4">
        <v>0.27777777777777779</v>
      </c>
      <c r="B483" s="2">
        <v>0.42430555555555555</v>
      </c>
      <c r="C483" s="2">
        <v>0.4465277777777778</v>
      </c>
      <c r="D483" s="1" t="s">
        <v>10</v>
      </c>
    </row>
    <row r="484" spans="1:4" x14ac:dyDescent="0.25">
      <c r="A484" s="4">
        <v>0.3520833333333333</v>
      </c>
      <c r="B484" s="2">
        <v>0.43333333333333335</v>
      </c>
      <c r="C484" s="2">
        <v>0.45347222222222222</v>
      </c>
      <c r="D484" s="1" t="s">
        <v>10</v>
      </c>
    </row>
    <row r="485" spans="1:4" x14ac:dyDescent="0.25">
      <c r="B485" s="2">
        <v>0.58958333333333335</v>
      </c>
      <c r="C485" s="2">
        <v>0.60763888888888895</v>
      </c>
      <c r="D485" s="1" t="s">
        <v>10</v>
      </c>
    </row>
    <row r="486" spans="1:4" x14ac:dyDescent="0.25">
      <c r="B486" s="2">
        <v>0.62222222222222223</v>
      </c>
      <c r="C486" s="2">
        <v>0.6430555555555556</v>
      </c>
      <c r="D486" s="1" t="s">
        <v>10</v>
      </c>
    </row>
    <row r="487" spans="1:4" x14ac:dyDescent="0.25">
      <c r="B487" s="2">
        <v>0.7597222222222223</v>
      </c>
      <c r="C487" s="2">
        <v>0.77777777777777779</v>
      </c>
      <c r="D487" s="1" t="s">
        <v>10</v>
      </c>
    </row>
    <row r="488" spans="1:4" x14ac:dyDescent="0.25">
      <c r="B488" s="2">
        <v>0.77500000000000002</v>
      </c>
      <c r="C488" s="2">
        <v>0.7944444444444444</v>
      </c>
      <c r="D488" s="1" t="s">
        <v>10</v>
      </c>
    </row>
    <row r="489" spans="1:4" x14ac:dyDescent="0.25">
      <c r="B489" s="2">
        <v>0.79791666666666661</v>
      </c>
      <c r="C489" s="2">
        <v>0.81458333333333333</v>
      </c>
      <c r="D489" s="1" t="s">
        <v>10</v>
      </c>
    </row>
    <row r="490" spans="1:4" x14ac:dyDescent="0.25">
      <c r="B490" s="2">
        <v>0.81597222222222221</v>
      </c>
      <c r="C490" s="2">
        <v>0.8340277777777777</v>
      </c>
      <c r="D490" s="1" t="s">
        <v>10</v>
      </c>
    </row>
    <row r="491" spans="1:4" x14ac:dyDescent="0.25">
      <c r="B491" s="2">
        <v>0.87430555555555556</v>
      </c>
      <c r="C491" s="2">
        <v>0.88680555555555562</v>
      </c>
      <c r="D491" s="1" t="s">
        <v>10</v>
      </c>
    </row>
    <row r="492" spans="1:4" x14ac:dyDescent="0.25">
      <c r="B492" s="2">
        <v>0.34791666666666665</v>
      </c>
      <c r="C492" s="2">
        <v>0.36458333333333331</v>
      </c>
      <c r="D492" s="1" t="s">
        <v>10</v>
      </c>
    </row>
    <row r="493" spans="1:4" x14ac:dyDescent="0.25">
      <c r="B493" s="2">
        <v>0.3888888888888889</v>
      </c>
      <c r="C493" s="2">
        <v>0.40763888888888888</v>
      </c>
      <c r="D493" s="1" t="s">
        <v>10</v>
      </c>
    </row>
    <row r="494" spans="1:4" x14ac:dyDescent="0.25">
      <c r="B494" s="2">
        <v>0.41944444444444445</v>
      </c>
      <c r="C494" s="2">
        <v>0.43888888888888888</v>
      </c>
      <c r="D494" s="1" t="s">
        <v>10</v>
      </c>
    </row>
    <row r="495" spans="1:4" x14ac:dyDescent="0.25">
      <c r="B495" s="2">
        <v>0.43541666666666662</v>
      </c>
      <c r="C495" s="2">
        <v>0.47013888888888888</v>
      </c>
      <c r="D495" s="1" t="s">
        <v>10</v>
      </c>
    </row>
    <row r="496" spans="1:4" x14ac:dyDescent="0.25">
      <c r="B496" s="2">
        <v>0.4826388888888889</v>
      </c>
      <c r="C496" s="2">
        <v>0.4993055555555555</v>
      </c>
      <c r="D496" s="1" t="s">
        <v>10</v>
      </c>
    </row>
    <row r="497" spans="2:4" x14ac:dyDescent="0.25">
      <c r="B497" s="2">
        <v>0.47847222222222219</v>
      </c>
      <c r="C497" s="2">
        <v>0.51041666666666663</v>
      </c>
      <c r="D497" s="1" t="s">
        <v>10</v>
      </c>
    </row>
    <row r="498" spans="2:4" x14ac:dyDescent="0.25">
      <c r="B498" s="2">
        <v>0.52222222222222225</v>
      </c>
      <c r="C498" s="2">
        <v>0.54375000000000007</v>
      </c>
      <c r="D498" s="1" t="s">
        <v>10</v>
      </c>
    </row>
    <row r="499" spans="2:4" x14ac:dyDescent="0.25">
      <c r="B499" s="2">
        <v>0.5805555555555556</v>
      </c>
      <c r="C499" s="2">
        <v>0.60138888888888886</v>
      </c>
      <c r="D499" s="1" t="s">
        <v>10</v>
      </c>
    </row>
    <row r="500" spans="2:4" x14ac:dyDescent="0.25">
      <c r="B500" s="2">
        <v>0.66527777777777775</v>
      </c>
      <c r="C500" s="2">
        <v>0.68055555555555547</v>
      </c>
      <c r="D500" s="1" t="s">
        <v>10</v>
      </c>
    </row>
    <row r="501" spans="2:4" x14ac:dyDescent="0.25">
      <c r="B501" s="2">
        <v>0.79305555555555562</v>
      </c>
      <c r="C501" s="2">
        <v>0.81111111111111101</v>
      </c>
      <c r="D501" s="1" t="s">
        <v>10</v>
      </c>
    </row>
    <row r="502" spans="2:4" x14ac:dyDescent="0.25">
      <c r="B502" s="2">
        <v>0.81736111111111109</v>
      </c>
      <c r="C502" s="2">
        <v>0.83263888888888893</v>
      </c>
      <c r="D502" s="1" t="s">
        <v>10</v>
      </c>
    </row>
    <row r="503" spans="2:4" x14ac:dyDescent="0.25">
      <c r="B503" s="2">
        <v>0.82777777777777783</v>
      </c>
      <c r="C503" s="2">
        <v>0.84652777777777777</v>
      </c>
      <c r="D503" s="1" t="s">
        <v>10</v>
      </c>
    </row>
    <row r="504" spans="2:4" x14ac:dyDescent="0.25">
      <c r="B504" s="2">
        <v>6.8749999999999992E-2</v>
      </c>
      <c r="C504" s="2">
        <v>9.0277777777777776E-2</v>
      </c>
      <c r="D504" s="1" t="s">
        <v>10</v>
      </c>
    </row>
    <row r="505" spans="2:4" x14ac:dyDescent="0.25">
      <c r="B505" s="2">
        <v>0.19305555555555554</v>
      </c>
      <c r="C505" s="2">
        <v>0.21111111111111111</v>
      </c>
      <c r="D505" s="1" t="s">
        <v>10</v>
      </c>
    </row>
    <row r="506" spans="2:4" x14ac:dyDescent="0.25">
      <c r="B506" s="2">
        <v>0.34097222222222223</v>
      </c>
      <c r="C506" s="2">
        <v>0.35833333333333334</v>
      </c>
      <c r="D506" s="1" t="s">
        <v>10</v>
      </c>
    </row>
    <row r="507" spans="2:4" x14ac:dyDescent="0.25">
      <c r="B507" s="2">
        <v>0.39305555555555555</v>
      </c>
      <c r="C507" s="2">
        <v>0.41388888888888892</v>
      </c>
      <c r="D507" s="1" t="s">
        <v>10</v>
      </c>
    </row>
    <row r="508" spans="2:4" x14ac:dyDescent="0.25">
      <c r="B508" s="2">
        <v>0.38541666666666669</v>
      </c>
      <c r="C508" s="2">
        <v>0.39444444444444443</v>
      </c>
      <c r="D508" s="1" t="s">
        <v>10</v>
      </c>
    </row>
    <row r="509" spans="2:4" x14ac:dyDescent="0.25">
      <c r="B509" s="2">
        <v>0.46875</v>
      </c>
      <c r="C509" s="2">
        <v>0.48402777777777778</v>
      </c>
      <c r="D509" s="1" t="s">
        <v>10</v>
      </c>
    </row>
    <row r="510" spans="2:4" x14ac:dyDescent="0.25">
      <c r="B510" s="2">
        <v>0.54999999999999993</v>
      </c>
      <c r="C510" s="2">
        <v>0.57291666666666663</v>
      </c>
      <c r="D510" s="1" t="s">
        <v>10</v>
      </c>
    </row>
    <row r="511" spans="2:4" x14ac:dyDescent="0.25">
      <c r="B511" s="2">
        <v>0.5493055555555556</v>
      </c>
      <c r="C511" s="2">
        <v>0.57291666666666663</v>
      </c>
      <c r="D511" s="1" t="s">
        <v>10</v>
      </c>
    </row>
    <row r="512" spans="2:4" x14ac:dyDescent="0.25">
      <c r="B512" s="2">
        <v>0.625</v>
      </c>
      <c r="C512" s="2">
        <v>0.64374999999999993</v>
      </c>
      <c r="D512" s="1" t="s">
        <v>10</v>
      </c>
    </row>
    <row r="513" spans="2:4" x14ac:dyDescent="0.25">
      <c r="B513" s="2">
        <v>0.68402777777777779</v>
      </c>
      <c r="C513" s="2">
        <v>0.70000000000000007</v>
      </c>
      <c r="D513" s="1" t="s">
        <v>10</v>
      </c>
    </row>
    <row r="514" spans="2:4" x14ac:dyDescent="0.25">
      <c r="B514" s="2">
        <v>0.78749999999999998</v>
      </c>
      <c r="C514" s="2">
        <v>0.80694444444444446</v>
      </c>
      <c r="D514" s="1" t="s">
        <v>10</v>
      </c>
    </row>
    <row r="515" spans="2:4" x14ac:dyDescent="0.25">
      <c r="B515" s="2">
        <v>0.7715277777777777</v>
      </c>
      <c r="C515" s="2">
        <v>0.7909722222222223</v>
      </c>
      <c r="D515" s="1" t="s">
        <v>10</v>
      </c>
    </row>
    <row r="516" spans="2:4" x14ac:dyDescent="0.25">
      <c r="B516" s="2">
        <v>0.92708333333333337</v>
      </c>
      <c r="C516" s="2">
        <v>0.94236111111111109</v>
      </c>
      <c r="D516" s="1" t="s">
        <v>10</v>
      </c>
    </row>
    <row r="517" spans="2:4" x14ac:dyDescent="0.25">
      <c r="B517" s="2">
        <v>0.37638888888888888</v>
      </c>
      <c r="C517" s="2">
        <v>0.39444444444444443</v>
      </c>
      <c r="D517" s="1" t="s">
        <v>10</v>
      </c>
    </row>
    <row r="518" spans="2:4" x14ac:dyDescent="0.25">
      <c r="B518" s="2">
        <v>0.53402777777777777</v>
      </c>
      <c r="C518" s="2">
        <v>0.56041666666666667</v>
      </c>
      <c r="D518" s="1" t="s">
        <v>10</v>
      </c>
    </row>
    <row r="519" spans="2:4" x14ac:dyDescent="0.25">
      <c r="B519" s="2">
        <v>0.61458333333333337</v>
      </c>
      <c r="C519" s="2">
        <v>0.64097222222222217</v>
      </c>
      <c r="D519" s="1" t="s">
        <v>10</v>
      </c>
    </row>
    <row r="520" spans="2:4" x14ac:dyDescent="0.25">
      <c r="B520" s="2">
        <v>0.67291666666666661</v>
      </c>
      <c r="C520" s="2">
        <v>0.69305555555555554</v>
      </c>
      <c r="D520" s="1" t="s">
        <v>10</v>
      </c>
    </row>
    <row r="521" spans="2:4" x14ac:dyDescent="0.25">
      <c r="B521" s="2">
        <v>0.68680555555555556</v>
      </c>
      <c r="C521" s="2">
        <v>0.70486111111111116</v>
      </c>
      <c r="D521" s="1" t="s">
        <v>10</v>
      </c>
    </row>
    <row r="522" spans="2:4" x14ac:dyDescent="0.25">
      <c r="B522" s="2">
        <v>0.6972222222222223</v>
      </c>
      <c r="C522" s="2">
        <v>0.72569444444444453</v>
      </c>
      <c r="D522" s="1" t="s">
        <v>10</v>
      </c>
    </row>
    <row r="523" spans="2:4" x14ac:dyDescent="0.25">
      <c r="B523" s="2">
        <v>0.72083333333333333</v>
      </c>
      <c r="C523" s="2">
        <v>0.73819444444444438</v>
      </c>
      <c r="D523" s="1" t="s">
        <v>10</v>
      </c>
    </row>
    <row r="524" spans="2:4" x14ac:dyDescent="0.25">
      <c r="B524" s="2">
        <v>0.80208333333333337</v>
      </c>
      <c r="C524" s="2">
        <v>0.84444444444444444</v>
      </c>
      <c r="D524" s="1" t="s">
        <v>10</v>
      </c>
    </row>
    <row r="525" spans="2:4" x14ac:dyDescent="0.25">
      <c r="B525" s="2">
        <v>0.82638888888888884</v>
      </c>
      <c r="C525" s="2">
        <v>0.85138888888888886</v>
      </c>
      <c r="D525" s="1" t="s">
        <v>10</v>
      </c>
    </row>
    <row r="526" spans="2:4" x14ac:dyDescent="0.25">
      <c r="B526" s="2">
        <v>0.20972222222222223</v>
      </c>
      <c r="C526" s="2">
        <v>0.2590277777777778</v>
      </c>
      <c r="D526" s="1" t="s">
        <v>10</v>
      </c>
    </row>
    <row r="527" spans="2:4" x14ac:dyDescent="0.25">
      <c r="B527" s="2">
        <v>0.3972222222222222</v>
      </c>
      <c r="C527" s="2">
        <v>0.4201388888888889</v>
      </c>
      <c r="D527" s="1" t="s">
        <v>10</v>
      </c>
    </row>
    <row r="528" spans="2:4" x14ac:dyDescent="0.25">
      <c r="B528" s="2">
        <v>0.47638888888888892</v>
      </c>
      <c r="C528" s="2">
        <v>0.49374999999999997</v>
      </c>
      <c r="D528" s="1" t="s">
        <v>10</v>
      </c>
    </row>
    <row r="529" spans="2:4" x14ac:dyDescent="0.25">
      <c r="B529" s="2">
        <v>0.56874999999999998</v>
      </c>
      <c r="C529" s="2">
        <v>0.58958333333333335</v>
      </c>
      <c r="D529" s="1" t="s">
        <v>10</v>
      </c>
    </row>
    <row r="530" spans="2:4" x14ac:dyDescent="0.25">
      <c r="B530" s="2">
        <v>0.95347222222222217</v>
      </c>
      <c r="C530" s="2">
        <v>0.92569444444444438</v>
      </c>
      <c r="D530" s="1" t="s">
        <v>10</v>
      </c>
    </row>
    <row r="531" spans="2:4" x14ac:dyDescent="0.25">
      <c r="B531" s="2">
        <v>9.7222222222222224E-2</v>
      </c>
      <c r="C531" s="2">
        <v>0.11319444444444444</v>
      </c>
      <c r="D531" s="1" t="s">
        <v>10</v>
      </c>
    </row>
    <row r="532" spans="2:4" x14ac:dyDescent="0.25">
      <c r="B532" s="2">
        <v>0.33749999999999997</v>
      </c>
      <c r="C532" s="2">
        <v>0.35486111111111113</v>
      </c>
      <c r="D532" s="1" t="s">
        <v>10</v>
      </c>
    </row>
    <row r="533" spans="2:4" x14ac:dyDescent="0.25">
      <c r="B533" s="2">
        <v>0.73611111111111116</v>
      </c>
      <c r="C533" s="2">
        <v>0.75486111111111109</v>
      </c>
      <c r="D533" s="1" t="s">
        <v>10</v>
      </c>
    </row>
    <row r="534" spans="2:4" x14ac:dyDescent="0.25">
      <c r="B534" s="2">
        <v>0.76874999999999993</v>
      </c>
      <c r="C534" s="2">
        <v>0.78749999999999998</v>
      </c>
      <c r="D534" s="1" t="s">
        <v>10</v>
      </c>
    </row>
    <row r="535" spans="2:4" x14ac:dyDescent="0.25">
      <c r="B535" s="2">
        <v>0.4770833333333333</v>
      </c>
      <c r="C535" s="2">
        <v>0.49583333333333335</v>
      </c>
      <c r="D535" s="1" t="s">
        <v>10</v>
      </c>
    </row>
    <row r="536" spans="2:4" x14ac:dyDescent="0.25">
      <c r="B536" s="2">
        <v>0.48749999999999999</v>
      </c>
      <c r="C536" s="2">
        <v>0.50347222222222221</v>
      </c>
      <c r="D536" s="1" t="s">
        <v>10</v>
      </c>
    </row>
    <row r="537" spans="2:4" x14ac:dyDescent="0.25">
      <c r="B537" s="2">
        <v>0.72499999999999998</v>
      </c>
      <c r="C537" s="2">
        <v>0.74236111111111114</v>
      </c>
      <c r="D537" s="1" t="s">
        <v>10</v>
      </c>
    </row>
    <row r="538" spans="2:4" x14ac:dyDescent="0.25">
      <c r="B538" s="2">
        <v>0.72222222222222221</v>
      </c>
      <c r="C538" s="2">
        <v>0.76111111111111107</v>
      </c>
      <c r="D538" s="1" t="s">
        <v>10</v>
      </c>
    </row>
    <row r="539" spans="2:4" x14ac:dyDescent="0.25">
      <c r="B539" s="2">
        <v>0.73263888888888884</v>
      </c>
      <c r="C539" s="2">
        <v>0.75416666666666676</v>
      </c>
      <c r="D539" s="1" t="s">
        <v>10</v>
      </c>
    </row>
    <row r="540" spans="2:4" x14ac:dyDescent="0.25">
      <c r="B540" s="2">
        <v>0.85625000000000007</v>
      </c>
      <c r="C540" s="2">
        <v>0.87569444444444444</v>
      </c>
      <c r="D540" s="1" t="s">
        <v>10</v>
      </c>
    </row>
    <row r="541" spans="2:4" x14ac:dyDescent="0.25">
      <c r="B541" s="2">
        <v>0.80347222222222225</v>
      </c>
      <c r="C541" s="2">
        <v>0.82916666666666661</v>
      </c>
      <c r="D541" s="1" t="s">
        <v>10</v>
      </c>
    </row>
    <row r="542" spans="2:4" x14ac:dyDescent="0.25">
      <c r="B542" s="2">
        <v>0.98819444444444438</v>
      </c>
      <c r="C542" s="2">
        <v>2.7777777777777779E-3</v>
      </c>
      <c r="D542" s="1" t="s">
        <v>10</v>
      </c>
    </row>
    <row r="543" spans="2:4" x14ac:dyDescent="0.25">
      <c r="B543" s="2">
        <v>1.5972222222222224E-2</v>
      </c>
      <c r="C543" s="2">
        <v>4.5138888888888888E-2</v>
      </c>
      <c r="D543" s="1" t="s">
        <v>10</v>
      </c>
    </row>
    <row r="544" spans="2:4" x14ac:dyDescent="0.25">
      <c r="B544" s="2">
        <v>3.4722222222222224E-2</v>
      </c>
      <c r="C544" s="2">
        <v>5.7638888888888885E-2</v>
      </c>
      <c r="D544" s="1" t="s">
        <v>10</v>
      </c>
    </row>
    <row r="545" spans="1:4" x14ac:dyDescent="0.25">
      <c r="B545" s="2">
        <v>0.38263888888888892</v>
      </c>
      <c r="C545" s="2">
        <v>0.39999999999999997</v>
      </c>
      <c r="D545" s="1" t="s">
        <v>10</v>
      </c>
    </row>
    <row r="546" spans="1:4" x14ac:dyDescent="0.25">
      <c r="B546" s="2">
        <v>0.4069444444444445</v>
      </c>
      <c r="C546" s="2">
        <v>0.42499999999999999</v>
      </c>
      <c r="D546" s="1" t="s">
        <v>10</v>
      </c>
    </row>
    <row r="547" spans="1:4" x14ac:dyDescent="0.25">
      <c r="B547" s="2">
        <v>0.40069444444444446</v>
      </c>
      <c r="C547" s="2">
        <v>0.4201388888888889</v>
      </c>
      <c r="D547" s="1" t="s">
        <v>10</v>
      </c>
    </row>
    <row r="548" spans="1:4" x14ac:dyDescent="0.25">
      <c r="B548" s="2">
        <v>0.4604166666666667</v>
      </c>
      <c r="C548" s="2">
        <v>0.4916666666666667</v>
      </c>
      <c r="D548" s="1" t="s">
        <v>10</v>
      </c>
    </row>
    <row r="549" spans="1:4" x14ac:dyDescent="0.25">
      <c r="B549" s="2">
        <v>0.48194444444444445</v>
      </c>
      <c r="C549" s="2">
        <v>0.4916666666666667</v>
      </c>
      <c r="D549" s="1" t="s">
        <v>10</v>
      </c>
    </row>
    <row r="550" spans="1:4" x14ac:dyDescent="0.25">
      <c r="B550" s="2">
        <v>0.49583333333333335</v>
      </c>
      <c r="C550" s="2">
        <v>0.51180555555555551</v>
      </c>
      <c r="D550" s="1" t="s">
        <v>10</v>
      </c>
    </row>
    <row r="551" spans="1:4" x14ac:dyDescent="0.25">
      <c r="B551" s="2">
        <v>0.51527777777777783</v>
      </c>
      <c r="C551" s="2">
        <v>0.53402777777777777</v>
      </c>
      <c r="D551" s="1" t="s">
        <v>10</v>
      </c>
    </row>
    <row r="552" spans="1:4" x14ac:dyDescent="0.25">
      <c r="B552" s="2">
        <v>0.60763888888888895</v>
      </c>
      <c r="C552" s="2">
        <v>0.62777777777777777</v>
      </c>
      <c r="D552" s="1" t="s">
        <v>10</v>
      </c>
    </row>
    <row r="553" spans="1:4" x14ac:dyDescent="0.25">
      <c r="B553" s="2">
        <v>0.64444444444444449</v>
      </c>
      <c r="C553" s="2">
        <v>0.66875000000000007</v>
      </c>
      <c r="D553" s="1" t="s">
        <v>10</v>
      </c>
    </row>
    <row r="554" spans="1:4" x14ac:dyDescent="0.25">
      <c r="B554" s="2">
        <v>0.71458333333333324</v>
      </c>
      <c r="C554" s="2">
        <v>0.73125000000000007</v>
      </c>
      <c r="D554" s="1" t="s">
        <v>10</v>
      </c>
    </row>
    <row r="555" spans="1:4" x14ac:dyDescent="0.25">
      <c r="B555" s="2">
        <v>0.96805555555555556</v>
      </c>
      <c r="C555" s="2">
        <v>0.98472222222222217</v>
      </c>
      <c r="D555" s="1" t="s">
        <v>10</v>
      </c>
    </row>
    <row r="556" spans="1:4" x14ac:dyDescent="0.25">
      <c r="A556" s="4">
        <v>0.52569444444444446</v>
      </c>
      <c r="B556" s="2">
        <v>0.40902777777777777</v>
      </c>
      <c r="C556" s="2">
        <v>0.42152777777777778</v>
      </c>
      <c r="D556" s="1" t="s">
        <v>8</v>
      </c>
    </row>
    <row r="557" spans="1:4" x14ac:dyDescent="0.25">
      <c r="A557" s="4">
        <v>0.59513888888888888</v>
      </c>
      <c r="B557" s="2">
        <v>0.4375</v>
      </c>
      <c r="C557" s="2">
        <v>0.45624999999999999</v>
      </c>
      <c r="D557" s="1" t="s">
        <v>8</v>
      </c>
    </row>
    <row r="558" spans="1:4" x14ac:dyDescent="0.25">
      <c r="A558" s="4">
        <v>4.5138888888888888E-2</v>
      </c>
      <c r="B558" s="2">
        <v>0.74305555555555547</v>
      </c>
      <c r="C558" s="2">
        <v>0.7583333333333333</v>
      </c>
      <c r="D558" s="1" t="s">
        <v>8</v>
      </c>
    </row>
    <row r="559" spans="1:4" x14ac:dyDescent="0.25">
      <c r="A559" s="4">
        <v>0.34722222222222227</v>
      </c>
      <c r="B559" s="2">
        <v>0.94652777777777775</v>
      </c>
      <c r="C559" s="2">
        <v>0.97986111111111107</v>
      </c>
      <c r="D559" s="1" t="s">
        <v>8</v>
      </c>
    </row>
    <row r="560" spans="1:4" x14ac:dyDescent="0.25">
      <c r="A560" s="4">
        <v>0.68055555555555547</v>
      </c>
      <c r="B560" s="2">
        <v>0.21249999999999999</v>
      </c>
      <c r="C560" s="2">
        <v>0.22291666666666665</v>
      </c>
      <c r="D560" s="1" t="s">
        <v>8</v>
      </c>
    </row>
    <row r="561" spans="1:4" x14ac:dyDescent="0.25">
      <c r="A561" s="4">
        <v>0.91666666666666663</v>
      </c>
      <c r="B561" s="2">
        <v>0.22013888888888888</v>
      </c>
      <c r="C561" s="2">
        <v>0.2298611111111111</v>
      </c>
      <c r="D561" s="1" t="s">
        <v>8</v>
      </c>
    </row>
    <row r="562" spans="1:4" x14ac:dyDescent="0.25">
      <c r="A562" s="4">
        <v>0.94444444444444453</v>
      </c>
      <c r="B562" s="2">
        <v>0.33333333333333331</v>
      </c>
      <c r="C562" s="2">
        <v>0.34236111111111112</v>
      </c>
      <c r="D562" s="1" t="s">
        <v>8</v>
      </c>
    </row>
    <row r="563" spans="1:4" x14ac:dyDescent="0.25">
      <c r="A563" s="4">
        <v>0.96875</v>
      </c>
      <c r="B563" s="2">
        <v>3.4722222222222224E-2</v>
      </c>
      <c r="C563" s="2">
        <v>6.1805555555555558E-2</v>
      </c>
      <c r="D563" s="1" t="s">
        <v>8</v>
      </c>
    </row>
    <row r="564" spans="1:4" x14ac:dyDescent="0.25">
      <c r="A564" s="4">
        <v>0.35416666666666669</v>
      </c>
      <c r="B564" s="2">
        <v>0.3354166666666667</v>
      </c>
      <c r="C564" s="2">
        <v>0.33819444444444446</v>
      </c>
      <c r="D564" s="1" t="s">
        <v>8</v>
      </c>
    </row>
    <row r="565" spans="1:4" x14ac:dyDescent="0.25">
      <c r="A565" s="4">
        <v>0.60416666666666663</v>
      </c>
      <c r="B565" s="2">
        <v>0.66527777777777775</v>
      </c>
      <c r="C565" s="2">
        <v>0.67847222222222225</v>
      </c>
      <c r="D565" s="1" t="s">
        <v>8</v>
      </c>
    </row>
    <row r="566" spans="1:4" x14ac:dyDescent="0.25">
      <c r="A566" s="4">
        <v>0.63541666666666663</v>
      </c>
      <c r="B566" s="2">
        <v>0.32916666666666666</v>
      </c>
      <c r="C566" s="2">
        <v>0.34027777777777773</v>
      </c>
      <c r="D566" s="1" t="s">
        <v>8</v>
      </c>
    </row>
    <row r="567" spans="1:4" x14ac:dyDescent="0.25">
      <c r="A567" s="4">
        <v>0.70486111111111116</v>
      </c>
      <c r="B567" s="2">
        <v>0.44097222222222227</v>
      </c>
      <c r="C567" s="2">
        <v>0.46111111111111108</v>
      </c>
      <c r="D567" s="1" t="s">
        <v>8</v>
      </c>
    </row>
    <row r="568" spans="1:4" x14ac:dyDescent="0.25">
      <c r="A568" s="4">
        <v>0.3923611111111111</v>
      </c>
      <c r="B568" s="2">
        <v>0.28541666666666665</v>
      </c>
      <c r="C568" s="2">
        <v>0.3263888888888889</v>
      </c>
      <c r="D568" s="1" t="s">
        <v>8</v>
      </c>
    </row>
    <row r="569" spans="1:4" x14ac:dyDescent="0.25">
      <c r="A569" s="3">
        <v>1.0208333333333333</v>
      </c>
      <c r="B569" s="2">
        <v>0.14375000000000002</v>
      </c>
      <c r="C569" s="2">
        <v>0.16180555555555556</v>
      </c>
      <c r="D569" s="1" t="s">
        <v>8</v>
      </c>
    </row>
    <row r="570" spans="1:4" x14ac:dyDescent="0.25">
      <c r="A570" s="4">
        <v>0.33680555555555558</v>
      </c>
      <c r="B570" s="2">
        <v>0.48888888888888887</v>
      </c>
      <c r="C570" s="2">
        <v>0.5083333333333333</v>
      </c>
      <c r="D570" s="1" t="s">
        <v>8</v>
      </c>
    </row>
    <row r="571" spans="1:4" x14ac:dyDescent="0.25">
      <c r="A571" s="4">
        <v>0.99097222222222225</v>
      </c>
      <c r="B571" s="2">
        <v>0.28958333333333336</v>
      </c>
      <c r="C571" s="2">
        <v>0.30486111111111108</v>
      </c>
      <c r="D571" s="1" t="s">
        <v>8</v>
      </c>
    </row>
    <row r="572" spans="1:4" x14ac:dyDescent="0.25">
      <c r="A572" s="4">
        <v>0.83194444444444438</v>
      </c>
      <c r="B572" s="2">
        <v>0.10208333333333335</v>
      </c>
      <c r="C572" s="2">
        <v>0.11944444444444445</v>
      </c>
      <c r="D572" s="1" t="s">
        <v>8</v>
      </c>
    </row>
    <row r="573" spans="1:4" x14ac:dyDescent="0.25">
      <c r="A573" s="4">
        <v>0.50694444444444442</v>
      </c>
      <c r="B573" s="2">
        <v>0.87847222222222221</v>
      </c>
      <c r="C573" s="2">
        <v>0.89097222222222217</v>
      </c>
      <c r="D573" s="1" t="s">
        <v>8</v>
      </c>
    </row>
    <row r="574" spans="1:4" x14ac:dyDescent="0.25">
      <c r="A574" s="4">
        <v>0.57638888888888895</v>
      </c>
      <c r="B574" s="2">
        <v>0.33194444444444443</v>
      </c>
      <c r="C574" s="2">
        <v>0.34791666666666665</v>
      </c>
      <c r="D574" s="1" t="s">
        <v>8</v>
      </c>
    </row>
    <row r="575" spans="1:4" x14ac:dyDescent="0.25">
      <c r="A575" s="4">
        <v>0.28888888888888892</v>
      </c>
      <c r="B575" s="2">
        <v>0.61944444444444446</v>
      </c>
      <c r="C575" s="2">
        <v>0.63750000000000007</v>
      </c>
      <c r="D575" s="1" t="s">
        <v>8</v>
      </c>
    </row>
    <row r="576" spans="1:4" x14ac:dyDescent="0.25">
      <c r="A576" s="4">
        <v>0.51388888888888895</v>
      </c>
      <c r="B576" s="2">
        <v>0.73402777777777783</v>
      </c>
      <c r="C576" s="2">
        <v>0.74513888888888891</v>
      </c>
      <c r="D576" s="1" t="s">
        <v>8</v>
      </c>
    </row>
    <row r="577" spans="1:4" x14ac:dyDescent="0.25">
      <c r="A577" s="4">
        <v>0.9291666666666667</v>
      </c>
      <c r="B577" s="2">
        <v>0.70208333333333339</v>
      </c>
      <c r="C577" s="2">
        <v>0.7104166666666667</v>
      </c>
      <c r="D577" s="1" t="s">
        <v>8</v>
      </c>
    </row>
    <row r="578" spans="1:4" x14ac:dyDescent="0.25">
      <c r="A578" s="4">
        <v>0.85069444444444453</v>
      </c>
      <c r="B578" s="2">
        <v>0.37291666666666662</v>
      </c>
      <c r="C578" s="2">
        <v>0.41111111111111115</v>
      </c>
      <c r="D578" s="1" t="s">
        <v>8</v>
      </c>
    </row>
    <row r="579" spans="1:4" x14ac:dyDescent="0.25">
      <c r="A579" s="4">
        <v>0.65486111111111112</v>
      </c>
      <c r="B579" s="2">
        <v>0.98055555555555562</v>
      </c>
      <c r="C579" s="2">
        <v>0.98611111111111116</v>
      </c>
      <c r="D579" s="1" t="s">
        <v>8</v>
      </c>
    </row>
    <row r="580" spans="1:4" x14ac:dyDescent="0.25">
      <c r="A580" s="4">
        <v>0.73958333333333337</v>
      </c>
      <c r="B580" s="2">
        <v>0.26319444444444445</v>
      </c>
      <c r="C580" s="2">
        <v>0.27569444444444446</v>
      </c>
      <c r="D580" s="1" t="s">
        <v>8</v>
      </c>
    </row>
    <row r="581" spans="1:4" x14ac:dyDescent="0.25">
      <c r="A581" s="4">
        <v>0.75694444444444453</v>
      </c>
      <c r="B581" s="2">
        <v>0.48194444444444445</v>
      </c>
      <c r="C581" s="2">
        <v>0.49444444444444446</v>
      </c>
      <c r="D581" s="1" t="s">
        <v>8</v>
      </c>
    </row>
    <row r="582" spans="1:4" x14ac:dyDescent="0.25">
      <c r="A582" s="4">
        <v>0.97569444444444453</v>
      </c>
      <c r="B582" s="2">
        <v>0.50624999999999998</v>
      </c>
      <c r="C582" s="2">
        <v>0.53055555555555556</v>
      </c>
      <c r="D582" s="1" t="s">
        <v>8</v>
      </c>
    </row>
    <row r="583" spans="1:4" x14ac:dyDescent="0.25">
      <c r="A583" s="4">
        <v>0.18472222222222223</v>
      </c>
      <c r="B583" s="2">
        <v>0.52430555555555558</v>
      </c>
      <c r="C583" s="2">
        <v>0.53749999999999998</v>
      </c>
      <c r="D583" s="1" t="s">
        <v>8</v>
      </c>
    </row>
    <row r="584" spans="1:4" x14ac:dyDescent="0.25">
      <c r="A584" s="4">
        <v>0.65625</v>
      </c>
      <c r="B584" s="2">
        <v>0.73333333333333339</v>
      </c>
      <c r="C584" s="2">
        <v>0.75277777777777777</v>
      </c>
      <c r="D584" s="1" t="s">
        <v>8</v>
      </c>
    </row>
    <row r="585" spans="1:4" x14ac:dyDescent="0.25">
      <c r="A585" s="4">
        <v>0.875</v>
      </c>
      <c r="B585" s="2">
        <v>0.77708333333333324</v>
      </c>
      <c r="C585" s="2">
        <v>0.79652777777777783</v>
      </c>
      <c r="D585" s="1" t="s">
        <v>8</v>
      </c>
    </row>
    <row r="586" spans="1:4" x14ac:dyDescent="0.25">
      <c r="A586" s="4">
        <v>0.49305555555555558</v>
      </c>
      <c r="B586" s="2">
        <v>0.43333333333333335</v>
      </c>
      <c r="C586" s="2">
        <v>0.45416666666666666</v>
      </c>
      <c r="D586" s="1" t="s">
        <v>8</v>
      </c>
    </row>
    <row r="587" spans="1:4" x14ac:dyDescent="0.25">
      <c r="A587" s="4">
        <v>0.60555555555555551</v>
      </c>
      <c r="B587" s="2">
        <v>0.56736111111111109</v>
      </c>
      <c r="C587" s="2">
        <v>0.58611111111111114</v>
      </c>
      <c r="D587" s="1" t="s">
        <v>8</v>
      </c>
    </row>
    <row r="588" spans="1:4" x14ac:dyDescent="0.25">
      <c r="A588" s="4">
        <v>0.72777777777777775</v>
      </c>
      <c r="B588" s="2">
        <v>0.91388888888888886</v>
      </c>
      <c r="C588" s="2">
        <v>0.93472222222222223</v>
      </c>
      <c r="D588" s="1" t="s">
        <v>8</v>
      </c>
    </row>
    <row r="589" spans="1:4" x14ac:dyDescent="0.25">
      <c r="A589" s="4">
        <v>0.29166666666666669</v>
      </c>
      <c r="B589" s="2">
        <v>0.42430555555555555</v>
      </c>
      <c r="C589" s="2">
        <v>0.4465277777777778</v>
      </c>
      <c r="D589" s="1" t="s">
        <v>8</v>
      </c>
    </row>
    <row r="590" spans="1:4" x14ac:dyDescent="0.25">
      <c r="B590" s="2">
        <v>0.77500000000000002</v>
      </c>
      <c r="C590" s="2">
        <v>0.7909722222222223</v>
      </c>
      <c r="D590" s="1" t="s">
        <v>8</v>
      </c>
    </row>
    <row r="591" spans="1:4" x14ac:dyDescent="0.25">
      <c r="B591" s="2">
        <v>0.38541666666666669</v>
      </c>
      <c r="C591" s="2">
        <v>0.40625</v>
      </c>
      <c r="D591" s="1" t="s">
        <v>8</v>
      </c>
    </row>
    <row r="592" spans="1:4" x14ac:dyDescent="0.25">
      <c r="B592" s="2">
        <v>0.54999999999999993</v>
      </c>
      <c r="C592" s="2">
        <v>0.56874999999999998</v>
      </c>
      <c r="D592" s="1" t="s">
        <v>8</v>
      </c>
    </row>
    <row r="593" spans="1:4" x14ac:dyDescent="0.25">
      <c r="B593" s="2">
        <v>0.85833333333333339</v>
      </c>
      <c r="C593" s="2">
        <v>0.88402777777777775</v>
      </c>
      <c r="D593" s="1" t="s">
        <v>8</v>
      </c>
    </row>
    <row r="594" spans="1:4" x14ac:dyDescent="0.25">
      <c r="B594" s="2">
        <v>0.67291666666666661</v>
      </c>
      <c r="C594" s="2">
        <v>0.69305555555555554</v>
      </c>
      <c r="D594" s="1" t="s">
        <v>8</v>
      </c>
    </row>
    <row r="595" spans="1:4" x14ac:dyDescent="0.25">
      <c r="B595" s="2">
        <v>0.28541666666666665</v>
      </c>
      <c r="C595" s="2">
        <v>0.29166666666666669</v>
      </c>
      <c r="D595" s="1" t="s">
        <v>8</v>
      </c>
    </row>
    <row r="596" spans="1:4" x14ac:dyDescent="0.25">
      <c r="B596" s="2">
        <v>0.81805555555555554</v>
      </c>
      <c r="C596" s="2">
        <v>0.83124999999999993</v>
      </c>
      <c r="D596" s="1" t="s">
        <v>8</v>
      </c>
    </row>
    <row r="597" spans="1:4" x14ac:dyDescent="0.25">
      <c r="B597" s="2">
        <v>0.5625</v>
      </c>
      <c r="C597" s="2">
        <v>0.57916666666666672</v>
      </c>
      <c r="D597" s="1" t="s">
        <v>8</v>
      </c>
    </row>
    <row r="598" spans="1:4" x14ac:dyDescent="0.25">
      <c r="A598" t="s">
        <v>32</v>
      </c>
      <c r="B598" s="2">
        <v>8.0555555555555561E-2</v>
      </c>
      <c r="C598" s="2">
        <v>0.10277777777777779</v>
      </c>
      <c r="D598" s="1" t="s">
        <v>11</v>
      </c>
    </row>
    <row r="599" spans="1:4" x14ac:dyDescent="0.25">
      <c r="A599" s="4">
        <v>0.26041666666666669</v>
      </c>
      <c r="B599" s="2">
        <v>0.10416666666666667</v>
      </c>
      <c r="C599" s="2">
        <v>0.12430555555555556</v>
      </c>
      <c r="D599" s="1" t="s">
        <v>11</v>
      </c>
    </row>
    <row r="600" spans="1:4" x14ac:dyDescent="0.25">
      <c r="A600" s="4">
        <v>0.52569444444444446</v>
      </c>
      <c r="B600" s="2">
        <v>0.40902777777777777</v>
      </c>
      <c r="C600" s="2">
        <v>0.4284722222222222</v>
      </c>
      <c r="D600" s="1" t="s">
        <v>11</v>
      </c>
    </row>
    <row r="601" spans="1:4" x14ac:dyDescent="0.25">
      <c r="A601" s="4">
        <v>0.59513888888888888</v>
      </c>
      <c r="B601" s="2">
        <v>0.4375</v>
      </c>
      <c r="C601" s="2">
        <v>0.46111111111111108</v>
      </c>
      <c r="D601" s="1" t="s">
        <v>11</v>
      </c>
    </row>
    <row r="602" spans="1:4" x14ac:dyDescent="0.25">
      <c r="A602" s="4">
        <v>0.64583333333333337</v>
      </c>
      <c r="B602" s="2">
        <v>0.48819444444444443</v>
      </c>
      <c r="C602" s="2">
        <v>0.5131944444444444</v>
      </c>
      <c r="D602" s="1" t="s">
        <v>11</v>
      </c>
    </row>
    <row r="603" spans="1:4" x14ac:dyDescent="0.25">
      <c r="A603" s="4">
        <v>0.72222222222222221</v>
      </c>
      <c r="B603" s="2">
        <v>0.60416666666666663</v>
      </c>
      <c r="C603" s="2">
        <v>0.625</v>
      </c>
      <c r="D603" s="1" t="s">
        <v>11</v>
      </c>
    </row>
    <row r="604" spans="1:4" x14ac:dyDescent="0.25">
      <c r="A604" s="4">
        <v>0.85069444444444453</v>
      </c>
      <c r="B604" s="2">
        <v>0.76458333333333339</v>
      </c>
      <c r="C604" s="2">
        <v>0.78680555555555554</v>
      </c>
      <c r="D604" s="1" t="s">
        <v>11</v>
      </c>
    </row>
    <row r="605" spans="1:4" x14ac:dyDescent="0.25">
      <c r="A605" s="4">
        <v>4.5138888888888888E-2</v>
      </c>
      <c r="B605" s="2">
        <v>0.74305555555555547</v>
      </c>
      <c r="C605" s="2">
        <v>0.7680555555555556</v>
      </c>
      <c r="D605" s="1" t="s">
        <v>11</v>
      </c>
    </row>
    <row r="606" spans="1:4" x14ac:dyDescent="0.25">
      <c r="A606" s="4">
        <v>4.5138888888888888E-2</v>
      </c>
      <c r="B606" s="2">
        <v>0.75208333333333333</v>
      </c>
      <c r="C606" s="2">
        <v>0.77222222222222225</v>
      </c>
      <c r="D606" s="1" t="s">
        <v>11</v>
      </c>
    </row>
    <row r="607" spans="1:4" x14ac:dyDescent="0.25">
      <c r="A607" s="4">
        <v>0.21875</v>
      </c>
      <c r="B607" s="2">
        <v>0.85763888888888884</v>
      </c>
      <c r="C607" s="2">
        <v>0.89444444444444438</v>
      </c>
      <c r="D607" s="1" t="s">
        <v>11</v>
      </c>
    </row>
    <row r="608" spans="1:4" x14ac:dyDescent="0.25">
      <c r="A608" s="4">
        <v>0.16666666666666666</v>
      </c>
      <c r="B608" s="2">
        <v>0.91388888888888886</v>
      </c>
      <c r="C608" s="2">
        <v>0.93680555555555556</v>
      </c>
      <c r="D608" s="1" t="s">
        <v>11</v>
      </c>
    </row>
    <row r="609" spans="1:4" x14ac:dyDescent="0.25">
      <c r="A609" s="4">
        <v>0.57847222222222217</v>
      </c>
      <c r="B609" s="2">
        <v>0.16944444444444443</v>
      </c>
      <c r="C609" s="2">
        <v>0.19375000000000001</v>
      </c>
      <c r="D609" s="1" t="s">
        <v>11</v>
      </c>
    </row>
    <row r="610" spans="1:4" x14ac:dyDescent="0.25">
      <c r="A610" s="4">
        <v>0.65972222222222221</v>
      </c>
      <c r="B610" s="2">
        <v>4.027777777777778E-2</v>
      </c>
      <c r="C610" s="2">
        <v>6.1805555555555558E-2</v>
      </c>
      <c r="D610" s="1" t="s">
        <v>11</v>
      </c>
    </row>
    <row r="611" spans="1:4" x14ac:dyDescent="0.25">
      <c r="A611" s="4">
        <v>0.7006944444444444</v>
      </c>
      <c r="B611" s="2">
        <v>8.7500000000000008E-2</v>
      </c>
      <c r="C611" s="2">
        <v>0.10416666666666667</v>
      </c>
      <c r="D611" s="1" t="s">
        <v>11</v>
      </c>
    </row>
    <row r="612" spans="1:4" x14ac:dyDescent="0.25">
      <c r="A612" s="4">
        <v>0.72916666666666663</v>
      </c>
      <c r="B612" s="2">
        <v>0.21319444444444444</v>
      </c>
      <c r="C612" s="2">
        <v>0.24027777777777778</v>
      </c>
      <c r="D612" s="1" t="s">
        <v>11</v>
      </c>
    </row>
    <row r="613" spans="1:4" x14ac:dyDescent="0.25">
      <c r="A613" s="4">
        <v>0.86805555555555547</v>
      </c>
      <c r="B613" s="2">
        <v>0.22013888888888888</v>
      </c>
      <c r="C613" s="2">
        <v>0.24166666666666667</v>
      </c>
      <c r="D613" s="1" t="s">
        <v>11</v>
      </c>
    </row>
    <row r="614" spans="1:4" x14ac:dyDescent="0.25">
      <c r="A614" s="4">
        <v>0.41666666666666669</v>
      </c>
      <c r="B614" s="2">
        <v>0.9472222222222223</v>
      </c>
      <c r="C614" s="2">
        <v>0.96944444444444444</v>
      </c>
      <c r="D614" s="1" t="s">
        <v>11</v>
      </c>
    </row>
    <row r="615" spans="1:4" x14ac:dyDescent="0.25">
      <c r="A615" s="4">
        <v>0.41666666666666669</v>
      </c>
      <c r="B615" s="2">
        <v>1.8055555555555557E-2</v>
      </c>
      <c r="C615" s="2">
        <v>3.6111111111111115E-2</v>
      </c>
      <c r="D615" s="1" t="s">
        <v>11</v>
      </c>
    </row>
    <row r="616" spans="1:4" x14ac:dyDescent="0.25">
      <c r="A616" s="4">
        <v>0.45833333333333331</v>
      </c>
      <c r="B616" s="2">
        <v>0.3263888888888889</v>
      </c>
      <c r="C616" s="2">
        <v>0.35138888888888892</v>
      </c>
      <c r="D616" s="1" t="s">
        <v>11</v>
      </c>
    </row>
    <row r="617" spans="1:4" x14ac:dyDescent="0.25">
      <c r="A617" s="4">
        <v>0.45833333333333331</v>
      </c>
      <c r="B617" s="2">
        <v>0.46597222222222223</v>
      </c>
      <c r="C617" s="2">
        <v>0.4909722222222222</v>
      </c>
      <c r="D617" s="1" t="s">
        <v>11</v>
      </c>
    </row>
    <row r="618" spans="1:4" x14ac:dyDescent="0.25">
      <c r="A618" s="4">
        <v>0.57638888888888895</v>
      </c>
      <c r="B618" s="2">
        <v>0.68888888888888899</v>
      </c>
      <c r="C618" s="2">
        <v>0.71250000000000002</v>
      </c>
      <c r="D618" s="1" t="s">
        <v>11</v>
      </c>
    </row>
    <row r="619" spans="1:4" x14ac:dyDescent="0.25">
      <c r="A619" s="4">
        <v>0.65972222222222221</v>
      </c>
      <c r="B619" s="2">
        <v>0.71805555555555556</v>
      </c>
      <c r="C619" s="2">
        <v>0.73958333333333337</v>
      </c>
      <c r="D619" s="1" t="s">
        <v>11</v>
      </c>
    </row>
    <row r="620" spans="1:4" x14ac:dyDescent="0.25">
      <c r="A620" s="4">
        <v>0.80347222222222225</v>
      </c>
      <c r="B620" s="2">
        <v>0.83680555555555547</v>
      </c>
      <c r="C620" s="2">
        <v>0.86041666666666661</v>
      </c>
      <c r="D620" s="1" t="s">
        <v>11</v>
      </c>
    </row>
    <row r="621" spans="1:4" x14ac:dyDescent="0.25">
      <c r="A621" s="4">
        <v>0.80347222222222225</v>
      </c>
      <c r="B621" s="2">
        <v>0.97083333333333333</v>
      </c>
      <c r="C621" s="2">
        <v>0.9902777777777777</v>
      </c>
      <c r="D621" s="1" t="s">
        <v>11</v>
      </c>
    </row>
    <row r="622" spans="1:4" x14ac:dyDescent="0.25">
      <c r="A622" s="4">
        <v>0.9472222222222223</v>
      </c>
      <c r="B622" s="2">
        <v>0.85555555555555562</v>
      </c>
      <c r="C622" s="2">
        <v>0.87430555555555556</v>
      </c>
      <c r="D622" s="1" t="s">
        <v>11</v>
      </c>
    </row>
    <row r="623" spans="1:4" x14ac:dyDescent="0.25">
      <c r="A623" s="4">
        <v>9.375E-2</v>
      </c>
      <c r="B623" s="2">
        <v>0.17916666666666667</v>
      </c>
      <c r="C623" s="2">
        <v>0.21041666666666667</v>
      </c>
      <c r="D623" s="1" t="s">
        <v>11</v>
      </c>
    </row>
    <row r="624" spans="1:4" x14ac:dyDescent="0.25">
      <c r="A624" s="4">
        <v>0.14722222222222223</v>
      </c>
      <c r="B624" s="2">
        <v>0.44375000000000003</v>
      </c>
      <c r="C624" s="2">
        <v>0.4861111111111111</v>
      </c>
      <c r="D624" s="1" t="s">
        <v>11</v>
      </c>
    </row>
    <row r="625" spans="1:4" x14ac:dyDescent="0.25">
      <c r="A625" s="4">
        <v>0.70486111111111116</v>
      </c>
      <c r="B625" s="2">
        <v>0.44097222222222227</v>
      </c>
      <c r="C625" s="2">
        <v>0.4597222222222222</v>
      </c>
      <c r="D625" s="1" t="s">
        <v>11</v>
      </c>
    </row>
    <row r="626" spans="1:4" x14ac:dyDescent="0.25">
      <c r="A626" s="4">
        <v>0.2986111111111111</v>
      </c>
      <c r="B626" s="2">
        <v>0.71597222222222223</v>
      </c>
      <c r="C626" s="2">
        <v>0.73402777777777783</v>
      </c>
      <c r="D626" s="1" t="s">
        <v>11</v>
      </c>
    </row>
    <row r="627" spans="1:4" x14ac:dyDescent="0.25">
      <c r="A627" s="4">
        <v>0.46875</v>
      </c>
      <c r="B627" s="2">
        <v>0.25416666666666665</v>
      </c>
      <c r="C627" s="2">
        <v>0.28055555555555556</v>
      </c>
      <c r="D627" s="1" t="s">
        <v>11</v>
      </c>
    </row>
    <row r="628" spans="1:4" x14ac:dyDescent="0.25">
      <c r="A628" s="4">
        <v>0.46180555555555558</v>
      </c>
      <c r="B628" s="2">
        <v>0.81527777777777777</v>
      </c>
      <c r="C628" s="2">
        <v>0.8305555555555556</v>
      </c>
      <c r="D628" s="1" t="s">
        <v>11</v>
      </c>
    </row>
    <row r="629" spans="1:4" x14ac:dyDescent="0.25">
      <c r="A629" s="4">
        <v>0.59375</v>
      </c>
      <c r="B629" s="2">
        <v>0.87083333333333324</v>
      </c>
      <c r="C629" s="2">
        <v>0.88888888888888884</v>
      </c>
      <c r="D629" s="1" t="s">
        <v>11</v>
      </c>
    </row>
    <row r="630" spans="1:4" x14ac:dyDescent="0.25">
      <c r="A630" s="4">
        <v>0.7944444444444444</v>
      </c>
      <c r="B630" s="2">
        <v>0.83333333333333337</v>
      </c>
      <c r="C630" s="2">
        <v>0.84513888888888899</v>
      </c>
      <c r="D630" s="1" t="s">
        <v>11</v>
      </c>
    </row>
    <row r="631" spans="1:4" x14ac:dyDescent="0.25">
      <c r="A631" s="3">
        <v>1.0208333333333333</v>
      </c>
      <c r="B631" s="2">
        <v>0.14375000000000002</v>
      </c>
      <c r="C631" s="2">
        <v>0.17291666666666669</v>
      </c>
      <c r="D631" s="1" t="s">
        <v>11</v>
      </c>
    </row>
    <row r="632" spans="1:4" x14ac:dyDescent="0.25">
      <c r="A632" s="4">
        <v>0.15138888888888888</v>
      </c>
      <c r="B632" s="2">
        <v>0.48888888888888887</v>
      </c>
      <c r="C632" s="2">
        <v>0.51458333333333328</v>
      </c>
      <c r="D632" s="1" t="s">
        <v>11</v>
      </c>
    </row>
    <row r="633" spans="1:4" x14ac:dyDescent="0.25">
      <c r="A633" s="4">
        <v>0.52430555555555558</v>
      </c>
      <c r="B633" s="2">
        <v>0.48958333333333331</v>
      </c>
      <c r="C633" s="2">
        <v>0.51458333333333328</v>
      </c>
      <c r="D633" s="1" t="s">
        <v>11</v>
      </c>
    </row>
    <row r="634" spans="1:4" x14ac:dyDescent="0.25">
      <c r="A634" s="4">
        <v>0.51944444444444449</v>
      </c>
      <c r="B634" s="2">
        <v>0.76250000000000007</v>
      </c>
      <c r="C634" s="2">
        <v>0.78263888888888899</v>
      </c>
      <c r="D634" s="1" t="s">
        <v>11</v>
      </c>
    </row>
    <row r="635" spans="1:4" x14ac:dyDescent="0.25">
      <c r="A635" s="4">
        <v>0.42708333333333331</v>
      </c>
      <c r="B635" s="2">
        <v>0.47986111111111113</v>
      </c>
      <c r="C635" s="2">
        <v>0.50555555555555554</v>
      </c>
      <c r="D635" s="1" t="s">
        <v>11</v>
      </c>
    </row>
    <row r="636" spans="1:4" x14ac:dyDescent="0.25">
      <c r="A636" s="4">
        <v>0.55833333333333335</v>
      </c>
      <c r="B636" s="2">
        <v>0.54375000000000007</v>
      </c>
      <c r="C636" s="2">
        <v>0.56388888888888888</v>
      </c>
      <c r="D636" s="1" t="s">
        <v>11</v>
      </c>
    </row>
    <row r="637" spans="1:4" x14ac:dyDescent="0.25">
      <c r="A637" s="4">
        <v>0.98472222222222217</v>
      </c>
      <c r="B637" s="2">
        <v>3.9583333333333331E-2</v>
      </c>
      <c r="C637" s="2">
        <v>5.5555555555555552E-2</v>
      </c>
      <c r="D637" s="1" t="s">
        <v>11</v>
      </c>
    </row>
    <row r="638" spans="1:4" x14ac:dyDescent="0.25">
      <c r="A638" s="4">
        <v>0.99097222222222225</v>
      </c>
      <c r="B638" s="2">
        <v>0.28958333333333336</v>
      </c>
      <c r="C638" s="2">
        <v>0.31319444444444444</v>
      </c>
      <c r="D638" s="1" t="s">
        <v>11</v>
      </c>
    </row>
    <row r="639" spans="1:4" x14ac:dyDescent="0.25">
      <c r="A639" s="4">
        <v>0.98472222222222217</v>
      </c>
      <c r="B639" s="2">
        <v>0.54513888888888895</v>
      </c>
      <c r="C639" s="2">
        <v>0.56458333333333333</v>
      </c>
      <c r="D639" s="1" t="s">
        <v>11</v>
      </c>
    </row>
    <row r="640" spans="1:4" x14ac:dyDescent="0.25">
      <c r="A640" s="4">
        <v>0.35972222222222222</v>
      </c>
      <c r="B640" s="2">
        <v>0.52430555555555558</v>
      </c>
      <c r="C640" s="2">
        <v>0.55208333333333337</v>
      </c>
      <c r="D640" s="1" t="s">
        <v>11</v>
      </c>
    </row>
    <row r="641" spans="1:4" x14ac:dyDescent="0.25">
      <c r="A641" s="4">
        <v>0.52083333333333337</v>
      </c>
      <c r="B641" s="2">
        <v>0.64027777777777783</v>
      </c>
      <c r="C641" s="2">
        <v>0.65416666666666667</v>
      </c>
      <c r="D641" s="1" t="s">
        <v>11</v>
      </c>
    </row>
    <row r="642" spans="1:4" x14ac:dyDescent="0.25">
      <c r="A642" s="4">
        <v>0.62847222222222221</v>
      </c>
      <c r="B642" s="2">
        <v>0.76180555555555562</v>
      </c>
      <c r="C642" s="2">
        <v>0.78333333333333333</v>
      </c>
      <c r="D642" s="1" t="s">
        <v>11</v>
      </c>
    </row>
    <row r="643" spans="1:4" x14ac:dyDescent="0.25">
      <c r="A643" s="3">
        <v>1.0013888888888889</v>
      </c>
      <c r="B643" s="2">
        <v>0.27569444444444446</v>
      </c>
      <c r="C643" s="2">
        <v>0.2986111111111111</v>
      </c>
      <c r="D643" s="1" t="s">
        <v>11</v>
      </c>
    </row>
    <row r="644" spans="1:4" x14ac:dyDescent="0.25">
      <c r="A644" s="4">
        <v>0.43055555555555558</v>
      </c>
      <c r="B644" s="2">
        <v>0.42499999999999999</v>
      </c>
      <c r="C644" s="2">
        <v>0.4381944444444445</v>
      </c>
      <c r="D644" s="1" t="s">
        <v>11</v>
      </c>
    </row>
    <row r="645" spans="1:4" x14ac:dyDescent="0.25">
      <c r="A645" s="4">
        <v>0.46249999999999997</v>
      </c>
      <c r="B645" s="2">
        <v>0.66666666666666663</v>
      </c>
      <c r="C645" s="2">
        <v>0.71597222222222223</v>
      </c>
      <c r="D645" s="1" t="s">
        <v>11</v>
      </c>
    </row>
    <row r="646" spans="1:4" x14ac:dyDescent="0.25">
      <c r="A646" s="4">
        <v>0.52430555555555558</v>
      </c>
      <c r="B646" s="2">
        <v>0.38750000000000001</v>
      </c>
      <c r="C646" s="2">
        <v>0.43333333333333335</v>
      </c>
      <c r="D646" s="1" t="s">
        <v>11</v>
      </c>
    </row>
    <row r="647" spans="1:4" x14ac:dyDescent="0.25">
      <c r="A647" s="4">
        <v>0.50347222222222221</v>
      </c>
      <c r="B647" s="2">
        <v>0.41805555555555557</v>
      </c>
      <c r="C647" s="2">
        <v>0.43472222222222223</v>
      </c>
      <c r="D647" s="1" t="s">
        <v>11</v>
      </c>
    </row>
    <row r="648" spans="1:4" x14ac:dyDescent="0.25">
      <c r="A648" s="4">
        <v>0.97361111111111109</v>
      </c>
      <c r="B648" s="2">
        <v>0.49583333333333335</v>
      </c>
      <c r="C648" s="2">
        <v>0.51527777777777783</v>
      </c>
      <c r="D648" s="1" t="s">
        <v>11</v>
      </c>
    </row>
    <row r="649" spans="1:4" x14ac:dyDescent="0.25">
      <c r="A649" s="4">
        <v>0.3611111111111111</v>
      </c>
      <c r="B649" s="2">
        <v>0.71597222222222223</v>
      </c>
      <c r="C649" s="2">
        <v>0.73402777777777783</v>
      </c>
      <c r="D649" s="1" t="s">
        <v>11</v>
      </c>
    </row>
    <row r="650" spans="1:4" x14ac:dyDescent="0.25">
      <c r="A650" s="4">
        <v>0.50694444444444442</v>
      </c>
      <c r="B650" s="2">
        <v>0.87847222222222221</v>
      </c>
      <c r="C650" s="2">
        <v>0.89722222222222225</v>
      </c>
      <c r="D650" s="1" t="s">
        <v>11</v>
      </c>
    </row>
    <row r="651" spans="1:4" x14ac:dyDescent="0.25">
      <c r="A651" s="4">
        <v>0.10486111111111111</v>
      </c>
      <c r="B651" s="2">
        <v>0.55763888888888891</v>
      </c>
      <c r="C651" s="2">
        <v>0.58611111111111114</v>
      </c>
      <c r="D651" s="1" t="s">
        <v>11</v>
      </c>
    </row>
    <row r="652" spans="1:4" x14ac:dyDescent="0.25">
      <c r="A652" s="4">
        <v>0.29166666666666669</v>
      </c>
      <c r="B652" s="2">
        <v>0.62152777777777779</v>
      </c>
      <c r="C652" s="2">
        <v>0.64027777777777783</v>
      </c>
      <c r="D652" s="1" t="s">
        <v>11</v>
      </c>
    </row>
    <row r="653" spans="1:4" x14ac:dyDescent="0.25">
      <c r="A653" s="4">
        <v>7.2916666666666671E-2</v>
      </c>
      <c r="B653" s="2">
        <v>0.54583333333333328</v>
      </c>
      <c r="C653" s="2">
        <v>0.57500000000000007</v>
      </c>
      <c r="D653" s="1" t="s">
        <v>11</v>
      </c>
    </row>
    <row r="654" spans="1:4" x14ac:dyDescent="0.25">
      <c r="A654" s="4">
        <v>0.52777777777777779</v>
      </c>
      <c r="B654" s="2">
        <v>0.6791666666666667</v>
      </c>
      <c r="C654" s="2">
        <v>0.69930555555555562</v>
      </c>
      <c r="D654" s="1" t="s">
        <v>11</v>
      </c>
    </row>
    <row r="655" spans="1:4" x14ac:dyDescent="0.25">
      <c r="A655" s="4">
        <v>0.9291666666666667</v>
      </c>
      <c r="B655" s="2">
        <v>0.70208333333333339</v>
      </c>
      <c r="C655" s="2">
        <v>0.71736111111111101</v>
      </c>
      <c r="D655" s="1" t="s">
        <v>11</v>
      </c>
    </row>
    <row r="656" spans="1:4" x14ac:dyDescent="0.25">
      <c r="A656" s="4">
        <v>0.97916666666666663</v>
      </c>
      <c r="B656" s="2">
        <v>0.28958333333333336</v>
      </c>
      <c r="C656" s="2">
        <v>0.31111111111111112</v>
      </c>
      <c r="D656" s="1" t="s">
        <v>11</v>
      </c>
    </row>
    <row r="657" spans="1:4" x14ac:dyDescent="0.25">
      <c r="A657" s="4">
        <v>0.61458333333333337</v>
      </c>
      <c r="B657" s="2">
        <v>0.79861111111111116</v>
      </c>
      <c r="C657" s="2">
        <v>0.81666666666666676</v>
      </c>
      <c r="D657" s="1" t="s">
        <v>11</v>
      </c>
    </row>
    <row r="658" spans="1:4" x14ac:dyDescent="0.25">
      <c r="A658" s="4">
        <v>0.25</v>
      </c>
      <c r="B658" s="2">
        <v>0.3888888888888889</v>
      </c>
      <c r="C658" s="2">
        <v>0.41875000000000001</v>
      </c>
      <c r="D658" s="1" t="s">
        <v>11</v>
      </c>
    </row>
    <row r="659" spans="1:4" x14ac:dyDescent="0.25">
      <c r="A659" s="4">
        <v>0.3611111111111111</v>
      </c>
      <c r="B659" s="2">
        <v>0.64722222222222225</v>
      </c>
      <c r="C659" s="2">
        <v>0.67361111111111116</v>
      </c>
      <c r="D659" s="1" t="s">
        <v>11</v>
      </c>
    </row>
    <row r="660" spans="1:4" x14ac:dyDescent="0.25">
      <c r="A660" s="4">
        <v>0.36944444444444446</v>
      </c>
      <c r="B660" s="2">
        <v>0.70416666666666661</v>
      </c>
      <c r="C660" s="2">
        <v>0.71597222222222223</v>
      </c>
      <c r="D660" s="1" t="s">
        <v>11</v>
      </c>
    </row>
    <row r="661" spans="1:4" x14ac:dyDescent="0.25">
      <c r="A661" s="4">
        <v>0.33194444444444443</v>
      </c>
      <c r="B661" s="2">
        <v>0.73263888888888884</v>
      </c>
      <c r="C661" s="2">
        <v>0.79375000000000007</v>
      </c>
      <c r="D661" s="1" t="s">
        <v>11</v>
      </c>
    </row>
    <row r="662" spans="1:4" x14ac:dyDescent="0.25">
      <c r="A662" s="4">
        <v>0.67361111111111116</v>
      </c>
      <c r="B662" s="2">
        <v>0.26319444444444445</v>
      </c>
      <c r="C662" s="2">
        <v>0.28611111111111115</v>
      </c>
      <c r="D662" s="1" t="s">
        <v>11</v>
      </c>
    </row>
    <row r="663" spans="1:4" x14ac:dyDescent="0.25">
      <c r="A663" s="4">
        <v>0.72916666666666663</v>
      </c>
      <c r="B663" s="2">
        <v>0.39861111111111108</v>
      </c>
      <c r="C663" s="2">
        <v>0.41944444444444445</v>
      </c>
      <c r="D663" s="1" t="s">
        <v>11</v>
      </c>
    </row>
    <row r="664" spans="1:4" x14ac:dyDescent="0.25">
      <c r="A664" s="4">
        <v>0.72916666666666663</v>
      </c>
      <c r="B664" s="2">
        <v>0.38263888888888892</v>
      </c>
      <c r="C664" s="2">
        <v>0.40833333333333338</v>
      </c>
      <c r="D664" s="1" t="s">
        <v>11</v>
      </c>
    </row>
    <row r="665" spans="1:4" x14ac:dyDescent="0.25">
      <c r="A665" s="4">
        <v>0.81597222222222221</v>
      </c>
      <c r="B665" s="2">
        <v>0.5625</v>
      </c>
      <c r="C665" s="2">
        <v>0.58472222222222225</v>
      </c>
      <c r="D665" s="1" t="s">
        <v>11</v>
      </c>
    </row>
    <row r="666" spans="1:4" x14ac:dyDescent="0.25">
      <c r="A666" s="4">
        <v>0.65277777777777779</v>
      </c>
      <c r="B666" s="2">
        <v>0.53055555555555556</v>
      </c>
      <c r="C666" s="2">
        <v>0.55347222222222225</v>
      </c>
      <c r="D666" s="1" t="s">
        <v>11</v>
      </c>
    </row>
    <row r="667" spans="1:4" x14ac:dyDescent="0.25">
      <c r="A667" s="4">
        <v>0.26874999999999999</v>
      </c>
      <c r="B667" s="2">
        <v>5.5555555555555552E-2</v>
      </c>
      <c r="C667" s="2">
        <v>8.6111111111111124E-2</v>
      </c>
      <c r="D667" s="1" t="s">
        <v>11</v>
      </c>
    </row>
    <row r="668" spans="1:4" x14ac:dyDescent="0.25">
      <c r="A668" s="4">
        <v>0.26944444444444443</v>
      </c>
      <c r="B668" s="2">
        <v>0.31111111111111112</v>
      </c>
      <c r="C668" s="2">
        <v>0.3444444444444445</v>
      </c>
      <c r="D668" s="1" t="s">
        <v>11</v>
      </c>
    </row>
    <row r="669" spans="1:4" x14ac:dyDescent="0.25">
      <c r="A669" s="4">
        <v>0.26944444444444443</v>
      </c>
      <c r="B669" s="2">
        <v>0.55763888888888891</v>
      </c>
      <c r="C669" s="2">
        <v>0.58750000000000002</v>
      </c>
      <c r="D669" s="1" t="s">
        <v>11</v>
      </c>
    </row>
    <row r="670" spans="1:4" x14ac:dyDescent="0.25">
      <c r="A670" s="4">
        <v>0.34722222222222227</v>
      </c>
      <c r="B670" s="2">
        <v>0.44513888888888892</v>
      </c>
      <c r="C670" s="2">
        <v>0.46875</v>
      </c>
      <c r="D670" s="1" t="s">
        <v>11</v>
      </c>
    </row>
    <row r="671" spans="1:4" x14ac:dyDescent="0.25">
      <c r="A671" s="4">
        <v>0.41319444444444442</v>
      </c>
      <c r="B671" s="2">
        <v>0.4861111111111111</v>
      </c>
      <c r="C671" s="2">
        <v>0.52152777777777781</v>
      </c>
      <c r="D671" s="1" t="s">
        <v>11</v>
      </c>
    </row>
    <row r="672" spans="1:4" x14ac:dyDescent="0.25">
      <c r="A672" s="4">
        <v>0.875</v>
      </c>
      <c r="B672" s="2">
        <v>0.77708333333333324</v>
      </c>
      <c r="C672" s="2">
        <v>0.80138888888888893</v>
      </c>
      <c r="D672" s="1" t="s">
        <v>11</v>
      </c>
    </row>
    <row r="673" spans="1:4" x14ac:dyDescent="0.25">
      <c r="A673" s="4">
        <v>0.34722222222222227</v>
      </c>
      <c r="B673" s="2">
        <v>0.99722222222222223</v>
      </c>
      <c r="C673" s="2">
        <v>1.8055555555555557E-2</v>
      </c>
      <c r="D673" s="1" t="s">
        <v>11</v>
      </c>
    </row>
    <row r="674" spans="1:4" x14ac:dyDescent="0.25">
      <c r="A674" s="4">
        <v>0.4152777777777778</v>
      </c>
      <c r="B674" s="2">
        <v>0.19652777777777777</v>
      </c>
      <c r="C674" s="2">
        <v>0.21597222222222223</v>
      </c>
      <c r="D674" s="1" t="s">
        <v>11</v>
      </c>
    </row>
    <row r="675" spans="1:4" x14ac:dyDescent="0.25">
      <c r="A675" s="4">
        <v>0.49305555555555558</v>
      </c>
      <c r="B675" s="2">
        <v>0.36458333333333331</v>
      </c>
      <c r="C675" s="2">
        <v>0.37222222222222223</v>
      </c>
      <c r="D675" s="1" t="s">
        <v>11</v>
      </c>
    </row>
    <row r="676" spans="1:4" x14ac:dyDescent="0.25">
      <c r="A676" s="4">
        <v>0.50347222222222221</v>
      </c>
      <c r="B676" s="2">
        <v>0.4548611111111111</v>
      </c>
      <c r="C676" s="2">
        <v>0.49791666666666662</v>
      </c>
      <c r="D676" s="1" t="s">
        <v>11</v>
      </c>
    </row>
    <row r="677" spans="1:4" x14ac:dyDescent="0.25">
      <c r="A677" s="4">
        <v>0.64930555555555558</v>
      </c>
      <c r="B677" s="2">
        <v>0.62152777777777779</v>
      </c>
      <c r="C677" s="2">
        <v>0.65694444444444444</v>
      </c>
      <c r="D677" s="1" t="s">
        <v>11</v>
      </c>
    </row>
    <row r="678" spans="1:4" x14ac:dyDescent="0.25">
      <c r="A678" s="4">
        <v>0.65277777777777779</v>
      </c>
      <c r="B678" s="2">
        <v>0.67638888888888893</v>
      </c>
      <c r="C678" s="2">
        <v>0.70972222222222225</v>
      </c>
      <c r="D678" s="1" t="s">
        <v>11</v>
      </c>
    </row>
    <row r="679" spans="1:4" x14ac:dyDescent="0.25">
      <c r="A679" s="4">
        <v>0.97222222222222221</v>
      </c>
      <c r="B679" s="2">
        <v>8.819444444444445E-2</v>
      </c>
      <c r="C679" s="2">
        <v>0.10625</v>
      </c>
      <c r="D679" s="1" t="s">
        <v>11</v>
      </c>
    </row>
    <row r="680" spans="1:4" x14ac:dyDescent="0.25">
      <c r="A680" s="4">
        <v>0.56041666666666667</v>
      </c>
      <c r="B680" s="2">
        <v>0.81805555555555554</v>
      </c>
      <c r="C680" s="2">
        <v>0.83888888888888891</v>
      </c>
      <c r="D680" s="1" t="s">
        <v>11</v>
      </c>
    </row>
    <row r="681" spans="1:4" x14ac:dyDescent="0.25">
      <c r="A681" s="4">
        <v>0.54166666666666663</v>
      </c>
      <c r="B681" s="2">
        <v>0.92986111111111114</v>
      </c>
      <c r="C681" s="2">
        <v>0.9472222222222223</v>
      </c>
      <c r="D681" s="1" t="s">
        <v>11</v>
      </c>
    </row>
    <row r="682" spans="1:4" x14ac:dyDescent="0.25">
      <c r="A682" s="4">
        <v>0.75138888888888899</v>
      </c>
      <c r="B682" s="2">
        <v>0.39444444444444443</v>
      </c>
      <c r="C682" s="2">
        <v>0.4152777777777778</v>
      </c>
      <c r="D682" s="1" t="s">
        <v>11</v>
      </c>
    </row>
    <row r="683" spans="1:4" x14ac:dyDescent="0.25">
      <c r="A683" s="4">
        <v>0.92361111111111116</v>
      </c>
      <c r="B683" s="2">
        <v>0.4597222222222222</v>
      </c>
      <c r="C683" s="2">
        <v>0.48472222222222222</v>
      </c>
      <c r="D683" s="1" t="s">
        <v>11</v>
      </c>
    </row>
    <row r="684" spans="1:4" x14ac:dyDescent="0.25">
      <c r="A684" s="4">
        <v>0.20138888888888887</v>
      </c>
      <c r="B684" s="2">
        <v>0.40902777777777777</v>
      </c>
      <c r="C684" s="2">
        <v>0.42986111111111108</v>
      </c>
      <c r="D684" s="1" t="s">
        <v>11</v>
      </c>
    </row>
    <row r="685" spans="1:4" x14ac:dyDescent="0.25">
      <c r="A685" s="4">
        <v>0.20138888888888887</v>
      </c>
      <c r="B685" s="2">
        <v>0.4597222222222222</v>
      </c>
      <c r="C685" s="2">
        <v>0.48472222222222222</v>
      </c>
      <c r="D685" s="1" t="s">
        <v>11</v>
      </c>
    </row>
    <row r="686" spans="1:4" x14ac:dyDescent="0.25">
      <c r="A686" s="4">
        <v>0.27777777777777779</v>
      </c>
      <c r="B686" s="2">
        <v>0.42430555555555555</v>
      </c>
      <c r="C686" s="2">
        <v>0.45</v>
      </c>
      <c r="D686" s="1" t="s">
        <v>11</v>
      </c>
    </row>
    <row r="687" spans="1:4" x14ac:dyDescent="0.25">
      <c r="B687" s="2">
        <v>0.66875000000000007</v>
      </c>
      <c r="C687" s="2">
        <v>0.6875</v>
      </c>
      <c r="D687" s="1" t="s">
        <v>11</v>
      </c>
    </row>
    <row r="688" spans="1:4" x14ac:dyDescent="0.25">
      <c r="B688" s="2">
        <v>0.68194444444444446</v>
      </c>
      <c r="C688" s="2">
        <v>0.70138888888888884</v>
      </c>
      <c r="D688" s="1" t="s">
        <v>11</v>
      </c>
    </row>
    <row r="689" spans="2:4" x14ac:dyDescent="0.25">
      <c r="B689" s="2">
        <v>0.7597222222222223</v>
      </c>
      <c r="C689" s="2">
        <v>0.78055555555555556</v>
      </c>
      <c r="D689" s="1" t="s">
        <v>11</v>
      </c>
    </row>
    <row r="690" spans="2:4" x14ac:dyDescent="0.25">
      <c r="B690" s="2">
        <v>0.82013888888888886</v>
      </c>
      <c r="C690" s="2">
        <v>0.84513888888888899</v>
      </c>
      <c r="D690" s="1" t="s">
        <v>11</v>
      </c>
    </row>
    <row r="691" spans="2:4" x14ac:dyDescent="0.25">
      <c r="B691" s="2">
        <v>0.77500000000000002</v>
      </c>
      <c r="C691" s="2">
        <v>0.8041666666666667</v>
      </c>
      <c r="D691" s="1" t="s">
        <v>11</v>
      </c>
    </row>
    <row r="692" spans="2:4" x14ac:dyDescent="0.25">
      <c r="B692" s="2">
        <v>0.13402777777777777</v>
      </c>
      <c r="C692" s="2">
        <v>0.15416666666666667</v>
      </c>
      <c r="D692" s="1" t="s">
        <v>11</v>
      </c>
    </row>
    <row r="693" spans="2:4" x14ac:dyDescent="0.25">
      <c r="B693" s="2">
        <v>0.3888888888888889</v>
      </c>
      <c r="C693" s="2">
        <v>0.41111111111111115</v>
      </c>
      <c r="D693" s="1" t="s">
        <v>11</v>
      </c>
    </row>
    <row r="694" spans="2:4" x14ac:dyDescent="0.25">
      <c r="B694" s="2">
        <v>0.34791666666666665</v>
      </c>
      <c r="C694" s="2">
        <v>0.3666666666666667</v>
      </c>
      <c r="D694" s="1" t="s">
        <v>11</v>
      </c>
    </row>
    <row r="695" spans="2:4" x14ac:dyDescent="0.25">
      <c r="B695" s="2">
        <v>0.5805555555555556</v>
      </c>
      <c r="C695" s="2">
        <v>0.60138888888888886</v>
      </c>
      <c r="D695" s="1" t="s">
        <v>11</v>
      </c>
    </row>
    <row r="696" spans="2:4" x14ac:dyDescent="0.25">
      <c r="B696" s="2">
        <v>0.39305555555555555</v>
      </c>
      <c r="C696" s="2">
        <v>0.4145833333333333</v>
      </c>
      <c r="D696" s="1" t="s">
        <v>11</v>
      </c>
    </row>
    <row r="697" spans="2:4" x14ac:dyDescent="0.25">
      <c r="B697" s="2">
        <v>0.44791666666666669</v>
      </c>
      <c r="C697" s="2">
        <v>0.4680555555555555</v>
      </c>
      <c r="D697" s="1" t="s">
        <v>11</v>
      </c>
    </row>
    <row r="698" spans="2:4" x14ac:dyDescent="0.25">
      <c r="B698" s="2">
        <v>0.5493055555555556</v>
      </c>
      <c r="C698" s="2">
        <v>0.58124999999999993</v>
      </c>
      <c r="D698" s="1" t="s">
        <v>11</v>
      </c>
    </row>
    <row r="699" spans="2:4" x14ac:dyDescent="0.25">
      <c r="B699" s="2">
        <v>0.625</v>
      </c>
      <c r="C699" s="2">
        <v>0.6479166666666667</v>
      </c>
      <c r="D699" s="1" t="s">
        <v>11</v>
      </c>
    </row>
    <row r="700" spans="2:4" x14ac:dyDescent="0.25">
      <c r="B700" s="2">
        <v>0.68958333333333333</v>
      </c>
      <c r="C700" s="2">
        <v>0.72430555555555554</v>
      </c>
      <c r="D700" s="1" t="s">
        <v>11</v>
      </c>
    </row>
    <row r="701" spans="2:4" x14ac:dyDescent="0.25">
      <c r="B701" s="2">
        <v>0.68402777777777779</v>
      </c>
      <c r="C701" s="2">
        <v>0.70694444444444438</v>
      </c>
      <c r="D701" s="1" t="s">
        <v>11</v>
      </c>
    </row>
    <row r="702" spans="2:4" x14ac:dyDescent="0.25">
      <c r="B702" s="2">
        <v>0.7715277777777777</v>
      </c>
      <c r="C702" s="2">
        <v>0.80625000000000002</v>
      </c>
      <c r="D702" s="1" t="s">
        <v>11</v>
      </c>
    </row>
    <row r="703" spans="2:4" x14ac:dyDescent="0.25">
      <c r="B703" s="2">
        <v>0.85833333333333339</v>
      </c>
      <c r="C703" s="2">
        <v>0.8847222222222223</v>
      </c>
      <c r="D703" s="1" t="s">
        <v>11</v>
      </c>
    </row>
    <row r="704" spans="2:4" x14ac:dyDescent="0.25">
      <c r="B704" s="2">
        <v>0.93541666666666667</v>
      </c>
      <c r="C704" s="2">
        <v>0.96597222222222223</v>
      </c>
      <c r="D704" s="1" t="s">
        <v>11</v>
      </c>
    </row>
    <row r="705" spans="2:4" x14ac:dyDescent="0.25">
      <c r="B705" s="2">
        <v>0.94097222222222221</v>
      </c>
      <c r="C705" s="2">
        <v>0.96597222222222223</v>
      </c>
      <c r="D705" s="1" t="s">
        <v>11</v>
      </c>
    </row>
    <row r="706" spans="2:4" x14ac:dyDescent="0.25">
      <c r="B706" s="2">
        <v>0.15416666666666667</v>
      </c>
      <c r="C706" s="2">
        <v>0.17708333333333334</v>
      </c>
      <c r="D706" s="1" t="s">
        <v>11</v>
      </c>
    </row>
    <row r="707" spans="2:4" x14ac:dyDescent="0.25">
      <c r="B707" s="2">
        <v>0.53402777777777777</v>
      </c>
      <c r="C707" s="2">
        <v>0.55902777777777779</v>
      </c>
      <c r="D707" s="1" t="s">
        <v>11</v>
      </c>
    </row>
    <row r="708" spans="2:4" x14ac:dyDescent="0.25">
      <c r="B708" s="2">
        <v>0.67291666666666661</v>
      </c>
      <c r="C708" s="2">
        <v>0.7055555555555556</v>
      </c>
      <c r="D708" s="1" t="s">
        <v>11</v>
      </c>
    </row>
    <row r="709" spans="2:4" x14ac:dyDescent="0.25">
      <c r="B709" s="2">
        <v>0.6972222222222223</v>
      </c>
      <c r="C709" s="2">
        <v>0.72291666666666676</v>
      </c>
      <c r="D709" s="1" t="s">
        <v>11</v>
      </c>
    </row>
    <row r="710" spans="2:4" x14ac:dyDescent="0.25">
      <c r="B710" s="2">
        <v>0.82638888888888884</v>
      </c>
      <c r="C710" s="2">
        <v>0.85069444444444453</v>
      </c>
      <c r="D710" s="1" t="s">
        <v>11</v>
      </c>
    </row>
    <row r="711" spans="2:4" x14ac:dyDescent="0.25">
      <c r="B711" s="2">
        <v>0.47638888888888892</v>
      </c>
      <c r="C711" s="2">
        <v>0.5</v>
      </c>
      <c r="D711" s="1" t="s">
        <v>11</v>
      </c>
    </row>
    <row r="712" spans="2:4" x14ac:dyDescent="0.25">
      <c r="B712" s="2">
        <v>0.56874999999999998</v>
      </c>
      <c r="C712" s="2">
        <v>0.59444444444444444</v>
      </c>
      <c r="D712" s="1" t="s">
        <v>11</v>
      </c>
    </row>
    <row r="713" spans="2:4" x14ac:dyDescent="0.25">
      <c r="B713" s="2">
        <v>0.95347222222222217</v>
      </c>
      <c r="C713" s="2">
        <v>0.97222222222222221</v>
      </c>
      <c r="D713" s="1" t="s">
        <v>11</v>
      </c>
    </row>
    <row r="714" spans="2:4" x14ac:dyDescent="0.25">
      <c r="B714" s="2">
        <v>2.4999999999999998E-2</v>
      </c>
      <c r="C714" s="2">
        <v>4.0972222222222222E-2</v>
      </c>
      <c r="D714" s="1" t="s">
        <v>11</v>
      </c>
    </row>
    <row r="715" spans="2:4" x14ac:dyDescent="0.25">
      <c r="B715" s="2">
        <v>0.72499999999999998</v>
      </c>
      <c r="C715" s="2">
        <v>0.74791666666666667</v>
      </c>
      <c r="D715" s="1" t="s">
        <v>11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736"/>
  <sheetViews>
    <sheetView tabSelected="1" topLeftCell="C1" workbookViewId="0">
      <selection activeCell="H9" sqref="H9"/>
    </sheetView>
  </sheetViews>
  <sheetFormatPr defaultRowHeight="15" x14ac:dyDescent="0.25"/>
  <cols>
    <col min="1" max="1" width="15.7109375" customWidth="1"/>
    <col min="2" max="5" width="15.7109375" style="2" customWidth="1"/>
    <col min="6" max="6" width="15.7109375" style="1" customWidth="1"/>
    <col min="12" max="12" width="12" bestFit="1" customWidth="1"/>
    <col min="13" max="13" width="17" bestFit="1" customWidth="1"/>
  </cols>
  <sheetData>
    <row r="1" spans="1:13" s="1" customFormat="1" x14ac:dyDescent="0.25">
      <c r="B1" s="2" t="s">
        <v>4</v>
      </c>
      <c r="C1" s="2" t="s">
        <v>5</v>
      </c>
      <c r="D1" s="2" t="s">
        <v>13</v>
      </c>
      <c r="E1" s="2" t="s">
        <v>36</v>
      </c>
      <c r="F1" s="1" t="s">
        <v>2</v>
      </c>
    </row>
    <row r="2" spans="1:13" x14ac:dyDescent="0.25">
      <c r="B2" s="2">
        <v>0.14097222222222222</v>
      </c>
      <c r="C2" s="2">
        <v>0.15347222222222223</v>
      </c>
      <c r="D2" s="2">
        <f>C2-B2</f>
        <v>1.2500000000000011E-2</v>
      </c>
      <c r="E2" s="2">
        <f>ABS(D3-D2)</f>
        <v>1.8749999999999933E-2</v>
      </c>
      <c r="F2" s="1" t="s">
        <v>9</v>
      </c>
    </row>
    <row r="3" spans="1:13" x14ac:dyDescent="0.25">
      <c r="B3" s="2">
        <v>0.31041666666666667</v>
      </c>
      <c r="C3" s="2">
        <v>0.34166666666666662</v>
      </c>
      <c r="D3" s="2">
        <f t="shared" ref="D3:D65" si="0">C3-B3</f>
        <v>3.1249999999999944E-2</v>
      </c>
      <c r="E3" s="2">
        <f t="shared" ref="E3:E66" si="1">ABS(D4-D3)</f>
        <v>5.5511151231257827E-17</v>
      </c>
      <c r="F3" s="1" t="s">
        <v>9</v>
      </c>
      <c r="J3" s="1" t="s">
        <v>7</v>
      </c>
      <c r="K3" s="1" t="s">
        <v>15</v>
      </c>
      <c r="L3" s="1" t="s">
        <v>17</v>
      </c>
      <c r="M3" s="1" t="s">
        <v>16</v>
      </c>
    </row>
    <row r="4" spans="1:13" x14ac:dyDescent="0.25">
      <c r="B4" s="2">
        <v>0.43958333333333338</v>
      </c>
      <c r="C4" s="2">
        <v>0.47083333333333338</v>
      </c>
      <c r="D4" s="2">
        <f t="shared" si="0"/>
        <v>3.125E-2</v>
      </c>
      <c r="E4" s="2">
        <f t="shared" si="1"/>
        <v>6.9444444444444198E-3</v>
      </c>
      <c r="F4" s="1" t="s">
        <v>9</v>
      </c>
      <c r="H4" s="19">
        <v>42440</v>
      </c>
      <c r="I4" t="s">
        <v>19</v>
      </c>
      <c r="J4" t="s">
        <v>9</v>
      </c>
      <c r="K4">
        <f>COUNTIF(F2:F687,J4)</f>
        <v>66</v>
      </c>
      <c r="L4" s="6">
        <f>AVERAGE(D2:D67)</f>
        <v>2.412668350168351E-2</v>
      </c>
      <c r="M4" s="6">
        <f>AVERAGE(E2:E66)</f>
        <v>1.852564102564103E-2</v>
      </c>
    </row>
    <row r="5" spans="1:13" x14ac:dyDescent="0.25">
      <c r="A5" s="4"/>
      <c r="B5" s="2">
        <v>0.46527777777777773</v>
      </c>
      <c r="C5" s="2">
        <v>0.48958333333333331</v>
      </c>
      <c r="D5" s="2">
        <f t="shared" si="0"/>
        <v>2.430555555555558E-2</v>
      </c>
      <c r="E5" s="2">
        <f t="shared" si="1"/>
        <v>1.1111111111111183E-2</v>
      </c>
      <c r="F5" s="1" t="s">
        <v>9</v>
      </c>
      <c r="H5" s="19">
        <v>42440</v>
      </c>
      <c r="I5" t="s">
        <v>19</v>
      </c>
      <c r="J5" t="s">
        <v>3</v>
      </c>
      <c r="K5">
        <f>COUNTIF(F2:F687,J5)</f>
        <v>277</v>
      </c>
      <c r="L5" s="6">
        <f>AVERAGE(D411:D687)</f>
        <v>1.1028379462494979E-2</v>
      </c>
      <c r="M5" s="6">
        <f>AVERAGE(E411:E686)</f>
        <v>7.3948268921095062E-3</v>
      </c>
    </row>
    <row r="6" spans="1:13" x14ac:dyDescent="0.25">
      <c r="A6" s="4"/>
      <c r="B6" s="2">
        <v>0.54375000000000007</v>
      </c>
      <c r="C6" s="2">
        <v>0.55694444444444446</v>
      </c>
      <c r="D6" s="2">
        <f t="shared" si="0"/>
        <v>1.3194444444444398E-2</v>
      </c>
      <c r="E6" s="2">
        <f t="shared" si="1"/>
        <v>2.083333333333437E-3</v>
      </c>
      <c r="F6" s="1" t="s">
        <v>9</v>
      </c>
      <c r="H6" s="19">
        <v>42440</v>
      </c>
      <c r="I6" t="s">
        <v>19</v>
      </c>
      <c r="J6" t="s">
        <v>10</v>
      </c>
      <c r="K6">
        <f>COUNTIF(F2:F687,J6)</f>
        <v>204</v>
      </c>
      <c r="L6" s="6">
        <f>AVERAGE(D68:D271)</f>
        <v>1.8402777777777775E-2</v>
      </c>
      <c r="M6" s="6">
        <f>AVERAGE(E68:E270)</f>
        <v>7.033388067870832E-3</v>
      </c>
    </row>
    <row r="7" spans="1:13" x14ac:dyDescent="0.25">
      <c r="A7" s="4"/>
      <c r="B7" s="2">
        <v>0.7416666666666667</v>
      </c>
      <c r="C7" s="2">
        <v>0.75694444444444453</v>
      </c>
      <c r="D7" s="2">
        <f t="shared" si="0"/>
        <v>1.5277777777777835E-2</v>
      </c>
      <c r="E7" s="2">
        <f t="shared" si="1"/>
        <v>2.7777777777777679E-3</v>
      </c>
      <c r="F7" s="1" t="s">
        <v>9</v>
      </c>
      <c r="H7" s="19">
        <v>42440</v>
      </c>
      <c r="I7" t="s">
        <v>19</v>
      </c>
      <c r="J7" t="s">
        <v>8</v>
      </c>
      <c r="K7">
        <f>COUNTIF(F2:F687,J7)</f>
        <v>25</v>
      </c>
      <c r="L7" s="6">
        <f>AVERAGE(D386:D410)</f>
        <v>1.1333333333333327E-2</v>
      </c>
      <c r="M7" s="6">
        <f>AVERAGE(E386:E409)</f>
        <v>7.0601851851851659E-3</v>
      </c>
    </row>
    <row r="8" spans="1:13" x14ac:dyDescent="0.25">
      <c r="A8" s="4"/>
      <c r="B8" s="2">
        <v>0.74444444444444446</v>
      </c>
      <c r="C8" s="2">
        <v>0.75694444444444453</v>
      </c>
      <c r="D8" s="2">
        <f t="shared" si="0"/>
        <v>1.2500000000000067E-2</v>
      </c>
      <c r="E8" s="2">
        <f t="shared" si="1"/>
        <v>7.6388888888888618E-3</v>
      </c>
      <c r="F8" s="1" t="s">
        <v>9</v>
      </c>
      <c r="H8" s="19">
        <v>42440</v>
      </c>
      <c r="I8" t="s">
        <v>19</v>
      </c>
      <c r="J8" t="s">
        <v>11</v>
      </c>
      <c r="K8">
        <f>COUNTIF(F2:F687,J8)</f>
        <v>114</v>
      </c>
      <c r="L8" s="6">
        <f>AVERAGE(D272:D385)</f>
        <v>2.2386695906432757E-2</v>
      </c>
      <c r="M8" s="6">
        <f>AVERAGE(E272:E384)</f>
        <v>8.9233038348082543E-3</v>
      </c>
    </row>
    <row r="9" spans="1:13" x14ac:dyDescent="0.25">
      <c r="A9" s="4"/>
      <c r="B9" s="2">
        <v>0.44444444444444442</v>
      </c>
      <c r="C9" s="2">
        <v>0.46458333333333335</v>
      </c>
      <c r="D9" s="2">
        <f t="shared" si="0"/>
        <v>2.0138888888888928E-2</v>
      </c>
      <c r="E9" s="2">
        <f t="shared" si="1"/>
        <v>2.7777777777777679E-3</v>
      </c>
      <c r="F9" s="1" t="s">
        <v>9</v>
      </c>
    </row>
    <row r="10" spans="1:13" x14ac:dyDescent="0.25">
      <c r="A10" s="4"/>
      <c r="B10" s="2">
        <v>0.50763888888888886</v>
      </c>
      <c r="C10" s="2">
        <v>0.53055555555555556</v>
      </c>
      <c r="D10" s="2">
        <f t="shared" si="0"/>
        <v>2.2916666666666696E-2</v>
      </c>
      <c r="E10" s="2">
        <f t="shared" si="1"/>
        <v>2.7777777777777679E-3</v>
      </c>
      <c r="F10" s="1" t="s">
        <v>9</v>
      </c>
    </row>
    <row r="11" spans="1:13" x14ac:dyDescent="0.25">
      <c r="A11" s="4"/>
      <c r="B11" s="2">
        <v>0.62986111111111109</v>
      </c>
      <c r="C11" s="2">
        <v>0.65</v>
      </c>
      <c r="D11" s="2">
        <f t="shared" si="0"/>
        <v>2.0138888888888928E-2</v>
      </c>
      <c r="E11" s="2">
        <f t="shared" si="1"/>
        <v>2.0833333333332149E-3</v>
      </c>
      <c r="F11" s="1" t="s">
        <v>9</v>
      </c>
    </row>
    <row r="12" spans="1:13" x14ac:dyDescent="0.25">
      <c r="A12" s="4"/>
      <c r="B12" s="2">
        <v>0.71319444444444446</v>
      </c>
      <c r="C12" s="2">
        <v>0.73541666666666661</v>
      </c>
      <c r="D12" s="2">
        <f t="shared" si="0"/>
        <v>2.2222222222222143E-2</v>
      </c>
      <c r="E12" s="2">
        <f t="shared" si="1"/>
        <v>2.0833333333332704E-3</v>
      </c>
      <c r="F12" s="1" t="s">
        <v>9</v>
      </c>
    </row>
    <row r="13" spans="1:13" x14ac:dyDescent="0.25">
      <c r="A13" s="4"/>
      <c r="B13" s="2">
        <v>0.36041666666666666</v>
      </c>
      <c r="C13" s="2">
        <v>0.38055555555555554</v>
      </c>
      <c r="D13" s="2">
        <f t="shared" si="0"/>
        <v>2.0138888888888873E-2</v>
      </c>
      <c r="E13" s="2">
        <f t="shared" si="1"/>
        <v>2.0833333333332704E-3</v>
      </c>
      <c r="F13" s="1" t="s">
        <v>9</v>
      </c>
    </row>
    <row r="14" spans="1:13" x14ac:dyDescent="0.25">
      <c r="A14" s="4"/>
      <c r="B14" s="2">
        <v>0.59930555555555554</v>
      </c>
      <c r="C14" s="2">
        <v>0.61736111111111114</v>
      </c>
      <c r="D14" s="2">
        <f t="shared" si="0"/>
        <v>1.8055555555555602E-2</v>
      </c>
      <c r="E14" s="2">
        <f t="shared" si="1"/>
        <v>4.1666666666667074E-3</v>
      </c>
      <c r="F14" s="1" t="s">
        <v>9</v>
      </c>
    </row>
    <row r="15" spans="1:13" x14ac:dyDescent="0.25">
      <c r="A15" s="4"/>
      <c r="B15" s="2">
        <v>0.10416666666666667</v>
      </c>
      <c r="C15" s="2">
        <v>0.11805555555555557</v>
      </c>
      <c r="D15" s="2">
        <f t="shared" si="0"/>
        <v>1.3888888888888895E-2</v>
      </c>
      <c r="E15" s="2">
        <f t="shared" si="1"/>
        <v>2.0833333333334925E-3</v>
      </c>
      <c r="F15" s="1" t="s">
        <v>9</v>
      </c>
    </row>
    <row r="16" spans="1:13" x14ac:dyDescent="0.25">
      <c r="A16" s="4"/>
      <c r="B16" s="2">
        <v>0.94166666666666676</v>
      </c>
      <c r="C16" s="2">
        <v>0.95347222222222217</v>
      </c>
      <c r="D16" s="2">
        <f t="shared" si="0"/>
        <v>1.1805555555555403E-2</v>
      </c>
      <c r="E16" s="2">
        <f t="shared" si="1"/>
        <v>1.5612511283791264E-16</v>
      </c>
      <c r="F16" s="1" t="s">
        <v>9</v>
      </c>
    </row>
    <row r="17" spans="1:6" x14ac:dyDescent="0.25">
      <c r="A17" s="4"/>
      <c r="B17" s="2">
        <v>2.4999999999999998E-2</v>
      </c>
      <c r="C17" s="2">
        <v>3.6805555555555557E-2</v>
      </c>
      <c r="D17" s="2">
        <f t="shared" si="0"/>
        <v>1.1805555555555559E-2</v>
      </c>
      <c r="E17" s="2">
        <f t="shared" si="1"/>
        <v>1.0408340855860843E-17</v>
      </c>
      <c r="F17" s="1" t="s">
        <v>9</v>
      </c>
    </row>
    <row r="18" spans="1:6" x14ac:dyDescent="0.25">
      <c r="A18" s="4"/>
      <c r="B18" s="2">
        <v>0.34375</v>
      </c>
      <c r="C18" s="2">
        <v>0.35555555555555557</v>
      </c>
      <c r="D18" s="2">
        <f t="shared" si="0"/>
        <v>1.1805555555555569E-2</v>
      </c>
      <c r="E18" s="2">
        <f t="shared" si="1"/>
        <v>1.388888888888884E-3</v>
      </c>
      <c r="F18" s="1" t="s">
        <v>9</v>
      </c>
    </row>
    <row r="19" spans="1:6" x14ac:dyDescent="0.25">
      <c r="A19" s="4"/>
      <c r="B19" s="2">
        <v>0.36805555555555558</v>
      </c>
      <c r="C19" s="2">
        <v>0.38125000000000003</v>
      </c>
      <c r="D19" s="2">
        <f t="shared" si="0"/>
        <v>1.3194444444444453E-2</v>
      </c>
      <c r="E19" s="2">
        <f t="shared" si="1"/>
        <v>3.4722222222222099E-3</v>
      </c>
      <c r="F19" s="1" t="s">
        <v>9</v>
      </c>
    </row>
    <row r="20" spans="1:6" x14ac:dyDescent="0.25">
      <c r="A20" s="4"/>
      <c r="B20" s="2">
        <v>0.42222222222222222</v>
      </c>
      <c r="C20" s="2">
        <v>0.43888888888888888</v>
      </c>
      <c r="D20" s="2">
        <f t="shared" si="0"/>
        <v>1.6666666666666663E-2</v>
      </c>
      <c r="E20" s="2">
        <f t="shared" si="1"/>
        <v>5.5555555555555913E-3</v>
      </c>
      <c r="F20" s="1" t="s">
        <v>9</v>
      </c>
    </row>
    <row r="21" spans="1:6" x14ac:dyDescent="0.25">
      <c r="A21" s="4"/>
      <c r="B21" s="2">
        <v>0.4916666666666667</v>
      </c>
      <c r="C21" s="2">
        <v>0.50277777777777777</v>
      </c>
      <c r="D21" s="2">
        <f t="shared" si="0"/>
        <v>1.1111111111111072E-2</v>
      </c>
      <c r="E21" s="2">
        <f t="shared" si="1"/>
        <v>1.1111111111111183E-2</v>
      </c>
      <c r="F21" s="1" t="s">
        <v>9</v>
      </c>
    </row>
    <row r="22" spans="1:6" x14ac:dyDescent="0.25">
      <c r="A22" s="4"/>
      <c r="B22" s="2">
        <v>0.60069444444444442</v>
      </c>
      <c r="C22" s="2">
        <v>0.62291666666666667</v>
      </c>
      <c r="D22" s="2">
        <f t="shared" si="0"/>
        <v>2.2222222222222254E-2</v>
      </c>
      <c r="E22" s="2">
        <f t="shared" si="1"/>
        <v>1.3888888888888562E-3</v>
      </c>
      <c r="F22" s="1" t="s">
        <v>9</v>
      </c>
    </row>
    <row r="23" spans="1:6" x14ac:dyDescent="0.25">
      <c r="A23" s="4"/>
      <c r="B23" s="2">
        <v>3.4027777777777775E-2</v>
      </c>
      <c r="C23" s="2">
        <v>5.7638888888888885E-2</v>
      </c>
      <c r="D23" s="2">
        <f t="shared" si="0"/>
        <v>2.361111111111111E-2</v>
      </c>
      <c r="E23" s="2">
        <f t="shared" si="1"/>
        <v>4.1666666666666241E-3</v>
      </c>
      <c r="F23" s="1" t="s">
        <v>9</v>
      </c>
    </row>
    <row r="24" spans="1:6" x14ac:dyDescent="0.25">
      <c r="A24" s="4"/>
      <c r="B24" s="2">
        <v>0.66527777777777775</v>
      </c>
      <c r="C24" s="2">
        <v>0.68472222222222223</v>
      </c>
      <c r="D24" s="2">
        <f t="shared" si="0"/>
        <v>1.9444444444444486E-2</v>
      </c>
      <c r="E24" s="2">
        <f t="shared" si="1"/>
        <v>6.9444444444444198E-4</v>
      </c>
      <c r="F24" s="1" t="s">
        <v>9</v>
      </c>
    </row>
    <row r="25" spans="1:6" x14ac:dyDescent="0.25">
      <c r="A25" s="4"/>
      <c r="B25" s="2">
        <v>0.7090277777777777</v>
      </c>
      <c r="C25" s="2">
        <v>0.72916666666666663</v>
      </c>
      <c r="D25" s="2">
        <f t="shared" si="0"/>
        <v>2.0138888888888928E-2</v>
      </c>
      <c r="E25" s="2">
        <f t="shared" si="1"/>
        <v>6.9444444444444198E-3</v>
      </c>
      <c r="F25" s="1" t="s">
        <v>9</v>
      </c>
    </row>
    <row r="26" spans="1:6" x14ac:dyDescent="0.25">
      <c r="A26" s="4"/>
      <c r="B26" s="2">
        <v>0.7715277777777777</v>
      </c>
      <c r="C26" s="2">
        <v>0.78472222222222221</v>
      </c>
      <c r="D26" s="2">
        <f t="shared" si="0"/>
        <v>1.3194444444444509E-2</v>
      </c>
      <c r="E26" s="2">
        <f t="shared" si="1"/>
        <v>1.8749999999999933E-2</v>
      </c>
      <c r="F26" s="1" t="s">
        <v>9</v>
      </c>
    </row>
    <row r="27" spans="1:6" x14ac:dyDescent="0.25">
      <c r="A27" s="4"/>
      <c r="B27" s="2">
        <v>0.90277777777777779</v>
      </c>
      <c r="C27" s="2">
        <v>0.93472222222222223</v>
      </c>
      <c r="D27" s="2">
        <f t="shared" si="0"/>
        <v>3.1944444444444442E-2</v>
      </c>
      <c r="E27" s="2">
        <f t="shared" si="1"/>
        <v>1.1111111111111127E-2</v>
      </c>
      <c r="F27" s="1" t="s">
        <v>9</v>
      </c>
    </row>
    <row r="28" spans="1:6" x14ac:dyDescent="0.25">
      <c r="A28" s="4"/>
      <c r="B28" s="2">
        <v>0.3833333333333333</v>
      </c>
      <c r="C28" s="2">
        <v>0.40416666666666662</v>
      </c>
      <c r="D28" s="2">
        <f t="shared" si="0"/>
        <v>2.0833333333333315E-2</v>
      </c>
      <c r="E28" s="2">
        <f t="shared" si="1"/>
        <v>6.2499999999999223E-3</v>
      </c>
      <c r="F28" s="1" t="s">
        <v>9</v>
      </c>
    </row>
    <row r="29" spans="1:6" x14ac:dyDescent="0.25">
      <c r="A29" s="4"/>
      <c r="B29" s="2">
        <v>0.30694444444444441</v>
      </c>
      <c r="C29" s="2">
        <v>0.3215277777777778</v>
      </c>
      <c r="D29" s="2">
        <f t="shared" si="0"/>
        <v>1.4583333333333393E-2</v>
      </c>
      <c r="E29" s="2">
        <f t="shared" si="1"/>
        <v>4.1666666666667074E-3</v>
      </c>
      <c r="F29" s="1" t="s">
        <v>9</v>
      </c>
    </row>
    <row r="30" spans="1:6" x14ac:dyDescent="0.25">
      <c r="A30" s="4"/>
      <c r="B30" s="2">
        <v>0.41041666666666665</v>
      </c>
      <c r="C30" s="2">
        <v>0.42083333333333334</v>
      </c>
      <c r="D30" s="2">
        <f t="shared" si="0"/>
        <v>1.0416666666666685E-2</v>
      </c>
      <c r="E30" s="2">
        <f t="shared" si="1"/>
        <v>0.36111111111111116</v>
      </c>
      <c r="F30" s="1" t="s">
        <v>9</v>
      </c>
    </row>
    <row r="31" spans="1:6" x14ac:dyDescent="0.25">
      <c r="A31" s="4"/>
      <c r="B31" s="2">
        <v>0.27013888888888887</v>
      </c>
      <c r="C31" s="2">
        <v>0.64166666666666672</v>
      </c>
      <c r="D31" s="2">
        <f t="shared" si="0"/>
        <v>0.37152777777777785</v>
      </c>
      <c r="E31" s="2">
        <f t="shared" si="1"/>
        <v>0.34166666666666673</v>
      </c>
      <c r="F31" s="1" t="s">
        <v>9</v>
      </c>
    </row>
    <row r="32" spans="1:6" x14ac:dyDescent="0.25">
      <c r="A32" s="4"/>
      <c r="B32" s="2">
        <v>0.4284722222222222</v>
      </c>
      <c r="C32" s="2">
        <v>0.45833333333333331</v>
      </c>
      <c r="D32" s="2">
        <f t="shared" si="0"/>
        <v>2.9861111111111116E-2</v>
      </c>
      <c r="E32" s="2">
        <f t="shared" si="1"/>
        <v>9.7222222222221877E-3</v>
      </c>
      <c r="F32" s="1" t="s">
        <v>9</v>
      </c>
    </row>
    <row r="33" spans="1:6" x14ac:dyDescent="0.25">
      <c r="A33" s="4"/>
      <c r="B33" s="2">
        <v>0.56388888888888888</v>
      </c>
      <c r="C33" s="2">
        <v>0.58402777777777781</v>
      </c>
      <c r="D33" s="2">
        <f t="shared" si="0"/>
        <v>2.0138888888888928E-2</v>
      </c>
      <c r="E33" s="2">
        <f t="shared" si="1"/>
        <v>6.2499999999999778E-3</v>
      </c>
      <c r="F33" s="5" t="s">
        <v>9</v>
      </c>
    </row>
    <row r="34" spans="1:6" x14ac:dyDescent="0.25">
      <c r="A34" s="4"/>
      <c r="B34" s="2">
        <v>0.6333333333333333</v>
      </c>
      <c r="C34" s="2">
        <v>0.65972222222222221</v>
      </c>
      <c r="D34" s="2">
        <f t="shared" si="0"/>
        <v>2.6388888888888906E-2</v>
      </c>
      <c r="E34" s="2">
        <f t="shared" si="1"/>
        <v>1.1805555555555625E-2</v>
      </c>
      <c r="F34" s="1" t="s">
        <v>9</v>
      </c>
    </row>
    <row r="35" spans="1:6" x14ac:dyDescent="0.25">
      <c r="A35" s="4"/>
      <c r="B35" s="2">
        <v>0.72083333333333333</v>
      </c>
      <c r="C35" s="2">
        <v>0.73541666666666661</v>
      </c>
      <c r="D35" s="2">
        <f t="shared" si="0"/>
        <v>1.4583333333333282E-2</v>
      </c>
      <c r="E35" s="2">
        <f t="shared" si="1"/>
        <v>5.5555555555555913E-3</v>
      </c>
      <c r="F35" s="1" t="s">
        <v>9</v>
      </c>
    </row>
    <row r="36" spans="1:6" x14ac:dyDescent="0.25">
      <c r="A36" s="4"/>
      <c r="B36" s="2">
        <v>0.36944444444444446</v>
      </c>
      <c r="C36" s="2">
        <v>0.38958333333333334</v>
      </c>
      <c r="D36" s="2">
        <f t="shared" si="0"/>
        <v>2.0138888888888873E-2</v>
      </c>
      <c r="E36" s="2">
        <f t="shared" si="1"/>
        <v>3.4722222222222654E-3</v>
      </c>
      <c r="F36" s="1" t="s">
        <v>9</v>
      </c>
    </row>
    <row r="37" spans="1:6" x14ac:dyDescent="0.25">
      <c r="A37" s="4"/>
      <c r="B37" s="2">
        <v>0.35625000000000001</v>
      </c>
      <c r="C37" s="2">
        <v>0.37291666666666662</v>
      </c>
      <c r="D37" s="2">
        <f t="shared" si="0"/>
        <v>1.6666666666666607E-2</v>
      </c>
      <c r="E37" s="2">
        <f t="shared" si="1"/>
        <v>1.1111111111111072E-2</v>
      </c>
      <c r="F37" s="1" t="s">
        <v>9</v>
      </c>
    </row>
    <row r="38" spans="1:6" x14ac:dyDescent="0.25">
      <c r="A38" s="4"/>
      <c r="B38" s="2">
        <v>0.6743055555555556</v>
      </c>
      <c r="C38" s="2">
        <v>0.67986111111111114</v>
      </c>
      <c r="D38" s="2">
        <f t="shared" si="0"/>
        <v>5.5555555555555358E-3</v>
      </c>
      <c r="E38" s="2">
        <f t="shared" si="1"/>
        <v>1.2500000000000067E-2</v>
      </c>
      <c r="F38" s="1" t="s">
        <v>9</v>
      </c>
    </row>
    <row r="39" spans="1:6" x14ac:dyDescent="0.25">
      <c r="A39" s="4"/>
      <c r="B39" s="2">
        <v>0.46666666666666662</v>
      </c>
      <c r="C39" s="2">
        <v>0.48472222222222222</v>
      </c>
      <c r="D39" s="2">
        <f t="shared" si="0"/>
        <v>1.8055555555555602E-2</v>
      </c>
      <c r="E39" s="2">
        <f t="shared" si="1"/>
        <v>3.4722222222222099E-3</v>
      </c>
      <c r="F39" s="1" t="s">
        <v>9</v>
      </c>
    </row>
    <row r="40" spans="1:6" x14ac:dyDescent="0.25">
      <c r="A40" s="4"/>
      <c r="B40" s="2">
        <v>0.59305555555555556</v>
      </c>
      <c r="C40" s="2">
        <v>0.60763888888888895</v>
      </c>
      <c r="D40" s="2">
        <f t="shared" si="0"/>
        <v>1.4583333333333393E-2</v>
      </c>
      <c r="E40" s="2">
        <f t="shared" si="1"/>
        <v>6.9444444444444198E-4</v>
      </c>
      <c r="F40" s="1" t="s">
        <v>9</v>
      </c>
    </row>
    <row r="41" spans="1:6" x14ac:dyDescent="0.25">
      <c r="A41" s="4"/>
      <c r="B41" s="2">
        <v>0.64097222222222217</v>
      </c>
      <c r="C41" s="2">
        <v>0.65486111111111112</v>
      </c>
      <c r="D41" s="2">
        <f t="shared" si="0"/>
        <v>1.3888888888888951E-2</v>
      </c>
      <c r="E41" s="2">
        <f t="shared" si="1"/>
        <v>1.388888888888884E-3</v>
      </c>
      <c r="F41" s="1" t="s">
        <v>9</v>
      </c>
    </row>
    <row r="42" spans="1:6" x14ac:dyDescent="0.25">
      <c r="A42" s="4"/>
      <c r="B42" s="2">
        <v>0.81736111111111109</v>
      </c>
      <c r="C42" s="2">
        <v>0.82986111111111116</v>
      </c>
      <c r="D42" s="2">
        <f t="shared" si="0"/>
        <v>1.2500000000000067E-2</v>
      </c>
      <c r="E42" s="2">
        <f t="shared" si="1"/>
        <v>4.8611111111110661E-3</v>
      </c>
      <c r="F42" s="1" t="s">
        <v>9</v>
      </c>
    </row>
    <row r="43" spans="1:6" x14ac:dyDescent="0.25">
      <c r="A43" s="4"/>
      <c r="B43" s="2">
        <v>0.12708333333333333</v>
      </c>
      <c r="C43" s="2">
        <v>0.14444444444444446</v>
      </c>
      <c r="D43" s="2">
        <f t="shared" si="0"/>
        <v>1.7361111111111133E-2</v>
      </c>
      <c r="E43" s="2">
        <f t="shared" si="1"/>
        <v>4.1666666666666241E-3</v>
      </c>
      <c r="F43" s="1" t="s">
        <v>9</v>
      </c>
    </row>
    <row r="44" spans="1:6" x14ac:dyDescent="0.25">
      <c r="A44" s="4"/>
      <c r="B44" s="2">
        <v>0.8027777777777777</v>
      </c>
      <c r="C44" s="2">
        <v>0.81597222222222221</v>
      </c>
      <c r="D44" s="2">
        <f t="shared" si="0"/>
        <v>1.3194444444444509E-2</v>
      </c>
      <c r="E44" s="2">
        <f t="shared" si="1"/>
        <v>1.388888888888884E-3</v>
      </c>
      <c r="F44" s="1" t="s">
        <v>9</v>
      </c>
    </row>
    <row r="45" spans="1:6" x14ac:dyDescent="0.25">
      <c r="A45" s="4"/>
      <c r="B45" s="2">
        <v>0.8520833333333333</v>
      </c>
      <c r="C45" s="2">
        <v>0.8666666666666667</v>
      </c>
      <c r="D45" s="2">
        <f t="shared" si="0"/>
        <v>1.4583333333333393E-2</v>
      </c>
      <c r="E45" s="2">
        <f t="shared" si="1"/>
        <v>1.3888888888889499E-3</v>
      </c>
      <c r="F45" s="1" t="s">
        <v>9</v>
      </c>
    </row>
    <row r="46" spans="1:6" x14ac:dyDescent="0.25">
      <c r="A46" s="4"/>
      <c r="B46" s="2">
        <v>1.8055555555555557E-2</v>
      </c>
      <c r="C46" s="2">
        <v>3.125E-2</v>
      </c>
      <c r="D46" s="2">
        <f t="shared" si="0"/>
        <v>1.3194444444444443E-2</v>
      </c>
      <c r="E46" s="2">
        <f t="shared" si="1"/>
        <v>1.3888888888888905E-2</v>
      </c>
      <c r="F46" s="1" t="s">
        <v>9</v>
      </c>
    </row>
    <row r="47" spans="1:6" x14ac:dyDescent="0.25">
      <c r="A47" s="4"/>
      <c r="B47" s="2">
        <v>0.51458333333333328</v>
      </c>
      <c r="C47" s="2">
        <v>0.54166666666666663</v>
      </c>
      <c r="D47" s="2">
        <f t="shared" si="0"/>
        <v>2.7083333333333348E-2</v>
      </c>
      <c r="E47" s="2">
        <f t="shared" si="1"/>
        <v>1.388888888888884E-3</v>
      </c>
      <c r="F47" s="1" t="s">
        <v>9</v>
      </c>
    </row>
    <row r="48" spans="1:6" x14ac:dyDescent="0.25">
      <c r="A48" s="4"/>
      <c r="B48" s="2">
        <v>0.51666666666666672</v>
      </c>
      <c r="C48" s="2">
        <v>0.54513888888888895</v>
      </c>
      <c r="D48" s="2">
        <f t="shared" si="0"/>
        <v>2.8472222222222232E-2</v>
      </c>
      <c r="E48" s="2">
        <f t="shared" si="1"/>
        <v>4.8611111111110938E-3</v>
      </c>
      <c r="F48" s="1" t="s">
        <v>9</v>
      </c>
    </row>
    <row r="49" spans="1:6" x14ac:dyDescent="0.25">
      <c r="A49" s="4"/>
      <c r="B49" s="2">
        <v>0.80972222222222223</v>
      </c>
      <c r="C49" s="2">
        <v>0.83333333333333337</v>
      </c>
      <c r="D49" s="2">
        <f t="shared" si="0"/>
        <v>2.3611111111111138E-2</v>
      </c>
      <c r="E49" s="2">
        <f t="shared" si="1"/>
        <v>1.1805555555555514E-2</v>
      </c>
      <c r="F49" s="1" t="s">
        <v>9</v>
      </c>
    </row>
    <row r="50" spans="1:6" x14ac:dyDescent="0.25">
      <c r="A50" s="4"/>
      <c r="B50" s="2">
        <v>0.90416666666666667</v>
      </c>
      <c r="C50" s="2">
        <v>0.9159722222222223</v>
      </c>
      <c r="D50" s="2">
        <f t="shared" si="0"/>
        <v>1.1805555555555625E-2</v>
      </c>
      <c r="E50" s="2">
        <f t="shared" si="1"/>
        <v>4.1666666666665964E-3</v>
      </c>
      <c r="F50" s="1" t="s">
        <v>9</v>
      </c>
    </row>
    <row r="51" spans="1:6" x14ac:dyDescent="0.25">
      <c r="A51" s="4"/>
      <c r="B51" s="2">
        <v>0.18124999999999999</v>
      </c>
      <c r="C51" s="2">
        <v>0.19722222222222222</v>
      </c>
      <c r="D51" s="2">
        <f t="shared" si="0"/>
        <v>1.5972222222222221E-2</v>
      </c>
      <c r="E51" s="2">
        <f t="shared" si="1"/>
        <v>6.2500000000000021E-3</v>
      </c>
      <c r="F51" s="1" t="s">
        <v>9</v>
      </c>
    </row>
    <row r="52" spans="1:6" x14ac:dyDescent="0.25">
      <c r="A52" s="4"/>
      <c r="B52" s="2">
        <v>2.5694444444444447E-2</v>
      </c>
      <c r="C52" s="2">
        <v>3.5416666666666666E-2</v>
      </c>
      <c r="D52" s="2">
        <f t="shared" si="0"/>
        <v>9.7222222222222189E-3</v>
      </c>
      <c r="E52" s="2">
        <f t="shared" si="1"/>
        <v>2.7083333333333317E-2</v>
      </c>
      <c r="F52" s="1" t="s">
        <v>9</v>
      </c>
    </row>
    <row r="53" spans="1:6" x14ac:dyDescent="0.25">
      <c r="A53" s="4"/>
      <c r="B53" s="2">
        <v>0.49861111111111112</v>
      </c>
      <c r="C53" s="2">
        <v>0.53541666666666665</v>
      </c>
      <c r="D53" s="2">
        <f t="shared" si="0"/>
        <v>3.6805555555555536E-2</v>
      </c>
      <c r="E53" s="2">
        <f t="shared" si="1"/>
        <v>1.4583333333333282E-2</v>
      </c>
      <c r="F53" s="1" t="s">
        <v>9</v>
      </c>
    </row>
    <row r="54" spans="1:6" x14ac:dyDescent="0.25">
      <c r="A54" s="4"/>
      <c r="B54" s="2">
        <v>0.65972222222222221</v>
      </c>
      <c r="C54" s="2">
        <v>0.68194444444444446</v>
      </c>
      <c r="D54" s="2">
        <f t="shared" si="0"/>
        <v>2.2222222222222254E-2</v>
      </c>
      <c r="E54" s="2">
        <f t="shared" si="1"/>
        <v>1.1805555555555514E-2</v>
      </c>
      <c r="F54" s="1" t="s">
        <v>9</v>
      </c>
    </row>
    <row r="55" spans="1:6" x14ac:dyDescent="0.25">
      <c r="A55" s="4"/>
      <c r="B55" s="2">
        <v>0.68055555555555547</v>
      </c>
      <c r="C55" s="2">
        <v>0.69097222222222221</v>
      </c>
      <c r="D55" s="2">
        <f t="shared" si="0"/>
        <v>1.0416666666666741E-2</v>
      </c>
      <c r="E55" s="2">
        <f t="shared" si="1"/>
        <v>1.1102230246251565E-16</v>
      </c>
      <c r="F55" s="1" t="s">
        <v>9</v>
      </c>
    </row>
    <row r="56" spans="1:6" x14ac:dyDescent="0.25">
      <c r="A56" s="4"/>
      <c r="B56" s="2">
        <v>0.70138888888888884</v>
      </c>
      <c r="C56" s="2">
        <v>0.71180555555555547</v>
      </c>
      <c r="D56" s="2">
        <f t="shared" si="0"/>
        <v>1.041666666666663E-2</v>
      </c>
      <c r="E56" s="2">
        <f t="shared" si="1"/>
        <v>8.3333333333334147E-3</v>
      </c>
      <c r="F56" s="1" t="s">
        <v>9</v>
      </c>
    </row>
    <row r="57" spans="1:6" x14ac:dyDescent="0.25">
      <c r="A57" s="4"/>
      <c r="B57" s="2">
        <v>0.71527777777777779</v>
      </c>
      <c r="C57" s="2">
        <v>0.73402777777777783</v>
      </c>
      <c r="D57" s="2">
        <f t="shared" si="0"/>
        <v>1.8750000000000044E-2</v>
      </c>
      <c r="E57" s="2">
        <f t="shared" si="1"/>
        <v>6.9444444444449749E-4</v>
      </c>
      <c r="F57" s="1" t="s">
        <v>9</v>
      </c>
    </row>
    <row r="58" spans="1:6" x14ac:dyDescent="0.25">
      <c r="A58" s="4"/>
      <c r="B58" s="2">
        <v>0.27916666666666667</v>
      </c>
      <c r="C58" s="2">
        <v>0.29722222222222222</v>
      </c>
      <c r="D58" s="2">
        <f t="shared" si="0"/>
        <v>1.8055555555555547E-2</v>
      </c>
      <c r="E58" s="2">
        <f t="shared" si="1"/>
        <v>5.5555555555555636E-3</v>
      </c>
      <c r="F58" s="1" t="s">
        <v>9</v>
      </c>
    </row>
    <row r="59" spans="1:6" x14ac:dyDescent="0.25">
      <c r="A59" s="4"/>
      <c r="B59" s="2">
        <v>0.17222222222222225</v>
      </c>
      <c r="C59" s="2">
        <v>0.18472222222222223</v>
      </c>
      <c r="D59" s="2">
        <f t="shared" si="0"/>
        <v>1.2499999999999983E-2</v>
      </c>
      <c r="E59" s="2">
        <f t="shared" si="1"/>
        <v>1.3888888888888923E-2</v>
      </c>
      <c r="F59" s="1" t="s">
        <v>9</v>
      </c>
    </row>
    <row r="60" spans="1:6" x14ac:dyDescent="0.25">
      <c r="A60" s="4"/>
      <c r="B60" s="2">
        <v>0.45694444444444443</v>
      </c>
      <c r="C60" s="2">
        <v>0.48333333333333334</v>
      </c>
      <c r="D60" s="2">
        <f t="shared" si="0"/>
        <v>2.6388888888888906E-2</v>
      </c>
      <c r="E60" s="2">
        <f t="shared" si="1"/>
        <v>6.25E-2</v>
      </c>
      <c r="F60" s="1" t="s">
        <v>9</v>
      </c>
    </row>
    <row r="61" spans="1:6" x14ac:dyDescent="0.25">
      <c r="A61" s="4"/>
      <c r="B61" s="2">
        <v>0.36874999999999997</v>
      </c>
      <c r="C61" s="2">
        <v>0.45763888888888887</v>
      </c>
      <c r="D61" s="2">
        <f t="shared" si="0"/>
        <v>8.8888888888888906E-2</v>
      </c>
      <c r="E61" s="2">
        <f t="shared" si="1"/>
        <v>7.2222222222222243E-2</v>
      </c>
      <c r="F61" s="1" t="s">
        <v>9</v>
      </c>
    </row>
    <row r="62" spans="1:6" x14ac:dyDescent="0.25">
      <c r="A62" s="4"/>
      <c r="B62" s="2">
        <v>0.30763888888888891</v>
      </c>
      <c r="C62" s="2">
        <v>0.32430555555555557</v>
      </c>
      <c r="D62" s="2">
        <f t="shared" si="0"/>
        <v>1.6666666666666663E-2</v>
      </c>
      <c r="E62" s="2">
        <f t="shared" si="1"/>
        <v>0</v>
      </c>
      <c r="F62" s="1" t="s">
        <v>9</v>
      </c>
    </row>
    <row r="63" spans="1:6" x14ac:dyDescent="0.25">
      <c r="A63" s="4"/>
      <c r="B63" s="2">
        <v>0.30763888888888891</v>
      </c>
      <c r="C63" s="2">
        <v>0.32430555555555557</v>
      </c>
      <c r="D63" s="2">
        <f t="shared" si="0"/>
        <v>1.6666666666666663E-2</v>
      </c>
      <c r="E63" s="2">
        <f t="shared" si="1"/>
        <v>6.2500000000000333E-3</v>
      </c>
      <c r="F63" s="1" t="s">
        <v>9</v>
      </c>
    </row>
    <row r="64" spans="1:6" x14ac:dyDescent="0.25">
      <c r="A64" s="4"/>
      <c r="B64" s="2">
        <v>0.59513888888888888</v>
      </c>
      <c r="C64" s="2">
        <v>0.60555555555555551</v>
      </c>
      <c r="D64" s="2">
        <f t="shared" si="0"/>
        <v>1.041666666666663E-2</v>
      </c>
      <c r="E64" s="2">
        <f t="shared" si="1"/>
        <v>2.0833333333333259E-3</v>
      </c>
      <c r="F64" s="1" t="s">
        <v>9</v>
      </c>
    </row>
    <row r="65" spans="1:6" x14ac:dyDescent="0.25">
      <c r="A65" s="4"/>
      <c r="B65" s="2">
        <v>0.46180555555555558</v>
      </c>
      <c r="C65" s="2">
        <v>0.47430555555555554</v>
      </c>
      <c r="D65" s="2">
        <f t="shared" si="0"/>
        <v>1.2499999999999956E-2</v>
      </c>
      <c r="E65" s="2">
        <f t="shared" si="1"/>
        <v>5.5555555555555358E-3</v>
      </c>
      <c r="F65" s="1" t="s">
        <v>9</v>
      </c>
    </row>
    <row r="66" spans="1:6" x14ac:dyDescent="0.25">
      <c r="A66" s="4"/>
      <c r="B66" s="2">
        <v>0.61944444444444446</v>
      </c>
      <c r="C66" s="2">
        <v>0.62638888888888888</v>
      </c>
      <c r="D66" s="2">
        <f t="shared" ref="D66:D128" si="2">C66-B66</f>
        <v>6.9444444444444198E-3</v>
      </c>
      <c r="E66" s="2">
        <f t="shared" si="1"/>
        <v>8.3333333333334147E-3</v>
      </c>
      <c r="F66" s="1" t="s">
        <v>9</v>
      </c>
    </row>
    <row r="67" spans="1:6" x14ac:dyDescent="0.25">
      <c r="A67" s="4"/>
      <c r="B67" s="2">
        <v>0.66597222222222219</v>
      </c>
      <c r="C67" s="2">
        <v>0.68125000000000002</v>
      </c>
      <c r="D67" s="2">
        <f t="shared" si="2"/>
        <v>1.5277777777777835E-2</v>
      </c>
      <c r="F67" s="1" t="s">
        <v>9</v>
      </c>
    </row>
    <row r="68" spans="1:6" x14ac:dyDescent="0.25">
      <c r="A68" s="4"/>
      <c r="B68" s="2">
        <v>0.19999999999999998</v>
      </c>
      <c r="C68" s="2">
        <v>0.21388888888888891</v>
      </c>
      <c r="D68" s="2">
        <f t="shared" si="2"/>
        <v>1.3888888888888923E-2</v>
      </c>
      <c r="E68" s="2">
        <f>ABS(D68-D69)</f>
        <v>5.5555555555555636E-3</v>
      </c>
      <c r="F68" s="1" t="s">
        <v>10</v>
      </c>
    </row>
    <row r="69" spans="1:6" x14ac:dyDescent="0.25">
      <c r="A69" s="4"/>
      <c r="B69" s="2">
        <v>0.60416666666666663</v>
      </c>
      <c r="C69" s="2">
        <v>0.62361111111111112</v>
      </c>
      <c r="D69" s="2">
        <f t="shared" si="2"/>
        <v>1.9444444444444486E-2</v>
      </c>
      <c r="E69" s="2">
        <f t="shared" ref="E69:E132" si="3">ABS(D69-D70)</f>
        <v>2.7777777777778789E-3</v>
      </c>
      <c r="F69" s="1" t="s">
        <v>10</v>
      </c>
    </row>
    <row r="70" spans="1:6" x14ac:dyDescent="0.25">
      <c r="A70" s="4"/>
      <c r="B70" s="2">
        <v>0.58888888888888891</v>
      </c>
      <c r="C70" s="2">
        <v>0.60555555555555551</v>
      </c>
      <c r="D70" s="2">
        <f t="shared" si="2"/>
        <v>1.6666666666666607E-2</v>
      </c>
      <c r="E70" s="2">
        <f t="shared" si="3"/>
        <v>7.6388888888888618E-3</v>
      </c>
      <c r="F70" s="1" t="s">
        <v>10</v>
      </c>
    </row>
    <row r="71" spans="1:6" x14ac:dyDescent="0.25">
      <c r="A71" s="4"/>
      <c r="B71" s="2">
        <v>0.80763888888888891</v>
      </c>
      <c r="C71" s="2">
        <v>0.83194444444444438</v>
      </c>
      <c r="D71" s="2">
        <f t="shared" si="2"/>
        <v>2.4305555555555469E-2</v>
      </c>
      <c r="E71" s="2">
        <f t="shared" si="3"/>
        <v>5.5555555555555358E-3</v>
      </c>
      <c r="F71" s="1" t="s">
        <v>10</v>
      </c>
    </row>
    <row r="72" spans="1:6" x14ac:dyDescent="0.25">
      <c r="A72" s="4"/>
      <c r="B72" s="2">
        <v>0.82777777777777783</v>
      </c>
      <c r="C72" s="2">
        <v>0.84652777777777777</v>
      </c>
      <c r="D72" s="2">
        <f t="shared" si="2"/>
        <v>1.8749999999999933E-2</v>
      </c>
      <c r="E72" s="2">
        <f t="shared" si="3"/>
        <v>4.1666666666665408E-3</v>
      </c>
      <c r="F72" s="1" t="s">
        <v>10</v>
      </c>
    </row>
    <row r="73" spans="1:6" x14ac:dyDescent="0.25">
      <c r="A73" s="4"/>
      <c r="B73" s="2">
        <v>0.91666666666666663</v>
      </c>
      <c r="C73" s="2">
        <v>0.93125000000000002</v>
      </c>
      <c r="D73" s="2">
        <f t="shared" si="2"/>
        <v>1.4583333333333393E-2</v>
      </c>
      <c r="E73" s="2">
        <f t="shared" si="3"/>
        <v>1.388888888888884E-3</v>
      </c>
      <c r="F73" s="1" t="s">
        <v>10</v>
      </c>
    </row>
    <row r="74" spans="1:6" x14ac:dyDescent="0.25">
      <c r="A74" s="4"/>
      <c r="B74" s="2">
        <v>0.95624999999999993</v>
      </c>
      <c r="C74" s="2">
        <v>0.96944444444444444</v>
      </c>
      <c r="D74" s="2">
        <f t="shared" si="2"/>
        <v>1.3194444444444509E-2</v>
      </c>
      <c r="E74" s="2">
        <f t="shared" si="3"/>
        <v>4.8611111111109828E-3</v>
      </c>
      <c r="F74" s="1" t="s">
        <v>10</v>
      </c>
    </row>
    <row r="75" spans="1:6" x14ac:dyDescent="0.25">
      <c r="A75" s="4"/>
      <c r="B75" s="2">
        <v>0.28611111111111115</v>
      </c>
      <c r="C75" s="2">
        <v>0.30416666666666664</v>
      </c>
      <c r="D75" s="2">
        <f t="shared" si="2"/>
        <v>1.8055555555555491E-2</v>
      </c>
      <c r="E75" s="2">
        <f t="shared" si="3"/>
        <v>3.4722222222222099E-3</v>
      </c>
      <c r="F75" s="1" t="s">
        <v>10</v>
      </c>
    </row>
    <row r="76" spans="1:6" x14ac:dyDescent="0.25">
      <c r="A76" s="4"/>
      <c r="B76" s="2">
        <v>0.55277777777777781</v>
      </c>
      <c r="C76" s="2">
        <v>0.57430555555555551</v>
      </c>
      <c r="D76" s="2">
        <f t="shared" si="2"/>
        <v>2.1527777777777701E-2</v>
      </c>
      <c r="E76" s="2">
        <f t="shared" si="3"/>
        <v>2.0833333333333259E-3</v>
      </c>
      <c r="F76" s="1" t="s">
        <v>10</v>
      </c>
    </row>
    <row r="77" spans="1:6" x14ac:dyDescent="0.25">
      <c r="A77" s="4"/>
      <c r="B77" s="2">
        <v>0.65</v>
      </c>
      <c r="C77" s="2">
        <v>0.6694444444444444</v>
      </c>
      <c r="D77" s="2">
        <f t="shared" si="2"/>
        <v>1.9444444444444375E-2</v>
      </c>
      <c r="E77" s="2">
        <f t="shared" si="3"/>
        <v>1.111111111111085E-2</v>
      </c>
      <c r="F77" s="1" t="s">
        <v>10</v>
      </c>
    </row>
    <row r="78" spans="1:6" x14ac:dyDescent="0.25">
      <c r="A78" s="4"/>
      <c r="B78" s="2">
        <v>0.77986111111111101</v>
      </c>
      <c r="C78" s="2">
        <v>0.78819444444444453</v>
      </c>
      <c r="D78" s="2">
        <f t="shared" si="2"/>
        <v>8.3333333333335258E-3</v>
      </c>
      <c r="E78" s="2">
        <f t="shared" si="3"/>
        <v>6.9444444444441977E-3</v>
      </c>
      <c r="F78" s="1" t="s">
        <v>10</v>
      </c>
    </row>
    <row r="79" spans="1:6" x14ac:dyDescent="0.25">
      <c r="A79" s="4"/>
      <c r="B79" s="2">
        <v>0.82500000000000007</v>
      </c>
      <c r="C79" s="2">
        <v>0.84027777777777779</v>
      </c>
      <c r="D79" s="2">
        <f t="shared" si="2"/>
        <v>1.5277777777777724E-2</v>
      </c>
      <c r="E79" s="2">
        <f t="shared" si="3"/>
        <v>1.1102230246251565E-16</v>
      </c>
      <c r="F79" s="1" t="s">
        <v>10</v>
      </c>
    </row>
    <row r="80" spans="1:6" x14ac:dyDescent="0.25">
      <c r="A80" s="4"/>
      <c r="B80" s="2">
        <v>0.85555555555555562</v>
      </c>
      <c r="C80" s="2">
        <v>0.87083333333333324</v>
      </c>
      <c r="D80" s="2">
        <f t="shared" si="2"/>
        <v>1.5277777777777612E-2</v>
      </c>
      <c r="E80" s="2">
        <f t="shared" si="3"/>
        <v>5.5555555555557579E-3</v>
      </c>
      <c r="F80" s="1" t="s">
        <v>10</v>
      </c>
    </row>
    <row r="81" spans="1:6" x14ac:dyDescent="0.25">
      <c r="A81" s="4"/>
      <c r="B81" s="2">
        <v>0.85833333333333339</v>
      </c>
      <c r="C81" s="2">
        <v>0.87916666666666676</v>
      </c>
      <c r="D81" s="2">
        <f t="shared" si="2"/>
        <v>2.083333333333337E-2</v>
      </c>
      <c r="E81" s="2">
        <f t="shared" si="3"/>
        <v>2.7777777777777679E-3</v>
      </c>
      <c r="F81" s="1" t="s">
        <v>10</v>
      </c>
    </row>
    <row r="82" spans="1:6" x14ac:dyDescent="0.25">
      <c r="A82" s="4"/>
      <c r="B82" s="2">
        <v>0.89374999999999993</v>
      </c>
      <c r="C82" s="2">
        <v>0.91180555555555554</v>
      </c>
      <c r="D82" s="2">
        <f t="shared" si="2"/>
        <v>1.8055555555555602E-2</v>
      </c>
      <c r="E82" s="2">
        <f t="shared" si="3"/>
        <v>2.0833333333332912E-3</v>
      </c>
      <c r="F82" s="1" t="s">
        <v>10</v>
      </c>
    </row>
    <row r="83" spans="1:6" x14ac:dyDescent="0.25">
      <c r="A83" s="4"/>
      <c r="B83" s="2">
        <v>4.1666666666666664E-2</v>
      </c>
      <c r="C83" s="2">
        <v>6.1805555555555558E-2</v>
      </c>
      <c r="D83" s="2">
        <f t="shared" si="2"/>
        <v>2.0138888888888894E-2</v>
      </c>
      <c r="E83" s="2">
        <f t="shared" si="3"/>
        <v>1.388888888888884E-3</v>
      </c>
      <c r="F83" s="1" t="s">
        <v>10</v>
      </c>
    </row>
    <row r="84" spans="1:6" x14ac:dyDescent="0.25">
      <c r="A84" s="4"/>
      <c r="B84" s="2">
        <v>4.027777777777778E-2</v>
      </c>
      <c r="C84" s="2">
        <v>6.1805555555555558E-2</v>
      </c>
      <c r="D84" s="2">
        <f t="shared" si="2"/>
        <v>2.1527777777777778E-2</v>
      </c>
      <c r="E84" s="2">
        <f t="shared" si="3"/>
        <v>5.5555555555555566E-3</v>
      </c>
      <c r="F84" s="1" t="s">
        <v>10</v>
      </c>
    </row>
    <row r="85" spans="1:6" x14ac:dyDescent="0.25">
      <c r="A85" s="4"/>
      <c r="B85" s="2">
        <v>8.1250000000000003E-2</v>
      </c>
      <c r="C85" s="2">
        <v>9.7222222222222224E-2</v>
      </c>
      <c r="D85" s="2">
        <f t="shared" si="2"/>
        <v>1.5972222222222221E-2</v>
      </c>
      <c r="E85" s="2">
        <f t="shared" si="3"/>
        <v>6.3194444444444442E-2</v>
      </c>
      <c r="F85" s="1" t="s">
        <v>10</v>
      </c>
    </row>
    <row r="86" spans="1:6" x14ac:dyDescent="0.25">
      <c r="A86" s="4"/>
      <c r="B86" s="2">
        <v>0.27986111111111112</v>
      </c>
      <c r="C86" s="2">
        <v>0.35902777777777778</v>
      </c>
      <c r="D86" s="2">
        <f t="shared" si="2"/>
        <v>7.9166666666666663E-2</v>
      </c>
      <c r="E86" s="2">
        <f t="shared" si="3"/>
        <v>7.152777777777769E-2</v>
      </c>
      <c r="F86" s="1" t="s">
        <v>10</v>
      </c>
    </row>
    <row r="87" spans="1:6" x14ac:dyDescent="0.25">
      <c r="A87" s="4"/>
      <c r="B87" s="2">
        <v>0.54166666666666663</v>
      </c>
      <c r="C87" s="2">
        <v>0.5493055555555556</v>
      </c>
      <c r="D87" s="2">
        <f t="shared" si="2"/>
        <v>7.6388888888889728E-3</v>
      </c>
      <c r="E87" s="2">
        <f t="shared" si="3"/>
        <v>1.8055555555555491E-2</v>
      </c>
      <c r="F87" s="1" t="s">
        <v>10</v>
      </c>
    </row>
    <row r="88" spans="1:6" x14ac:dyDescent="0.25">
      <c r="A88" s="4"/>
      <c r="B88" s="2">
        <v>0.5805555555555556</v>
      </c>
      <c r="C88" s="2">
        <v>0.60625000000000007</v>
      </c>
      <c r="D88" s="2">
        <f t="shared" si="2"/>
        <v>2.5694444444444464E-2</v>
      </c>
      <c r="E88" s="2">
        <f t="shared" si="3"/>
        <v>4.8611111111112049E-3</v>
      </c>
      <c r="F88" s="1" t="s">
        <v>10</v>
      </c>
    </row>
    <row r="89" spans="1:6" x14ac:dyDescent="0.25">
      <c r="A89" s="4"/>
      <c r="B89" s="2">
        <v>0.65138888888888891</v>
      </c>
      <c r="C89" s="2">
        <v>0.67222222222222217</v>
      </c>
      <c r="D89" s="2">
        <f t="shared" si="2"/>
        <v>2.0833333333333259E-2</v>
      </c>
      <c r="E89" s="2">
        <f t="shared" si="3"/>
        <v>4.1666666666665408E-3</v>
      </c>
      <c r="F89" s="1" t="s">
        <v>10</v>
      </c>
    </row>
    <row r="90" spans="1:6" x14ac:dyDescent="0.25">
      <c r="A90" s="4"/>
      <c r="B90" s="2">
        <v>0.82916666666666661</v>
      </c>
      <c r="C90" s="2">
        <v>0.84583333333333333</v>
      </c>
      <c r="D90" s="2">
        <f t="shared" si="2"/>
        <v>1.6666666666666718E-2</v>
      </c>
      <c r="E90" s="2">
        <f t="shared" si="3"/>
        <v>1.388888888888884E-2</v>
      </c>
      <c r="F90" s="1" t="s">
        <v>10</v>
      </c>
    </row>
    <row r="91" spans="1:6" x14ac:dyDescent="0.25">
      <c r="A91" s="4"/>
      <c r="B91" s="2">
        <v>0.90902777777777777</v>
      </c>
      <c r="C91" s="2">
        <v>0.93958333333333333</v>
      </c>
      <c r="D91" s="2">
        <f t="shared" si="2"/>
        <v>3.0555555555555558E-2</v>
      </c>
      <c r="E91" s="2">
        <f t="shared" si="3"/>
        <v>2.7777777777777679E-3</v>
      </c>
      <c r="F91" s="1" t="s">
        <v>10</v>
      </c>
    </row>
    <row r="92" spans="1:6" x14ac:dyDescent="0.25">
      <c r="A92" s="4"/>
      <c r="B92" s="2">
        <v>0.92291666666666661</v>
      </c>
      <c r="C92" s="2">
        <v>0.9506944444444444</v>
      </c>
      <c r="D92" s="2">
        <f t="shared" si="2"/>
        <v>2.777777777777779E-2</v>
      </c>
      <c r="E92" s="2">
        <f t="shared" si="3"/>
        <v>9.0277777777777457E-3</v>
      </c>
      <c r="F92" s="1" t="s">
        <v>10</v>
      </c>
    </row>
    <row r="93" spans="1:6" x14ac:dyDescent="0.25">
      <c r="A93" s="4"/>
      <c r="B93" s="2">
        <v>0.9506944444444444</v>
      </c>
      <c r="C93" s="2">
        <v>0.96944444444444444</v>
      </c>
      <c r="D93" s="2">
        <f t="shared" si="2"/>
        <v>1.8750000000000044E-2</v>
      </c>
      <c r="E93" s="2">
        <f t="shared" si="3"/>
        <v>6.94444444444553E-4</v>
      </c>
      <c r="F93" s="1" t="s">
        <v>10</v>
      </c>
    </row>
    <row r="94" spans="1:6" x14ac:dyDescent="0.25">
      <c r="A94" s="3"/>
      <c r="B94" s="2">
        <v>0.95000000000000007</v>
      </c>
      <c r="C94" s="2">
        <v>0.96805555555555556</v>
      </c>
      <c r="D94" s="2">
        <f t="shared" si="2"/>
        <v>1.8055555555555491E-2</v>
      </c>
      <c r="E94" s="2">
        <f t="shared" si="3"/>
        <v>2.0833333333333259E-3</v>
      </c>
      <c r="F94" s="1" t="s">
        <v>10</v>
      </c>
    </row>
    <row r="95" spans="1:6" x14ac:dyDescent="0.25">
      <c r="A95" s="4"/>
      <c r="B95" s="2">
        <v>0.95208333333333339</v>
      </c>
      <c r="C95" s="2">
        <v>0.97222222222222221</v>
      </c>
      <c r="D95" s="2">
        <f t="shared" si="2"/>
        <v>2.0138888888888817E-2</v>
      </c>
      <c r="E95" s="2">
        <f t="shared" si="3"/>
        <v>2.0833333333332635E-3</v>
      </c>
      <c r="F95" s="1" t="s">
        <v>10</v>
      </c>
    </row>
    <row r="96" spans="1:6" x14ac:dyDescent="0.25">
      <c r="A96" s="4"/>
      <c r="B96" s="2">
        <v>2.7083333333333334E-2</v>
      </c>
      <c r="C96" s="2">
        <v>4.5138888888888888E-2</v>
      </c>
      <c r="D96" s="2">
        <f t="shared" si="2"/>
        <v>1.8055555555555554E-2</v>
      </c>
      <c r="E96" s="2">
        <f t="shared" si="3"/>
        <v>2.0833333333333606E-3</v>
      </c>
      <c r="F96" s="1" t="s">
        <v>10</v>
      </c>
    </row>
    <row r="97" spans="1:6" x14ac:dyDescent="0.25">
      <c r="A97" s="4"/>
      <c r="B97" s="2">
        <v>0.21666666666666667</v>
      </c>
      <c r="C97" s="2">
        <v>0.23263888888888887</v>
      </c>
      <c r="D97" s="2">
        <f t="shared" si="2"/>
        <v>1.5972222222222193E-2</v>
      </c>
      <c r="E97" s="2">
        <f t="shared" si="3"/>
        <v>1.5277777777777807E-2</v>
      </c>
      <c r="F97" s="1" t="s">
        <v>10</v>
      </c>
    </row>
    <row r="98" spans="1:6" x14ac:dyDescent="0.25">
      <c r="A98" s="4"/>
      <c r="B98" s="2">
        <v>0.49444444444444446</v>
      </c>
      <c r="C98" s="2">
        <v>0.52569444444444446</v>
      </c>
      <c r="D98" s="2">
        <f t="shared" si="2"/>
        <v>3.125E-2</v>
      </c>
      <c r="E98" s="2">
        <f t="shared" si="3"/>
        <v>2.7777777777777679E-3</v>
      </c>
      <c r="F98" s="1" t="s">
        <v>10</v>
      </c>
    </row>
    <row r="99" spans="1:6" x14ac:dyDescent="0.25">
      <c r="A99" s="4"/>
      <c r="B99" s="2">
        <v>0.69791666666666663</v>
      </c>
      <c r="C99" s="2">
        <v>0.7319444444444444</v>
      </c>
      <c r="D99" s="2">
        <f t="shared" si="2"/>
        <v>3.4027777777777768E-2</v>
      </c>
      <c r="E99" s="2">
        <f t="shared" si="3"/>
        <v>1.041666666666663E-2</v>
      </c>
      <c r="F99" s="1" t="s">
        <v>10</v>
      </c>
    </row>
    <row r="100" spans="1:6" x14ac:dyDescent="0.25">
      <c r="A100" s="4"/>
      <c r="B100" s="2">
        <v>0.73263888888888884</v>
      </c>
      <c r="C100" s="2">
        <v>0.75624999999999998</v>
      </c>
      <c r="D100" s="2">
        <f t="shared" si="2"/>
        <v>2.3611111111111138E-2</v>
      </c>
      <c r="E100" s="2">
        <f t="shared" si="3"/>
        <v>6.2499999999999778E-3</v>
      </c>
      <c r="F100" s="1" t="s">
        <v>10</v>
      </c>
    </row>
    <row r="101" spans="1:6" x14ac:dyDescent="0.25">
      <c r="A101" s="4"/>
      <c r="B101" s="2">
        <v>0.83333333333333337</v>
      </c>
      <c r="C101" s="2">
        <v>0.85069444444444453</v>
      </c>
      <c r="D101" s="2">
        <f t="shared" si="2"/>
        <v>1.736111111111116E-2</v>
      </c>
      <c r="E101" s="2">
        <f t="shared" si="3"/>
        <v>2.7777777777778234E-3</v>
      </c>
      <c r="F101" s="1" t="s">
        <v>10</v>
      </c>
    </row>
    <row r="102" spans="1:6" x14ac:dyDescent="0.25">
      <c r="A102" s="4"/>
      <c r="B102" s="2">
        <v>0.36458333333333331</v>
      </c>
      <c r="C102" s="2">
        <v>0.37916666666666665</v>
      </c>
      <c r="D102" s="2">
        <f t="shared" si="2"/>
        <v>1.4583333333333337E-2</v>
      </c>
      <c r="E102" s="2">
        <f t="shared" si="3"/>
        <v>6.9444444444443504E-4</v>
      </c>
      <c r="F102" s="1" t="s">
        <v>10</v>
      </c>
    </row>
    <row r="103" spans="1:6" x14ac:dyDescent="0.25">
      <c r="A103" s="4"/>
      <c r="B103" s="2">
        <v>5.7638888888888885E-2</v>
      </c>
      <c r="C103" s="2">
        <v>7.1527777777777787E-2</v>
      </c>
      <c r="D103" s="2">
        <f t="shared" si="2"/>
        <v>1.3888888888888902E-2</v>
      </c>
      <c r="E103" s="2">
        <f t="shared" si="3"/>
        <v>5.5555555555555289E-3</v>
      </c>
      <c r="F103" s="1" t="s">
        <v>10</v>
      </c>
    </row>
    <row r="104" spans="1:6" x14ac:dyDescent="0.25">
      <c r="A104" s="4"/>
      <c r="B104" s="2">
        <v>0.41666666666666669</v>
      </c>
      <c r="C104" s="2">
        <v>0.43611111111111112</v>
      </c>
      <c r="D104" s="2">
        <f t="shared" si="2"/>
        <v>1.9444444444444431E-2</v>
      </c>
      <c r="E104" s="2">
        <f t="shared" si="3"/>
        <v>1.3194444444444453E-2</v>
      </c>
      <c r="F104" s="1" t="s">
        <v>10</v>
      </c>
    </row>
    <row r="105" spans="1:6" x14ac:dyDescent="0.25">
      <c r="A105" s="4"/>
      <c r="B105" s="2">
        <v>0.44791666666666669</v>
      </c>
      <c r="C105" s="2">
        <v>0.48055555555555557</v>
      </c>
      <c r="D105" s="2">
        <f t="shared" si="2"/>
        <v>3.2638888888888884E-2</v>
      </c>
      <c r="E105" s="2">
        <f t="shared" si="3"/>
        <v>5.5555555555555358E-3</v>
      </c>
      <c r="F105" s="1" t="s">
        <v>10</v>
      </c>
    </row>
    <row r="106" spans="1:6" x14ac:dyDescent="0.25">
      <c r="A106" s="4"/>
      <c r="B106" s="2">
        <v>0.5</v>
      </c>
      <c r="C106" s="2">
        <v>0.52708333333333335</v>
      </c>
      <c r="D106" s="2">
        <f t="shared" si="2"/>
        <v>2.7083333333333348E-2</v>
      </c>
      <c r="E106" s="2">
        <f t="shared" si="3"/>
        <v>1.0416666666666741E-2</v>
      </c>
      <c r="F106" s="1" t="s">
        <v>10</v>
      </c>
    </row>
    <row r="107" spans="1:6" x14ac:dyDescent="0.25">
      <c r="A107" s="4"/>
      <c r="B107" s="2">
        <v>0.62291666666666667</v>
      </c>
      <c r="C107" s="2">
        <v>0.63958333333333328</v>
      </c>
      <c r="D107" s="2">
        <f t="shared" si="2"/>
        <v>1.6666666666666607E-2</v>
      </c>
      <c r="E107" s="2">
        <f t="shared" si="3"/>
        <v>1.388888888888884E-3</v>
      </c>
      <c r="F107" s="1" t="s">
        <v>10</v>
      </c>
    </row>
    <row r="108" spans="1:6" x14ac:dyDescent="0.25">
      <c r="A108" s="4"/>
      <c r="B108" s="2">
        <v>0.81041666666666667</v>
      </c>
      <c r="C108" s="2">
        <v>0.8256944444444444</v>
      </c>
      <c r="D108" s="2">
        <f t="shared" si="2"/>
        <v>1.5277777777777724E-2</v>
      </c>
      <c r="E108" s="2">
        <f t="shared" si="3"/>
        <v>1.1102230246251565E-16</v>
      </c>
      <c r="F108" s="1" t="s">
        <v>10</v>
      </c>
    </row>
    <row r="109" spans="1:6" x14ac:dyDescent="0.25">
      <c r="A109" s="4"/>
      <c r="B109" s="2">
        <v>0.88055555555555554</v>
      </c>
      <c r="C109" s="2">
        <v>0.89583333333333337</v>
      </c>
      <c r="D109" s="2">
        <f t="shared" si="2"/>
        <v>1.5277777777777835E-2</v>
      </c>
      <c r="E109" s="2">
        <f t="shared" si="3"/>
        <v>0</v>
      </c>
      <c r="F109" s="1" t="s">
        <v>10</v>
      </c>
    </row>
    <row r="110" spans="1:6" x14ac:dyDescent="0.25">
      <c r="A110" s="4"/>
      <c r="B110" s="2">
        <v>0.93333333333333324</v>
      </c>
      <c r="C110" s="2">
        <v>0.94861111111111107</v>
      </c>
      <c r="D110" s="2">
        <f t="shared" si="2"/>
        <v>1.5277777777777835E-2</v>
      </c>
      <c r="E110" s="2">
        <f t="shared" si="3"/>
        <v>5.5555555555555358E-3</v>
      </c>
      <c r="F110" s="1" t="s">
        <v>10</v>
      </c>
    </row>
    <row r="111" spans="1:6" x14ac:dyDescent="0.25">
      <c r="A111" s="4"/>
      <c r="B111" s="2">
        <v>0.88541666666666663</v>
      </c>
      <c r="C111" s="2">
        <v>0.90625</v>
      </c>
      <c r="D111" s="2">
        <f t="shared" si="2"/>
        <v>2.083333333333337E-2</v>
      </c>
      <c r="E111" s="2">
        <f t="shared" si="3"/>
        <v>2.7777777777777679E-3</v>
      </c>
      <c r="F111" s="1" t="s">
        <v>10</v>
      </c>
    </row>
    <row r="112" spans="1:6" x14ac:dyDescent="0.25">
      <c r="A112" s="4"/>
      <c r="B112" s="2">
        <v>0.89166666666666661</v>
      </c>
      <c r="C112" s="2">
        <v>0.91527777777777775</v>
      </c>
      <c r="D112" s="2">
        <f t="shared" si="2"/>
        <v>2.3611111111111138E-2</v>
      </c>
      <c r="E112" s="2">
        <f t="shared" si="3"/>
        <v>4.8611111111112049E-3</v>
      </c>
      <c r="F112" s="1" t="s">
        <v>10</v>
      </c>
    </row>
    <row r="113" spans="1:6" x14ac:dyDescent="0.25">
      <c r="A113" s="3"/>
      <c r="B113" s="2">
        <v>0.94930555555555562</v>
      </c>
      <c r="C113" s="2">
        <v>0.96805555555555556</v>
      </c>
      <c r="D113" s="2">
        <f t="shared" si="2"/>
        <v>1.8749999999999933E-2</v>
      </c>
      <c r="E113" s="2">
        <f t="shared" si="3"/>
        <v>1.1805555555555625E-2</v>
      </c>
      <c r="F113" s="1" t="s">
        <v>10</v>
      </c>
    </row>
    <row r="114" spans="1:6" x14ac:dyDescent="0.25">
      <c r="A114" s="3"/>
      <c r="B114" s="2">
        <v>0.28055555555555556</v>
      </c>
      <c r="C114" s="2">
        <v>0.31111111111111112</v>
      </c>
      <c r="D114" s="2">
        <f t="shared" si="2"/>
        <v>3.0555555555555558E-2</v>
      </c>
      <c r="E114" s="2">
        <f t="shared" si="3"/>
        <v>1.1111111111111072E-2</v>
      </c>
      <c r="F114" s="1" t="s">
        <v>10</v>
      </c>
    </row>
    <row r="115" spans="1:6" x14ac:dyDescent="0.25">
      <c r="A115" s="4"/>
      <c r="B115" s="2">
        <v>0.55555555555555558</v>
      </c>
      <c r="C115" s="2">
        <v>0.57500000000000007</v>
      </c>
      <c r="D115" s="2">
        <f t="shared" si="2"/>
        <v>1.9444444444444486E-2</v>
      </c>
      <c r="E115" s="2">
        <f t="shared" si="3"/>
        <v>1.388888888888884E-3</v>
      </c>
      <c r="F115" s="1" t="s">
        <v>10</v>
      </c>
    </row>
    <row r="116" spans="1:6" x14ac:dyDescent="0.25">
      <c r="A116" s="4"/>
      <c r="B116" s="2">
        <v>0.57708333333333328</v>
      </c>
      <c r="C116" s="2">
        <v>0.59513888888888888</v>
      </c>
      <c r="D116" s="2">
        <f t="shared" si="2"/>
        <v>1.8055555555555602E-2</v>
      </c>
      <c r="E116" s="2">
        <f t="shared" si="3"/>
        <v>2.083333333333437E-3</v>
      </c>
      <c r="F116" s="1" t="s">
        <v>10</v>
      </c>
    </row>
    <row r="117" spans="1:6" x14ac:dyDescent="0.25">
      <c r="A117" s="4"/>
      <c r="B117" s="2">
        <v>0.59513888888888888</v>
      </c>
      <c r="C117" s="2">
        <v>0.61111111111111105</v>
      </c>
      <c r="D117" s="2">
        <f t="shared" si="2"/>
        <v>1.5972222222222165E-2</v>
      </c>
      <c r="E117" s="2">
        <f t="shared" si="3"/>
        <v>2.0833333333333259E-3</v>
      </c>
      <c r="F117" s="1" t="s">
        <v>10</v>
      </c>
    </row>
    <row r="118" spans="1:6" x14ac:dyDescent="0.25">
      <c r="A118" s="4"/>
      <c r="B118" s="2">
        <v>0.875</v>
      </c>
      <c r="C118" s="2">
        <v>0.88888888888888884</v>
      </c>
      <c r="D118" s="2">
        <f t="shared" si="2"/>
        <v>1.388888888888884E-2</v>
      </c>
      <c r="E118" s="2">
        <f t="shared" si="3"/>
        <v>4.8611111111110938E-3</v>
      </c>
      <c r="F118" s="1" t="s">
        <v>10</v>
      </c>
    </row>
    <row r="119" spans="1:6" x14ac:dyDescent="0.25">
      <c r="A119" s="4"/>
      <c r="B119" s="2">
        <v>0.4465277777777778</v>
      </c>
      <c r="C119" s="2">
        <v>0.46527777777777773</v>
      </c>
      <c r="D119" s="2">
        <f t="shared" si="2"/>
        <v>1.8749999999999933E-2</v>
      </c>
      <c r="E119" s="2">
        <f t="shared" si="3"/>
        <v>1.3888888888888284E-3</v>
      </c>
      <c r="F119" s="1" t="s">
        <v>10</v>
      </c>
    </row>
    <row r="120" spans="1:6" x14ac:dyDescent="0.25">
      <c r="A120" s="4"/>
      <c r="B120" s="2">
        <v>0.4604166666666667</v>
      </c>
      <c r="C120" s="2">
        <v>0.4777777777777778</v>
      </c>
      <c r="D120" s="2">
        <f t="shared" si="2"/>
        <v>1.7361111111111105E-2</v>
      </c>
      <c r="E120" s="2">
        <f t="shared" si="3"/>
        <v>6.9444444444438647E-4</v>
      </c>
      <c r="F120" s="1" t="s">
        <v>10</v>
      </c>
    </row>
    <row r="121" spans="1:6" x14ac:dyDescent="0.25">
      <c r="A121" s="4"/>
      <c r="B121" s="2">
        <v>0.64027777777777783</v>
      </c>
      <c r="C121" s="2">
        <v>0.65833333333333333</v>
      </c>
      <c r="D121" s="2">
        <f t="shared" si="2"/>
        <v>1.8055555555555491E-2</v>
      </c>
      <c r="E121" s="2">
        <f t="shared" si="3"/>
        <v>2.7777777777777679E-3</v>
      </c>
      <c r="F121" s="1" t="s">
        <v>10</v>
      </c>
    </row>
    <row r="122" spans="1:6" x14ac:dyDescent="0.25">
      <c r="A122" s="4"/>
      <c r="B122" s="2">
        <v>0.75138888888888899</v>
      </c>
      <c r="C122" s="2">
        <v>0.77222222222222225</v>
      </c>
      <c r="D122" s="2">
        <f t="shared" si="2"/>
        <v>2.0833333333333259E-2</v>
      </c>
      <c r="E122" s="2">
        <f t="shared" si="3"/>
        <v>6.9444444444466402E-4</v>
      </c>
      <c r="F122" s="1" t="s">
        <v>10</v>
      </c>
    </row>
    <row r="123" spans="1:6" x14ac:dyDescent="0.25">
      <c r="A123" s="4"/>
      <c r="B123" s="2">
        <v>0.80555555555555547</v>
      </c>
      <c r="C123" s="2">
        <v>0.82708333333333339</v>
      </c>
      <c r="D123" s="2">
        <f t="shared" si="2"/>
        <v>2.1527777777777923E-2</v>
      </c>
      <c r="E123" s="2">
        <f t="shared" si="3"/>
        <v>7.6388888888889728E-3</v>
      </c>
      <c r="F123" s="1" t="s">
        <v>10</v>
      </c>
    </row>
    <row r="124" spans="1:6" x14ac:dyDescent="0.25">
      <c r="A124" s="4"/>
      <c r="B124" s="2">
        <v>0.83194444444444438</v>
      </c>
      <c r="C124" s="2">
        <v>0.84583333333333333</v>
      </c>
      <c r="D124" s="2">
        <f t="shared" si="2"/>
        <v>1.3888888888888951E-2</v>
      </c>
      <c r="E124" s="2">
        <f t="shared" si="3"/>
        <v>2.7777777777776569E-3</v>
      </c>
      <c r="F124" s="1" t="s">
        <v>10</v>
      </c>
    </row>
    <row r="125" spans="1:6" x14ac:dyDescent="0.25">
      <c r="A125" s="4"/>
      <c r="B125" s="2">
        <v>0.86388888888888893</v>
      </c>
      <c r="C125" s="2">
        <v>0.88055555555555554</v>
      </c>
      <c r="D125" s="2">
        <f t="shared" si="2"/>
        <v>1.6666666666666607E-2</v>
      </c>
      <c r="E125" s="2">
        <f t="shared" si="3"/>
        <v>1.388888888888884E-3</v>
      </c>
      <c r="F125" s="1" t="s">
        <v>10</v>
      </c>
    </row>
    <row r="126" spans="1:6" x14ac:dyDescent="0.25">
      <c r="A126" s="4"/>
      <c r="B126" s="2">
        <v>0.87013888888888891</v>
      </c>
      <c r="C126" s="2">
        <v>0.8881944444444444</v>
      </c>
      <c r="D126" s="2">
        <f t="shared" si="2"/>
        <v>1.8055555555555491E-2</v>
      </c>
      <c r="E126" s="2">
        <f t="shared" si="3"/>
        <v>6.9444444444444198E-4</v>
      </c>
      <c r="F126" s="1" t="s">
        <v>10</v>
      </c>
    </row>
    <row r="127" spans="1:6" x14ac:dyDescent="0.25">
      <c r="A127" s="4"/>
      <c r="B127" s="2">
        <v>0.49583333333333335</v>
      </c>
      <c r="C127" s="2">
        <v>0.51458333333333328</v>
      </c>
      <c r="D127" s="2">
        <f t="shared" si="2"/>
        <v>1.8749999999999933E-2</v>
      </c>
      <c r="E127" s="2">
        <f t="shared" si="3"/>
        <v>1.1102230246251565E-16</v>
      </c>
      <c r="F127" s="1" t="s">
        <v>10</v>
      </c>
    </row>
    <row r="128" spans="1:6" x14ac:dyDescent="0.25">
      <c r="A128" s="4"/>
      <c r="B128" s="2">
        <v>0.62777777777777777</v>
      </c>
      <c r="C128" s="2">
        <v>0.64652777777777781</v>
      </c>
      <c r="D128" s="2">
        <f t="shared" si="2"/>
        <v>1.8750000000000044E-2</v>
      </c>
      <c r="E128" s="2">
        <f t="shared" si="3"/>
        <v>1.1102230246251565E-16</v>
      </c>
      <c r="F128" s="1" t="s">
        <v>10</v>
      </c>
    </row>
    <row r="129" spans="1:6" x14ac:dyDescent="0.25">
      <c r="A129" s="4"/>
      <c r="B129" s="2">
        <v>0.79513888888888884</v>
      </c>
      <c r="C129" s="2">
        <v>0.81388888888888899</v>
      </c>
      <c r="D129" s="2">
        <f t="shared" ref="D129:D192" si="4">C129-B129</f>
        <v>1.8750000000000155E-2</v>
      </c>
      <c r="E129" s="2">
        <f t="shared" si="3"/>
        <v>1.1102230246251565E-16</v>
      </c>
      <c r="F129" s="1" t="s">
        <v>10</v>
      </c>
    </row>
    <row r="130" spans="1:6" x14ac:dyDescent="0.25">
      <c r="A130" s="4"/>
      <c r="B130" s="2">
        <v>0.88402777777777775</v>
      </c>
      <c r="C130" s="2">
        <v>0.90277777777777779</v>
      </c>
      <c r="D130" s="2">
        <f t="shared" si="4"/>
        <v>1.8750000000000044E-2</v>
      </c>
      <c r="E130" s="2">
        <f t="shared" si="3"/>
        <v>3.4722222222221821E-3</v>
      </c>
      <c r="F130" s="1" t="s">
        <v>10</v>
      </c>
    </row>
    <row r="131" spans="1:6" x14ac:dyDescent="0.25">
      <c r="A131" s="4"/>
      <c r="B131" s="2">
        <v>0.22152777777777777</v>
      </c>
      <c r="C131" s="2">
        <v>0.24374999999999999</v>
      </c>
      <c r="D131" s="2">
        <f t="shared" si="4"/>
        <v>2.2222222222222227E-2</v>
      </c>
      <c r="E131" s="2">
        <f t="shared" si="3"/>
        <v>2.7755575615628914E-17</v>
      </c>
      <c r="F131" s="1" t="s">
        <v>10</v>
      </c>
    </row>
    <row r="132" spans="1:6" x14ac:dyDescent="0.25">
      <c r="A132" s="4"/>
      <c r="B132" s="2">
        <v>0.38750000000000001</v>
      </c>
      <c r="C132" s="2">
        <v>0.40972222222222227</v>
      </c>
      <c r="D132" s="2">
        <f t="shared" si="4"/>
        <v>2.2222222222222254E-2</v>
      </c>
      <c r="E132" s="2">
        <f t="shared" si="3"/>
        <v>6.9444444444444198E-3</v>
      </c>
      <c r="F132" s="1" t="s">
        <v>10</v>
      </c>
    </row>
    <row r="133" spans="1:6" x14ac:dyDescent="0.25">
      <c r="A133" s="4"/>
      <c r="B133" s="2">
        <v>0.5131944444444444</v>
      </c>
      <c r="C133" s="2">
        <v>0.52847222222222223</v>
      </c>
      <c r="D133" s="2">
        <f t="shared" si="4"/>
        <v>1.5277777777777835E-2</v>
      </c>
      <c r="E133" s="2">
        <f t="shared" ref="E133:E196" si="5">ABS(D133-D134)</f>
        <v>3.1249999999999889E-2</v>
      </c>
      <c r="F133" s="1" t="s">
        <v>10</v>
      </c>
    </row>
    <row r="134" spans="1:6" x14ac:dyDescent="0.25">
      <c r="A134" s="4"/>
      <c r="B134" s="2">
        <v>0.51944444444444449</v>
      </c>
      <c r="C134" s="2">
        <v>0.56597222222222221</v>
      </c>
      <c r="D134" s="2">
        <f t="shared" si="4"/>
        <v>4.6527777777777724E-2</v>
      </c>
      <c r="E134" s="2">
        <f t="shared" si="5"/>
        <v>2.6388888888888795E-2</v>
      </c>
      <c r="F134" s="1" t="s">
        <v>10</v>
      </c>
    </row>
    <row r="135" spans="1:6" x14ac:dyDescent="0.25">
      <c r="A135" s="4"/>
      <c r="B135" s="2">
        <v>0.56388888888888888</v>
      </c>
      <c r="C135" s="2">
        <v>0.58402777777777781</v>
      </c>
      <c r="D135" s="2">
        <f t="shared" si="4"/>
        <v>2.0138888888888928E-2</v>
      </c>
      <c r="E135" s="2">
        <f t="shared" si="5"/>
        <v>4.1666666666666519E-3</v>
      </c>
      <c r="F135" s="1" t="s">
        <v>10</v>
      </c>
    </row>
    <row r="136" spans="1:6" x14ac:dyDescent="0.25">
      <c r="A136" s="4"/>
      <c r="B136" s="2">
        <v>0.54166666666666663</v>
      </c>
      <c r="C136" s="2">
        <v>0.56597222222222221</v>
      </c>
      <c r="D136" s="2">
        <f t="shared" si="4"/>
        <v>2.430555555555558E-2</v>
      </c>
      <c r="E136" s="2">
        <f t="shared" si="5"/>
        <v>1.1102230246251565E-16</v>
      </c>
      <c r="F136" s="1" t="s">
        <v>10</v>
      </c>
    </row>
    <row r="137" spans="1:6" x14ac:dyDescent="0.25">
      <c r="A137" s="4"/>
      <c r="B137" s="2">
        <v>0.57916666666666672</v>
      </c>
      <c r="C137" s="2">
        <v>0.60347222222222219</v>
      </c>
      <c r="D137" s="2">
        <f t="shared" si="4"/>
        <v>2.4305555555555469E-2</v>
      </c>
      <c r="E137" s="2">
        <f t="shared" si="5"/>
        <v>2.0833333333332149E-3</v>
      </c>
      <c r="F137" s="1" t="s">
        <v>10</v>
      </c>
    </row>
    <row r="138" spans="1:6" x14ac:dyDescent="0.25">
      <c r="A138" s="4"/>
      <c r="B138" s="2">
        <v>0.65694444444444444</v>
      </c>
      <c r="C138" s="2">
        <v>0.6791666666666667</v>
      </c>
      <c r="D138" s="2">
        <f t="shared" si="4"/>
        <v>2.2222222222222254E-2</v>
      </c>
      <c r="E138" s="2">
        <f t="shared" si="5"/>
        <v>2.6388888888888906E-2</v>
      </c>
      <c r="F138" s="1" t="s">
        <v>10</v>
      </c>
    </row>
    <row r="139" spans="1:6" x14ac:dyDescent="0.25">
      <c r="A139" s="4"/>
      <c r="B139" s="2">
        <v>0.71180555555555547</v>
      </c>
      <c r="C139" s="2">
        <v>0.76041666666666663</v>
      </c>
      <c r="D139" s="2">
        <f t="shared" si="4"/>
        <v>4.861111111111116E-2</v>
      </c>
      <c r="E139" s="2">
        <f t="shared" si="5"/>
        <v>2.5000000000000022E-2</v>
      </c>
      <c r="F139" s="1" t="s">
        <v>10</v>
      </c>
    </row>
    <row r="140" spans="1:6" x14ac:dyDescent="0.25">
      <c r="A140" s="4"/>
      <c r="B140" s="2">
        <v>0.88611111111111107</v>
      </c>
      <c r="C140" s="2">
        <v>0.90972222222222221</v>
      </c>
      <c r="D140" s="2">
        <f t="shared" si="4"/>
        <v>2.3611111111111138E-2</v>
      </c>
      <c r="E140" s="2">
        <f t="shared" si="5"/>
        <v>1.1111111111111072E-2</v>
      </c>
      <c r="F140" s="1" t="s">
        <v>10</v>
      </c>
    </row>
    <row r="141" spans="1:6" x14ac:dyDescent="0.25">
      <c r="A141" s="4"/>
      <c r="B141" s="2">
        <v>0.94236111111111109</v>
      </c>
      <c r="C141" s="2">
        <v>0.95486111111111116</v>
      </c>
      <c r="D141" s="2">
        <f t="shared" si="4"/>
        <v>1.2500000000000067E-2</v>
      </c>
      <c r="E141" s="2">
        <f t="shared" si="5"/>
        <v>4.8611111111110487E-3</v>
      </c>
      <c r="F141" s="1" t="s">
        <v>10</v>
      </c>
    </row>
    <row r="142" spans="1:6" x14ac:dyDescent="0.25">
      <c r="A142" s="4"/>
      <c r="B142" s="2">
        <v>2.8472222222222222E-2</v>
      </c>
      <c r="C142" s="2">
        <v>4.5833333333333337E-2</v>
      </c>
      <c r="D142" s="2">
        <f t="shared" si="4"/>
        <v>1.7361111111111115E-2</v>
      </c>
      <c r="E142" s="2">
        <f t="shared" si="5"/>
        <v>2.0833333333333363E-3</v>
      </c>
      <c r="F142" s="1" t="s">
        <v>10</v>
      </c>
    </row>
    <row r="143" spans="1:6" x14ac:dyDescent="0.25">
      <c r="A143" s="4"/>
      <c r="B143" s="2">
        <v>0.13472222222222222</v>
      </c>
      <c r="C143" s="2">
        <v>0.15</v>
      </c>
      <c r="D143" s="2">
        <f t="shared" si="4"/>
        <v>1.5277777777777779E-2</v>
      </c>
      <c r="E143" s="2">
        <f t="shared" si="5"/>
        <v>7.6388888888889173E-3</v>
      </c>
      <c r="F143" s="1" t="s">
        <v>10</v>
      </c>
    </row>
    <row r="144" spans="1:6" x14ac:dyDescent="0.25">
      <c r="A144" s="4"/>
      <c r="B144" s="2">
        <v>0.41319444444444442</v>
      </c>
      <c r="C144" s="2">
        <v>0.43611111111111112</v>
      </c>
      <c r="D144" s="2">
        <f t="shared" si="4"/>
        <v>2.2916666666666696E-2</v>
      </c>
      <c r="E144" s="2">
        <f t="shared" si="5"/>
        <v>3.4722222222223209E-3</v>
      </c>
      <c r="F144" s="1" t="s">
        <v>10</v>
      </c>
    </row>
    <row r="145" spans="1:6" x14ac:dyDescent="0.25">
      <c r="A145" s="4"/>
      <c r="B145" s="2">
        <v>0.57500000000000007</v>
      </c>
      <c r="C145" s="2">
        <v>0.59444444444444444</v>
      </c>
      <c r="D145" s="2">
        <f t="shared" si="4"/>
        <v>1.9444444444444375E-2</v>
      </c>
      <c r="E145" s="2">
        <f t="shared" si="5"/>
        <v>3.4722222222222099E-3</v>
      </c>
      <c r="F145" s="1" t="s">
        <v>10</v>
      </c>
    </row>
    <row r="146" spans="1:6" x14ac:dyDescent="0.25">
      <c r="A146" s="4"/>
      <c r="B146" s="2">
        <v>0.81527777777777777</v>
      </c>
      <c r="C146" s="2">
        <v>0.83124999999999993</v>
      </c>
      <c r="D146" s="2">
        <f t="shared" si="4"/>
        <v>1.5972222222222165E-2</v>
      </c>
      <c r="E146" s="2">
        <f t="shared" si="5"/>
        <v>1.388888888888884E-3</v>
      </c>
      <c r="F146" s="1" t="s">
        <v>10</v>
      </c>
    </row>
    <row r="147" spans="1:6" x14ac:dyDescent="0.25">
      <c r="A147" s="4"/>
      <c r="B147" s="2">
        <v>0.98055555555555562</v>
      </c>
      <c r="C147" s="2">
        <v>0.99513888888888891</v>
      </c>
      <c r="D147" s="2">
        <f t="shared" si="4"/>
        <v>1.4583333333333282E-2</v>
      </c>
      <c r="E147" s="2">
        <f t="shared" si="5"/>
        <v>1.3888888888889429E-3</v>
      </c>
      <c r="F147" s="1" t="s">
        <v>10</v>
      </c>
    </row>
    <row r="148" spans="1:6" x14ac:dyDescent="0.25">
      <c r="A148" s="4"/>
      <c r="B148" s="2">
        <v>2.4999999999999998E-2</v>
      </c>
      <c r="C148" s="2">
        <v>4.0972222222222222E-2</v>
      </c>
      <c r="D148" s="2">
        <f t="shared" si="4"/>
        <v>1.5972222222222224E-2</v>
      </c>
      <c r="E148" s="2">
        <f t="shared" si="5"/>
        <v>1.3888888888888874E-3</v>
      </c>
      <c r="F148" s="1" t="s">
        <v>10</v>
      </c>
    </row>
    <row r="149" spans="1:6" x14ac:dyDescent="0.25">
      <c r="A149" s="4"/>
      <c r="B149" s="2">
        <v>3.4027777777777775E-2</v>
      </c>
      <c r="C149" s="2">
        <v>4.8611111111111112E-2</v>
      </c>
      <c r="D149" s="2">
        <f t="shared" si="4"/>
        <v>1.4583333333333337E-2</v>
      </c>
      <c r="E149" s="2">
        <f t="shared" si="5"/>
        <v>2.0833333333333814E-3</v>
      </c>
      <c r="F149" s="1" t="s">
        <v>10</v>
      </c>
    </row>
    <row r="150" spans="1:6" x14ac:dyDescent="0.25">
      <c r="A150" s="4"/>
      <c r="B150" s="2">
        <v>0.56736111111111109</v>
      </c>
      <c r="C150" s="2">
        <v>0.58402777777777781</v>
      </c>
      <c r="D150" s="2">
        <f t="shared" si="4"/>
        <v>1.6666666666666718E-2</v>
      </c>
      <c r="E150" s="2">
        <f t="shared" si="5"/>
        <v>7.6388888888888618E-3</v>
      </c>
      <c r="F150" s="1" t="s">
        <v>10</v>
      </c>
    </row>
    <row r="151" spans="1:6" x14ac:dyDescent="0.25">
      <c r="A151" s="4"/>
      <c r="B151" s="2">
        <v>0.62986111111111109</v>
      </c>
      <c r="C151" s="2">
        <v>0.65416666666666667</v>
      </c>
      <c r="D151" s="2">
        <f t="shared" si="4"/>
        <v>2.430555555555558E-2</v>
      </c>
      <c r="E151" s="2">
        <f t="shared" si="5"/>
        <v>1.3194444444444509E-2</v>
      </c>
      <c r="F151" s="1" t="s">
        <v>10</v>
      </c>
    </row>
    <row r="152" spans="1:6" x14ac:dyDescent="0.25">
      <c r="A152" s="4"/>
      <c r="B152" s="2">
        <v>0.47500000000000003</v>
      </c>
      <c r="C152" s="2">
        <v>0.4861111111111111</v>
      </c>
      <c r="D152" s="2">
        <f t="shared" si="4"/>
        <v>1.1111111111111072E-2</v>
      </c>
      <c r="E152" s="2">
        <f t="shared" si="5"/>
        <v>1.1102230246251565E-16</v>
      </c>
      <c r="F152" s="1" t="s">
        <v>10</v>
      </c>
    </row>
    <row r="153" spans="1:6" x14ac:dyDescent="0.25">
      <c r="A153" s="4"/>
      <c r="B153" s="2">
        <v>0.87847222222222221</v>
      </c>
      <c r="C153" s="2">
        <v>0.88958333333333339</v>
      </c>
      <c r="D153" s="2">
        <f t="shared" si="4"/>
        <v>1.1111111111111183E-2</v>
      </c>
      <c r="E153" s="2">
        <f t="shared" si="5"/>
        <v>1.3888888888887729E-3</v>
      </c>
      <c r="F153" s="1" t="s">
        <v>10</v>
      </c>
    </row>
    <row r="154" spans="1:6" x14ac:dyDescent="0.25">
      <c r="A154" s="4"/>
      <c r="B154" s="2">
        <v>0.98125000000000007</v>
      </c>
      <c r="C154" s="2">
        <v>0.99375000000000002</v>
      </c>
      <c r="D154" s="2">
        <f t="shared" si="4"/>
        <v>1.2499999999999956E-2</v>
      </c>
      <c r="E154" s="2">
        <f t="shared" si="5"/>
        <v>6.9444444444445308E-3</v>
      </c>
      <c r="F154" s="1" t="s">
        <v>10</v>
      </c>
    </row>
    <row r="155" spans="1:6" x14ac:dyDescent="0.25">
      <c r="A155" s="4"/>
      <c r="B155" s="2">
        <v>0.6333333333333333</v>
      </c>
      <c r="C155" s="2">
        <v>0.65277777777777779</v>
      </c>
      <c r="D155" s="2">
        <f t="shared" si="4"/>
        <v>1.9444444444444486E-2</v>
      </c>
      <c r="E155" s="2">
        <f t="shared" si="5"/>
        <v>4.8611111111109828E-3</v>
      </c>
      <c r="F155" s="1" t="s">
        <v>10</v>
      </c>
    </row>
    <row r="156" spans="1:6" x14ac:dyDescent="0.25">
      <c r="A156" s="4"/>
      <c r="B156" s="2">
        <v>0.72430555555555554</v>
      </c>
      <c r="C156" s="2">
        <v>0.74861111111111101</v>
      </c>
      <c r="D156" s="2">
        <f t="shared" si="4"/>
        <v>2.4305555555555469E-2</v>
      </c>
      <c r="E156" s="2">
        <f t="shared" si="5"/>
        <v>1.736111111111116E-2</v>
      </c>
      <c r="F156" s="1" t="s">
        <v>10</v>
      </c>
    </row>
    <row r="157" spans="1:6" x14ac:dyDescent="0.25">
      <c r="A157" s="4"/>
      <c r="B157" s="2">
        <v>0.89513888888888893</v>
      </c>
      <c r="C157" s="2">
        <v>0.90208333333333324</v>
      </c>
      <c r="D157" s="2">
        <f t="shared" si="4"/>
        <v>6.9444444444443088E-3</v>
      </c>
      <c r="E157" s="2">
        <f t="shared" si="5"/>
        <v>1.1111111111111072E-2</v>
      </c>
      <c r="F157" s="1" t="s">
        <v>10</v>
      </c>
    </row>
    <row r="158" spans="1:6" x14ac:dyDescent="0.25">
      <c r="A158" s="4"/>
      <c r="B158" s="2">
        <v>0.88680555555555562</v>
      </c>
      <c r="C158" s="2">
        <v>0.90486111111111101</v>
      </c>
      <c r="D158" s="2">
        <f t="shared" si="4"/>
        <v>1.805555555555538E-2</v>
      </c>
      <c r="E158" s="2">
        <f t="shared" si="5"/>
        <v>1.3888888888887729E-3</v>
      </c>
      <c r="F158" s="1" t="s">
        <v>10</v>
      </c>
    </row>
    <row r="159" spans="1:6" x14ac:dyDescent="0.25">
      <c r="A159" s="4"/>
      <c r="B159" s="2">
        <v>0.8881944444444444</v>
      </c>
      <c r="C159" s="2">
        <v>0.90486111111111101</v>
      </c>
      <c r="D159" s="2">
        <f t="shared" si="4"/>
        <v>1.6666666666666607E-2</v>
      </c>
      <c r="E159" s="2">
        <f t="shared" si="5"/>
        <v>1.5972222222222283E-2</v>
      </c>
      <c r="F159" s="1" t="s">
        <v>10</v>
      </c>
    </row>
    <row r="160" spans="1:6" x14ac:dyDescent="0.25">
      <c r="A160" s="4"/>
      <c r="B160" s="2">
        <v>3.1944444444444449E-2</v>
      </c>
      <c r="C160" s="2">
        <v>6.458333333333334E-2</v>
      </c>
      <c r="D160" s="2">
        <f t="shared" si="4"/>
        <v>3.2638888888888891E-2</v>
      </c>
      <c r="E160" s="2">
        <f t="shared" si="5"/>
        <v>2.7777777777778859E-3</v>
      </c>
      <c r="F160" s="1" t="s">
        <v>10</v>
      </c>
    </row>
    <row r="161" spans="1:6" x14ac:dyDescent="0.25">
      <c r="A161" s="4"/>
      <c r="B161" s="2">
        <v>0.8305555555555556</v>
      </c>
      <c r="C161" s="2">
        <v>0.86041666666666661</v>
      </c>
      <c r="D161" s="2">
        <f t="shared" si="4"/>
        <v>2.9861111111111005E-2</v>
      </c>
      <c r="E161" s="2">
        <f t="shared" si="5"/>
        <v>1.5277777777777724E-2</v>
      </c>
      <c r="F161" s="1" t="s">
        <v>10</v>
      </c>
    </row>
    <row r="162" spans="1:6" x14ac:dyDescent="0.25">
      <c r="A162" s="4"/>
      <c r="B162" s="2">
        <v>0.94236111111111109</v>
      </c>
      <c r="C162" s="2">
        <v>0.95694444444444438</v>
      </c>
      <c r="D162" s="2">
        <f t="shared" si="4"/>
        <v>1.4583333333333282E-2</v>
      </c>
      <c r="E162" s="2">
        <f t="shared" si="5"/>
        <v>1.3888888888888562E-3</v>
      </c>
      <c r="F162" s="1" t="s">
        <v>10</v>
      </c>
    </row>
    <row r="163" spans="1:6" x14ac:dyDescent="0.25">
      <c r="A163" s="4"/>
      <c r="B163" s="2">
        <v>0.17430555555555557</v>
      </c>
      <c r="C163" s="2">
        <v>0.1875</v>
      </c>
      <c r="D163" s="2">
        <f t="shared" si="4"/>
        <v>1.3194444444444425E-2</v>
      </c>
      <c r="E163" s="2">
        <f t="shared" si="5"/>
        <v>4.8611111111111216E-3</v>
      </c>
      <c r="F163" s="1" t="s">
        <v>10</v>
      </c>
    </row>
    <row r="164" spans="1:6" x14ac:dyDescent="0.25">
      <c r="A164" s="4"/>
      <c r="B164" s="2">
        <v>0.42499999999999999</v>
      </c>
      <c r="C164" s="2">
        <v>0.44305555555555554</v>
      </c>
      <c r="D164" s="2">
        <f t="shared" si="4"/>
        <v>1.8055555555555547E-2</v>
      </c>
      <c r="E164" s="2">
        <f t="shared" si="5"/>
        <v>2.7777777777777679E-3</v>
      </c>
      <c r="F164" s="1" t="s">
        <v>10</v>
      </c>
    </row>
    <row r="165" spans="1:6" x14ac:dyDescent="0.25">
      <c r="A165" s="4"/>
      <c r="B165" s="2">
        <v>0.45069444444444445</v>
      </c>
      <c r="C165" s="2">
        <v>0.47152777777777777</v>
      </c>
      <c r="D165" s="2">
        <f t="shared" si="4"/>
        <v>2.0833333333333315E-2</v>
      </c>
      <c r="E165" s="2">
        <f t="shared" si="5"/>
        <v>6.2499999999999223E-3</v>
      </c>
      <c r="F165" s="1" t="s">
        <v>10</v>
      </c>
    </row>
    <row r="166" spans="1:6" x14ac:dyDescent="0.25">
      <c r="A166" s="4"/>
      <c r="B166" s="2">
        <v>0.57847222222222217</v>
      </c>
      <c r="C166" s="2">
        <v>0.59305555555555556</v>
      </c>
      <c r="D166" s="2">
        <f t="shared" si="4"/>
        <v>1.4583333333333393E-2</v>
      </c>
      <c r="E166" s="2">
        <f t="shared" si="5"/>
        <v>4.8611111111109828E-3</v>
      </c>
      <c r="F166" s="1" t="s">
        <v>10</v>
      </c>
    </row>
    <row r="167" spans="1:6" x14ac:dyDescent="0.25">
      <c r="A167" s="4"/>
      <c r="B167" s="2">
        <v>0.68402777777777779</v>
      </c>
      <c r="C167" s="2">
        <v>0.70347222222222217</v>
      </c>
      <c r="D167" s="2">
        <f t="shared" si="4"/>
        <v>1.9444444444444375E-2</v>
      </c>
      <c r="E167" s="2">
        <f t="shared" si="5"/>
        <v>2.7777777777777679E-3</v>
      </c>
      <c r="F167" s="1" t="s">
        <v>10</v>
      </c>
    </row>
    <row r="168" spans="1:6" x14ac:dyDescent="0.25">
      <c r="A168" s="4"/>
      <c r="B168" s="2">
        <v>0.76041666666666663</v>
      </c>
      <c r="C168" s="2">
        <v>0.77708333333333324</v>
      </c>
      <c r="D168" s="2">
        <f t="shared" si="4"/>
        <v>1.6666666666666607E-2</v>
      </c>
      <c r="E168" s="2">
        <f t="shared" si="5"/>
        <v>3.4722222222222099E-3</v>
      </c>
      <c r="F168" s="1" t="s">
        <v>10</v>
      </c>
    </row>
    <row r="169" spans="1:6" x14ac:dyDescent="0.25">
      <c r="A169" s="4"/>
      <c r="B169" s="2">
        <v>0.84652777777777777</v>
      </c>
      <c r="C169" s="2">
        <v>0.85972222222222217</v>
      </c>
      <c r="D169" s="2">
        <f t="shared" si="4"/>
        <v>1.3194444444444398E-2</v>
      </c>
      <c r="E169" s="2">
        <f t="shared" si="5"/>
        <v>4.1666666666665408E-3</v>
      </c>
      <c r="F169" s="1" t="s">
        <v>10</v>
      </c>
    </row>
    <row r="170" spans="1:6" x14ac:dyDescent="0.25">
      <c r="A170" s="4"/>
      <c r="B170" s="2">
        <v>0.88194444444444453</v>
      </c>
      <c r="C170" s="2">
        <v>0.89930555555555547</v>
      </c>
      <c r="D170" s="2">
        <f t="shared" si="4"/>
        <v>1.7361111111110938E-2</v>
      </c>
      <c r="E170" s="2">
        <f t="shared" si="5"/>
        <v>1.1111111111111294E-2</v>
      </c>
      <c r="F170" s="1" t="s">
        <v>10</v>
      </c>
    </row>
    <row r="171" spans="1:6" x14ac:dyDescent="0.25">
      <c r="A171" s="4"/>
      <c r="B171" s="2">
        <v>0.37013888888888885</v>
      </c>
      <c r="C171" s="2">
        <v>0.39861111111111108</v>
      </c>
      <c r="D171" s="2">
        <f t="shared" si="4"/>
        <v>2.8472222222222232E-2</v>
      </c>
      <c r="E171" s="2">
        <f t="shared" si="5"/>
        <v>1.1111111111111072E-2</v>
      </c>
      <c r="F171" s="1" t="s">
        <v>10</v>
      </c>
    </row>
    <row r="172" spans="1:6" x14ac:dyDescent="0.25">
      <c r="A172" s="4"/>
      <c r="B172" s="2">
        <v>0.62569444444444444</v>
      </c>
      <c r="C172" s="2">
        <v>0.6430555555555556</v>
      </c>
      <c r="D172" s="2">
        <f t="shared" si="4"/>
        <v>1.736111111111116E-2</v>
      </c>
      <c r="E172" s="2">
        <f t="shared" si="5"/>
        <v>5.5555555555557579E-3</v>
      </c>
      <c r="F172" s="1" t="s">
        <v>10</v>
      </c>
    </row>
    <row r="173" spans="1:6" x14ac:dyDescent="0.25">
      <c r="A173" s="4"/>
      <c r="B173" s="2">
        <v>0.68888888888888899</v>
      </c>
      <c r="C173" s="2">
        <v>0.7006944444444444</v>
      </c>
      <c r="D173" s="2">
        <f t="shared" si="4"/>
        <v>1.1805555555555403E-2</v>
      </c>
      <c r="E173" s="2">
        <f t="shared" si="5"/>
        <v>1.388888888889106E-3</v>
      </c>
      <c r="F173" s="1" t="s">
        <v>10</v>
      </c>
    </row>
    <row r="174" spans="1:6" x14ac:dyDescent="0.25">
      <c r="A174" s="4"/>
      <c r="B174" s="2">
        <v>0.71458333333333324</v>
      </c>
      <c r="C174" s="2">
        <v>0.72777777777777775</v>
      </c>
      <c r="D174" s="2">
        <f t="shared" si="4"/>
        <v>1.3194444444444509E-2</v>
      </c>
      <c r="E174" s="2">
        <f t="shared" si="5"/>
        <v>2.7777777777778789E-3</v>
      </c>
      <c r="F174" s="1" t="s">
        <v>10</v>
      </c>
    </row>
    <row r="175" spans="1:6" x14ac:dyDescent="0.25">
      <c r="A175" s="4"/>
      <c r="B175" s="2">
        <v>0.4694444444444445</v>
      </c>
      <c r="C175" s="2">
        <v>0.47986111111111113</v>
      </c>
      <c r="D175" s="2">
        <f t="shared" si="4"/>
        <v>1.041666666666663E-2</v>
      </c>
      <c r="E175" s="2">
        <f t="shared" si="5"/>
        <v>3.4722222222222376E-3</v>
      </c>
      <c r="F175" s="1" t="s">
        <v>10</v>
      </c>
    </row>
    <row r="176" spans="1:6" x14ac:dyDescent="0.25">
      <c r="A176" s="4"/>
      <c r="B176" s="2">
        <v>0.12361111111111112</v>
      </c>
      <c r="C176" s="2">
        <v>0.13749999999999998</v>
      </c>
      <c r="D176" s="2">
        <f t="shared" si="4"/>
        <v>1.3888888888888867E-2</v>
      </c>
      <c r="E176" s="2">
        <f t="shared" si="5"/>
        <v>5.5555555555555081E-3</v>
      </c>
      <c r="F176" s="1" t="s">
        <v>10</v>
      </c>
    </row>
    <row r="177" spans="1:6" x14ac:dyDescent="0.25">
      <c r="A177" s="4"/>
      <c r="B177" s="2">
        <v>0.19999999999999998</v>
      </c>
      <c r="C177" s="2">
        <v>0.20833333333333334</v>
      </c>
      <c r="D177" s="2">
        <f t="shared" si="4"/>
        <v>8.3333333333333592E-3</v>
      </c>
      <c r="E177" s="2">
        <f t="shared" si="5"/>
        <v>7.6388888888888895E-3</v>
      </c>
      <c r="F177" s="1" t="s">
        <v>10</v>
      </c>
    </row>
    <row r="178" spans="1:6" x14ac:dyDescent="0.25">
      <c r="A178" s="4"/>
      <c r="B178" s="2">
        <v>0.23194444444444443</v>
      </c>
      <c r="C178" s="2">
        <v>0.24791666666666667</v>
      </c>
      <c r="D178" s="2">
        <f t="shared" si="4"/>
        <v>1.5972222222222249E-2</v>
      </c>
      <c r="E178" s="2">
        <f t="shared" si="5"/>
        <v>1.5972222222222193E-2</v>
      </c>
      <c r="F178" s="1" t="s">
        <v>10</v>
      </c>
    </row>
    <row r="179" spans="1:6" x14ac:dyDescent="0.25">
      <c r="A179" s="4"/>
      <c r="B179" s="2">
        <v>0.45</v>
      </c>
      <c r="C179" s="2">
        <v>0.48194444444444445</v>
      </c>
      <c r="D179" s="2">
        <f t="shared" si="4"/>
        <v>3.1944444444444442E-2</v>
      </c>
      <c r="E179" s="2">
        <f t="shared" si="5"/>
        <v>1.8055555555555602E-2</v>
      </c>
      <c r="F179" s="1" t="s">
        <v>10</v>
      </c>
    </row>
    <row r="180" spans="1:6" x14ac:dyDescent="0.25">
      <c r="A180" s="4"/>
      <c r="B180" s="2">
        <v>0.47222222222222227</v>
      </c>
      <c r="C180" s="2">
        <v>0.4861111111111111</v>
      </c>
      <c r="D180" s="2">
        <f t="shared" si="4"/>
        <v>1.388888888888884E-2</v>
      </c>
      <c r="E180" s="2">
        <f t="shared" si="5"/>
        <v>6.2499999999999778E-3</v>
      </c>
      <c r="F180" s="1" t="s">
        <v>10</v>
      </c>
    </row>
    <row r="181" spans="1:6" x14ac:dyDescent="0.25">
      <c r="A181" s="4"/>
      <c r="B181" s="2">
        <v>0.4916666666666667</v>
      </c>
      <c r="C181" s="2">
        <v>0.51180555555555551</v>
      </c>
      <c r="D181" s="2">
        <f t="shared" si="4"/>
        <v>2.0138888888888817E-2</v>
      </c>
      <c r="E181" s="2">
        <f t="shared" si="5"/>
        <v>6.94444444444553E-4</v>
      </c>
      <c r="F181" s="1" t="s">
        <v>10</v>
      </c>
    </row>
    <row r="182" spans="1:6" x14ac:dyDescent="0.25">
      <c r="A182" s="4"/>
      <c r="B182" s="2">
        <v>0.54722222222222217</v>
      </c>
      <c r="C182" s="2">
        <v>0.56805555555555554</v>
      </c>
      <c r="D182" s="2">
        <f t="shared" si="4"/>
        <v>2.083333333333337E-2</v>
      </c>
      <c r="E182" s="2">
        <f t="shared" si="5"/>
        <v>9.0277777777778567E-3</v>
      </c>
      <c r="F182" s="1" t="s">
        <v>10</v>
      </c>
    </row>
    <row r="183" spans="1:6" x14ac:dyDescent="0.25">
      <c r="A183" s="4"/>
      <c r="B183" s="2">
        <v>0.84097222222222223</v>
      </c>
      <c r="C183" s="2">
        <v>0.85277777777777775</v>
      </c>
      <c r="D183" s="2">
        <f t="shared" si="4"/>
        <v>1.1805555555555514E-2</v>
      </c>
      <c r="E183" s="2">
        <f t="shared" si="5"/>
        <v>1.3888888888888895E-2</v>
      </c>
      <c r="F183" s="1" t="s">
        <v>10</v>
      </c>
    </row>
    <row r="184" spans="1:6" x14ac:dyDescent="0.25">
      <c r="A184" s="4"/>
      <c r="B184" s="2">
        <v>0.25694444444444448</v>
      </c>
      <c r="C184" s="2">
        <v>0.28263888888888888</v>
      </c>
      <c r="D184" s="2">
        <f t="shared" si="4"/>
        <v>2.5694444444444409E-2</v>
      </c>
      <c r="E184" s="2">
        <f t="shared" si="5"/>
        <v>1.3888888888888867E-2</v>
      </c>
      <c r="F184" s="1" t="s">
        <v>10</v>
      </c>
    </row>
    <row r="185" spans="1:6" x14ac:dyDescent="0.25">
      <c r="A185" s="4"/>
      <c r="B185" s="2">
        <v>0.24166666666666667</v>
      </c>
      <c r="C185" s="2">
        <v>0.25347222222222221</v>
      </c>
      <c r="D185" s="2">
        <f t="shared" si="4"/>
        <v>1.1805555555555541E-2</v>
      </c>
      <c r="E185" s="2">
        <f t="shared" si="5"/>
        <v>6.2500000000000611E-3</v>
      </c>
      <c r="F185" s="1" t="s">
        <v>10</v>
      </c>
    </row>
    <row r="186" spans="1:6" x14ac:dyDescent="0.25">
      <c r="A186" s="4"/>
      <c r="B186" s="2">
        <v>0.4055555555555555</v>
      </c>
      <c r="C186" s="2">
        <v>0.4236111111111111</v>
      </c>
      <c r="D186" s="2">
        <f t="shared" si="4"/>
        <v>1.8055555555555602E-2</v>
      </c>
      <c r="E186" s="2">
        <f t="shared" si="5"/>
        <v>2.0833333333332704E-3</v>
      </c>
      <c r="F186" s="1" t="s">
        <v>10</v>
      </c>
    </row>
    <row r="187" spans="1:6" x14ac:dyDescent="0.25">
      <c r="A187" s="4"/>
      <c r="B187" s="2">
        <v>0.41736111111111113</v>
      </c>
      <c r="C187" s="2">
        <v>0.4375</v>
      </c>
      <c r="D187" s="2">
        <f t="shared" si="4"/>
        <v>2.0138888888888873E-2</v>
      </c>
      <c r="E187" s="2">
        <f t="shared" si="5"/>
        <v>1.0416666666666574E-2</v>
      </c>
      <c r="F187" s="1" t="s">
        <v>10</v>
      </c>
    </row>
    <row r="188" spans="1:6" x14ac:dyDescent="0.25">
      <c r="A188" s="4"/>
      <c r="B188" s="2">
        <v>0.88263888888888886</v>
      </c>
      <c r="C188" s="2">
        <v>0.89236111111111116</v>
      </c>
      <c r="D188" s="2">
        <f t="shared" si="4"/>
        <v>9.7222222222222987E-3</v>
      </c>
      <c r="E188" s="2">
        <f t="shared" si="5"/>
        <v>7.6388888888888062E-3</v>
      </c>
      <c r="F188" s="1" t="s">
        <v>10</v>
      </c>
    </row>
    <row r="189" spans="1:6" x14ac:dyDescent="0.25">
      <c r="A189" s="4"/>
      <c r="B189" s="2">
        <v>0.34097222222222223</v>
      </c>
      <c r="C189" s="2">
        <v>0.35833333333333334</v>
      </c>
      <c r="D189" s="2">
        <f t="shared" si="4"/>
        <v>1.7361111111111105E-2</v>
      </c>
      <c r="E189" s="2">
        <f t="shared" si="5"/>
        <v>3.4722222222222099E-3</v>
      </c>
      <c r="F189" s="1" t="s">
        <v>10</v>
      </c>
    </row>
    <row r="190" spans="1:6" x14ac:dyDescent="0.25">
      <c r="A190" s="4"/>
      <c r="B190" s="2">
        <v>0.41666666666666669</v>
      </c>
      <c r="C190" s="2">
        <v>0.43055555555555558</v>
      </c>
      <c r="D190" s="2">
        <f t="shared" si="4"/>
        <v>1.3888888888888895E-2</v>
      </c>
      <c r="E190" s="2">
        <f t="shared" si="5"/>
        <v>6.9444444444449749E-4</v>
      </c>
      <c r="F190" s="1" t="s">
        <v>10</v>
      </c>
    </row>
    <row r="191" spans="1:6" x14ac:dyDescent="0.25">
      <c r="A191" s="4"/>
      <c r="B191" s="2">
        <v>0.53263888888888888</v>
      </c>
      <c r="C191" s="2">
        <v>0.54583333333333328</v>
      </c>
      <c r="D191" s="2">
        <f t="shared" si="4"/>
        <v>1.3194444444444398E-2</v>
      </c>
      <c r="E191" s="2">
        <f t="shared" si="5"/>
        <v>3.4722222222223209E-3</v>
      </c>
      <c r="F191" s="1" t="s">
        <v>10</v>
      </c>
    </row>
    <row r="192" spans="1:6" x14ac:dyDescent="0.25">
      <c r="A192" s="4"/>
      <c r="B192" s="2">
        <v>0.69305555555555554</v>
      </c>
      <c r="C192" s="2">
        <v>0.70972222222222225</v>
      </c>
      <c r="D192" s="2">
        <f t="shared" si="4"/>
        <v>1.6666666666666718E-2</v>
      </c>
      <c r="E192" s="2">
        <f t="shared" si="5"/>
        <v>3.4722222222222099E-3</v>
      </c>
      <c r="F192" s="1" t="s">
        <v>10</v>
      </c>
    </row>
    <row r="193" spans="1:6" x14ac:dyDescent="0.25">
      <c r="A193" s="4"/>
      <c r="B193" s="2">
        <v>0.73472222222222217</v>
      </c>
      <c r="C193" s="2">
        <v>0.74791666666666667</v>
      </c>
      <c r="D193" s="2">
        <f t="shared" ref="D193:D256" si="6">C193-B193</f>
        <v>1.3194444444444509E-2</v>
      </c>
      <c r="E193" s="2">
        <f t="shared" si="5"/>
        <v>1.3888888888889672E-3</v>
      </c>
      <c r="F193" s="1" t="s">
        <v>10</v>
      </c>
    </row>
    <row r="194" spans="1:6" x14ac:dyDescent="0.25">
      <c r="A194" s="4"/>
      <c r="B194" s="2">
        <v>0.15555555555555556</v>
      </c>
      <c r="C194" s="2">
        <v>0.1673611111111111</v>
      </c>
      <c r="D194" s="2">
        <f t="shared" si="6"/>
        <v>1.1805555555555541E-2</v>
      </c>
      <c r="E194" s="2">
        <f t="shared" si="5"/>
        <v>4.8611111111111216E-3</v>
      </c>
      <c r="F194" s="1" t="s">
        <v>10</v>
      </c>
    </row>
    <row r="195" spans="1:6" x14ac:dyDescent="0.25">
      <c r="A195" s="4"/>
      <c r="B195" s="2">
        <v>0.28194444444444444</v>
      </c>
      <c r="C195" s="2">
        <v>0.2986111111111111</v>
      </c>
      <c r="D195" s="2">
        <f t="shared" si="6"/>
        <v>1.6666666666666663E-2</v>
      </c>
      <c r="E195" s="2">
        <f t="shared" si="5"/>
        <v>2.0833333333333814E-3</v>
      </c>
      <c r="F195" s="1" t="s">
        <v>10</v>
      </c>
    </row>
    <row r="196" spans="1:6" x14ac:dyDescent="0.25">
      <c r="A196" s="4"/>
      <c r="B196" s="2">
        <v>0.47083333333333338</v>
      </c>
      <c r="C196" s="2">
        <v>0.48541666666666666</v>
      </c>
      <c r="D196" s="2">
        <f t="shared" si="6"/>
        <v>1.4583333333333282E-2</v>
      </c>
      <c r="E196" s="2">
        <f t="shared" si="5"/>
        <v>6.9444444444444198E-4</v>
      </c>
      <c r="F196" s="1" t="s">
        <v>10</v>
      </c>
    </row>
    <row r="197" spans="1:6" x14ac:dyDescent="0.25">
      <c r="A197" s="4"/>
      <c r="B197" s="2">
        <v>0.52222222222222225</v>
      </c>
      <c r="C197" s="2">
        <v>0.53611111111111109</v>
      </c>
      <c r="D197" s="2">
        <f t="shared" si="6"/>
        <v>1.388888888888884E-2</v>
      </c>
      <c r="E197" s="2">
        <f t="shared" ref="E197:E260" si="7">ABS(D197-D198)</f>
        <v>4.8611111111112049E-3</v>
      </c>
      <c r="F197" s="1" t="s">
        <v>10</v>
      </c>
    </row>
    <row r="198" spans="1:6" x14ac:dyDescent="0.25">
      <c r="A198" s="4"/>
      <c r="B198" s="2">
        <v>0.57708333333333328</v>
      </c>
      <c r="C198" s="2">
        <v>0.59583333333333333</v>
      </c>
      <c r="D198" s="2">
        <f t="shared" si="6"/>
        <v>1.8750000000000044E-2</v>
      </c>
      <c r="E198" s="2">
        <f t="shared" si="7"/>
        <v>1.1102230246251565E-16</v>
      </c>
      <c r="F198" s="1" t="s">
        <v>10</v>
      </c>
    </row>
    <row r="199" spans="1:6" x14ac:dyDescent="0.25">
      <c r="A199" s="4"/>
      <c r="B199" s="2">
        <v>0.61458333333333337</v>
      </c>
      <c r="C199" s="2">
        <v>0.6333333333333333</v>
      </c>
      <c r="D199" s="2">
        <f t="shared" si="6"/>
        <v>1.8749999999999933E-2</v>
      </c>
      <c r="E199" s="2">
        <f t="shared" si="7"/>
        <v>4.8611111111110938E-3</v>
      </c>
      <c r="F199" s="1" t="s">
        <v>10</v>
      </c>
    </row>
    <row r="200" spans="1:6" x14ac:dyDescent="0.25">
      <c r="A200" s="4"/>
      <c r="B200" s="2">
        <v>0.68402777777777779</v>
      </c>
      <c r="C200" s="2">
        <v>0.69791666666666663</v>
      </c>
      <c r="D200" s="2">
        <f t="shared" si="6"/>
        <v>1.388888888888884E-2</v>
      </c>
      <c r="E200" s="2">
        <f t="shared" si="7"/>
        <v>6.9444444444444198E-4</v>
      </c>
      <c r="F200" s="5" t="s">
        <v>10</v>
      </c>
    </row>
    <row r="201" spans="1:6" x14ac:dyDescent="0.25">
      <c r="A201" s="4"/>
      <c r="B201" s="2">
        <v>0.72430555555555554</v>
      </c>
      <c r="C201" s="2">
        <v>0.73749999999999993</v>
      </c>
      <c r="D201" s="2">
        <f t="shared" si="6"/>
        <v>1.3194444444444398E-2</v>
      </c>
      <c r="E201" s="2">
        <f t="shared" si="7"/>
        <v>6.9444444444444198E-4</v>
      </c>
      <c r="F201" s="1" t="s">
        <v>10</v>
      </c>
    </row>
    <row r="202" spans="1:6" x14ac:dyDescent="0.25">
      <c r="A202" s="4"/>
      <c r="B202" s="2">
        <v>0.87847222222222221</v>
      </c>
      <c r="C202" s="2">
        <v>0.89097222222222217</v>
      </c>
      <c r="D202" s="2">
        <f t="shared" si="6"/>
        <v>1.2499999999999956E-2</v>
      </c>
      <c r="E202" s="2">
        <f t="shared" si="7"/>
        <v>3.4722222222222099E-3</v>
      </c>
      <c r="F202" s="1" t="s">
        <v>10</v>
      </c>
    </row>
    <row r="203" spans="1:6" x14ac:dyDescent="0.25">
      <c r="A203" s="4"/>
      <c r="B203" s="2">
        <v>0.97013888888888899</v>
      </c>
      <c r="C203" s="2">
        <v>0.98611111111111116</v>
      </c>
      <c r="D203" s="2">
        <f t="shared" si="6"/>
        <v>1.5972222222222165E-2</v>
      </c>
      <c r="E203" s="2">
        <f t="shared" si="7"/>
        <v>6.9444444444438647E-4</v>
      </c>
      <c r="F203" s="1" t="s">
        <v>10</v>
      </c>
    </row>
    <row r="204" spans="1:6" x14ac:dyDescent="0.25">
      <c r="A204" s="4"/>
      <c r="B204" s="2">
        <v>0.28055555555555556</v>
      </c>
      <c r="C204" s="2">
        <v>0.29583333333333334</v>
      </c>
      <c r="D204" s="2">
        <f t="shared" si="6"/>
        <v>1.5277777777777779E-2</v>
      </c>
      <c r="E204" s="2">
        <f t="shared" si="7"/>
        <v>2.0833333333333259E-3</v>
      </c>
      <c r="F204" s="1" t="s">
        <v>10</v>
      </c>
    </row>
    <row r="205" spans="1:6" x14ac:dyDescent="0.25">
      <c r="A205" s="4"/>
      <c r="B205" s="2">
        <v>0.30138888888888887</v>
      </c>
      <c r="C205" s="2">
        <v>0.31458333333333333</v>
      </c>
      <c r="D205" s="2">
        <f t="shared" si="6"/>
        <v>1.3194444444444453E-2</v>
      </c>
      <c r="E205" s="2">
        <f t="shared" si="7"/>
        <v>1.3888888888889395E-3</v>
      </c>
      <c r="F205" s="1" t="s">
        <v>10</v>
      </c>
    </row>
    <row r="206" spans="1:6" x14ac:dyDescent="0.25">
      <c r="A206" s="4"/>
      <c r="B206" s="2">
        <v>0.42499999999999999</v>
      </c>
      <c r="C206" s="2">
        <v>0.43958333333333338</v>
      </c>
      <c r="D206" s="2">
        <f t="shared" si="6"/>
        <v>1.4583333333333393E-2</v>
      </c>
      <c r="E206" s="2">
        <f t="shared" si="7"/>
        <v>1.0416666666666741E-2</v>
      </c>
      <c r="F206" s="1" t="s">
        <v>10</v>
      </c>
    </row>
    <row r="207" spans="1:6" x14ac:dyDescent="0.25">
      <c r="A207" s="4"/>
      <c r="B207" s="2">
        <v>0.50555555555555554</v>
      </c>
      <c r="C207" s="2">
        <v>0.50972222222222219</v>
      </c>
      <c r="D207" s="2">
        <f t="shared" si="6"/>
        <v>4.1666666666666519E-3</v>
      </c>
      <c r="E207" s="2">
        <f t="shared" si="7"/>
        <v>0</v>
      </c>
      <c r="F207" s="1" t="s">
        <v>10</v>
      </c>
    </row>
    <row r="208" spans="1:6" x14ac:dyDescent="0.25">
      <c r="A208" s="4"/>
      <c r="B208" s="2">
        <v>0.54652777777777783</v>
      </c>
      <c r="C208" s="2">
        <v>0.55069444444444449</v>
      </c>
      <c r="D208" s="2">
        <f t="shared" si="6"/>
        <v>4.1666666666666519E-3</v>
      </c>
      <c r="E208" s="2">
        <f t="shared" si="7"/>
        <v>7.6388888888889728E-3</v>
      </c>
      <c r="F208" s="1" t="s">
        <v>10</v>
      </c>
    </row>
    <row r="209" spans="1:6" x14ac:dyDescent="0.25">
      <c r="A209" s="4"/>
      <c r="B209" s="2">
        <v>0.56319444444444444</v>
      </c>
      <c r="C209" s="2">
        <v>0.57500000000000007</v>
      </c>
      <c r="D209" s="2">
        <f t="shared" si="6"/>
        <v>1.1805555555555625E-2</v>
      </c>
      <c r="E209" s="2">
        <f t="shared" si="7"/>
        <v>3.4722222222220989E-3</v>
      </c>
      <c r="F209" s="1" t="s">
        <v>10</v>
      </c>
    </row>
    <row r="210" spans="1:6" x14ac:dyDescent="0.25">
      <c r="A210" s="4"/>
      <c r="B210" s="2">
        <v>0.56597222222222221</v>
      </c>
      <c r="C210" s="2">
        <v>0.58124999999999993</v>
      </c>
      <c r="D210" s="2">
        <f t="shared" si="6"/>
        <v>1.5277777777777724E-2</v>
      </c>
      <c r="E210" s="2">
        <f t="shared" si="7"/>
        <v>2.7777777777776569E-3</v>
      </c>
      <c r="F210" s="1" t="s">
        <v>10</v>
      </c>
    </row>
    <row r="211" spans="1:6" x14ac:dyDescent="0.25">
      <c r="A211" s="4"/>
      <c r="B211" s="2">
        <v>0.83124999999999993</v>
      </c>
      <c r="C211" s="2">
        <v>0.84375</v>
      </c>
      <c r="D211" s="2">
        <f t="shared" si="6"/>
        <v>1.2500000000000067E-2</v>
      </c>
      <c r="E211" s="2">
        <f t="shared" si="7"/>
        <v>3.4722222222220989E-3</v>
      </c>
      <c r="F211" s="1" t="s">
        <v>10</v>
      </c>
    </row>
    <row r="212" spans="1:6" x14ac:dyDescent="0.25">
      <c r="A212" s="4"/>
      <c r="B212" s="2">
        <v>0.84444444444444444</v>
      </c>
      <c r="C212" s="2">
        <v>0.86041666666666661</v>
      </c>
      <c r="D212" s="2">
        <f t="shared" si="6"/>
        <v>1.5972222222222165E-2</v>
      </c>
      <c r="E212" s="2">
        <f t="shared" si="7"/>
        <v>2.7777777777778789E-3</v>
      </c>
      <c r="F212" s="1" t="s">
        <v>10</v>
      </c>
    </row>
    <row r="213" spans="1:6" x14ac:dyDescent="0.25">
      <c r="A213" s="4"/>
      <c r="B213" s="2">
        <v>0.42222222222222222</v>
      </c>
      <c r="C213" s="2">
        <v>0.44097222222222227</v>
      </c>
      <c r="D213" s="2">
        <f t="shared" si="6"/>
        <v>1.8750000000000044E-2</v>
      </c>
      <c r="E213" s="2">
        <f t="shared" si="7"/>
        <v>5.5555555555555358E-3</v>
      </c>
      <c r="F213" s="1" t="s">
        <v>10</v>
      </c>
    </row>
    <row r="214" spans="1:6" x14ac:dyDescent="0.25">
      <c r="A214" s="4"/>
      <c r="B214" s="2">
        <v>0.62569444444444444</v>
      </c>
      <c r="C214" s="2">
        <v>0.63888888888888895</v>
      </c>
      <c r="D214" s="2">
        <f t="shared" si="6"/>
        <v>1.3194444444444509E-2</v>
      </c>
      <c r="E214" s="2">
        <f t="shared" si="7"/>
        <v>1.1102230246251565E-16</v>
      </c>
      <c r="F214" s="1" t="s">
        <v>10</v>
      </c>
    </row>
    <row r="215" spans="1:6" x14ac:dyDescent="0.25">
      <c r="A215" s="4"/>
      <c r="B215" s="2">
        <v>0.82500000000000007</v>
      </c>
      <c r="C215" s="2">
        <v>0.83819444444444446</v>
      </c>
      <c r="D215" s="2">
        <f t="shared" si="6"/>
        <v>1.3194444444444398E-2</v>
      </c>
      <c r="E215" s="2">
        <f t="shared" si="7"/>
        <v>1.3888888888887729E-3</v>
      </c>
      <c r="F215" s="1" t="s">
        <v>10</v>
      </c>
    </row>
    <row r="216" spans="1:6" x14ac:dyDescent="0.25">
      <c r="A216" s="4"/>
      <c r="B216" s="2">
        <v>0.83888888888888891</v>
      </c>
      <c r="C216" s="2">
        <v>0.85069444444444453</v>
      </c>
      <c r="D216" s="2">
        <f t="shared" si="6"/>
        <v>1.1805555555555625E-2</v>
      </c>
      <c r="E216" s="2">
        <f t="shared" si="7"/>
        <v>4.8611111111112049E-3</v>
      </c>
      <c r="F216" s="1" t="s">
        <v>10</v>
      </c>
    </row>
    <row r="217" spans="1:6" x14ac:dyDescent="0.25">
      <c r="A217" s="4"/>
      <c r="B217" s="2">
        <v>0.93611111111111101</v>
      </c>
      <c r="C217" s="2">
        <v>0.95277777777777783</v>
      </c>
      <c r="D217" s="2">
        <f t="shared" si="6"/>
        <v>1.6666666666666829E-2</v>
      </c>
      <c r="E217" s="2">
        <f t="shared" si="7"/>
        <v>1.3888888888886897E-3</v>
      </c>
      <c r="F217" s="1" t="s">
        <v>10</v>
      </c>
    </row>
    <row r="218" spans="1:6" x14ac:dyDescent="0.25">
      <c r="A218" s="4"/>
      <c r="B218" s="2">
        <v>0.23402777777777781</v>
      </c>
      <c r="C218" s="2">
        <v>0.25208333333333333</v>
      </c>
      <c r="D218" s="2">
        <f t="shared" si="6"/>
        <v>1.8055555555555519E-2</v>
      </c>
      <c r="E218" s="2">
        <f t="shared" si="7"/>
        <v>5.5555555555554526E-3</v>
      </c>
      <c r="F218" s="1" t="s">
        <v>10</v>
      </c>
    </row>
    <row r="219" spans="1:6" x14ac:dyDescent="0.25">
      <c r="A219" s="4"/>
      <c r="B219" s="2">
        <v>0.4284722222222222</v>
      </c>
      <c r="C219" s="2">
        <v>0.44097222222222227</v>
      </c>
      <c r="D219" s="2">
        <f t="shared" si="6"/>
        <v>1.2500000000000067E-2</v>
      </c>
      <c r="E219" s="2">
        <f t="shared" si="7"/>
        <v>2.083333333333437E-3</v>
      </c>
      <c r="F219" s="1" t="s">
        <v>10</v>
      </c>
    </row>
    <row r="220" spans="1:6" x14ac:dyDescent="0.25">
      <c r="A220" s="4"/>
      <c r="B220" s="2">
        <v>0.55208333333333337</v>
      </c>
      <c r="C220" s="2">
        <v>0.5625</v>
      </c>
      <c r="D220" s="2">
        <f t="shared" si="6"/>
        <v>1.041666666666663E-2</v>
      </c>
      <c r="E220" s="2">
        <f t="shared" si="7"/>
        <v>1.3888888888887729E-3</v>
      </c>
      <c r="F220" s="1" t="s">
        <v>10</v>
      </c>
    </row>
    <row r="221" spans="1:6" x14ac:dyDescent="0.25">
      <c r="A221" s="4"/>
      <c r="B221" s="2">
        <v>0.76388888888888884</v>
      </c>
      <c r="C221" s="2">
        <v>0.7729166666666667</v>
      </c>
      <c r="D221" s="2">
        <f t="shared" si="6"/>
        <v>9.0277777777778567E-3</v>
      </c>
      <c r="E221" s="2">
        <f t="shared" si="7"/>
        <v>2.0833333333332149E-3</v>
      </c>
      <c r="F221" s="1" t="s">
        <v>10</v>
      </c>
    </row>
    <row r="222" spans="1:6" x14ac:dyDescent="0.25">
      <c r="A222" s="4"/>
      <c r="B222" s="2">
        <v>0.78333333333333333</v>
      </c>
      <c r="C222" s="2">
        <v>0.7944444444444444</v>
      </c>
      <c r="D222" s="2">
        <f t="shared" si="6"/>
        <v>1.1111111111111072E-2</v>
      </c>
      <c r="E222" s="2">
        <f t="shared" si="7"/>
        <v>6.9444444444449055E-4</v>
      </c>
      <c r="F222" s="1" t="s">
        <v>10</v>
      </c>
    </row>
    <row r="223" spans="1:6" x14ac:dyDescent="0.25">
      <c r="A223" s="4"/>
      <c r="B223" s="2">
        <v>4.7222222222222221E-2</v>
      </c>
      <c r="C223" s="2">
        <v>5.9027777777777783E-2</v>
      </c>
      <c r="D223" s="2">
        <f t="shared" si="6"/>
        <v>1.1805555555555562E-2</v>
      </c>
      <c r="E223" s="2">
        <f t="shared" si="7"/>
        <v>1.3888888888888909E-3</v>
      </c>
      <c r="F223" s="1" t="s">
        <v>10</v>
      </c>
    </row>
    <row r="224" spans="1:6" x14ac:dyDescent="0.25">
      <c r="A224" s="4"/>
      <c r="B224" s="2">
        <v>0.35625000000000001</v>
      </c>
      <c r="C224" s="2">
        <v>0.36944444444444446</v>
      </c>
      <c r="D224" s="2">
        <f t="shared" si="6"/>
        <v>1.3194444444444453E-2</v>
      </c>
      <c r="E224" s="2">
        <f t="shared" si="7"/>
        <v>1.1805555555555625E-2</v>
      </c>
      <c r="F224" s="1" t="s">
        <v>10</v>
      </c>
    </row>
    <row r="225" spans="1:6" x14ac:dyDescent="0.25">
      <c r="A225" s="4"/>
      <c r="B225" s="2">
        <v>0.44444444444444442</v>
      </c>
      <c r="C225" s="2">
        <v>0.4694444444444445</v>
      </c>
      <c r="D225" s="2">
        <f t="shared" si="6"/>
        <v>2.5000000000000078E-2</v>
      </c>
      <c r="E225" s="2">
        <f t="shared" si="7"/>
        <v>1.1111111111111238E-2</v>
      </c>
      <c r="F225" s="1" t="s">
        <v>10</v>
      </c>
    </row>
    <row r="226" spans="1:6" x14ac:dyDescent="0.25">
      <c r="A226" s="4"/>
      <c r="B226" s="2">
        <v>0.49027777777777781</v>
      </c>
      <c r="C226" s="2">
        <v>0.50416666666666665</v>
      </c>
      <c r="D226" s="2">
        <f t="shared" si="6"/>
        <v>1.388888888888884E-2</v>
      </c>
      <c r="E226" s="2">
        <f t="shared" si="7"/>
        <v>6.9444444444444198E-4</v>
      </c>
      <c r="F226" s="1" t="s">
        <v>10</v>
      </c>
    </row>
    <row r="227" spans="1:6" x14ac:dyDescent="0.25">
      <c r="A227" s="4"/>
      <c r="B227" s="2">
        <v>0.54236111111111118</v>
      </c>
      <c r="C227" s="2">
        <v>0.55694444444444446</v>
      </c>
      <c r="D227" s="2">
        <f t="shared" si="6"/>
        <v>1.4583333333333282E-2</v>
      </c>
      <c r="E227" s="2">
        <f t="shared" si="7"/>
        <v>0</v>
      </c>
      <c r="F227" s="1" t="s">
        <v>10</v>
      </c>
    </row>
    <row r="228" spans="1:6" x14ac:dyDescent="0.25">
      <c r="A228" s="4"/>
      <c r="B228" s="2">
        <v>0.6166666666666667</v>
      </c>
      <c r="C228" s="2">
        <v>0.63124999999999998</v>
      </c>
      <c r="D228" s="2">
        <f t="shared" si="6"/>
        <v>1.4583333333333282E-2</v>
      </c>
      <c r="E228" s="2">
        <f t="shared" si="7"/>
        <v>6.9444444444444198E-4</v>
      </c>
      <c r="F228" s="1" t="s">
        <v>10</v>
      </c>
    </row>
    <row r="229" spans="1:6" x14ac:dyDescent="0.25">
      <c r="A229" s="4"/>
      <c r="B229" s="2">
        <v>0.61736111111111114</v>
      </c>
      <c r="C229" s="2">
        <v>0.63124999999999998</v>
      </c>
      <c r="D229" s="2">
        <f t="shared" si="6"/>
        <v>1.388888888888884E-2</v>
      </c>
      <c r="E229" s="2">
        <f t="shared" si="7"/>
        <v>3.4722222222223209E-3</v>
      </c>
      <c r="F229" s="1" t="s">
        <v>10</v>
      </c>
    </row>
    <row r="230" spans="1:6" x14ac:dyDescent="0.25">
      <c r="A230" s="4"/>
      <c r="B230" s="2">
        <v>0.70277777777777783</v>
      </c>
      <c r="C230" s="2">
        <v>0.72013888888888899</v>
      </c>
      <c r="D230" s="2">
        <f t="shared" si="6"/>
        <v>1.736111111111116E-2</v>
      </c>
      <c r="E230" s="2">
        <f t="shared" si="7"/>
        <v>9.7222222222222987E-3</v>
      </c>
      <c r="F230" s="1" t="s">
        <v>10</v>
      </c>
    </row>
    <row r="231" spans="1:6" x14ac:dyDescent="0.25">
      <c r="A231" s="4"/>
      <c r="B231" s="2">
        <v>0.88888888888888884</v>
      </c>
      <c r="C231" s="2">
        <v>0.8965277777777777</v>
      </c>
      <c r="D231" s="2">
        <f t="shared" si="6"/>
        <v>7.6388888888888618E-3</v>
      </c>
      <c r="E231" s="2">
        <f t="shared" si="7"/>
        <v>6.9444444444445308E-3</v>
      </c>
      <c r="F231" s="1" t="s">
        <v>10</v>
      </c>
    </row>
    <row r="232" spans="1:6" x14ac:dyDescent="0.25">
      <c r="A232" s="4"/>
      <c r="B232" s="2">
        <v>0.88055555555555554</v>
      </c>
      <c r="C232" s="2">
        <v>0.89513888888888893</v>
      </c>
      <c r="D232" s="2">
        <f t="shared" si="6"/>
        <v>1.4583333333333393E-2</v>
      </c>
      <c r="E232" s="2">
        <f t="shared" si="7"/>
        <v>0</v>
      </c>
      <c r="F232" s="1" t="s">
        <v>10</v>
      </c>
    </row>
    <row r="233" spans="1:6" x14ac:dyDescent="0.25">
      <c r="A233" s="4"/>
      <c r="B233" s="2">
        <v>0.96180555555555547</v>
      </c>
      <c r="C233" s="2">
        <v>0.97638888888888886</v>
      </c>
      <c r="D233" s="2">
        <f t="shared" si="6"/>
        <v>1.4583333333333393E-2</v>
      </c>
      <c r="E233" s="2">
        <f t="shared" si="7"/>
        <v>2.0833333333333259E-3</v>
      </c>
      <c r="F233" s="1" t="s">
        <v>10</v>
      </c>
    </row>
    <row r="234" spans="1:6" x14ac:dyDescent="0.25">
      <c r="A234" s="4"/>
      <c r="B234" s="2">
        <v>0.63402777777777775</v>
      </c>
      <c r="C234" s="2">
        <v>0.64652777777777781</v>
      </c>
      <c r="D234" s="2">
        <f t="shared" si="6"/>
        <v>1.2500000000000067E-2</v>
      </c>
      <c r="E234" s="2">
        <f t="shared" si="7"/>
        <v>1.1102230246251565E-16</v>
      </c>
      <c r="F234" s="1" t="s">
        <v>10</v>
      </c>
    </row>
    <row r="235" spans="1:6" x14ac:dyDescent="0.25">
      <c r="A235" s="4"/>
      <c r="B235" s="2">
        <v>0.73402777777777783</v>
      </c>
      <c r="C235" s="2">
        <v>0.74652777777777779</v>
      </c>
      <c r="D235" s="2">
        <f t="shared" si="6"/>
        <v>1.2499999999999956E-2</v>
      </c>
      <c r="E235" s="2">
        <f t="shared" si="7"/>
        <v>2.083333333333437E-3</v>
      </c>
      <c r="F235" s="1" t="s">
        <v>10</v>
      </c>
    </row>
    <row r="236" spans="1:6" x14ac:dyDescent="0.25">
      <c r="A236" s="4"/>
      <c r="B236" s="2">
        <v>0.8125</v>
      </c>
      <c r="C236" s="2">
        <v>0.82708333333333339</v>
      </c>
      <c r="D236" s="2">
        <f t="shared" si="6"/>
        <v>1.4583333333333393E-2</v>
      </c>
      <c r="E236" s="2">
        <f t="shared" si="7"/>
        <v>1.1111111111111072E-2</v>
      </c>
      <c r="F236" s="1" t="s">
        <v>10</v>
      </c>
    </row>
    <row r="237" spans="1:6" x14ac:dyDescent="0.25">
      <c r="A237" s="4"/>
      <c r="B237" s="2">
        <v>0.78611111111111109</v>
      </c>
      <c r="C237" s="2">
        <v>0.81180555555555556</v>
      </c>
      <c r="D237" s="2">
        <f t="shared" si="6"/>
        <v>2.5694444444444464E-2</v>
      </c>
      <c r="E237" s="2">
        <f t="shared" si="7"/>
        <v>1.2499999999999956E-2</v>
      </c>
      <c r="F237" s="1" t="s">
        <v>10</v>
      </c>
    </row>
    <row r="238" spans="1:6" x14ac:dyDescent="0.25">
      <c r="A238" s="4"/>
      <c r="B238" s="2">
        <v>0.92847222222222225</v>
      </c>
      <c r="C238" s="2">
        <v>0.94166666666666676</v>
      </c>
      <c r="D238" s="2">
        <f t="shared" si="6"/>
        <v>1.3194444444444509E-2</v>
      </c>
      <c r="E238" s="2">
        <f t="shared" si="7"/>
        <v>6.2499999999999778E-3</v>
      </c>
      <c r="F238" s="1" t="s">
        <v>10</v>
      </c>
    </row>
    <row r="239" spans="1:6" x14ac:dyDescent="0.25">
      <c r="A239" s="4"/>
      <c r="B239" s="2">
        <v>0.33055555555555555</v>
      </c>
      <c r="C239" s="2">
        <v>0.35000000000000003</v>
      </c>
      <c r="D239" s="2">
        <f t="shared" si="6"/>
        <v>1.9444444444444486E-2</v>
      </c>
      <c r="E239" s="2">
        <f t="shared" si="7"/>
        <v>6.2500000000000888E-3</v>
      </c>
      <c r="F239" s="1" t="s">
        <v>10</v>
      </c>
    </row>
    <row r="240" spans="1:6" x14ac:dyDescent="0.25">
      <c r="A240" s="4"/>
      <c r="B240" s="2">
        <v>0.50277777777777777</v>
      </c>
      <c r="C240" s="2">
        <v>0.51597222222222217</v>
      </c>
      <c r="D240" s="2">
        <f t="shared" si="6"/>
        <v>1.3194444444444398E-2</v>
      </c>
      <c r="E240" s="2">
        <f t="shared" si="7"/>
        <v>6.2499999999999778E-3</v>
      </c>
      <c r="F240" s="1" t="s">
        <v>10</v>
      </c>
    </row>
    <row r="241" spans="1:6" x14ac:dyDescent="0.25">
      <c r="A241" s="4"/>
      <c r="B241" s="2">
        <v>0.58194444444444449</v>
      </c>
      <c r="C241" s="2">
        <v>0.60138888888888886</v>
      </c>
      <c r="D241" s="2">
        <f t="shared" si="6"/>
        <v>1.9444444444444375E-2</v>
      </c>
      <c r="E241" s="2">
        <f t="shared" si="7"/>
        <v>6.2499999999998668E-3</v>
      </c>
      <c r="F241" s="1" t="s">
        <v>10</v>
      </c>
    </row>
    <row r="242" spans="1:6" x14ac:dyDescent="0.25">
      <c r="A242" s="4"/>
      <c r="B242" s="2">
        <v>0.60972222222222217</v>
      </c>
      <c r="C242" s="2">
        <v>0.62291666666666667</v>
      </c>
      <c r="D242" s="2">
        <f t="shared" si="6"/>
        <v>1.3194444444444509E-2</v>
      </c>
      <c r="E242" s="2">
        <f t="shared" si="7"/>
        <v>6.94444444444553E-4</v>
      </c>
      <c r="F242" s="1" t="s">
        <v>10</v>
      </c>
    </row>
    <row r="243" spans="1:6" x14ac:dyDescent="0.25">
      <c r="A243" s="4"/>
      <c r="B243" s="2">
        <v>0.96527777777777779</v>
      </c>
      <c r="C243" s="2">
        <v>0.97777777777777775</v>
      </c>
      <c r="D243" s="2">
        <f t="shared" si="6"/>
        <v>1.2499999999999956E-2</v>
      </c>
      <c r="E243" s="2">
        <f t="shared" si="7"/>
        <v>1.3888888888889117E-3</v>
      </c>
      <c r="F243" s="1" t="s">
        <v>10</v>
      </c>
    </row>
    <row r="244" spans="1:6" x14ac:dyDescent="0.25">
      <c r="A244" s="4"/>
      <c r="B244" s="2">
        <v>0.20833333333333334</v>
      </c>
      <c r="C244" s="2">
        <v>0.22222222222222221</v>
      </c>
      <c r="D244" s="2">
        <f t="shared" si="6"/>
        <v>1.3888888888888867E-2</v>
      </c>
      <c r="E244" s="2">
        <f t="shared" si="7"/>
        <v>6.9444444444446973E-4</v>
      </c>
      <c r="F244" s="1" t="s">
        <v>10</v>
      </c>
    </row>
    <row r="245" spans="1:6" x14ac:dyDescent="0.25">
      <c r="A245" s="4"/>
      <c r="B245" s="2">
        <v>0.27847222222222223</v>
      </c>
      <c r="C245" s="2">
        <v>0.29305555555555557</v>
      </c>
      <c r="D245" s="2">
        <f t="shared" si="6"/>
        <v>1.4583333333333337E-2</v>
      </c>
      <c r="E245" s="2">
        <f t="shared" si="7"/>
        <v>6.9444444444438647E-4</v>
      </c>
      <c r="F245" s="1" t="s">
        <v>10</v>
      </c>
    </row>
    <row r="246" spans="1:6" x14ac:dyDescent="0.25">
      <c r="A246" s="4"/>
      <c r="B246" s="2">
        <v>0.42569444444444443</v>
      </c>
      <c r="C246" s="2">
        <v>0.43958333333333338</v>
      </c>
      <c r="D246" s="2">
        <f t="shared" si="6"/>
        <v>1.3888888888888951E-2</v>
      </c>
      <c r="E246" s="2">
        <f t="shared" si="7"/>
        <v>6.9444444444444198E-4</v>
      </c>
      <c r="F246" s="1" t="s">
        <v>10</v>
      </c>
    </row>
    <row r="247" spans="1:6" x14ac:dyDescent="0.25">
      <c r="A247" s="4"/>
      <c r="B247" s="2">
        <v>0.53611111111111109</v>
      </c>
      <c r="C247" s="2">
        <v>0.55069444444444449</v>
      </c>
      <c r="D247" s="2">
        <f t="shared" si="6"/>
        <v>1.4583333333333393E-2</v>
      </c>
      <c r="E247" s="2">
        <f t="shared" si="7"/>
        <v>1.1102230246251565E-16</v>
      </c>
      <c r="F247" s="1" t="s">
        <v>10</v>
      </c>
    </row>
    <row r="248" spans="1:6" x14ac:dyDescent="0.25">
      <c r="A248" s="4"/>
      <c r="B248" s="2">
        <v>0.61458333333333337</v>
      </c>
      <c r="C248" s="2">
        <v>0.62916666666666665</v>
      </c>
      <c r="D248" s="2">
        <f t="shared" si="6"/>
        <v>1.4583333333333282E-2</v>
      </c>
      <c r="E248" s="2">
        <f t="shared" si="7"/>
        <v>8.3333333333334147E-3</v>
      </c>
      <c r="F248" s="1" t="s">
        <v>10</v>
      </c>
    </row>
    <row r="249" spans="1:6" x14ac:dyDescent="0.25">
      <c r="A249" s="4"/>
      <c r="B249" s="2">
        <v>0.79236111111111107</v>
      </c>
      <c r="C249" s="2">
        <v>0.81527777777777777</v>
      </c>
      <c r="D249" s="2">
        <f t="shared" si="6"/>
        <v>2.2916666666666696E-2</v>
      </c>
      <c r="E249" s="2">
        <f t="shared" si="7"/>
        <v>1.041666666666663E-2</v>
      </c>
      <c r="F249" s="1" t="s">
        <v>10</v>
      </c>
    </row>
    <row r="250" spans="1:6" x14ac:dyDescent="0.25">
      <c r="A250" s="4"/>
      <c r="B250" s="2">
        <v>0.91736111111111107</v>
      </c>
      <c r="C250" s="2">
        <v>0.92986111111111114</v>
      </c>
      <c r="D250" s="2">
        <f t="shared" si="6"/>
        <v>1.2500000000000067E-2</v>
      </c>
      <c r="E250" s="2">
        <f t="shared" si="7"/>
        <v>6.2499999999999223E-3</v>
      </c>
      <c r="F250" s="1" t="s">
        <v>10</v>
      </c>
    </row>
    <row r="251" spans="1:6" x14ac:dyDescent="0.25">
      <c r="A251" s="4"/>
      <c r="B251" s="2">
        <v>0.32361111111111113</v>
      </c>
      <c r="C251" s="2">
        <v>0.34236111111111112</v>
      </c>
      <c r="D251" s="2">
        <f t="shared" si="6"/>
        <v>1.8749999999999989E-2</v>
      </c>
      <c r="E251" s="2">
        <f t="shared" si="7"/>
        <v>9.3750000000000056E-2</v>
      </c>
      <c r="F251" s="1" t="s">
        <v>10</v>
      </c>
    </row>
    <row r="252" spans="1:6" x14ac:dyDescent="0.25">
      <c r="A252" s="4"/>
      <c r="B252" s="2">
        <v>0.44305555555555554</v>
      </c>
      <c r="C252" s="2">
        <v>0.55555555555555558</v>
      </c>
      <c r="D252" s="2">
        <f t="shared" si="6"/>
        <v>0.11250000000000004</v>
      </c>
      <c r="E252" s="2">
        <f t="shared" si="7"/>
        <v>9.4444444444444442E-2</v>
      </c>
      <c r="F252" s="1" t="s">
        <v>10</v>
      </c>
    </row>
    <row r="253" spans="1:6" x14ac:dyDescent="0.25">
      <c r="A253" s="4"/>
      <c r="B253" s="2">
        <v>0.53749999999999998</v>
      </c>
      <c r="C253" s="2">
        <v>0.55555555555555558</v>
      </c>
      <c r="D253" s="2">
        <f t="shared" si="6"/>
        <v>1.8055555555555602E-2</v>
      </c>
      <c r="E253" s="2">
        <f t="shared" si="7"/>
        <v>3.4722222222222099E-3</v>
      </c>
      <c r="F253" s="1" t="s">
        <v>10</v>
      </c>
    </row>
    <row r="254" spans="1:6" x14ac:dyDescent="0.25">
      <c r="A254" s="4"/>
      <c r="B254" s="2">
        <v>0.53749999999999998</v>
      </c>
      <c r="C254" s="2">
        <v>0.55902777777777779</v>
      </c>
      <c r="D254" s="2">
        <f t="shared" si="6"/>
        <v>2.1527777777777812E-2</v>
      </c>
      <c r="E254" s="2">
        <f t="shared" si="7"/>
        <v>4.3749999999999956E-2</v>
      </c>
      <c r="F254" s="1" t="s">
        <v>10</v>
      </c>
    </row>
    <row r="255" spans="1:6" x14ac:dyDescent="0.25">
      <c r="A255" s="4"/>
      <c r="B255" s="2">
        <v>0.59375</v>
      </c>
      <c r="C255" s="2">
        <v>0.65902777777777777</v>
      </c>
      <c r="D255" s="2">
        <f t="shared" si="6"/>
        <v>6.5277777777777768E-2</v>
      </c>
      <c r="E255" s="2">
        <f t="shared" si="7"/>
        <v>4.3749999999999845E-2</v>
      </c>
      <c r="F255" s="1" t="s">
        <v>10</v>
      </c>
    </row>
    <row r="256" spans="1:6" x14ac:dyDescent="0.25">
      <c r="A256" s="4"/>
      <c r="B256" s="2">
        <v>0.71458333333333324</v>
      </c>
      <c r="C256" s="2">
        <v>0.73611111111111116</v>
      </c>
      <c r="D256" s="2">
        <f t="shared" si="6"/>
        <v>2.1527777777777923E-2</v>
      </c>
      <c r="E256" s="2">
        <f t="shared" si="7"/>
        <v>3.4722222222224319E-3</v>
      </c>
      <c r="F256" s="1" t="s">
        <v>10</v>
      </c>
    </row>
    <row r="257" spans="1:6" x14ac:dyDescent="0.25">
      <c r="A257" s="4"/>
      <c r="B257" s="2">
        <v>0.75694444444444453</v>
      </c>
      <c r="C257" s="2">
        <v>0.77500000000000002</v>
      </c>
      <c r="D257" s="2">
        <f t="shared" ref="D257:D319" si="8">C257-B257</f>
        <v>1.8055555555555491E-2</v>
      </c>
      <c r="E257" s="2">
        <f t="shared" si="7"/>
        <v>2.7777777777778789E-3</v>
      </c>
      <c r="F257" s="1" t="s">
        <v>10</v>
      </c>
    </row>
    <row r="258" spans="1:6" x14ac:dyDescent="0.25">
      <c r="A258" s="4"/>
      <c r="B258" s="2">
        <v>0.79583333333333339</v>
      </c>
      <c r="C258" s="2">
        <v>0.81111111111111101</v>
      </c>
      <c r="D258" s="2">
        <f t="shared" si="8"/>
        <v>1.5277777777777612E-2</v>
      </c>
      <c r="E258" s="2">
        <f t="shared" si="7"/>
        <v>6.9444444444433095E-4</v>
      </c>
      <c r="F258" s="1" t="s">
        <v>10</v>
      </c>
    </row>
    <row r="259" spans="1:6" x14ac:dyDescent="0.25">
      <c r="A259" s="4"/>
      <c r="B259" s="2">
        <v>0.84027777777777779</v>
      </c>
      <c r="C259" s="2">
        <v>0.85486111111111107</v>
      </c>
      <c r="D259" s="2">
        <f t="shared" si="8"/>
        <v>1.4583333333333282E-2</v>
      </c>
      <c r="E259" s="2">
        <f t="shared" si="7"/>
        <v>2.0833333333333259E-3</v>
      </c>
      <c r="F259" s="1" t="s">
        <v>10</v>
      </c>
    </row>
    <row r="260" spans="1:6" x14ac:dyDescent="0.25">
      <c r="A260" s="4"/>
      <c r="B260" s="2">
        <v>0.88402777777777775</v>
      </c>
      <c r="C260" s="2">
        <v>0.8965277777777777</v>
      </c>
      <c r="D260" s="2">
        <f t="shared" si="8"/>
        <v>1.2499999999999956E-2</v>
      </c>
      <c r="E260" s="2">
        <f t="shared" si="7"/>
        <v>4.1666666666667629E-3</v>
      </c>
      <c r="F260" s="1" t="s">
        <v>10</v>
      </c>
    </row>
    <row r="261" spans="1:6" x14ac:dyDescent="0.25">
      <c r="A261" s="4"/>
      <c r="B261" s="2">
        <v>0.9145833333333333</v>
      </c>
      <c r="C261" s="2">
        <v>0.93125000000000002</v>
      </c>
      <c r="D261" s="2">
        <f t="shared" si="8"/>
        <v>1.6666666666666718E-2</v>
      </c>
      <c r="E261" s="2">
        <f t="shared" ref="E261:E270" si="9">ABS(D261-D262)</f>
        <v>8.333333333333387E-3</v>
      </c>
      <c r="F261" s="1" t="s">
        <v>10</v>
      </c>
    </row>
    <row r="262" spans="1:6" x14ac:dyDescent="0.25">
      <c r="A262" s="4"/>
      <c r="B262" s="2">
        <v>0.23611111111111113</v>
      </c>
      <c r="C262" s="2">
        <v>0.24444444444444446</v>
      </c>
      <c r="D262" s="2">
        <f t="shared" si="8"/>
        <v>8.3333333333333315E-3</v>
      </c>
      <c r="E262" s="2">
        <f t="shared" si="9"/>
        <v>7.6388888888888895E-3</v>
      </c>
      <c r="F262" s="1" t="s">
        <v>10</v>
      </c>
    </row>
    <row r="263" spans="1:6" x14ac:dyDescent="0.25">
      <c r="A263" s="4"/>
      <c r="B263" s="2">
        <v>0.30902777777777779</v>
      </c>
      <c r="C263" s="2">
        <v>0.32500000000000001</v>
      </c>
      <c r="D263" s="2">
        <f t="shared" si="8"/>
        <v>1.5972222222222221E-2</v>
      </c>
      <c r="E263" s="2">
        <f t="shared" si="9"/>
        <v>2.7777777777777679E-3</v>
      </c>
      <c r="F263" s="1" t="s">
        <v>10</v>
      </c>
    </row>
    <row r="264" spans="1:6" x14ac:dyDescent="0.25">
      <c r="A264" s="4"/>
      <c r="B264" s="2">
        <v>0.3576388888888889</v>
      </c>
      <c r="C264" s="2">
        <v>0.37083333333333335</v>
      </c>
      <c r="D264" s="2">
        <f t="shared" si="8"/>
        <v>1.3194444444444453E-2</v>
      </c>
      <c r="E264" s="2">
        <f t="shared" si="9"/>
        <v>3.4722222222222099E-3</v>
      </c>
      <c r="F264" s="1" t="s">
        <v>10</v>
      </c>
    </row>
    <row r="265" spans="1:6" x14ac:dyDescent="0.25">
      <c r="A265" s="4"/>
      <c r="B265" s="2">
        <v>0.3833333333333333</v>
      </c>
      <c r="C265" s="2">
        <v>0.39999999999999997</v>
      </c>
      <c r="D265" s="2">
        <f t="shared" si="8"/>
        <v>1.6666666666666663E-2</v>
      </c>
      <c r="E265" s="2">
        <f t="shared" si="9"/>
        <v>4.1666666666667074E-3</v>
      </c>
      <c r="F265" s="1" t="s">
        <v>10</v>
      </c>
    </row>
    <row r="266" spans="1:6" x14ac:dyDescent="0.25">
      <c r="A266" s="4"/>
      <c r="B266" s="2">
        <v>0.39444444444444443</v>
      </c>
      <c r="C266" s="2">
        <v>0.4152777777777778</v>
      </c>
      <c r="D266" s="2">
        <f t="shared" si="8"/>
        <v>2.083333333333337E-2</v>
      </c>
      <c r="E266" s="2">
        <f t="shared" si="9"/>
        <v>2.0833333333333259E-3</v>
      </c>
      <c r="F266" s="1" t="s">
        <v>10</v>
      </c>
    </row>
    <row r="267" spans="1:6" x14ac:dyDescent="0.25">
      <c r="A267" s="4"/>
      <c r="B267" s="2">
        <v>0.47569444444444442</v>
      </c>
      <c r="C267" s="2">
        <v>0.49444444444444446</v>
      </c>
      <c r="D267" s="2">
        <f t="shared" si="8"/>
        <v>1.8750000000000044E-2</v>
      </c>
      <c r="E267" s="2">
        <f t="shared" si="9"/>
        <v>4.1666666666667629E-3</v>
      </c>
      <c r="F267" s="1" t="s">
        <v>10</v>
      </c>
    </row>
    <row r="268" spans="1:6" x14ac:dyDescent="0.25">
      <c r="A268" s="4"/>
      <c r="B268" s="2">
        <v>0.61319444444444449</v>
      </c>
      <c r="C268" s="2">
        <v>0.62777777777777777</v>
      </c>
      <c r="D268" s="2">
        <f t="shared" si="8"/>
        <v>1.4583333333333282E-2</v>
      </c>
      <c r="E268" s="2">
        <f t="shared" si="9"/>
        <v>1.2500000000000178E-2</v>
      </c>
      <c r="F268" s="5" t="s">
        <v>10</v>
      </c>
    </row>
    <row r="269" spans="1:6" x14ac:dyDescent="0.25">
      <c r="A269" s="4"/>
      <c r="B269" s="2">
        <v>0.7715277777777777</v>
      </c>
      <c r="C269" s="2">
        <v>0.79861111111111116</v>
      </c>
      <c r="D269" s="2">
        <f t="shared" si="8"/>
        <v>2.7083333333333459E-2</v>
      </c>
      <c r="E269" s="2">
        <f t="shared" si="9"/>
        <v>1.3888888888889062E-2</v>
      </c>
      <c r="F269" s="1" t="s">
        <v>10</v>
      </c>
    </row>
    <row r="270" spans="1:6" x14ac:dyDescent="0.25">
      <c r="A270" s="4"/>
      <c r="B270" s="2">
        <v>0.92361111111111116</v>
      </c>
      <c r="C270" s="2">
        <v>0.93680555555555556</v>
      </c>
      <c r="D270" s="2">
        <f t="shared" si="8"/>
        <v>1.3194444444444398E-2</v>
      </c>
      <c r="E270" s="2">
        <f t="shared" si="9"/>
        <v>2.083333333333437E-3</v>
      </c>
      <c r="F270" s="1" t="s">
        <v>10</v>
      </c>
    </row>
    <row r="271" spans="1:6" x14ac:dyDescent="0.25">
      <c r="A271" s="4"/>
      <c r="B271" s="2">
        <v>0.97083333333333333</v>
      </c>
      <c r="C271" s="2">
        <v>0.98611111111111116</v>
      </c>
      <c r="D271" s="2">
        <f t="shared" si="8"/>
        <v>1.5277777777777835E-2</v>
      </c>
      <c r="F271" s="1" t="s">
        <v>10</v>
      </c>
    </row>
    <row r="272" spans="1:6" x14ac:dyDescent="0.25">
      <c r="A272" s="4"/>
      <c r="B272" s="2">
        <v>0.60416666666666663</v>
      </c>
      <c r="C272" s="2">
        <v>0.625</v>
      </c>
      <c r="D272" s="2">
        <f t="shared" si="8"/>
        <v>2.083333333333337E-2</v>
      </c>
      <c r="E272" s="2">
        <f>ABS(D272-D273)</f>
        <v>1.3888888888887729E-3</v>
      </c>
      <c r="F272" s="1" t="s">
        <v>11</v>
      </c>
    </row>
    <row r="273" spans="1:6" x14ac:dyDescent="0.25">
      <c r="A273" s="4"/>
      <c r="B273" s="2">
        <v>0.58888888888888891</v>
      </c>
      <c r="C273" s="2">
        <v>0.61111111111111105</v>
      </c>
      <c r="D273" s="2">
        <f t="shared" si="8"/>
        <v>2.2222222222222143E-2</v>
      </c>
      <c r="E273" s="2">
        <f t="shared" ref="E273:E336" si="10">ABS(D273-D274)</f>
        <v>1.1111111111111294E-2</v>
      </c>
      <c r="F273" s="1" t="s">
        <v>11</v>
      </c>
    </row>
    <row r="274" spans="1:6" x14ac:dyDescent="0.25">
      <c r="A274" s="4"/>
      <c r="B274" s="2">
        <v>0.64097222222222217</v>
      </c>
      <c r="C274" s="2">
        <v>0.6743055555555556</v>
      </c>
      <c r="D274" s="2">
        <f t="shared" si="8"/>
        <v>3.3333333333333437E-2</v>
      </c>
      <c r="E274" s="2">
        <f t="shared" si="10"/>
        <v>9.0277777777779677E-3</v>
      </c>
      <c r="F274" s="1" t="s">
        <v>11</v>
      </c>
    </row>
    <row r="275" spans="1:6" x14ac:dyDescent="0.25">
      <c r="A275" s="4"/>
      <c r="B275" s="2">
        <v>0.80763888888888891</v>
      </c>
      <c r="C275" s="2">
        <v>0.83194444444444438</v>
      </c>
      <c r="D275" s="2">
        <f t="shared" si="8"/>
        <v>2.4305555555555469E-2</v>
      </c>
      <c r="E275" s="2">
        <f t="shared" si="10"/>
        <v>5.5555555555555358E-3</v>
      </c>
      <c r="F275" s="1" t="s">
        <v>11</v>
      </c>
    </row>
    <row r="276" spans="1:6" x14ac:dyDescent="0.25">
      <c r="A276" s="4"/>
      <c r="B276" s="2">
        <v>0.82777777777777783</v>
      </c>
      <c r="C276" s="2">
        <v>0.84652777777777777</v>
      </c>
      <c r="D276" s="2">
        <f t="shared" si="8"/>
        <v>1.8749999999999933E-2</v>
      </c>
      <c r="E276" s="2">
        <f t="shared" si="10"/>
        <v>6.9444444444444198E-4</v>
      </c>
      <c r="F276" s="1" t="s">
        <v>11</v>
      </c>
    </row>
    <row r="277" spans="1:6" x14ac:dyDescent="0.25">
      <c r="A277" s="4"/>
      <c r="B277" s="2">
        <v>0.91666666666666663</v>
      </c>
      <c r="C277" s="2">
        <v>0.93611111111111101</v>
      </c>
      <c r="D277" s="2">
        <f t="shared" si="8"/>
        <v>1.9444444444444375E-2</v>
      </c>
      <c r="E277" s="2">
        <f t="shared" si="10"/>
        <v>2.2204460492503131E-16</v>
      </c>
      <c r="F277" s="1" t="s">
        <v>11</v>
      </c>
    </row>
    <row r="278" spans="1:6" x14ac:dyDescent="0.25">
      <c r="A278" s="4"/>
      <c r="B278" s="2">
        <v>0.90486111111111101</v>
      </c>
      <c r="C278" s="2">
        <v>0.9243055555555556</v>
      </c>
      <c r="D278" s="2">
        <f t="shared" si="8"/>
        <v>1.9444444444444597E-2</v>
      </c>
      <c r="E278" s="2">
        <f t="shared" si="10"/>
        <v>2.5694444444444242E-2</v>
      </c>
      <c r="F278" s="1" t="s">
        <v>11</v>
      </c>
    </row>
    <row r="279" spans="1:6" x14ac:dyDescent="0.25">
      <c r="A279" s="4"/>
      <c r="B279" s="2">
        <v>0.54375000000000007</v>
      </c>
      <c r="C279" s="2">
        <v>0.58888888888888891</v>
      </c>
      <c r="D279" s="2">
        <f t="shared" si="8"/>
        <v>4.513888888888884E-2</v>
      </c>
      <c r="E279" s="2">
        <f t="shared" si="10"/>
        <v>2.5694444444444464E-2</v>
      </c>
      <c r="F279" s="1" t="s">
        <v>11</v>
      </c>
    </row>
    <row r="280" spans="1:6" x14ac:dyDescent="0.25">
      <c r="A280" s="4"/>
      <c r="B280" s="2">
        <v>0.65</v>
      </c>
      <c r="C280" s="2">
        <v>0.6694444444444444</v>
      </c>
      <c r="D280" s="2">
        <f t="shared" si="8"/>
        <v>1.9444444444444375E-2</v>
      </c>
      <c r="E280" s="2">
        <f t="shared" si="10"/>
        <v>5.5555555555553138E-3</v>
      </c>
      <c r="F280" s="1" t="s">
        <v>11</v>
      </c>
    </row>
    <row r="281" spans="1:6" x14ac:dyDescent="0.25">
      <c r="A281" s="4"/>
      <c r="B281" s="2">
        <v>0.77986111111111101</v>
      </c>
      <c r="C281" s="2">
        <v>0.79375000000000007</v>
      </c>
      <c r="D281" s="2">
        <f t="shared" si="8"/>
        <v>1.3888888888889062E-2</v>
      </c>
      <c r="E281" s="2">
        <f t="shared" si="10"/>
        <v>7.6388888888887507E-3</v>
      </c>
      <c r="F281" s="1" t="s">
        <v>11</v>
      </c>
    </row>
    <row r="282" spans="1:6" x14ac:dyDescent="0.25">
      <c r="A282" s="4"/>
      <c r="B282" s="2">
        <v>0.89374999999999993</v>
      </c>
      <c r="C282" s="2">
        <v>0.91527777777777775</v>
      </c>
      <c r="D282" s="2">
        <f t="shared" si="8"/>
        <v>2.1527777777777812E-2</v>
      </c>
      <c r="E282" s="2">
        <f t="shared" si="10"/>
        <v>9.0277777777777457E-3</v>
      </c>
      <c r="F282" s="1" t="s">
        <v>11</v>
      </c>
    </row>
    <row r="283" spans="1:6" x14ac:dyDescent="0.25">
      <c r="A283" s="4"/>
      <c r="B283" s="2">
        <v>0.96666666666666667</v>
      </c>
      <c r="C283" s="2">
        <v>0.99722222222222223</v>
      </c>
      <c r="D283" s="2">
        <f t="shared" si="8"/>
        <v>3.0555555555555558E-2</v>
      </c>
      <c r="E283" s="2">
        <f t="shared" si="10"/>
        <v>5.5555555555555358E-3</v>
      </c>
      <c r="F283" s="1" t="s">
        <v>11</v>
      </c>
    </row>
    <row r="284" spans="1:6" x14ac:dyDescent="0.25">
      <c r="A284" s="4"/>
      <c r="B284" s="2">
        <v>0.17986111111111111</v>
      </c>
      <c r="C284" s="2">
        <v>0.20486111111111113</v>
      </c>
      <c r="D284" s="2">
        <f t="shared" si="8"/>
        <v>2.5000000000000022E-2</v>
      </c>
      <c r="E284" s="2">
        <f t="shared" si="10"/>
        <v>1.388888888888884E-3</v>
      </c>
      <c r="F284" s="1" t="s">
        <v>11</v>
      </c>
    </row>
    <row r="285" spans="1:6" x14ac:dyDescent="0.25">
      <c r="A285" s="4"/>
      <c r="B285" s="2">
        <v>0.71319444444444446</v>
      </c>
      <c r="C285" s="2">
        <v>0.73958333333333337</v>
      </c>
      <c r="D285" s="2">
        <f t="shared" si="8"/>
        <v>2.6388888888888906E-2</v>
      </c>
      <c r="E285" s="2">
        <f t="shared" si="10"/>
        <v>9.7222222222221877E-3</v>
      </c>
      <c r="F285" s="1" t="s">
        <v>11</v>
      </c>
    </row>
    <row r="286" spans="1:6" x14ac:dyDescent="0.25">
      <c r="A286" s="4"/>
      <c r="B286" s="2">
        <v>0.82916666666666661</v>
      </c>
      <c r="C286" s="2">
        <v>0.84583333333333333</v>
      </c>
      <c r="D286" s="2">
        <f t="shared" si="8"/>
        <v>1.6666666666666718E-2</v>
      </c>
      <c r="E286" s="2">
        <f t="shared" si="10"/>
        <v>1.1111111111111072E-2</v>
      </c>
      <c r="F286" s="1" t="s">
        <v>11</v>
      </c>
    </row>
    <row r="287" spans="1:6" x14ac:dyDescent="0.25">
      <c r="A287" s="4"/>
      <c r="B287" s="2">
        <v>0.90902777777777777</v>
      </c>
      <c r="C287" s="2">
        <v>0.93680555555555556</v>
      </c>
      <c r="D287" s="2">
        <f t="shared" si="8"/>
        <v>2.777777777777779E-2</v>
      </c>
      <c r="E287" s="2">
        <f t="shared" si="10"/>
        <v>3.4722222222222099E-3</v>
      </c>
      <c r="F287" s="1" t="s">
        <v>11</v>
      </c>
    </row>
    <row r="288" spans="1:6" x14ac:dyDescent="0.25">
      <c r="A288" s="4"/>
      <c r="B288" s="2">
        <v>0.9506944444444444</v>
      </c>
      <c r="C288" s="2">
        <v>0.97499999999999998</v>
      </c>
      <c r="D288" s="2">
        <f t="shared" si="8"/>
        <v>2.430555555555558E-2</v>
      </c>
      <c r="E288" s="2">
        <f t="shared" si="10"/>
        <v>0.11180555555555549</v>
      </c>
      <c r="F288" s="1" t="s">
        <v>11</v>
      </c>
    </row>
    <row r="289" spans="1:6" x14ac:dyDescent="0.25">
      <c r="A289" s="4"/>
      <c r="B289" s="2">
        <v>0.69791666666666663</v>
      </c>
      <c r="C289" s="2">
        <v>0.8340277777777777</v>
      </c>
      <c r="D289" s="2">
        <f t="shared" si="8"/>
        <v>0.13611111111111107</v>
      </c>
      <c r="E289" s="2">
        <f t="shared" si="10"/>
        <v>0.11249999999999999</v>
      </c>
      <c r="F289" s="1" t="s">
        <v>11</v>
      </c>
    </row>
    <row r="290" spans="1:6" x14ac:dyDescent="0.25">
      <c r="A290" s="4"/>
      <c r="B290" s="2">
        <v>0.47013888888888888</v>
      </c>
      <c r="C290" s="2">
        <v>0.49374999999999997</v>
      </c>
      <c r="D290" s="2">
        <f t="shared" si="8"/>
        <v>2.3611111111111083E-2</v>
      </c>
      <c r="E290" s="2">
        <f t="shared" si="10"/>
        <v>5.5511151231257827E-17</v>
      </c>
      <c r="F290" s="1" t="s">
        <v>11</v>
      </c>
    </row>
    <row r="291" spans="1:6" x14ac:dyDescent="0.25">
      <c r="A291" s="4"/>
      <c r="B291" s="2">
        <v>0.88541666666666663</v>
      </c>
      <c r="C291" s="2">
        <v>0.90902777777777777</v>
      </c>
      <c r="D291" s="2">
        <f t="shared" si="8"/>
        <v>2.3611111111111138E-2</v>
      </c>
      <c r="E291" s="2">
        <f t="shared" si="10"/>
        <v>2.7777777777778789E-3</v>
      </c>
      <c r="F291" s="1" t="s">
        <v>11</v>
      </c>
    </row>
    <row r="292" spans="1:6" x14ac:dyDescent="0.25">
      <c r="A292" s="4"/>
      <c r="B292" s="2">
        <v>0.89166666666666661</v>
      </c>
      <c r="C292" s="2">
        <v>0.91805555555555562</v>
      </c>
      <c r="D292" s="2">
        <f t="shared" si="8"/>
        <v>2.6388888888889017E-2</v>
      </c>
      <c r="E292" s="2">
        <f t="shared" si="10"/>
        <v>1.2500000000000067E-2</v>
      </c>
      <c r="F292" s="1" t="s">
        <v>11</v>
      </c>
    </row>
    <row r="293" spans="1:6" x14ac:dyDescent="0.25">
      <c r="A293" s="4"/>
      <c r="B293" s="2">
        <v>0.9770833333333333</v>
      </c>
      <c r="C293" s="2">
        <v>0.99097222222222225</v>
      </c>
      <c r="D293" s="2">
        <f t="shared" si="8"/>
        <v>1.3888888888888951E-2</v>
      </c>
      <c r="E293" s="2">
        <f t="shared" si="10"/>
        <v>5.5555555555555358E-3</v>
      </c>
      <c r="F293" s="1" t="s">
        <v>11</v>
      </c>
    </row>
    <row r="294" spans="1:6" x14ac:dyDescent="0.25">
      <c r="A294" s="4"/>
      <c r="B294" s="2">
        <v>0.57708333333333328</v>
      </c>
      <c r="C294" s="2">
        <v>0.59652777777777777</v>
      </c>
      <c r="D294" s="2">
        <f t="shared" si="8"/>
        <v>1.9444444444444486E-2</v>
      </c>
      <c r="E294" s="2">
        <f t="shared" si="10"/>
        <v>1.388888888888884E-3</v>
      </c>
      <c r="F294" s="1" t="s">
        <v>11</v>
      </c>
    </row>
    <row r="295" spans="1:6" x14ac:dyDescent="0.25">
      <c r="A295" s="4"/>
      <c r="B295" s="2">
        <v>0.56944444444444442</v>
      </c>
      <c r="C295" s="2">
        <v>0.59027777777777779</v>
      </c>
      <c r="D295" s="2">
        <f t="shared" si="8"/>
        <v>2.083333333333337E-2</v>
      </c>
      <c r="E295" s="2">
        <f t="shared" si="10"/>
        <v>0</v>
      </c>
      <c r="F295" s="1" t="s">
        <v>11</v>
      </c>
    </row>
    <row r="296" spans="1:6" x14ac:dyDescent="0.25">
      <c r="A296" s="4"/>
      <c r="B296" s="2">
        <v>0.59513888888888888</v>
      </c>
      <c r="C296" s="2">
        <v>0.61597222222222225</v>
      </c>
      <c r="D296" s="2">
        <f t="shared" si="8"/>
        <v>2.083333333333337E-2</v>
      </c>
      <c r="E296" s="2">
        <f t="shared" si="10"/>
        <v>2.0833333333333259E-3</v>
      </c>
      <c r="F296" s="1" t="s">
        <v>11</v>
      </c>
    </row>
    <row r="297" spans="1:6" x14ac:dyDescent="0.25">
      <c r="A297" s="4"/>
      <c r="B297" s="2">
        <v>0.64374999999999993</v>
      </c>
      <c r="C297" s="2">
        <v>0.66249999999999998</v>
      </c>
      <c r="D297" s="2">
        <f t="shared" si="8"/>
        <v>1.8750000000000044E-2</v>
      </c>
      <c r="E297" s="2">
        <f t="shared" si="10"/>
        <v>4.1666666666665964E-3</v>
      </c>
      <c r="F297" s="1" t="s">
        <v>11</v>
      </c>
    </row>
    <row r="298" spans="1:6" x14ac:dyDescent="0.25">
      <c r="A298" s="4"/>
      <c r="B298" s="2">
        <v>0.4604166666666667</v>
      </c>
      <c r="C298" s="2">
        <v>0.48333333333333334</v>
      </c>
      <c r="D298" s="2">
        <f t="shared" si="8"/>
        <v>2.2916666666666641E-2</v>
      </c>
      <c r="E298" s="2">
        <f t="shared" si="10"/>
        <v>2.7777777777778234E-3</v>
      </c>
      <c r="F298" s="1" t="s">
        <v>11</v>
      </c>
    </row>
    <row r="299" spans="1:6" x14ac:dyDescent="0.25">
      <c r="A299" s="4"/>
      <c r="B299" s="2">
        <v>0.64027777777777783</v>
      </c>
      <c r="C299" s="2">
        <v>0.66041666666666665</v>
      </c>
      <c r="D299" s="2">
        <f t="shared" si="8"/>
        <v>2.0138888888888817E-2</v>
      </c>
      <c r="E299" s="2">
        <f t="shared" si="10"/>
        <v>3.4722222222222099E-3</v>
      </c>
      <c r="F299" s="1" t="s">
        <v>11</v>
      </c>
    </row>
    <row r="300" spans="1:6" x14ac:dyDescent="0.25">
      <c r="A300" s="4"/>
      <c r="B300" s="2">
        <v>0.75138888888888899</v>
      </c>
      <c r="C300" s="2">
        <v>0.77500000000000002</v>
      </c>
      <c r="D300" s="2">
        <f t="shared" si="8"/>
        <v>2.3611111111111027E-2</v>
      </c>
      <c r="E300" s="2">
        <f t="shared" si="10"/>
        <v>2.0833333333331039E-3</v>
      </c>
      <c r="F300" s="1" t="s">
        <v>11</v>
      </c>
    </row>
    <row r="301" spans="1:6" x14ac:dyDescent="0.25">
      <c r="A301" s="4"/>
      <c r="B301" s="2">
        <v>0.80555555555555547</v>
      </c>
      <c r="C301" s="2">
        <v>0.82708333333333339</v>
      </c>
      <c r="D301" s="2">
        <f t="shared" si="8"/>
        <v>2.1527777777777923E-2</v>
      </c>
      <c r="E301" s="2">
        <f t="shared" si="10"/>
        <v>2.083333333333437E-3</v>
      </c>
      <c r="F301" s="1" t="s">
        <v>11</v>
      </c>
    </row>
    <row r="302" spans="1:6" x14ac:dyDescent="0.25">
      <c r="A302" s="4"/>
      <c r="B302" s="2">
        <v>0.81874999999999998</v>
      </c>
      <c r="C302" s="2">
        <v>0.83819444444444446</v>
      </c>
      <c r="D302" s="2">
        <f t="shared" si="8"/>
        <v>1.9444444444444486E-2</v>
      </c>
      <c r="E302" s="2">
        <f t="shared" si="10"/>
        <v>6.9444444444444198E-4</v>
      </c>
      <c r="F302" s="1" t="s">
        <v>11</v>
      </c>
    </row>
    <row r="303" spans="1:6" x14ac:dyDescent="0.25">
      <c r="A303" s="4"/>
      <c r="B303" s="2">
        <v>0.87013888888888891</v>
      </c>
      <c r="C303" s="2">
        <v>0.89027777777777783</v>
      </c>
      <c r="D303" s="2">
        <f t="shared" si="8"/>
        <v>2.0138888888888928E-2</v>
      </c>
      <c r="E303" s="2">
        <f t="shared" si="10"/>
        <v>2.7777777777777679E-3</v>
      </c>
      <c r="F303" s="1" t="s">
        <v>11</v>
      </c>
    </row>
    <row r="304" spans="1:6" x14ac:dyDescent="0.25">
      <c r="A304" s="4"/>
      <c r="B304" s="2">
        <v>0.62777777777777777</v>
      </c>
      <c r="C304" s="2">
        <v>0.65069444444444446</v>
      </c>
      <c r="D304" s="2">
        <f t="shared" si="8"/>
        <v>2.2916666666666696E-2</v>
      </c>
      <c r="E304" s="2">
        <f t="shared" si="10"/>
        <v>2.7777777777777679E-3</v>
      </c>
      <c r="F304" s="1" t="s">
        <v>11</v>
      </c>
    </row>
    <row r="305" spans="1:6" x14ac:dyDescent="0.25">
      <c r="A305" s="4"/>
      <c r="B305" s="2">
        <v>0.7715277777777777</v>
      </c>
      <c r="C305" s="2">
        <v>0.79166666666666663</v>
      </c>
      <c r="D305" s="2">
        <f t="shared" si="8"/>
        <v>2.0138888888888928E-2</v>
      </c>
      <c r="E305" s="2">
        <f t="shared" si="10"/>
        <v>2.0833333333333259E-3</v>
      </c>
      <c r="F305" s="1" t="s">
        <v>11</v>
      </c>
    </row>
    <row r="306" spans="1:6" x14ac:dyDescent="0.25">
      <c r="A306" s="4"/>
      <c r="B306" s="2">
        <v>0.88402777777777775</v>
      </c>
      <c r="C306" s="2">
        <v>0.90625</v>
      </c>
      <c r="D306" s="2">
        <f t="shared" si="8"/>
        <v>2.2222222222222254E-2</v>
      </c>
      <c r="E306" s="2">
        <f t="shared" si="10"/>
        <v>1.5277777777777779E-2</v>
      </c>
      <c r="F306" s="1" t="s">
        <v>11</v>
      </c>
    </row>
    <row r="307" spans="1:6" x14ac:dyDescent="0.25">
      <c r="A307" s="4"/>
      <c r="B307" s="2">
        <v>0.3833333333333333</v>
      </c>
      <c r="C307" s="2">
        <v>0.42083333333333334</v>
      </c>
      <c r="D307" s="2">
        <f t="shared" si="8"/>
        <v>3.7500000000000033E-2</v>
      </c>
      <c r="E307" s="2">
        <f t="shared" si="10"/>
        <v>1.9444444444444486E-2</v>
      </c>
      <c r="F307" s="1" t="s">
        <v>11</v>
      </c>
    </row>
    <row r="308" spans="1:6" x14ac:dyDescent="0.25">
      <c r="A308" s="4"/>
      <c r="B308" s="2">
        <v>0.12361111111111112</v>
      </c>
      <c r="C308" s="2">
        <v>0.14166666666666666</v>
      </c>
      <c r="D308" s="2">
        <f t="shared" si="8"/>
        <v>1.8055555555555547E-2</v>
      </c>
      <c r="E308" s="2">
        <f t="shared" si="10"/>
        <v>7.6388888888889173E-3</v>
      </c>
      <c r="F308" s="1" t="s">
        <v>11</v>
      </c>
    </row>
    <row r="309" spans="1:6" x14ac:dyDescent="0.25">
      <c r="A309" s="4"/>
      <c r="B309" s="2">
        <v>0.22152777777777777</v>
      </c>
      <c r="C309" s="2">
        <v>0.24722222222222223</v>
      </c>
      <c r="D309" s="2">
        <f t="shared" si="8"/>
        <v>2.5694444444444464E-2</v>
      </c>
      <c r="E309" s="2">
        <f t="shared" si="10"/>
        <v>2.7777777777777679E-3</v>
      </c>
      <c r="F309" s="1" t="s">
        <v>11</v>
      </c>
    </row>
    <row r="310" spans="1:6" x14ac:dyDescent="0.25">
      <c r="A310" s="4"/>
      <c r="B310" s="2">
        <v>0.4770833333333333</v>
      </c>
      <c r="C310" s="2">
        <v>0.50555555555555554</v>
      </c>
      <c r="D310" s="2">
        <f t="shared" si="8"/>
        <v>2.8472222222222232E-2</v>
      </c>
      <c r="E310" s="2">
        <f t="shared" si="10"/>
        <v>7.6388888888888618E-3</v>
      </c>
      <c r="F310" s="1" t="s">
        <v>11</v>
      </c>
    </row>
    <row r="311" spans="1:6" x14ac:dyDescent="0.25">
      <c r="A311" s="4"/>
      <c r="B311" s="2">
        <v>0.70763888888888893</v>
      </c>
      <c r="C311" s="2">
        <v>0.7284722222222223</v>
      </c>
      <c r="D311" s="2">
        <f t="shared" si="8"/>
        <v>2.083333333333337E-2</v>
      </c>
      <c r="E311" s="2">
        <f t="shared" si="10"/>
        <v>1.2499999999999956E-2</v>
      </c>
      <c r="F311" s="1" t="s">
        <v>11</v>
      </c>
    </row>
    <row r="312" spans="1:6" x14ac:dyDescent="0.25">
      <c r="A312" s="4"/>
      <c r="B312" s="2">
        <v>0.38750000000000001</v>
      </c>
      <c r="C312" s="2">
        <v>0.42083333333333334</v>
      </c>
      <c r="D312" s="2">
        <f t="shared" si="8"/>
        <v>3.3333333333333326E-2</v>
      </c>
      <c r="E312" s="2">
        <f t="shared" si="10"/>
        <v>6.9444444444444198E-4</v>
      </c>
      <c r="F312" s="1" t="s">
        <v>11</v>
      </c>
    </row>
    <row r="313" spans="1:6" x14ac:dyDescent="0.25">
      <c r="A313" s="4"/>
      <c r="B313" s="2">
        <v>0.54166666666666663</v>
      </c>
      <c r="C313" s="2">
        <v>0.5756944444444444</v>
      </c>
      <c r="D313" s="2">
        <f t="shared" si="8"/>
        <v>3.4027777777777768E-2</v>
      </c>
      <c r="E313" s="2">
        <f t="shared" si="10"/>
        <v>1.0416666666666741E-2</v>
      </c>
      <c r="F313" s="1" t="s">
        <v>11</v>
      </c>
    </row>
    <row r="314" spans="1:6" x14ac:dyDescent="0.25">
      <c r="A314" s="4"/>
      <c r="B314" s="2">
        <v>0.57916666666666672</v>
      </c>
      <c r="C314" s="2">
        <v>0.60277777777777775</v>
      </c>
      <c r="D314" s="2">
        <f t="shared" si="8"/>
        <v>2.3611111111111027E-2</v>
      </c>
      <c r="E314" s="2">
        <f t="shared" si="10"/>
        <v>2.0833333333333259E-3</v>
      </c>
      <c r="F314" s="1" t="s">
        <v>11</v>
      </c>
    </row>
    <row r="315" spans="1:6" x14ac:dyDescent="0.25">
      <c r="A315" s="4"/>
      <c r="B315" s="2">
        <v>0.84652777777777777</v>
      </c>
      <c r="C315" s="2">
        <v>0.86805555555555547</v>
      </c>
      <c r="D315" s="2">
        <f t="shared" si="8"/>
        <v>2.1527777777777701E-2</v>
      </c>
      <c r="E315" s="2">
        <f t="shared" si="10"/>
        <v>9.0277777777778567E-3</v>
      </c>
      <c r="F315" s="1" t="s">
        <v>11</v>
      </c>
    </row>
    <row r="316" spans="1:6" x14ac:dyDescent="0.25">
      <c r="A316" s="4"/>
      <c r="B316" s="2">
        <v>0.78749999999999998</v>
      </c>
      <c r="C316" s="2">
        <v>0.81805555555555554</v>
      </c>
      <c r="D316" s="2">
        <f t="shared" si="8"/>
        <v>3.0555555555555558E-2</v>
      </c>
      <c r="E316" s="2">
        <f t="shared" si="10"/>
        <v>1.1805555555555583E-2</v>
      </c>
      <c r="F316" s="1" t="s">
        <v>11</v>
      </c>
    </row>
    <row r="317" spans="1:6" x14ac:dyDescent="0.25">
      <c r="A317" s="4"/>
      <c r="B317" s="2">
        <v>0.11805555555555557</v>
      </c>
      <c r="C317" s="2">
        <v>0.13680555555555554</v>
      </c>
      <c r="D317" s="2">
        <f t="shared" si="8"/>
        <v>1.8749999999999975E-2</v>
      </c>
      <c r="E317" s="2">
        <f t="shared" si="10"/>
        <v>5.9722222222222246E-2</v>
      </c>
      <c r="F317" s="1" t="s">
        <v>11</v>
      </c>
    </row>
    <row r="318" spans="1:6" x14ac:dyDescent="0.25">
      <c r="A318" s="4"/>
      <c r="B318" s="2">
        <v>5.5555555555555552E-2</v>
      </c>
      <c r="C318" s="2">
        <v>0.13402777777777777</v>
      </c>
      <c r="D318" s="2">
        <f t="shared" si="8"/>
        <v>7.8472222222222221E-2</v>
      </c>
      <c r="E318" s="2">
        <f t="shared" si="10"/>
        <v>5.1388888888888984E-2</v>
      </c>
      <c r="F318" s="1" t="s">
        <v>11</v>
      </c>
    </row>
    <row r="319" spans="1:6" x14ac:dyDescent="0.25">
      <c r="A319" s="4"/>
      <c r="B319" s="2">
        <v>0.57500000000000007</v>
      </c>
      <c r="C319" s="2">
        <v>0.6020833333333333</v>
      </c>
      <c r="D319" s="2">
        <f t="shared" si="8"/>
        <v>2.7083333333333237E-2</v>
      </c>
      <c r="E319" s="2">
        <f t="shared" si="10"/>
        <v>7.6388888888888618E-3</v>
      </c>
      <c r="F319" s="1" t="s">
        <v>11</v>
      </c>
    </row>
    <row r="320" spans="1:6" x14ac:dyDescent="0.25">
      <c r="A320" s="4"/>
      <c r="B320" s="2">
        <v>0.72083333333333333</v>
      </c>
      <c r="C320" s="2">
        <v>0.7402777777777777</v>
      </c>
      <c r="D320" s="2">
        <f t="shared" ref="D320:D382" si="11">C320-B320</f>
        <v>1.9444444444444375E-2</v>
      </c>
      <c r="E320" s="2">
        <f t="shared" si="10"/>
        <v>1.4583333333333393E-2</v>
      </c>
      <c r="F320" s="1" t="s">
        <v>11</v>
      </c>
    </row>
    <row r="321" spans="1:6" x14ac:dyDescent="0.25">
      <c r="A321" s="4"/>
      <c r="B321" s="2">
        <v>0.36944444444444446</v>
      </c>
      <c r="C321" s="2">
        <v>0.40347222222222223</v>
      </c>
      <c r="D321" s="2">
        <f t="shared" si="11"/>
        <v>3.4027777777777768E-2</v>
      </c>
      <c r="E321" s="2">
        <f t="shared" si="10"/>
        <v>6.9444444444438647E-4</v>
      </c>
      <c r="F321" s="1" t="s">
        <v>11</v>
      </c>
    </row>
    <row r="322" spans="1:6" x14ac:dyDescent="0.25">
      <c r="A322" s="4"/>
      <c r="B322" s="2">
        <v>0.46666666666666662</v>
      </c>
      <c r="C322" s="2">
        <v>0.5</v>
      </c>
      <c r="D322" s="2">
        <f t="shared" si="11"/>
        <v>3.3333333333333381E-2</v>
      </c>
      <c r="E322" s="2">
        <f t="shared" si="10"/>
        <v>2.083333333333337E-2</v>
      </c>
      <c r="F322" s="1" t="s">
        <v>11</v>
      </c>
    </row>
    <row r="323" spans="1:6" x14ac:dyDescent="0.25">
      <c r="A323" s="4"/>
      <c r="B323" s="2">
        <v>0.46875</v>
      </c>
      <c r="C323" s="2">
        <v>0.48125000000000001</v>
      </c>
      <c r="D323" s="2">
        <f t="shared" si="11"/>
        <v>1.2500000000000011E-2</v>
      </c>
      <c r="E323" s="2">
        <f t="shared" si="10"/>
        <v>1.3888888888888284E-3</v>
      </c>
      <c r="F323" s="1" t="s">
        <v>11</v>
      </c>
    </row>
    <row r="324" spans="1:6" x14ac:dyDescent="0.25">
      <c r="A324" s="4"/>
      <c r="B324" s="2">
        <v>0.47500000000000003</v>
      </c>
      <c r="C324" s="2">
        <v>0.48888888888888887</v>
      </c>
      <c r="D324" s="2">
        <f t="shared" si="11"/>
        <v>1.388888888888884E-2</v>
      </c>
      <c r="E324" s="2">
        <f t="shared" si="10"/>
        <v>4.8611111111112049E-3</v>
      </c>
      <c r="F324" s="1" t="s">
        <v>11</v>
      </c>
    </row>
    <row r="325" spans="1:6" x14ac:dyDescent="0.25">
      <c r="A325" s="4"/>
      <c r="B325" s="2">
        <v>0.64097222222222217</v>
      </c>
      <c r="C325" s="2">
        <v>0.65972222222222221</v>
      </c>
      <c r="D325" s="2">
        <f t="shared" si="11"/>
        <v>1.8750000000000044E-2</v>
      </c>
      <c r="E325" s="2">
        <f t="shared" si="10"/>
        <v>2.0833333333332149E-3</v>
      </c>
      <c r="F325" s="1" t="s">
        <v>11</v>
      </c>
    </row>
    <row r="326" spans="1:6" x14ac:dyDescent="0.25">
      <c r="A326" s="4"/>
      <c r="B326" s="2">
        <v>0.75347222222222221</v>
      </c>
      <c r="C326" s="2">
        <v>0.77430555555555547</v>
      </c>
      <c r="D326" s="2">
        <f t="shared" si="11"/>
        <v>2.0833333333333259E-2</v>
      </c>
      <c r="E326" s="2">
        <f t="shared" si="10"/>
        <v>1.3888888888886619E-3</v>
      </c>
      <c r="F326" s="5" t="s">
        <v>11</v>
      </c>
    </row>
    <row r="327" spans="1:6" x14ac:dyDescent="0.25">
      <c r="A327" s="4"/>
      <c r="B327" s="2">
        <v>0.8881944444444444</v>
      </c>
      <c r="C327" s="2">
        <v>0.90763888888888899</v>
      </c>
      <c r="D327" s="2">
        <f t="shared" si="11"/>
        <v>1.9444444444444597E-2</v>
      </c>
      <c r="E327" s="2">
        <f t="shared" si="10"/>
        <v>2.2204460492503131E-16</v>
      </c>
      <c r="F327" s="1" t="s">
        <v>11</v>
      </c>
    </row>
    <row r="328" spans="1:6" x14ac:dyDescent="0.25">
      <c r="A328" s="4"/>
      <c r="B328" s="2">
        <v>0.94791666666666663</v>
      </c>
      <c r="C328" s="2">
        <v>0.96736111111111101</v>
      </c>
      <c r="D328" s="2">
        <f t="shared" si="11"/>
        <v>1.9444444444444375E-2</v>
      </c>
      <c r="E328" s="2">
        <f t="shared" si="10"/>
        <v>4.8611111111109828E-3</v>
      </c>
      <c r="F328" s="1" t="s">
        <v>11</v>
      </c>
    </row>
    <row r="329" spans="1:6" x14ac:dyDescent="0.25">
      <c r="A329" s="4"/>
      <c r="B329" s="2">
        <v>0.43402777777777773</v>
      </c>
      <c r="C329" s="2">
        <v>0.44861111111111113</v>
      </c>
      <c r="D329" s="2">
        <f t="shared" si="11"/>
        <v>1.4583333333333393E-2</v>
      </c>
      <c r="E329" s="2">
        <f t="shared" si="10"/>
        <v>6.9444444444443088E-3</v>
      </c>
      <c r="F329" s="1" t="s">
        <v>11</v>
      </c>
    </row>
    <row r="330" spans="1:6" x14ac:dyDescent="0.25">
      <c r="A330" s="3"/>
      <c r="B330" s="2">
        <v>0.71319444444444446</v>
      </c>
      <c r="C330" s="2">
        <v>0.73472222222222217</v>
      </c>
      <c r="D330" s="2">
        <f t="shared" si="11"/>
        <v>2.1527777777777701E-2</v>
      </c>
      <c r="E330" s="2">
        <f t="shared" si="10"/>
        <v>3.4722222222224319E-3</v>
      </c>
      <c r="F330" s="1" t="s">
        <v>11</v>
      </c>
    </row>
    <row r="331" spans="1:6" x14ac:dyDescent="0.25">
      <c r="A331" s="3"/>
      <c r="B331" s="2">
        <v>0.8027777777777777</v>
      </c>
      <c r="C331" s="2">
        <v>0.82777777777777783</v>
      </c>
      <c r="D331" s="2">
        <f t="shared" si="11"/>
        <v>2.5000000000000133E-2</v>
      </c>
      <c r="E331" s="2">
        <f t="shared" si="10"/>
        <v>6.9444444444433095E-4</v>
      </c>
      <c r="F331" s="1" t="s">
        <v>11</v>
      </c>
    </row>
    <row r="332" spans="1:6" x14ac:dyDescent="0.25">
      <c r="A332" s="3"/>
      <c r="B332" s="2">
        <v>0.8305555555555556</v>
      </c>
      <c r="C332" s="2">
        <v>0.85625000000000007</v>
      </c>
      <c r="D332" s="2">
        <f t="shared" si="11"/>
        <v>2.5694444444444464E-2</v>
      </c>
      <c r="E332" s="2">
        <f t="shared" si="10"/>
        <v>1.3194444444444453E-2</v>
      </c>
      <c r="F332" s="1" t="s">
        <v>11</v>
      </c>
    </row>
    <row r="333" spans="1:6" x14ac:dyDescent="0.25">
      <c r="A333" s="4"/>
      <c r="B333" s="2">
        <v>0.10625</v>
      </c>
      <c r="C333" s="2">
        <v>0.11875000000000001</v>
      </c>
      <c r="D333" s="2">
        <f t="shared" si="11"/>
        <v>1.2500000000000011E-2</v>
      </c>
      <c r="E333" s="2">
        <f t="shared" si="10"/>
        <v>1.0416666666666685E-2</v>
      </c>
      <c r="F333" s="1" t="s">
        <v>11</v>
      </c>
    </row>
    <row r="334" spans="1:6" x14ac:dyDescent="0.25">
      <c r="A334" s="4"/>
      <c r="B334" s="2">
        <v>0.45069444444444445</v>
      </c>
      <c r="C334" s="2">
        <v>0.47361111111111115</v>
      </c>
      <c r="D334" s="2">
        <f t="shared" si="11"/>
        <v>2.2916666666666696E-2</v>
      </c>
      <c r="E334" s="2">
        <f t="shared" si="10"/>
        <v>5.5555555555557579E-3</v>
      </c>
      <c r="F334" s="1" t="s">
        <v>11</v>
      </c>
    </row>
    <row r="335" spans="1:6" x14ac:dyDescent="0.25">
      <c r="A335" s="4"/>
      <c r="B335" s="2">
        <v>0.88194444444444453</v>
      </c>
      <c r="C335" s="2">
        <v>0.89930555555555547</v>
      </c>
      <c r="D335" s="2">
        <f t="shared" si="11"/>
        <v>1.7361111111110938E-2</v>
      </c>
      <c r="E335" s="2">
        <f t="shared" si="10"/>
        <v>6.9444444444421993E-4</v>
      </c>
      <c r="F335" s="1" t="s">
        <v>11</v>
      </c>
    </row>
    <row r="336" spans="1:6" x14ac:dyDescent="0.25">
      <c r="A336" s="4"/>
      <c r="B336" s="2">
        <v>0.90416666666666667</v>
      </c>
      <c r="C336" s="2">
        <v>0.92083333333333339</v>
      </c>
      <c r="D336" s="2">
        <f t="shared" si="11"/>
        <v>1.6666666666666718E-2</v>
      </c>
      <c r="E336" s="2">
        <f t="shared" si="10"/>
        <v>4.1666666666665964E-3</v>
      </c>
      <c r="F336" s="1" t="s">
        <v>11</v>
      </c>
    </row>
    <row r="337" spans="1:6" x14ac:dyDescent="0.25">
      <c r="A337" s="4"/>
      <c r="B337" s="2">
        <v>0.18124999999999999</v>
      </c>
      <c r="C337" s="2">
        <v>0.20208333333333331</v>
      </c>
      <c r="D337" s="2">
        <f t="shared" si="11"/>
        <v>2.0833333333333315E-2</v>
      </c>
      <c r="E337" s="2">
        <f t="shared" ref="E337:E384" si="12">ABS(D337-D338)</f>
        <v>1.3888888888888284E-3</v>
      </c>
      <c r="F337" s="1" t="s">
        <v>11</v>
      </c>
    </row>
    <row r="338" spans="1:6" x14ac:dyDescent="0.25">
      <c r="A338" s="4"/>
      <c r="B338" s="2">
        <v>0.37013888888888885</v>
      </c>
      <c r="C338" s="2">
        <v>0.38958333333333334</v>
      </c>
      <c r="D338" s="2">
        <f t="shared" si="11"/>
        <v>1.9444444444444486E-2</v>
      </c>
      <c r="E338" s="2">
        <f t="shared" si="12"/>
        <v>2.7777777777778789E-3</v>
      </c>
      <c r="F338" s="1" t="s">
        <v>11</v>
      </c>
    </row>
    <row r="339" spans="1:6" x14ac:dyDescent="0.25">
      <c r="A339" s="4"/>
      <c r="B339" s="2">
        <v>0.4694444444444445</v>
      </c>
      <c r="C339" s="2">
        <v>0.4861111111111111</v>
      </c>
      <c r="D339" s="2">
        <f t="shared" si="11"/>
        <v>1.6666666666666607E-2</v>
      </c>
      <c r="E339" s="2">
        <f t="shared" si="12"/>
        <v>4.8611111111110522E-3</v>
      </c>
      <c r="F339" s="1" t="s">
        <v>11</v>
      </c>
    </row>
    <row r="340" spans="1:6" x14ac:dyDescent="0.25">
      <c r="A340" s="3"/>
      <c r="B340" s="2">
        <v>2.7083333333333334E-2</v>
      </c>
      <c r="C340" s="2">
        <v>3.888888888888889E-2</v>
      </c>
      <c r="D340" s="2">
        <f t="shared" si="11"/>
        <v>1.1805555555555555E-2</v>
      </c>
      <c r="E340" s="2">
        <f t="shared" si="12"/>
        <v>5.5555555555555775E-3</v>
      </c>
      <c r="F340" s="1" t="s">
        <v>11</v>
      </c>
    </row>
    <row r="341" spans="1:6" x14ac:dyDescent="0.25">
      <c r="A341" s="4"/>
      <c r="B341" s="2">
        <v>0.23194444444444443</v>
      </c>
      <c r="C341" s="2">
        <v>0.24930555555555556</v>
      </c>
      <c r="D341" s="2">
        <f t="shared" si="11"/>
        <v>1.7361111111111133E-2</v>
      </c>
      <c r="E341" s="2">
        <f t="shared" si="12"/>
        <v>1.3888888888888867E-2</v>
      </c>
      <c r="F341" s="1" t="s">
        <v>11</v>
      </c>
    </row>
    <row r="342" spans="1:6" x14ac:dyDescent="0.25">
      <c r="A342" s="4"/>
      <c r="B342" s="2">
        <v>0.4916666666666667</v>
      </c>
      <c r="C342" s="2">
        <v>0.5229166666666667</v>
      </c>
      <c r="D342" s="2">
        <f t="shared" si="11"/>
        <v>3.125E-2</v>
      </c>
      <c r="E342" s="2">
        <f t="shared" si="12"/>
        <v>1.041666666666663E-2</v>
      </c>
      <c r="F342" s="1" t="s">
        <v>11</v>
      </c>
    </row>
    <row r="343" spans="1:6" x14ac:dyDescent="0.25">
      <c r="A343" s="4"/>
      <c r="B343" s="2">
        <v>0.54722222222222217</v>
      </c>
      <c r="C343" s="2">
        <v>0.56805555555555554</v>
      </c>
      <c r="D343" s="2">
        <f t="shared" si="11"/>
        <v>2.083333333333337E-2</v>
      </c>
      <c r="E343" s="2">
        <f t="shared" si="12"/>
        <v>5.5555555555555358E-3</v>
      </c>
      <c r="F343" s="1" t="s">
        <v>11</v>
      </c>
    </row>
    <row r="344" spans="1:6" x14ac:dyDescent="0.25">
      <c r="A344" s="4"/>
      <c r="B344" s="2">
        <v>0.60555555555555551</v>
      </c>
      <c r="C344" s="2">
        <v>0.62083333333333335</v>
      </c>
      <c r="D344" s="2">
        <f t="shared" si="11"/>
        <v>1.5277777777777835E-2</v>
      </c>
      <c r="E344" s="2">
        <f t="shared" si="12"/>
        <v>1.388888888888995E-3</v>
      </c>
      <c r="F344" s="1" t="s">
        <v>11</v>
      </c>
    </row>
    <row r="345" spans="1:6" x14ac:dyDescent="0.25">
      <c r="A345" s="4"/>
      <c r="B345" s="2">
        <v>0.68055555555555547</v>
      </c>
      <c r="C345" s="2">
        <v>0.6972222222222223</v>
      </c>
      <c r="D345" s="2">
        <f t="shared" si="11"/>
        <v>1.6666666666666829E-2</v>
      </c>
      <c r="E345" s="2">
        <f t="shared" si="12"/>
        <v>6.2499999999997558E-3</v>
      </c>
      <c r="F345" s="1" t="s">
        <v>11</v>
      </c>
    </row>
    <row r="346" spans="1:6" x14ac:dyDescent="0.25">
      <c r="A346" s="4"/>
      <c r="B346" s="2">
        <v>0.71527777777777779</v>
      </c>
      <c r="C346" s="2">
        <v>0.73819444444444438</v>
      </c>
      <c r="D346" s="2">
        <f t="shared" si="11"/>
        <v>2.2916666666666585E-2</v>
      </c>
      <c r="E346" s="2">
        <f t="shared" si="12"/>
        <v>4.1666666666665408E-3</v>
      </c>
      <c r="F346" s="1" t="s">
        <v>11</v>
      </c>
    </row>
    <row r="347" spans="1:6" x14ac:dyDescent="0.25">
      <c r="A347" s="4"/>
      <c r="B347" s="2">
        <v>0.74652777777777779</v>
      </c>
      <c r="C347" s="2">
        <v>0.76527777777777783</v>
      </c>
      <c r="D347" s="2">
        <f t="shared" si="11"/>
        <v>1.8750000000000044E-2</v>
      </c>
      <c r="E347" s="2">
        <f t="shared" si="12"/>
        <v>3.4722222222222671E-3</v>
      </c>
      <c r="F347" s="1" t="s">
        <v>11</v>
      </c>
    </row>
    <row r="348" spans="1:6" x14ac:dyDescent="0.25">
      <c r="A348" s="4"/>
      <c r="B348" s="2">
        <v>0</v>
      </c>
      <c r="C348" s="2">
        <v>1.5277777777777777E-2</v>
      </c>
      <c r="D348" s="2">
        <f t="shared" si="11"/>
        <v>1.5277777777777777E-2</v>
      </c>
      <c r="E348" s="2">
        <f t="shared" si="12"/>
        <v>1.2499999999999957E-2</v>
      </c>
      <c r="F348" s="1" t="s">
        <v>11</v>
      </c>
    </row>
    <row r="349" spans="1:6" x14ac:dyDescent="0.25">
      <c r="A349" s="4"/>
      <c r="B349" s="2">
        <v>0.34097222222222223</v>
      </c>
      <c r="C349" s="2">
        <v>0.36874999999999997</v>
      </c>
      <c r="D349" s="2">
        <f t="shared" si="11"/>
        <v>2.7777777777777735E-2</v>
      </c>
      <c r="E349" s="2">
        <f t="shared" si="12"/>
        <v>1.1805555555555569E-2</v>
      </c>
      <c r="F349" s="1" t="s">
        <v>11</v>
      </c>
    </row>
    <row r="350" spans="1:6" x14ac:dyDescent="0.25">
      <c r="A350" s="4"/>
      <c r="B350" s="2">
        <v>0.53263888888888888</v>
      </c>
      <c r="C350" s="2">
        <v>0.54861111111111105</v>
      </c>
      <c r="D350" s="2">
        <f t="shared" si="11"/>
        <v>1.5972222222222165E-2</v>
      </c>
      <c r="E350" s="2">
        <f t="shared" si="12"/>
        <v>0</v>
      </c>
      <c r="F350" s="1" t="s">
        <v>11</v>
      </c>
    </row>
    <row r="351" spans="1:6" x14ac:dyDescent="0.25">
      <c r="A351" s="4"/>
      <c r="B351" s="2">
        <v>0.69305555555555554</v>
      </c>
      <c r="C351" s="2">
        <v>0.7090277777777777</v>
      </c>
      <c r="D351" s="2">
        <f t="shared" si="11"/>
        <v>1.5972222222222165E-2</v>
      </c>
      <c r="E351" s="2">
        <f t="shared" si="12"/>
        <v>1.3194444444444176E-2</v>
      </c>
      <c r="F351" s="1" t="s">
        <v>11</v>
      </c>
    </row>
    <row r="352" spans="1:6" x14ac:dyDescent="0.25">
      <c r="A352" s="4"/>
      <c r="B352" s="2">
        <v>0.74861111111111101</v>
      </c>
      <c r="C352" s="2">
        <v>0.75138888888888899</v>
      </c>
      <c r="D352" s="2">
        <f t="shared" si="11"/>
        <v>2.77777777777799E-3</v>
      </c>
      <c r="E352" s="2">
        <f t="shared" si="12"/>
        <v>1.4583333333333059E-2</v>
      </c>
      <c r="F352" s="1" t="s">
        <v>11</v>
      </c>
    </row>
    <row r="353" spans="1:6" x14ac:dyDescent="0.25">
      <c r="A353" s="4"/>
      <c r="B353" s="2">
        <v>0.47083333333333338</v>
      </c>
      <c r="C353" s="2">
        <v>0.48819444444444443</v>
      </c>
      <c r="D353" s="2">
        <f t="shared" si="11"/>
        <v>1.7361111111111049E-2</v>
      </c>
      <c r="E353" s="2">
        <f t="shared" si="12"/>
        <v>1.388888888888995E-3</v>
      </c>
      <c r="F353" s="1" t="s">
        <v>11</v>
      </c>
    </row>
    <row r="354" spans="1:6" x14ac:dyDescent="0.25">
      <c r="A354" s="4"/>
      <c r="B354" s="2">
        <v>0.57708333333333328</v>
      </c>
      <c r="C354" s="2">
        <v>0.59583333333333333</v>
      </c>
      <c r="D354" s="2">
        <f t="shared" si="11"/>
        <v>1.8750000000000044E-2</v>
      </c>
      <c r="E354" s="2">
        <f t="shared" si="12"/>
        <v>2.083333333333437E-3</v>
      </c>
      <c r="F354" s="1" t="s">
        <v>11</v>
      </c>
    </row>
    <row r="355" spans="1:6" x14ac:dyDescent="0.25">
      <c r="A355" s="4"/>
      <c r="B355" s="2">
        <v>0.96805555555555556</v>
      </c>
      <c r="C355" s="2">
        <v>0.98472222222222217</v>
      </c>
      <c r="D355" s="2">
        <f t="shared" si="11"/>
        <v>1.6666666666666607E-2</v>
      </c>
      <c r="E355" s="2">
        <f t="shared" si="12"/>
        <v>6.9444444444444198E-4</v>
      </c>
      <c r="F355" s="1" t="s">
        <v>11</v>
      </c>
    </row>
    <row r="356" spans="1:6" x14ac:dyDescent="0.25">
      <c r="A356" s="4"/>
      <c r="B356" s="2">
        <v>0.72430555555555554</v>
      </c>
      <c r="C356" s="2">
        <v>0.7402777777777777</v>
      </c>
      <c r="D356" s="2">
        <f t="shared" si="11"/>
        <v>1.5972222222222165E-2</v>
      </c>
      <c r="E356" s="2">
        <f t="shared" si="12"/>
        <v>6.9444444444444198E-4</v>
      </c>
      <c r="F356" s="1" t="s">
        <v>11</v>
      </c>
    </row>
    <row r="357" spans="1:6" x14ac:dyDescent="0.25">
      <c r="A357" s="4"/>
      <c r="B357" s="2">
        <v>0.87847222222222221</v>
      </c>
      <c r="C357" s="2">
        <v>0.89374999999999993</v>
      </c>
      <c r="D357" s="2">
        <f t="shared" si="11"/>
        <v>1.5277777777777724E-2</v>
      </c>
      <c r="E357" s="2">
        <f t="shared" si="12"/>
        <v>3.4722222222222654E-3</v>
      </c>
      <c r="F357" s="1" t="s">
        <v>11</v>
      </c>
    </row>
    <row r="358" spans="1:6" x14ac:dyDescent="0.25">
      <c r="A358" s="3"/>
      <c r="B358" s="2">
        <v>0.35486111111111113</v>
      </c>
      <c r="C358" s="2">
        <v>0.37361111111111112</v>
      </c>
      <c r="D358" s="2">
        <f t="shared" si="11"/>
        <v>1.8749999999999989E-2</v>
      </c>
      <c r="E358" s="2">
        <f t="shared" si="12"/>
        <v>2.0833333333333259E-3</v>
      </c>
      <c r="F358" s="1" t="s">
        <v>11</v>
      </c>
    </row>
    <row r="359" spans="1:6" x14ac:dyDescent="0.25">
      <c r="A359" s="3"/>
      <c r="B359" s="2">
        <v>0.42499999999999999</v>
      </c>
      <c r="C359" s="2">
        <v>0.44166666666666665</v>
      </c>
      <c r="D359" s="2">
        <f t="shared" si="11"/>
        <v>1.6666666666666663E-2</v>
      </c>
      <c r="E359" s="2">
        <f t="shared" si="12"/>
        <v>6.2499999999999778E-3</v>
      </c>
      <c r="F359" s="1" t="s">
        <v>11</v>
      </c>
    </row>
    <row r="360" spans="1:6" x14ac:dyDescent="0.25">
      <c r="A360" s="4"/>
      <c r="B360" s="2">
        <v>0.4826388888888889</v>
      </c>
      <c r="C360" s="2">
        <v>0.50555555555555554</v>
      </c>
      <c r="D360" s="2">
        <f t="shared" si="11"/>
        <v>2.2916666666666641E-2</v>
      </c>
      <c r="E360" s="2">
        <f t="shared" si="12"/>
        <v>2.7777777777778234E-3</v>
      </c>
      <c r="F360" s="1" t="s">
        <v>11</v>
      </c>
    </row>
    <row r="361" spans="1:6" x14ac:dyDescent="0.25">
      <c r="A361" s="4"/>
      <c r="B361" s="2">
        <v>0.54652777777777783</v>
      </c>
      <c r="C361" s="2">
        <v>0.56666666666666665</v>
      </c>
      <c r="D361" s="2">
        <f t="shared" si="11"/>
        <v>2.0138888888888817E-2</v>
      </c>
      <c r="E361" s="2">
        <f t="shared" si="12"/>
        <v>4.8611111111109828E-3</v>
      </c>
      <c r="F361" s="1" t="s">
        <v>11</v>
      </c>
    </row>
    <row r="362" spans="1:6" x14ac:dyDescent="0.25">
      <c r="A362" s="4"/>
      <c r="B362" s="2">
        <v>0.83124999999999993</v>
      </c>
      <c r="C362" s="2">
        <v>0.84652777777777777</v>
      </c>
      <c r="D362" s="2">
        <f t="shared" si="11"/>
        <v>1.5277777777777835E-2</v>
      </c>
      <c r="E362" s="2">
        <f t="shared" si="12"/>
        <v>6.2499999999999223E-3</v>
      </c>
      <c r="F362" s="1" t="s">
        <v>11</v>
      </c>
    </row>
    <row r="363" spans="1:6" x14ac:dyDescent="0.25">
      <c r="A363" s="4"/>
      <c r="B363" s="2">
        <v>0.30763888888888891</v>
      </c>
      <c r="C363" s="2">
        <v>0.32916666666666666</v>
      </c>
      <c r="D363" s="2">
        <f t="shared" si="11"/>
        <v>2.1527777777777757E-2</v>
      </c>
      <c r="E363" s="2">
        <f t="shared" si="12"/>
        <v>2.0833333333333259E-3</v>
      </c>
      <c r="F363" s="1" t="s">
        <v>11</v>
      </c>
    </row>
    <row r="364" spans="1:6" x14ac:dyDescent="0.25">
      <c r="A364" s="4"/>
      <c r="B364" s="2">
        <v>7.6388888888888895E-2</v>
      </c>
      <c r="C364" s="2">
        <v>9.5833333333333326E-2</v>
      </c>
      <c r="D364" s="2">
        <f t="shared" si="11"/>
        <v>1.9444444444444431E-2</v>
      </c>
      <c r="E364" s="2">
        <f t="shared" si="12"/>
        <v>3.4722222222221544E-3</v>
      </c>
      <c r="F364" s="1" t="s">
        <v>11</v>
      </c>
    </row>
    <row r="365" spans="1:6" x14ac:dyDescent="0.25">
      <c r="A365" s="4"/>
      <c r="B365" s="2">
        <v>0.62569444444444444</v>
      </c>
      <c r="C365" s="2">
        <v>0.64166666666666672</v>
      </c>
      <c r="D365" s="2">
        <f t="shared" si="11"/>
        <v>1.5972222222222276E-2</v>
      </c>
      <c r="E365" s="2">
        <f t="shared" si="12"/>
        <v>3.4722222222221266E-3</v>
      </c>
      <c r="F365" s="1" t="s">
        <v>11</v>
      </c>
    </row>
    <row r="366" spans="1:6" x14ac:dyDescent="0.25">
      <c r="A366" s="4"/>
      <c r="B366" s="2">
        <v>0.23402777777777781</v>
      </c>
      <c r="C366" s="2">
        <v>0.25347222222222221</v>
      </c>
      <c r="D366" s="2">
        <f t="shared" si="11"/>
        <v>1.9444444444444403E-2</v>
      </c>
      <c r="E366" s="2">
        <f t="shared" si="12"/>
        <v>4.8611111111111216E-3</v>
      </c>
      <c r="F366" s="1" t="s">
        <v>11</v>
      </c>
    </row>
    <row r="367" spans="1:6" x14ac:dyDescent="0.25">
      <c r="A367" s="4"/>
      <c r="B367" s="2">
        <v>0.2902777777777778</v>
      </c>
      <c r="C367" s="2">
        <v>0.30486111111111108</v>
      </c>
      <c r="D367" s="2">
        <f t="shared" si="11"/>
        <v>1.4583333333333282E-2</v>
      </c>
      <c r="E367" s="2">
        <f t="shared" si="12"/>
        <v>3.4722222222223209E-3</v>
      </c>
      <c r="F367" s="1" t="s">
        <v>11</v>
      </c>
    </row>
    <row r="368" spans="1:6" x14ac:dyDescent="0.25">
      <c r="A368" s="4"/>
      <c r="B368" s="2">
        <v>0.4284722222222222</v>
      </c>
      <c r="C368" s="2">
        <v>0.4465277777777778</v>
      </c>
      <c r="D368" s="2">
        <f t="shared" si="11"/>
        <v>1.8055555555555602E-2</v>
      </c>
      <c r="E368" s="2">
        <f t="shared" si="12"/>
        <v>6.94444444444553E-4</v>
      </c>
      <c r="F368" s="1" t="s">
        <v>11</v>
      </c>
    </row>
    <row r="369" spans="1:6" x14ac:dyDescent="0.25">
      <c r="A369" s="4"/>
      <c r="B369" s="2">
        <v>0.68055555555555547</v>
      </c>
      <c r="C369" s="2">
        <v>0.69930555555555562</v>
      </c>
      <c r="D369" s="2">
        <f t="shared" si="11"/>
        <v>1.8750000000000155E-2</v>
      </c>
      <c r="E369" s="2">
        <f t="shared" si="12"/>
        <v>2.7777777777775459E-3</v>
      </c>
      <c r="F369" s="1" t="s">
        <v>11</v>
      </c>
    </row>
    <row r="370" spans="1:6" x14ac:dyDescent="0.25">
      <c r="A370" s="4"/>
      <c r="B370" s="2">
        <v>0.92708333333333337</v>
      </c>
      <c r="C370" s="2">
        <v>0.94861111111111107</v>
      </c>
      <c r="D370" s="2">
        <f t="shared" si="11"/>
        <v>2.1527777777777701E-2</v>
      </c>
      <c r="E370" s="2">
        <f t="shared" si="12"/>
        <v>9.0277777777776971E-3</v>
      </c>
      <c r="F370" s="1" t="s">
        <v>11</v>
      </c>
    </row>
    <row r="371" spans="1:6" x14ac:dyDescent="0.25">
      <c r="A371" s="4"/>
      <c r="B371" s="2">
        <v>4.7222222222222221E-2</v>
      </c>
      <c r="C371" s="2">
        <v>5.9722222222222225E-2</v>
      </c>
      <c r="D371" s="2">
        <f t="shared" si="11"/>
        <v>1.2500000000000004E-2</v>
      </c>
      <c r="E371" s="2">
        <f t="shared" si="12"/>
        <v>1.5972222222222228E-2</v>
      </c>
      <c r="F371" s="1" t="s">
        <v>11</v>
      </c>
    </row>
    <row r="372" spans="1:6" x14ac:dyDescent="0.25">
      <c r="A372" s="4"/>
      <c r="B372" s="2">
        <v>0.44305555555555554</v>
      </c>
      <c r="C372" s="2">
        <v>0.47152777777777777</v>
      </c>
      <c r="D372" s="2">
        <f t="shared" si="11"/>
        <v>2.8472222222222232E-2</v>
      </c>
      <c r="E372" s="2">
        <f t="shared" si="12"/>
        <v>1.736111111111116E-2</v>
      </c>
      <c r="F372" s="1" t="s">
        <v>11</v>
      </c>
    </row>
    <row r="373" spans="1:6" x14ac:dyDescent="0.25">
      <c r="A373" s="4"/>
      <c r="B373" s="2">
        <v>0.64652777777777781</v>
      </c>
      <c r="C373" s="2">
        <v>0.65763888888888888</v>
      </c>
      <c r="D373" s="2">
        <f t="shared" si="11"/>
        <v>1.1111111111111072E-2</v>
      </c>
      <c r="E373" s="2">
        <f t="shared" si="12"/>
        <v>1.4583333333333393E-2</v>
      </c>
      <c r="F373" s="1" t="s">
        <v>11</v>
      </c>
    </row>
    <row r="374" spans="1:6" x14ac:dyDescent="0.25">
      <c r="A374" s="4"/>
      <c r="B374" s="2">
        <v>0.33055555555555555</v>
      </c>
      <c r="C374" s="2">
        <v>0.35625000000000001</v>
      </c>
      <c r="D374" s="2">
        <f t="shared" si="11"/>
        <v>2.5694444444444464E-2</v>
      </c>
      <c r="E374" s="2">
        <f t="shared" si="12"/>
        <v>6.2500000000000888E-3</v>
      </c>
      <c r="F374" s="1" t="s">
        <v>11</v>
      </c>
    </row>
    <row r="375" spans="1:6" x14ac:dyDescent="0.25">
      <c r="A375" s="4"/>
      <c r="B375" s="2">
        <v>0.58194444444444449</v>
      </c>
      <c r="C375" s="2">
        <v>0.60138888888888886</v>
      </c>
      <c r="D375" s="2">
        <f t="shared" si="11"/>
        <v>1.9444444444444375E-2</v>
      </c>
      <c r="E375" s="2">
        <f t="shared" si="12"/>
        <v>2.7777777777777679E-3</v>
      </c>
      <c r="F375" s="1" t="s">
        <v>11</v>
      </c>
    </row>
    <row r="376" spans="1:6" x14ac:dyDescent="0.25">
      <c r="A376" s="4"/>
      <c r="B376" s="2">
        <v>0.96527777777777779</v>
      </c>
      <c r="C376" s="2">
        <v>0.9819444444444444</v>
      </c>
      <c r="D376" s="2">
        <f t="shared" si="11"/>
        <v>1.6666666666666607E-2</v>
      </c>
      <c r="E376" s="2">
        <f t="shared" si="12"/>
        <v>2.0833333333332982E-3</v>
      </c>
      <c r="F376" s="1" t="s">
        <v>11</v>
      </c>
    </row>
    <row r="377" spans="1:6" x14ac:dyDescent="0.25">
      <c r="A377" s="4"/>
      <c r="B377" s="2">
        <v>0.20833333333333334</v>
      </c>
      <c r="C377" s="2">
        <v>0.22291666666666665</v>
      </c>
      <c r="D377" s="2">
        <f t="shared" si="11"/>
        <v>1.4583333333333309E-2</v>
      </c>
      <c r="E377" s="2">
        <f t="shared" si="12"/>
        <v>2.7755575615628914E-17</v>
      </c>
      <c r="F377" s="1" t="s">
        <v>11</v>
      </c>
    </row>
    <row r="378" spans="1:6" x14ac:dyDescent="0.25">
      <c r="A378" s="4"/>
      <c r="B378" s="2">
        <v>0.28819444444444448</v>
      </c>
      <c r="C378" s="2">
        <v>0.30277777777777776</v>
      </c>
      <c r="D378" s="2">
        <f t="shared" si="11"/>
        <v>1.4583333333333282E-2</v>
      </c>
      <c r="E378" s="2">
        <f t="shared" si="12"/>
        <v>2.0833333333333814E-3</v>
      </c>
      <c r="F378" s="1" t="s">
        <v>11</v>
      </c>
    </row>
    <row r="379" spans="1:6" x14ac:dyDescent="0.25">
      <c r="A379" s="4"/>
      <c r="B379" s="2">
        <v>0.27847222222222223</v>
      </c>
      <c r="C379" s="2">
        <v>0.2951388888888889</v>
      </c>
      <c r="D379" s="2">
        <f t="shared" si="11"/>
        <v>1.6666666666666663E-2</v>
      </c>
      <c r="E379" s="2">
        <f t="shared" si="12"/>
        <v>2.0833333333333259E-3</v>
      </c>
      <c r="F379" s="1" t="s">
        <v>11</v>
      </c>
    </row>
    <row r="380" spans="1:6" x14ac:dyDescent="0.25">
      <c r="A380" s="4"/>
      <c r="B380" s="2">
        <v>0.42569444444444443</v>
      </c>
      <c r="C380" s="2">
        <v>0.44444444444444442</v>
      </c>
      <c r="D380" s="2">
        <f t="shared" si="11"/>
        <v>1.8749999999999989E-2</v>
      </c>
      <c r="E380" s="2">
        <f t="shared" si="12"/>
        <v>4.1666666666667074E-3</v>
      </c>
      <c r="F380" s="1" t="s">
        <v>11</v>
      </c>
    </row>
    <row r="381" spans="1:6" x14ac:dyDescent="0.25">
      <c r="A381" s="4"/>
      <c r="B381" s="2">
        <v>0.79236111111111107</v>
      </c>
      <c r="C381" s="2">
        <v>0.81527777777777777</v>
      </c>
      <c r="D381" s="2">
        <f t="shared" si="11"/>
        <v>2.2916666666666696E-2</v>
      </c>
      <c r="E381" s="2">
        <f t="shared" si="12"/>
        <v>1.1805555555555514E-2</v>
      </c>
      <c r="F381" s="1" t="s">
        <v>11</v>
      </c>
    </row>
    <row r="382" spans="1:6" x14ac:dyDescent="0.25">
      <c r="A382" s="4"/>
      <c r="B382" s="2">
        <v>0.59375</v>
      </c>
      <c r="C382" s="2">
        <v>0.62847222222222221</v>
      </c>
      <c r="D382" s="2">
        <f t="shared" si="11"/>
        <v>3.472222222222221E-2</v>
      </c>
      <c r="E382" s="2">
        <f t="shared" si="12"/>
        <v>2.2222222222222254E-2</v>
      </c>
      <c r="F382" s="1" t="s">
        <v>11</v>
      </c>
    </row>
    <row r="383" spans="1:6" x14ac:dyDescent="0.25">
      <c r="A383" s="4"/>
      <c r="B383" s="2">
        <v>0.5805555555555556</v>
      </c>
      <c r="C383" s="2">
        <v>0.59305555555555556</v>
      </c>
      <c r="D383" s="2">
        <f t="shared" ref="D383:D445" si="13">C383-B383</f>
        <v>1.2499999999999956E-2</v>
      </c>
      <c r="E383" s="2">
        <f t="shared" si="12"/>
        <v>9.0277777777779677E-3</v>
      </c>
      <c r="F383" s="1" t="s">
        <v>11</v>
      </c>
    </row>
    <row r="384" spans="1:6" x14ac:dyDescent="0.25">
      <c r="A384" s="3"/>
      <c r="B384" s="2">
        <v>0.71458333333333324</v>
      </c>
      <c r="C384" s="2">
        <v>0.73611111111111116</v>
      </c>
      <c r="D384" s="2">
        <f t="shared" si="13"/>
        <v>2.1527777777777923E-2</v>
      </c>
      <c r="E384" s="2">
        <f t="shared" si="12"/>
        <v>7.6388888888889728E-3</v>
      </c>
      <c r="F384" s="1" t="s">
        <v>11</v>
      </c>
    </row>
    <row r="385" spans="1:6" x14ac:dyDescent="0.25">
      <c r="A385" s="3"/>
      <c r="B385" s="2">
        <v>0.63194444444444442</v>
      </c>
      <c r="C385" s="2">
        <v>0.64583333333333337</v>
      </c>
      <c r="D385" s="2">
        <f t="shared" si="13"/>
        <v>1.3888888888888951E-2</v>
      </c>
      <c r="F385" s="1" t="s">
        <v>11</v>
      </c>
    </row>
    <row r="386" spans="1:6" x14ac:dyDescent="0.25">
      <c r="A386" s="3"/>
      <c r="B386" s="2">
        <v>0.28611111111111115</v>
      </c>
      <c r="C386" s="2">
        <v>0.29930555555555555</v>
      </c>
      <c r="D386" s="2">
        <f t="shared" si="13"/>
        <v>1.3194444444444398E-2</v>
      </c>
      <c r="E386" s="2">
        <f>ABS(D387-D386)</f>
        <v>7.6388888888888479E-3</v>
      </c>
      <c r="F386" s="1" t="s">
        <v>8</v>
      </c>
    </row>
    <row r="387" spans="1:6" x14ac:dyDescent="0.25">
      <c r="A387" s="3"/>
      <c r="B387" s="2">
        <v>5.2777777777777778E-2</v>
      </c>
      <c r="C387" s="2">
        <v>5.8333333333333327E-2</v>
      </c>
      <c r="D387" s="2">
        <f t="shared" si="13"/>
        <v>5.5555555555555497E-3</v>
      </c>
      <c r="E387" s="2">
        <f t="shared" ref="E387:E409" si="14">ABS(D388-D387)</f>
        <v>1.0416666666666644E-2</v>
      </c>
      <c r="F387" s="1" t="s">
        <v>8</v>
      </c>
    </row>
    <row r="388" spans="1:6" x14ac:dyDescent="0.25">
      <c r="A388" s="4"/>
      <c r="B388" s="2">
        <v>0.21666666666666667</v>
      </c>
      <c r="C388" s="2">
        <v>0.23263888888888887</v>
      </c>
      <c r="D388" s="2">
        <f t="shared" si="13"/>
        <v>1.5972222222222193E-2</v>
      </c>
      <c r="E388" s="2">
        <f t="shared" si="14"/>
        <v>3.4722222222222932E-3</v>
      </c>
      <c r="F388" s="1" t="s">
        <v>8</v>
      </c>
    </row>
    <row r="389" spans="1:6" x14ac:dyDescent="0.25">
      <c r="A389" s="3"/>
      <c r="B389" s="2">
        <v>0.5</v>
      </c>
      <c r="C389" s="2">
        <v>0.51944444444444449</v>
      </c>
      <c r="D389" s="2">
        <f t="shared" si="13"/>
        <v>1.9444444444444486E-2</v>
      </c>
      <c r="E389" s="2">
        <f t="shared" si="14"/>
        <v>1.5972222222222276E-2</v>
      </c>
      <c r="F389" s="1" t="s">
        <v>8</v>
      </c>
    </row>
    <row r="390" spans="1:6" x14ac:dyDescent="0.25">
      <c r="A390" s="4"/>
      <c r="B390" s="2">
        <v>0.49861111111111112</v>
      </c>
      <c r="C390" s="2">
        <v>0.50208333333333333</v>
      </c>
      <c r="D390" s="2">
        <f t="shared" si="13"/>
        <v>3.4722222222222099E-3</v>
      </c>
      <c r="E390" s="2">
        <f t="shared" si="14"/>
        <v>6.2499999999998668E-3</v>
      </c>
      <c r="F390" s="1" t="s">
        <v>8</v>
      </c>
    </row>
    <row r="391" spans="1:6" x14ac:dyDescent="0.25">
      <c r="A391" s="4"/>
      <c r="B391" s="2">
        <v>0.94930555555555562</v>
      </c>
      <c r="C391" s="2">
        <v>0.9590277777777777</v>
      </c>
      <c r="D391" s="2">
        <f t="shared" si="13"/>
        <v>9.7222222222220767E-3</v>
      </c>
      <c r="E391" s="2">
        <f t="shared" si="14"/>
        <v>2.0833333333334925E-3</v>
      </c>
      <c r="F391" s="1" t="s">
        <v>8</v>
      </c>
    </row>
    <row r="392" spans="1:6" x14ac:dyDescent="0.25">
      <c r="A392" s="4"/>
      <c r="B392" s="2">
        <v>0.43124999999999997</v>
      </c>
      <c r="C392" s="2">
        <v>0.44305555555555554</v>
      </c>
      <c r="D392" s="2">
        <f t="shared" si="13"/>
        <v>1.1805555555555569E-2</v>
      </c>
      <c r="E392" s="2">
        <f t="shared" si="14"/>
        <v>2.0833333333332704E-3</v>
      </c>
      <c r="F392" s="1" t="s">
        <v>8</v>
      </c>
    </row>
    <row r="393" spans="1:6" x14ac:dyDescent="0.25">
      <c r="A393" s="4"/>
      <c r="B393" s="2">
        <v>0.62708333333333333</v>
      </c>
      <c r="C393" s="2">
        <v>0.64097222222222217</v>
      </c>
      <c r="D393" s="2">
        <f t="shared" si="13"/>
        <v>1.388888888888884E-2</v>
      </c>
      <c r="E393" s="2">
        <f t="shared" si="14"/>
        <v>6.9444444444443088E-3</v>
      </c>
      <c r="F393" s="1" t="s">
        <v>8</v>
      </c>
    </row>
    <row r="394" spans="1:6" x14ac:dyDescent="0.25">
      <c r="A394" s="4"/>
      <c r="B394" s="2">
        <v>0.91388888888888886</v>
      </c>
      <c r="C394" s="2">
        <v>0.92083333333333339</v>
      </c>
      <c r="D394" s="2">
        <f t="shared" si="13"/>
        <v>6.9444444444445308E-3</v>
      </c>
      <c r="E394" s="2">
        <f t="shared" si="14"/>
        <v>1.1111111111111044E-2</v>
      </c>
      <c r="F394" s="1" t="s">
        <v>8</v>
      </c>
    </row>
    <row r="395" spans="1:6" x14ac:dyDescent="0.25">
      <c r="A395" s="4"/>
      <c r="B395" s="2">
        <v>0.22152777777777777</v>
      </c>
      <c r="C395" s="2">
        <v>0.23958333333333334</v>
      </c>
      <c r="D395" s="2">
        <f t="shared" si="13"/>
        <v>1.8055555555555575E-2</v>
      </c>
      <c r="E395" s="2">
        <f t="shared" si="14"/>
        <v>6.24999999999995E-3</v>
      </c>
      <c r="F395" s="1" t="s">
        <v>8</v>
      </c>
    </row>
    <row r="396" spans="1:6" x14ac:dyDescent="0.25">
      <c r="A396" s="4"/>
      <c r="B396" s="2">
        <v>0.50069444444444444</v>
      </c>
      <c r="C396" s="2">
        <v>0.51250000000000007</v>
      </c>
      <c r="D396" s="2">
        <f t="shared" si="13"/>
        <v>1.1805555555555625E-2</v>
      </c>
      <c r="E396" s="2">
        <f t="shared" si="14"/>
        <v>1.2499999999999845E-2</v>
      </c>
      <c r="F396" s="1" t="s">
        <v>8</v>
      </c>
    </row>
    <row r="397" spans="1:6" x14ac:dyDescent="0.25">
      <c r="A397" s="4"/>
      <c r="B397" s="2">
        <v>0.57916666666666672</v>
      </c>
      <c r="C397" s="2">
        <v>0.60347222222222219</v>
      </c>
      <c r="D397" s="2">
        <f t="shared" si="13"/>
        <v>2.4305555555555469E-2</v>
      </c>
      <c r="E397" s="2">
        <f t="shared" si="14"/>
        <v>2.0138888888888817E-2</v>
      </c>
      <c r="F397" s="1" t="s">
        <v>8</v>
      </c>
    </row>
    <row r="398" spans="1:6" x14ac:dyDescent="0.25">
      <c r="A398" s="4"/>
      <c r="B398" s="2">
        <v>0.32222222222222224</v>
      </c>
      <c r="C398" s="2">
        <v>0.3263888888888889</v>
      </c>
      <c r="D398" s="2">
        <f t="shared" si="13"/>
        <v>4.1666666666666519E-3</v>
      </c>
      <c r="E398" s="2">
        <f t="shared" si="14"/>
        <v>6.9444444444445308E-3</v>
      </c>
      <c r="F398" s="1" t="s">
        <v>8</v>
      </c>
    </row>
    <row r="399" spans="1:6" x14ac:dyDescent="0.25">
      <c r="A399" s="4"/>
      <c r="B399" s="2">
        <v>0.87847222222222221</v>
      </c>
      <c r="C399" s="2">
        <v>0.88958333333333339</v>
      </c>
      <c r="D399" s="2">
        <f t="shared" si="13"/>
        <v>1.1111111111111183E-2</v>
      </c>
      <c r="E399" s="2">
        <f t="shared" si="14"/>
        <v>1.388888888888884E-3</v>
      </c>
      <c r="F399" s="1" t="s">
        <v>8</v>
      </c>
    </row>
    <row r="400" spans="1:6" x14ac:dyDescent="0.25">
      <c r="A400" s="4"/>
      <c r="B400" s="2">
        <v>0.72430555555555554</v>
      </c>
      <c r="C400" s="2">
        <v>0.73402777777777783</v>
      </c>
      <c r="D400" s="2">
        <f t="shared" si="13"/>
        <v>9.7222222222222987E-3</v>
      </c>
      <c r="E400" s="2">
        <f t="shared" si="14"/>
        <v>2.0833333333333814E-3</v>
      </c>
      <c r="F400" s="1" t="s">
        <v>8</v>
      </c>
    </row>
    <row r="401" spans="1:6" x14ac:dyDescent="0.25">
      <c r="A401" s="4"/>
      <c r="B401" s="2">
        <v>0.43402777777777773</v>
      </c>
      <c r="C401" s="2">
        <v>0.44166666666666665</v>
      </c>
      <c r="D401" s="2">
        <f t="shared" si="13"/>
        <v>7.6388888888889173E-3</v>
      </c>
      <c r="E401" s="2">
        <f t="shared" si="14"/>
        <v>4.1666666666665964E-3</v>
      </c>
      <c r="F401" s="1" t="s">
        <v>8</v>
      </c>
    </row>
    <row r="402" spans="1:6" x14ac:dyDescent="0.25">
      <c r="A402" s="4"/>
      <c r="B402" s="2">
        <v>0.47222222222222227</v>
      </c>
      <c r="C402" s="2">
        <v>0.48402777777777778</v>
      </c>
      <c r="D402" s="2">
        <f t="shared" si="13"/>
        <v>1.1805555555555514E-2</v>
      </c>
      <c r="E402" s="2">
        <f t="shared" si="14"/>
        <v>2.7777777777777679E-3</v>
      </c>
      <c r="F402" s="1" t="s">
        <v>8</v>
      </c>
    </row>
    <row r="403" spans="1:6" x14ac:dyDescent="0.25">
      <c r="A403" s="4"/>
      <c r="B403" s="2">
        <v>0.61458333333333337</v>
      </c>
      <c r="C403" s="2">
        <v>0.62361111111111112</v>
      </c>
      <c r="D403" s="2">
        <f t="shared" si="13"/>
        <v>9.0277777777777457E-3</v>
      </c>
      <c r="E403" s="2">
        <f t="shared" si="14"/>
        <v>5.5555555555555358E-3</v>
      </c>
      <c r="F403" s="5" t="s">
        <v>8</v>
      </c>
    </row>
    <row r="404" spans="1:6" x14ac:dyDescent="0.25">
      <c r="A404" s="4"/>
      <c r="B404" s="2">
        <v>0.38958333333333334</v>
      </c>
      <c r="C404" s="2">
        <v>0.39305555555555555</v>
      </c>
      <c r="D404" s="2">
        <f t="shared" si="13"/>
        <v>3.4722222222222099E-3</v>
      </c>
      <c r="E404" s="2">
        <f t="shared" si="14"/>
        <v>1.1111111111111127E-2</v>
      </c>
      <c r="F404" s="1" t="s">
        <v>8</v>
      </c>
    </row>
    <row r="405" spans="1:6" x14ac:dyDescent="0.25">
      <c r="A405" s="4"/>
      <c r="B405" s="2">
        <v>0.30138888888888887</v>
      </c>
      <c r="C405" s="2">
        <v>0.31597222222222221</v>
      </c>
      <c r="D405" s="2">
        <f t="shared" si="13"/>
        <v>1.4583333333333337E-2</v>
      </c>
      <c r="E405" s="2">
        <f t="shared" si="14"/>
        <v>3.4722222222221544E-3</v>
      </c>
      <c r="F405" s="1" t="s">
        <v>8</v>
      </c>
    </row>
    <row r="406" spans="1:6" x14ac:dyDescent="0.25">
      <c r="A406" s="4"/>
      <c r="B406" s="2">
        <v>0.54652777777777783</v>
      </c>
      <c r="C406" s="2">
        <v>0.56458333333333333</v>
      </c>
      <c r="D406" s="2">
        <f t="shared" si="13"/>
        <v>1.8055555555555491E-2</v>
      </c>
      <c r="E406" s="2">
        <f t="shared" si="14"/>
        <v>7.6388888888888618E-3</v>
      </c>
      <c r="F406" s="1" t="s">
        <v>8</v>
      </c>
    </row>
    <row r="407" spans="1:6" x14ac:dyDescent="0.25">
      <c r="A407" s="4"/>
      <c r="B407" s="2">
        <v>0.82500000000000007</v>
      </c>
      <c r="C407" s="2">
        <v>0.8354166666666667</v>
      </c>
      <c r="D407" s="2">
        <f t="shared" si="13"/>
        <v>1.041666666666663E-2</v>
      </c>
      <c r="E407" s="2">
        <f t="shared" si="14"/>
        <v>4.8611111111110938E-3</v>
      </c>
      <c r="F407" s="1" t="s">
        <v>8</v>
      </c>
    </row>
    <row r="408" spans="1:6" x14ac:dyDescent="0.25">
      <c r="A408" s="4"/>
      <c r="B408" s="2">
        <v>0.88055555555555554</v>
      </c>
      <c r="C408" s="2">
        <v>0.88611111111111107</v>
      </c>
      <c r="D408" s="2">
        <f t="shared" si="13"/>
        <v>5.5555555555555358E-3</v>
      </c>
      <c r="E408" s="2">
        <f t="shared" si="14"/>
        <v>6.9444444444444198E-4</v>
      </c>
      <c r="F408" s="1" t="s">
        <v>8</v>
      </c>
    </row>
    <row r="409" spans="1:6" x14ac:dyDescent="0.25">
      <c r="A409" s="4"/>
      <c r="B409" s="2">
        <v>0.18541666666666667</v>
      </c>
      <c r="C409" s="2">
        <v>0.19027777777777777</v>
      </c>
      <c r="D409" s="2">
        <f t="shared" si="13"/>
        <v>4.8611111111110938E-3</v>
      </c>
      <c r="E409" s="2">
        <f t="shared" si="14"/>
        <v>1.3888888888888951E-2</v>
      </c>
      <c r="F409" s="1" t="s">
        <v>8</v>
      </c>
    </row>
    <row r="410" spans="1:6" x14ac:dyDescent="0.25">
      <c r="A410" s="4"/>
      <c r="B410" s="2">
        <v>0.53749999999999998</v>
      </c>
      <c r="C410" s="2">
        <v>0.55625000000000002</v>
      </c>
      <c r="D410" s="2">
        <f t="shared" si="13"/>
        <v>1.8750000000000044E-2</v>
      </c>
      <c r="F410" s="1" t="s">
        <v>8</v>
      </c>
    </row>
    <row r="411" spans="1:6" x14ac:dyDescent="0.25">
      <c r="A411" s="4"/>
      <c r="B411" s="2">
        <v>0.14097222222222222</v>
      </c>
      <c r="C411" s="2">
        <v>0.15277777777777776</v>
      </c>
      <c r="D411" s="2">
        <f t="shared" si="13"/>
        <v>1.1805555555555541E-2</v>
      </c>
      <c r="E411" s="2">
        <f>ABS(D412-D411)</f>
        <v>6.944444444444392E-3</v>
      </c>
      <c r="F411" s="1" t="s">
        <v>3</v>
      </c>
    </row>
    <row r="412" spans="1:6" x14ac:dyDescent="0.25">
      <c r="A412" s="4"/>
      <c r="B412" s="2">
        <v>0.19999999999999998</v>
      </c>
      <c r="C412" s="2">
        <v>0.20486111111111113</v>
      </c>
      <c r="D412" s="2">
        <f t="shared" si="13"/>
        <v>4.8611111111111494E-3</v>
      </c>
      <c r="E412" s="2">
        <f t="shared" ref="E412:E475" si="15">ABS(D413-D412)</f>
        <v>2.6388888888888795E-2</v>
      </c>
      <c r="F412" s="1" t="s">
        <v>3</v>
      </c>
    </row>
    <row r="413" spans="1:6" x14ac:dyDescent="0.25">
      <c r="A413" s="4"/>
      <c r="B413" s="2">
        <v>0.31041666666666667</v>
      </c>
      <c r="C413" s="2">
        <v>0.34166666666666662</v>
      </c>
      <c r="D413" s="2">
        <f t="shared" si="13"/>
        <v>3.1249999999999944E-2</v>
      </c>
      <c r="E413" s="2">
        <f t="shared" si="15"/>
        <v>1.0416666666666574E-2</v>
      </c>
      <c r="F413" s="1" t="s">
        <v>3</v>
      </c>
    </row>
    <row r="414" spans="1:6" x14ac:dyDescent="0.25">
      <c r="A414" s="4"/>
      <c r="B414" s="2">
        <v>0.60416666666666663</v>
      </c>
      <c r="C414" s="2">
        <v>0.625</v>
      </c>
      <c r="D414" s="2">
        <f t="shared" si="13"/>
        <v>2.083333333333337E-2</v>
      </c>
      <c r="E414" s="2">
        <f t="shared" si="15"/>
        <v>1.3888888888888951E-2</v>
      </c>
      <c r="F414" s="1" t="s">
        <v>3</v>
      </c>
    </row>
    <row r="415" spans="1:6" x14ac:dyDescent="0.25">
      <c r="A415" s="4"/>
      <c r="B415" s="2">
        <v>0.58888888888888891</v>
      </c>
      <c r="C415" s="2">
        <v>0.59583333333333333</v>
      </c>
      <c r="D415" s="2">
        <f t="shared" si="13"/>
        <v>6.9444444444444198E-3</v>
      </c>
      <c r="E415" s="2">
        <f t="shared" si="15"/>
        <v>4.1666666666666519E-3</v>
      </c>
      <c r="F415" s="1" t="s">
        <v>3</v>
      </c>
    </row>
    <row r="416" spans="1:6" x14ac:dyDescent="0.25">
      <c r="A416" s="4"/>
      <c r="B416" s="2">
        <v>0.80763888888888891</v>
      </c>
      <c r="C416" s="2">
        <v>0.81874999999999998</v>
      </c>
      <c r="D416" s="2">
        <f t="shared" si="13"/>
        <v>1.1111111111111072E-2</v>
      </c>
      <c r="E416" s="2">
        <f t="shared" si="15"/>
        <v>2.0833333333333259E-3</v>
      </c>
      <c r="F416" s="1" t="s">
        <v>3</v>
      </c>
    </row>
    <row r="417" spans="1:6" x14ac:dyDescent="0.25">
      <c r="A417" s="4"/>
      <c r="B417" s="2">
        <v>0.81458333333333333</v>
      </c>
      <c r="C417" s="2">
        <v>0.82361111111111107</v>
      </c>
      <c r="D417" s="2">
        <f t="shared" si="13"/>
        <v>9.0277777777777457E-3</v>
      </c>
      <c r="E417" s="2">
        <f t="shared" si="15"/>
        <v>1.388888888888884E-3</v>
      </c>
      <c r="F417" s="1" t="s">
        <v>3</v>
      </c>
    </row>
    <row r="418" spans="1:6" x14ac:dyDescent="0.25">
      <c r="A418" s="4"/>
      <c r="B418" s="2">
        <v>0.82777777777777783</v>
      </c>
      <c r="C418" s="2">
        <v>0.83819444444444446</v>
      </c>
      <c r="D418" s="2">
        <f t="shared" si="13"/>
        <v>1.041666666666663E-2</v>
      </c>
      <c r="E418" s="2">
        <f t="shared" si="15"/>
        <v>1.1102230246251565E-16</v>
      </c>
      <c r="F418" s="1" t="s">
        <v>3</v>
      </c>
    </row>
    <row r="419" spans="1:6" x14ac:dyDescent="0.25">
      <c r="A419" s="4"/>
      <c r="B419" s="2">
        <v>0.91666666666666663</v>
      </c>
      <c r="C419" s="2">
        <v>0.92708333333333337</v>
      </c>
      <c r="D419" s="2">
        <f t="shared" si="13"/>
        <v>1.0416666666666741E-2</v>
      </c>
      <c r="E419" s="2">
        <f t="shared" si="15"/>
        <v>6.2499999999999778E-3</v>
      </c>
      <c r="F419" s="1" t="s">
        <v>3</v>
      </c>
    </row>
    <row r="420" spans="1:6" x14ac:dyDescent="0.25">
      <c r="A420" s="4"/>
      <c r="B420" s="2">
        <v>0.92013888888888884</v>
      </c>
      <c r="C420" s="2">
        <v>0.9243055555555556</v>
      </c>
      <c r="D420" s="2">
        <f t="shared" si="13"/>
        <v>4.1666666666667629E-3</v>
      </c>
      <c r="E420" s="2">
        <f t="shared" si="15"/>
        <v>6.9444444444444198E-4</v>
      </c>
      <c r="F420" s="1" t="s">
        <v>3</v>
      </c>
    </row>
    <row r="421" spans="1:6" x14ac:dyDescent="0.25">
      <c r="A421" s="4"/>
      <c r="B421" s="2">
        <v>0.95624999999999993</v>
      </c>
      <c r="C421" s="2">
        <v>0.95972222222222225</v>
      </c>
      <c r="D421" s="2">
        <f t="shared" si="13"/>
        <v>3.4722222222223209E-3</v>
      </c>
      <c r="E421" s="2">
        <f t="shared" si="15"/>
        <v>2.7777777777776569E-3</v>
      </c>
      <c r="F421" s="1" t="s">
        <v>3</v>
      </c>
    </row>
    <row r="422" spans="1:6" x14ac:dyDescent="0.25">
      <c r="A422" s="4"/>
      <c r="B422" s="2">
        <v>0.28611111111111115</v>
      </c>
      <c r="C422" s="2">
        <v>0.29236111111111113</v>
      </c>
      <c r="D422" s="2">
        <f t="shared" si="13"/>
        <v>6.2499999999999778E-3</v>
      </c>
      <c r="E422" s="2">
        <f t="shared" si="15"/>
        <v>9.7222222222221877E-3</v>
      </c>
      <c r="F422" s="1" t="s">
        <v>3</v>
      </c>
    </row>
    <row r="423" spans="1:6" x14ac:dyDescent="0.25">
      <c r="A423" s="4"/>
      <c r="B423" s="2">
        <v>0.43958333333333338</v>
      </c>
      <c r="C423" s="2">
        <v>0.45555555555555555</v>
      </c>
      <c r="D423" s="2">
        <f t="shared" si="13"/>
        <v>1.5972222222222165E-2</v>
      </c>
      <c r="E423" s="2">
        <f t="shared" si="15"/>
        <v>4.1666666666666519E-3</v>
      </c>
      <c r="F423" s="1" t="s">
        <v>3</v>
      </c>
    </row>
    <row r="424" spans="1:6" x14ac:dyDescent="0.25">
      <c r="A424" s="4"/>
      <c r="B424" s="2">
        <v>0.48472222222222222</v>
      </c>
      <c r="C424" s="2">
        <v>0.49652777777777773</v>
      </c>
      <c r="D424" s="2">
        <f t="shared" si="13"/>
        <v>1.1805555555555514E-2</v>
      </c>
      <c r="E424" s="2">
        <f t="shared" si="15"/>
        <v>1.5277777777777835E-2</v>
      </c>
      <c r="F424" s="1" t="s">
        <v>3</v>
      </c>
    </row>
    <row r="425" spans="1:6" x14ac:dyDescent="0.25">
      <c r="A425" s="4"/>
      <c r="B425" s="2">
        <v>0.46527777777777773</v>
      </c>
      <c r="C425" s="2">
        <v>0.49236111111111108</v>
      </c>
      <c r="D425" s="2">
        <f t="shared" si="13"/>
        <v>2.7083333333333348E-2</v>
      </c>
      <c r="E425" s="2">
        <f t="shared" si="15"/>
        <v>2.2222222222222365E-2</v>
      </c>
      <c r="F425" s="1" t="s">
        <v>3</v>
      </c>
    </row>
    <row r="426" spans="1:6" x14ac:dyDescent="0.25">
      <c r="A426" s="4"/>
      <c r="B426" s="2">
        <v>0.54375000000000007</v>
      </c>
      <c r="C426" s="2">
        <v>0.54861111111111105</v>
      </c>
      <c r="D426" s="2">
        <f t="shared" si="13"/>
        <v>4.8611111111109828E-3</v>
      </c>
      <c r="E426" s="2">
        <f t="shared" si="15"/>
        <v>4.1666666666667629E-3</v>
      </c>
      <c r="F426" s="1" t="s">
        <v>3</v>
      </c>
    </row>
    <row r="427" spans="1:6" x14ac:dyDescent="0.25">
      <c r="A427" s="4"/>
      <c r="B427" s="2">
        <v>0.55277777777777781</v>
      </c>
      <c r="C427" s="2">
        <v>0.56180555555555556</v>
      </c>
      <c r="D427" s="2">
        <f t="shared" si="13"/>
        <v>9.0277777777777457E-3</v>
      </c>
      <c r="E427" s="2">
        <f t="shared" si="15"/>
        <v>4.8611111111110938E-3</v>
      </c>
      <c r="F427" s="1" t="s">
        <v>3</v>
      </c>
    </row>
    <row r="428" spans="1:6" x14ac:dyDescent="0.25">
      <c r="A428" s="4"/>
      <c r="B428" s="2">
        <v>0.65</v>
      </c>
      <c r="C428" s="2">
        <v>0.65416666666666667</v>
      </c>
      <c r="D428" s="2">
        <f t="shared" si="13"/>
        <v>4.1666666666666519E-3</v>
      </c>
      <c r="E428" s="2">
        <f t="shared" si="15"/>
        <v>6.9444444444444198E-4</v>
      </c>
      <c r="F428" s="1" t="s">
        <v>3</v>
      </c>
    </row>
    <row r="429" spans="1:6" x14ac:dyDescent="0.25">
      <c r="A429" s="4"/>
      <c r="B429" s="2">
        <v>0.7416666666666667</v>
      </c>
      <c r="C429" s="2">
        <v>0.74513888888888891</v>
      </c>
      <c r="D429" s="2">
        <f t="shared" si="13"/>
        <v>3.4722222222222099E-3</v>
      </c>
      <c r="E429" s="2">
        <f t="shared" si="15"/>
        <v>4.8611111111113159E-3</v>
      </c>
      <c r="F429" s="1" t="s">
        <v>3</v>
      </c>
    </row>
    <row r="430" spans="1:6" x14ac:dyDescent="0.25">
      <c r="A430" s="4"/>
      <c r="B430" s="2">
        <v>0.77986111111111101</v>
      </c>
      <c r="C430" s="2">
        <v>0.78819444444444453</v>
      </c>
      <c r="D430" s="2">
        <f t="shared" si="13"/>
        <v>8.3333333333335258E-3</v>
      </c>
      <c r="E430" s="2">
        <f t="shared" si="15"/>
        <v>4.1666666666664298E-3</v>
      </c>
      <c r="F430" s="1" t="s">
        <v>3</v>
      </c>
    </row>
    <row r="431" spans="1:6" x14ac:dyDescent="0.25">
      <c r="A431" s="4"/>
      <c r="B431" s="2">
        <v>0.80347222222222225</v>
      </c>
      <c r="C431" s="2">
        <v>0.81597222222222221</v>
      </c>
      <c r="D431" s="2">
        <f t="shared" si="13"/>
        <v>1.2499999999999956E-2</v>
      </c>
      <c r="E431" s="2">
        <f t="shared" si="15"/>
        <v>5.5555555555556468E-3</v>
      </c>
      <c r="F431" s="1" t="s">
        <v>3</v>
      </c>
    </row>
    <row r="432" spans="1:6" x14ac:dyDescent="0.25">
      <c r="A432" s="4"/>
      <c r="B432" s="2">
        <v>0.82500000000000007</v>
      </c>
      <c r="C432" s="2">
        <v>0.83194444444444438</v>
      </c>
      <c r="D432" s="2">
        <f t="shared" si="13"/>
        <v>6.9444444444443088E-3</v>
      </c>
      <c r="E432" s="2">
        <f t="shared" si="15"/>
        <v>1.388888888888995E-3</v>
      </c>
      <c r="F432" s="1" t="s">
        <v>3</v>
      </c>
    </row>
    <row r="433" spans="1:6" x14ac:dyDescent="0.25">
      <c r="A433" s="4"/>
      <c r="B433" s="2">
        <v>0.85555555555555562</v>
      </c>
      <c r="C433" s="2">
        <v>0.86388888888888893</v>
      </c>
      <c r="D433" s="2">
        <f t="shared" si="13"/>
        <v>8.3333333333333037E-3</v>
      </c>
      <c r="E433" s="2">
        <f t="shared" si="15"/>
        <v>6.9444444444444198E-4</v>
      </c>
      <c r="F433" s="1" t="s">
        <v>3</v>
      </c>
    </row>
    <row r="434" spans="1:6" x14ac:dyDescent="0.25">
      <c r="A434" s="4"/>
      <c r="B434" s="2">
        <v>0.85833333333333339</v>
      </c>
      <c r="C434" s="2">
        <v>0.86736111111111114</v>
      </c>
      <c r="D434" s="2">
        <f t="shared" si="13"/>
        <v>9.0277777777777457E-3</v>
      </c>
      <c r="E434" s="2">
        <f t="shared" si="15"/>
        <v>4.1666666666665408E-3</v>
      </c>
      <c r="F434" s="1" t="s">
        <v>3</v>
      </c>
    </row>
    <row r="435" spans="1:6" x14ac:dyDescent="0.25">
      <c r="A435" s="4"/>
      <c r="B435" s="2">
        <v>0.89374999999999993</v>
      </c>
      <c r="C435" s="2">
        <v>0.89861111111111114</v>
      </c>
      <c r="D435" s="2">
        <f t="shared" si="13"/>
        <v>4.8611111111112049E-3</v>
      </c>
      <c r="E435" s="2">
        <f t="shared" si="15"/>
        <v>5.5555555555554248E-3</v>
      </c>
      <c r="F435" s="1" t="s">
        <v>3</v>
      </c>
    </row>
    <row r="436" spans="1:6" x14ac:dyDescent="0.25">
      <c r="A436" s="4"/>
      <c r="B436" s="2">
        <v>0.98611111111111116</v>
      </c>
      <c r="C436" s="2">
        <v>0.99652777777777779</v>
      </c>
      <c r="D436" s="2">
        <f t="shared" si="13"/>
        <v>1.041666666666663E-2</v>
      </c>
      <c r="E436" s="2">
        <f t="shared" si="15"/>
        <v>3.4722222222221821E-3</v>
      </c>
      <c r="F436" s="1" t="s">
        <v>3</v>
      </c>
    </row>
    <row r="437" spans="1:6" x14ac:dyDescent="0.25">
      <c r="A437" s="4"/>
      <c r="B437" s="2">
        <v>4.1666666666666664E-2</v>
      </c>
      <c r="C437" s="2">
        <v>4.8611111111111112E-2</v>
      </c>
      <c r="D437" s="2">
        <f t="shared" si="13"/>
        <v>6.9444444444444475E-3</v>
      </c>
      <c r="E437" s="2">
        <f t="shared" si="15"/>
        <v>1.388888888888884E-3</v>
      </c>
      <c r="F437" s="1" t="s">
        <v>3</v>
      </c>
    </row>
    <row r="438" spans="1:6" x14ac:dyDescent="0.25">
      <c r="A438" s="4"/>
      <c r="B438" s="2">
        <v>4.027777777777778E-2</v>
      </c>
      <c r="C438" s="2">
        <v>4.8611111111111112E-2</v>
      </c>
      <c r="D438" s="2">
        <f t="shared" si="13"/>
        <v>8.3333333333333315E-3</v>
      </c>
      <c r="E438" s="2">
        <f t="shared" si="15"/>
        <v>2.0833333333333398E-3</v>
      </c>
      <c r="F438" s="1" t="s">
        <v>3</v>
      </c>
    </row>
    <row r="439" spans="1:6" x14ac:dyDescent="0.25">
      <c r="A439" s="4"/>
      <c r="B439" s="2">
        <v>8.1250000000000003E-2</v>
      </c>
      <c r="C439" s="2">
        <v>9.1666666666666674E-2</v>
      </c>
      <c r="D439" s="2">
        <f t="shared" si="13"/>
        <v>1.0416666666666671E-2</v>
      </c>
      <c r="E439" s="2">
        <f t="shared" si="15"/>
        <v>5.6249999999999981E-2</v>
      </c>
      <c r="F439" s="1" t="s">
        <v>3</v>
      </c>
    </row>
    <row r="440" spans="1:6" x14ac:dyDescent="0.25">
      <c r="A440" s="4"/>
      <c r="B440" s="2">
        <v>0.27986111111111112</v>
      </c>
      <c r="C440" s="2">
        <v>0.34652777777777777</v>
      </c>
      <c r="D440" s="2">
        <f t="shared" si="13"/>
        <v>6.6666666666666652E-2</v>
      </c>
      <c r="E440" s="2">
        <f t="shared" si="15"/>
        <v>5.4166666666666641E-2</v>
      </c>
      <c r="F440" s="1" t="s">
        <v>3</v>
      </c>
    </row>
    <row r="441" spans="1:6" x14ac:dyDescent="0.25">
      <c r="A441" s="4"/>
      <c r="B441" s="2">
        <v>0.44444444444444442</v>
      </c>
      <c r="C441" s="2">
        <v>0.45694444444444443</v>
      </c>
      <c r="D441" s="2">
        <f t="shared" si="13"/>
        <v>1.2500000000000011E-2</v>
      </c>
      <c r="E441" s="2">
        <f t="shared" si="15"/>
        <v>1.3888888888888284E-3</v>
      </c>
      <c r="F441" s="1" t="s">
        <v>3</v>
      </c>
    </row>
    <row r="442" spans="1:6" x14ac:dyDescent="0.25">
      <c r="A442" s="4"/>
      <c r="B442" s="2">
        <v>0.4680555555555555</v>
      </c>
      <c r="C442" s="2">
        <v>0.47916666666666669</v>
      </c>
      <c r="D442" s="2">
        <f t="shared" si="13"/>
        <v>1.1111111111111183E-2</v>
      </c>
      <c r="E442" s="2">
        <f t="shared" si="15"/>
        <v>5.5555555555555358E-3</v>
      </c>
      <c r="F442" s="1" t="s">
        <v>3</v>
      </c>
    </row>
    <row r="443" spans="1:6" x14ac:dyDescent="0.25">
      <c r="A443" s="4"/>
      <c r="B443" s="2">
        <v>0.50972222222222219</v>
      </c>
      <c r="C443" s="2">
        <v>0.52638888888888891</v>
      </c>
      <c r="D443" s="2">
        <f t="shared" si="13"/>
        <v>1.6666666666666718E-2</v>
      </c>
      <c r="E443" s="2">
        <f t="shared" si="15"/>
        <v>5.5555555555555358E-3</v>
      </c>
      <c r="F443" s="1" t="s">
        <v>3</v>
      </c>
    </row>
    <row r="444" spans="1:6" x14ac:dyDescent="0.25">
      <c r="A444" s="4"/>
      <c r="B444" s="2">
        <v>0.50763888888888886</v>
      </c>
      <c r="C444" s="2">
        <v>0.52986111111111112</v>
      </c>
      <c r="D444" s="2">
        <f t="shared" si="13"/>
        <v>2.2222222222222254E-2</v>
      </c>
      <c r="E444" s="2">
        <f t="shared" si="15"/>
        <v>6.2500000000000888E-3</v>
      </c>
      <c r="F444" s="1" t="s">
        <v>3</v>
      </c>
    </row>
    <row r="445" spans="1:6" x14ac:dyDescent="0.25">
      <c r="A445" s="4"/>
      <c r="B445" s="2">
        <v>0.5805555555555556</v>
      </c>
      <c r="C445" s="2">
        <v>0.59652777777777777</v>
      </c>
      <c r="D445" s="2">
        <f t="shared" si="13"/>
        <v>1.5972222222222165E-2</v>
      </c>
      <c r="E445" s="2">
        <f t="shared" si="15"/>
        <v>4.1666666666665408E-3</v>
      </c>
      <c r="F445" s="1" t="s">
        <v>3</v>
      </c>
    </row>
    <row r="446" spans="1:6" x14ac:dyDescent="0.25">
      <c r="A446" s="4"/>
      <c r="B446" s="2">
        <v>0.62986111111111109</v>
      </c>
      <c r="C446" s="2">
        <v>0.64166666666666672</v>
      </c>
      <c r="D446" s="2">
        <f t="shared" ref="D446:D507" si="16">C446-B446</f>
        <v>1.1805555555555625E-2</v>
      </c>
      <c r="E446" s="2">
        <f t="shared" si="15"/>
        <v>4.8611111111112049E-3</v>
      </c>
      <c r="F446" s="1" t="s">
        <v>3</v>
      </c>
    </row>
    <row r="447" spans="1:6" x14ac:dyDescent="0.25">
      <c r="A447" s="4"/>
      <c r="B447" s="2">
        <v>0.65138888888888891</v>
      </c>
      <c r="C447" s="2">
        <v>0.65833333333333333</v>
      </c>
      <c r="D447" s="2">
        <f t="shared" si="16"/>
        <v>6.9444444444444198E-3</v>
      </c>
      <c r="E447" s="2">
        <f t="shared" si="15"/>
        <v>7.6388888888888618E-3</v>
      </c>
      <c r="F447" s="1" t="s">
        <v>3</v>
      </c>
    </row>
    <row r="448" spans="1:6" x14ac:dyDescent="0.25">
      <c r="A448" s="4"/>
      <c r="B448" s="2">
        <v>0.71319444444444446</v>
      </c>
      <c r="C448" s="2">
        <v>0.72777777777777775</v>
      </c>
      <c r="D448" s="2">
        <f t="shared" si="16"/>
        <v>1.4583333333333282E-2</v>
      </c>
      <c r="E448" s="2">
        <f t="shared" si="15"/>
        <v>4.8611111111109828E-3</v>
      </c>
      <c r="F448" s="1" t="s">
        <v>3</v>
      </c>
    </row>
    <row r="449" spans="1:6" x14ac:dyDescent="0.25">
      <c r="A449" s="4"/>
      <c r="B449" s="2">
        <v>0.82916666666666661</v>
      </c>
      <c r="C449" s="2">
        <v>0.83888888888888891</v>
      </c>
      <c r="D449" s="2">
        <f t="shared" si="16"/>
        <v>9.7222222222222987E-3</v>
      </c>
      <c r="E449" s="2">
        <f t="shared" si="15"/>
        <v>3.4722222222220989E-3</v>
      </c>
      <c r="F449" s="1" t="s">
        <v>3</v>
      </c>
    </row>
    <row r="450" spans="1:6" x14ac:dyDescent="0.25">
      <c r="A450" s="4"/>
      <c r="B450" s="2">
        <v>0.90902777777777777</v>
      </c>
      <c r="C450" s="2">
        <v>0.92222222222222217</v>
      </c>
      <c r="D450" s="2">
        <f t="shared" si="16"/>
        <v>1.3194444444444398E-2</v>
      </c>
      <c r="E450" s="2">
        <f t="shared" si="15"/>
        <v>2.083333333333437E-3</v>
      </c>
      <c r="F450" s="1" t="s">
        <v>3</v>
      </c>
    </row>
    <row r="451" spans="1:6" x14ac:dyDescent="0.25">
      <c r="A451" s="4"/>
      <c r="B451" s="2">
        <v>0.92291666666666661</v>
      </c>
      <c r="C451" s="2">
        <v>0.93819444444444444</v>
      </c>
      <c r="D451" s="2">
        <f t="shared" si="16"/>
        <v>1.5277777777777835E-2</v>
      </c>
      <c r="E451" s="2">
        <f t="shared" si="15"/>
        <v>1.736111111111116E-2</v>
      </c>
      <c r="F451" s="1" t="s">
        <v>3</v>
      </c>
    </row>
    <row r="452" spans="1:6" x14ac:dyDescent="0.25">
      <c r="A452" s="4"/>
      <c r="B452" s="2">
        <v>0.9506944444444444</v>
      </c>
      <c r="C452" s="2">
        <v>0.98333333333333339</v>
      </c>
      <c r="D452" s="2">
        <f t="shared" si="16"/>
        <v>3.2638888888888995E-2</v>
      </c>
      <c r="E452" s="2">
        <f t="shared" si="15"/>
        <v>2.0138888888889039E-2</v>
      </c>
      <c r="F452" s="1" t="s">
        <v>3</v>
      </c>
    </row>
    <row r="453" spans="1:6" x14ac:dyDescent="0.25">
      <c r="A453" s="4"/>
      <c r="B453" s="2">
        <v>0.95000000000000007</v>
      </c>
      <c r="C453" s="2">
        <v>0.96250000000000002</v>
      </c>
      <c r="D453" s="2">
        <f t="shared" si="16"/>
        <v>1.2499999999999956E-2</v>
      </c>
      <c r="E453" s="2">
        <f t="shared" si="15"/>
        <v>2.0833333333333259E-3</v>
      </c>
      <c r="F453" s="1" t="s">
        <v>3</v>
      </c>
    </row>
    <row r="454" spans="1:6" x14ac:dyDescent="0.25">
      <c r="A454" s="4"/>
      <c r="B454" s="2">
        <v>0.95208333333333339</v>
      </c>
      <c r="C454" s="2">
        <v>0.96250000000000002</v>
      </c>
      <c r="D454" s="2">
        <f t="shared" si="16"/>
        <v>1.041666666666663E-2</v>
      </c>
      <c r="E454" s="2">
        <f t="shared" si="15"/>
        <v>6.2499999999999639E-3</v>
      </c>
      <c r="F454" s="1" t="s">
        <v>3</v>
      </c>
    </row>
    <row r="455" spans="1:6" x14ac:dyDescent="0.25">
      <c r="A455" s="4"/>
      <c r="B455" s="2">
        <v>2.7083333333333334E-2</v>
      </c>
      <c r="C455" s="2">
        <v>3.125E-2</v>
      </c>
      <c r="D455" s="2">
        <f t="shared" si="16"/>
        <v>4.1666666666666657E-3</v>
      </c>
      <c r="E455" s="2">
        <f t="shared" si="15"/>
        <v>1.3888888888889256E-3</v>
      </c>
      <c r="F455" s="1" t="s">
        <v>3</v>
      </c>
    </row>
    <row r="456" spans="1:6" x14ac:dyDescent="0.25">
      <c r="A456" s="4"/>
      <c r="B456" s="2">
        <v>0.42499999999999999</v>
      </c>
      <c r="C456" s="2">
        <v>0.43055555555555558</v>
      </c>
      <c r="D456" s="2">
        <f t="shared" si="16"/>
        <v>5.5555555555555913E-3</v>
      </c>
      <c r="E456" s="2">
        <f t="shared" si="15"/>
        <v>3.4027777777777712E-2</v>
      </c>
      <c r="F456" s="1" t="s">
        <v>3</v>
      </c>
    </row>
    <row r="457" spans="1:6" x14ac:dyDescent="0.25">
      <c r="A457" s="4"/>
      <c r="B457" s="2">
        <v>0.49444444444444446</v>
      </c>
      <c r="C457" s="2">
        <v>0.53402777777777777</v>
      </c>
      <c r="D457" s="2">
        <f t="shared" si="16"/>
        <v>3.9583333333333304E-2</v>
      </c>
      <c r="E457" s="2">
        <f t="shared" si="15"/>
        <v>1.6666666666666607E-2</v>
      </c>
      <c r="F457" s="1" t="s">
        <v>3</v>
      </c>
    </row>
    <row r="458" spans="1:6" x14ac:dyDescent="0.25">
      <c r="A458" s="4"/>
      <c r="B458" s="2">
        <v>0.69791666666666663</v>
      </c>
      <c r="C458" s="2">
        <v>0.72083333333333333</v>
      </c>
      <c r="D458" s="2">
        <f t="shared" si="16"/>
        <v>2.2916666666666696E-2</v>
      </c>
      <c r="E458" s="2">
        <f t="shared" si="15"/>
        <v>1.5277777777777835E-2</v>
      </c>
      <c r="F458" s="1" t="s">
        <v>3</v>
      </c>
    </row>
    <row r="459" spans="1:6" x14ac:dyDescent="0.25">
      <c r="A459" s="4"/>
      <c r="B459" s="2">
        <v>0.73263888888888884</v>
      </c>
      <c r="C459" s="2">
        <v>0.7402777777777777</v>
      </c>
      <c r="D459" s="2">
        <f t="shared" si="16"/>
        <v>7.6388888888888618E-3</v>
      </c>
      <c r="E459" s="2">
        <f t="shared" si="15"/>
        <v>2.0833333333333259E-3</v>
      </c>
      <c r="F459" s="1" t="s">
        <v>3</v>
      </c>
    </row>
    <row r="460" spans="1:6" x14ac:dyDescent="0.25">
      <c r="A460" s="3"/>
      <c r="B460" s="2">
        <v>0.83333333333333337</v>
      </c>
      <c r="C460" s="2">
        <v>0.84305555555555556</v>
      </c>
      <c r="D460" s="2">
        <f t="shared" si="16"/>
        <v>9.7222222222221877E-3</v>
      </c>
      <c r="E460" s="2">
        <f t="shared" si="15"/>
        <v>3.472222222222196E-3</v>
      </c>
      <c r="F460" s="1" t="s">
        <v>3</v>
      </c>
    </row>
    <row r="461" spans="1:6" x14ac:dyDescent="0.25">
      <c r="A461" s="3"/>
      <c r="B461" s="2">
        <v>0.10416666666666667</v>
      </c>
      <c r="C461" s="2">
        <v>0.11041666666666666</v>
      </c>
      <c r="D461" s="2">
        <f t="shared" si="16"/>
        <v>6.2499999999999917E-3</v>
      </c>
      <c r="E461" s="2">
        <f t="shared" si="15"/>
        <v>6.2500000000000749E-3</v>
      </c>
      <c r="F461" s="1" t="s">
        <v>3</v>
      </c>
    </row>
    <row r="462" spans="1:6" x14ac:dyDescent="0.25">
      <c r="A462" s="4"/>
      <c r="B462" s="2">
        <v>0.36458333333333331</v>
      </c>
      <c r="C462" s="2">
        <v>0.37708333333333338</v>
      </c>
      <c r="D462" s="2">
        <f t="shared" si="16"/>
        <v>1.2500000000000067E-2</v>
      </c>
      <c r="E462" s="2">
        <f t="shared" si="15"/>
        <v>1.388888888888884E-3</v>
      </c>
      <c r="F462" s="1" t="s">
        <v>3</v>
      </c>
    </row>
    <row r="463" spans="1:6" x14ac:dyDescent="0.25">
      <c r="A463" s="4"/>
      <c r="B463" s="2">
        <v>0.5625</v>
      </c>
      <c r="C463" s="2">
        <v>0.57361111111111118</v>
      </c>
      <c r="D463" s="2">
        <f t="shared" si="16"/>
        <v>1.1111111111111183E-2</v>
      </c>
      <c r="E463" s="2">
        <f t="shared" si="15"/>
        <v>2.0833333333334023E-3</v>
      </c>
      <c r="F463" s="1" t="s">
        <v>3</v>
      </c>
    </row>
    <row r="464" spans="1:6" x14ac:dyDescent="0.25">
      <c r="A464" s="4"/>
      <c r="B464" s="2">
        <v>5.7638888888888885E-2</v>
      </c>
      <c r="C464" s="2">
        <v>6.6666666666666666E-2</v>
      </c>
      <c r="D464" s="2">
        <f t="shared" si="16"/>
        <v>9.0277777777777804E-3</v>
      </c>
      <c r="E464" s="2">
        <f t="shared" si="15"/>
        <v>5.5555555555555705E-3</v>
      </c>
      <c r="F464" s="1" t="s">
        <v>3</v>
      </c>
    </row>
    <row r="465" spans="1:6" x14ac:dyDescent="0.25">
      <c r="A465" s="4"/>
      <c r="B465" s="2">
        <v>0.41666666666666669</v>
      </c>
      <c r="C465" s="2">
        <v>0.4201388888888889</v>
      </c>
      <c r="D465" s="2">
        <f t="shared" si="16"/>
        <v>3.4722222222222099E-3</v>
      </c>
      <c r="E465" s="2">
        <f t="shared" si="15"/>
        <v>1.4583333333333337E-2</v>
      </c>
      <c r="F465" s="1" t="s">
        <v>3</v>
      </c>
    </row>
    <row r="466" spans="1:6" x14ac:dyDescent="0.25">
      <c r="A466" s="4"/>
      <c r="B466" s="2">
        <v>0.44791666666666669</v>
      </c>
      <c r="C466" s="2">
        <v>0.46597222222222223</v>
      </c>
      <c r="D466" s="2">
        <f t="shared" si="16"/>
        <v>1.8055555555555547E-2</v>
      </c>
      <c r="E466" s="2">
        <f t="shared" si="15"/>
        <v>4.8611111111111494E-3</v>
      </c>
      <c r="F466" s="1" t="s">
        <v>3</v>
      </c>
    </row>
    <row r="467" spans="1:6" x14ac:dyDescent="0.25">
      <c r="A467" s="4"/>
      <c r="B467" s="2">
        <v>0.5</v>
      </c>
      <c r="C467" s="2">
        <v>0.5131944444444444</v>
      </c>
      <c r="D467" s="2">
        <f t="shared" si="16"/>
        <v>1.3194444444444398E-2</v>
      </c>
      <c r="E467" s="2">
        <f t="shared" si="15"/>
        <v>3.4722222222222099E-3</v>
      </c>
      <c r="F467" s="1" t="s">
        <v>3</v>
      </c>
    </row>
    <row r="468" spans="1:6" x14ac:dyDescent="0.25">
      <c r="A468" s="4"/>
      <c r="B468" s="2">
        <v>0.60763888888888895</v>
      </c>
      <c r="C468" s="2">
        <v>0.62430555555555556</v>
      </c>
      <c r="D468" s="2">
        <f t="shared" si="16"/>
        <v>1.6666666666666607E-2</v>
      </c>
      <c r="E468" s="2">
        <f t="shared" si="15"/>
        <v>1.0416666666666519E-2</v>
      </c>
      <c r="F468" s="1" t="s">
        <v>3</v>
      </c>
    </row>
    <row r="469" spans="1:6" x14ac:dyDescent="0.25">
      <c r="A469" s="4"/>
      <c r="B469" s="2">
        <v>0.81041666666666667</v>
      </c>
      <c r="C469" s="2">
        <v>0.81666666666666676</v>
      </c>
      <c r="D469" s="2">
        <f t="shared" si="16"/>
        <v>6.2500000000000888E-3</v>
      </c>
      <c r="E469" s="2">
        <f t="shared" si="15"/>
        <v>9.0277777777777457E-3</v>
      </c>
      <c r="F469" s="1" t="s">
        <v>3</v>
      </c>
    </row>
    <row r="470" spans="1:6" x14ac:dyDescent="0.25">
      <c r="A470" s="4"/>
      <c r="B470" s="2">
        <v>0.88055555555555554</v>
      </c>
      <c r="C470" s="2">
        <v>0.89583333333333337</v>
      </c>
      <c r="D470" s="2">
        <f t="shared" si="16"/>
        <v>1.5277777777777835E-2</v>
      </c>
      <c r="E470" s="2">
        <f t="shared" si="15"/>
        <v>5.5555555555555358E-3</v>
      </c>
      <c r="F470" s="1" t="s">
        <v>3</v>
      </c>
    </row>
    <row r="471" spans="1:6" x14ac:dyDescent="0.25">
      <c r="A471" s="4"/>
      <c r="B471" s="2">
        <v>0.93333333333333324</v>
      </c>
      <c r="C471" s="2">
        <v>0.94305555555555554</v>
      </c>
      <c r="D471" s="2">
        <f t="shared" si="16"/>
        <v>9.7222222222222987E-3</v>
      </c>
      <c r="E471" s="2">
        <f t="shared" si="15"/>
        <v>6.9444444444444198E-4</v>
      </c>
      <c r="F471" s="1" t="s">
        <v>3</v>
      </c>
    </row>
    <row r="472" spans="1:6" x14ac:dyDescent="0.25">
      <c r="A472" s="4"/>
      <c r="B472" s="2">
        <v>0.88541666666666663</v>
      </c>
      <c r="C472" s="2">
        <v>0.89583333333333337</v>
      </c>
      <c r="D472" s="2">
        <f t="shared" si="16"/>
        <v>1.0416666666666741E-2</v>
      </c>
      <c r="E472" s="2">
        <f t="shared" si="15"/>
        <v>8.3333333333334147E-3</v>
      </c>
      <c r="F472" s="1" t="s">
        <v>3</v>
      </c>
    </row>
    <row r="473" spans="1:6" x14ac:dyDescent="0.25">
      <c r="A473" s="4"/>
      <c r="B473" s="2">
        <v>0.89166666666666661</v>
      </c>
      <c r="C473" s="2">
        <v>0.91041666666666676</v>
      </c>
      <c r="D473" s="2">
        <f t="shared" si="16"/>
        <v>1.8750000000000155E-2</v>
      </c>
      <c r="E473" s="2">
        <f t="shared" si="15"/>
        <v>5.5555555555557579E-3</v>
      </c>
      <c r="F473" s="1" t="s">
        <v>3</v>
      </c>
    </row>
    <row r="474" spans="1:6" x14ac:dyDescent="0.25">
      <c r="A474" s="4"/>
      <c r="B474" s="2">
        <v>0.94930555555555562</v>
      </c>
      <c r="C474" s="2">
        <v>0.96250000000000002</v>
      </c>
      <c r="D474" s="2">
        <f t="shared" si="16"/>
        <v>1.3194444444444398E-2</v>
      </c>
      <c r="E474" s="2">
        <f t="shared" si="15"/>
        <v>1.388888888888995E-3</v>
      </c>
      <c r="F474" s="1" t="s">
        <v>3</v>
      </c>
    </row>
    <row r="475" spans="1:6" x14ac:dyDescent="0.25">
      <c r="A475" s="4"/>
      <c r="B475" s="2">
        <v>0.94166666666666676</v>
      </c>
      <c r="C475" s="2">
        <v>0.95347222222222217</v>
      </c>
      <c r="D475" s="2">
        <f t="shared" si="16"/>
        <v>1.1805555555555403E-2</v>
      </c>
      <c r="E475" s="2">
        <f t="shared" si="15"/>
        <v>2.7777777777776257E-3</v>
      </c>
      <c r="F475" s="1" t="s">
        <v>3</v>
      </c>
    </row>
    <row r="476" spans="1:6" x14ac:dyDescent="0.25">
      <c r="A476" s="4"/>
      <c r="B476" s="2">
        <v>2.4999999999999998E-2</v>
      </c>
      <c r="C476" s="2">
        <v>3.4027777777777775E-2</v>
      </c>
      <c r="D476" s="2">
        <f t="shared" si="16"/>
        <v>9.0277777777777769E-3</v>
      </c>
      <c r="E476" s="2">
        <f t="shared" ref="E476:E539" si="17">ABS(D477-D476)</f>
        <v>5.555555555555567E-3</v>
      </c>
      <c r="F476" s="1" t="s">
        <v>3</v>
      </c>
    </row>
    <row r="477" spans="1:6" x14ac:dyDescent="0.25">
      <c r="A477" s="4"/>
      <c r="B477" s="2">
        <v>0.28055555555555556</v>
      </c>
      <c r="C477" s="2">
        <v>0.28402777777777777</v>
      </c>
      <c r="D477" s="2">
        <f t="shared" si="16"/>
        <v>3.4722222222222099E-3</v>
      </c>
      <c r="E477" s="2">
        <f t="shared" si="17"/>
        <v>1.3888888888889395E-3</v>
      </c>
      <c r="F477" s="1" t="s">
        <v>3</v>
      </c>
    </row>
    <row r="478" spans="1:6" x14ac:dyDescent="0.25">
      <c r="A478" s="4"/>
      <c r="B478" s="2">
        <v>0.48541666666666666</v>
      </c>
      <c r="C478" s="2">
        <v>0.49027777777777781</v>
      </c>
      <c r="D478" s="2">
        <f t="shared" si="16"/>
        <v>4.8611111111111494E-3</v>
      </c>
      <c r="E478" s="2">
        <f t="shared" si="17"/>
        <v>4.1666666666665964E-3</v>
      </c>
      <c r="F478" s="1" t="s">
        <v>3</v>
      </c>
    </row>
    <row r="479" spans="1:6" x14ac:dyDescent="0.25">
      <c r="A479" s="4"/>
      <c r="B479" s="2">
        <v>0.55555555555555558</v>
      </c>
      <c r="C479" s="2">
        <v>0.56458333333333333</v>
      </c>
      <c r="D479" s="2">
        <f t="shared" si="16"/>
        <v>9.0277777777777457E-3</v>
      </c>
      <c r="E479" s="2">
        <f t="shared" si="17"/>
        <v>2.7777777777776569E-3</v>
      </c>
      <c r="F479" s="1" t="s">
        <v>3</v>
      </c>
    </row>
    <row r="480" spans="1:6" x14ac:dyDescent="0.25">
      <c r="A480" s="4"/>
      <c r="B480" s="2">
        <v>0.57708333333333328</v>
      </c>
      <c r="C480" s="2">
        <v>0.58333333333333337</v>
      </c>
      <c r="D480" s="2">
        <f t="shared" si="16"/>
        <v>6.2500000000000888E-3</v>
      </c>
      <c r="E480" s="2">
        <f t="shared" si="17"/>
        <v>4.8611111111110938E-3</v>
      </c>
      <c r="F480" s="1" t="s">
        <v>3</v>
      </c>
    </row>
    <row r="481" spans="1:6" x14ac:dyDescent="0.25">
      <c r="A481" s="4"/>
      <c r="B481" s="2">
        <v>0.59513888888888888</v>
      </c>
      <c r="C481" s="2">
        <v>0.60625000000000007</v>
      </c>
      <c r="D481" s="2">
        <f t="shared" si="16"/>
        <v>1.1111111111111183E-2</v>
      </c>
      <c r="E481" s="2">
        <f t="shared" si="17"/>
        <v>4.8611111111112049E-3</v>
      </c>
      <c r="F481" s="1" t="s">
        <v>3</v>
      </c>
    </row>
    <row r="482" spans="1:6" x14ac:dyDescent="0.25">
      <c r="A482" s="4"/>
      <c r="B482" s="2">
        <v>0.875</v>
      </c>
      <c r="C482" s="2">
        <v>0.88124999999999998</v>
      </c>
      <c r="D482" s="2">
        <f t="shared" si="16"/>
        <v>6.2499999999999778E-3</v>
      </c>
      <c r="E482" s="2">
        <f t="shared" si="17"/>
        <v>5.5511151231257827E-17</v>
      </c>
      <c r="F482" s="1" t="s">
        <v>3</v>
      </c>
    </row>
    <row r="483" spans="1:6" x14ac:dyDescent="0.25">
      <c r="A483" s="4"/>
      <c r="B483" s="2">
        <v>0.34375</v>
      </c>
      <c r="C483" s="2">
        <v>0.35000000000000003</v>
      </c>
      <c r="D483" s="2">
        <f t="shared" si="16"/>
        <v>6.2500000000000333E-3</v>
      </c>
      <c r="E483" s="2">
        <f t="shared" si="17"/>
        <v>1.1111111111111072E-2</v>
      </c>
      <c r="F483" s="1" t="s">
        <v>3</v>
      </c>
    </row>
    <row r="484" spans="1:6" x14ac:dyDescent="0.25">
      <c r="A484" s="4"/>
      <c r="B484" s="2">
        <v>0.36805555555555558</v>
      </c>
      <c r="C484" s="2">
        <v>0.38541666666666669</v>
      </c>
      <c r="D484" s="2">
        <f t="shared" si="16"/>
        <v>1.7361111111111105E-2</v>
      </c>
      <c r="E484" s="2">
        <f t="shared" si="17"/>
        <v>2.7777777777778234E-3</v>
      </c>
      <c r="F484" s="1" t="s">
        <v>3</v>
      </c>
    </row>
    <row r="485" spans="1:6" x14ac:dyDescent="0.25">
      <c r="A485" s="4"/>
      <c r="B485" s="2">
        <v>0.42222222222222222</v>
      </c>
      <c r="C485" s="2">
        <v>0.4368055555555555</v>
      </c>
      <c r="D485" s="2">
        <f t="shared" si="16"/>
        <v>1.4583333333333282E-2</v>
      </c>
      <c r="E485" s="2">
        <f t="shared" si="17"/>
        <v>8.3333333333333037E-3</v>
      </c>
      <c r="F485" s="1" t="s">
        <v>3</v>
      </c>
    </row>
    <row r="486" spans="1:6" x14ac:dyDescent="0.25">
      <c r="A486" s="4"/>
      <c r="B486" s="2">
        <v>0.4465277777777778</v>
      </c>
      <c r="C486" s="2">
        <v>0.45277777777777778</v>
      </c>
      <c r="D486" s="2">
        <f t="shared" si="16"/>
        <v>6.2499999999999778E-3</v>
      </c>
      <c r="E486" s="2">
        <f t="shared" si="17"/>
        <v>5.5511151231257827E-17</v>
      </c>
      <c r="F486" s="1" t="s">
        <v>3</v>
      </c>
    </row>
    <row r="487" spans="1:6" x14ac:dyDescent="0.25">
      <c r="A487" s="4"/>
      <c r="B487" s="2">
        <v>0.4604166666666667</v>
      </c>
      <c r="C487" s="2">
        <v>0.46666666666666662</v>
      </c>
      <c r="D487" s="2">
        <f t="shared" si="16"/>
        <v>6.2499999999999223E-3</v>
      </c>
      <c r="E487" s="2">
        <f t="shared" si="17"/>
        <v>5.5555555555555913E-3</v>
      </c>
      <c r="F487" s="1" t="s">
        <v>3</v>
      </c>
    </row>
    <row r="488" spans="1:6" x14ac:dyDescent="0.25">
      <c r="A488" s="4"/>
      <c r="B488" s="2">
        <v>0.60069444444444442</v>
      </c>
      <c r="C488" s="2">
        <v>0.61249999999999993</v>
      </c>
      <c r="D488" s="2">
        <f t="shared" si="16"/>
        <v>1.1805555555555514E-2</v>
      </c>
      <c r="E488" s="2">
        <f t="shared" si="17"/>
        <v>6.9444444444445308E-3</v>
      </c>
      <c r="F488" s="1" t="s">
        <v>3</v>
      </c>
    </row>
    <row r="489" spans="1:6" x14ac:dyDescent="0.25">
      <c r="A489" s="4"/>
      <c r="B489" s="2">
        <v>0.64027777777777783</v>
      </c>
      <c r="C489" s="2">
        <v>0.64513888888888882</v>
      </c>
      <c r="D489" s="2">
        <f t="shared" si="16"/>
        <v>4.8611111111109828E-3</v>
      </c>
      <c r="E489" s="2">
        <f t="shared" si="17"/>
        <v>1.3888888888888951E-2</v>
      </c>
      <c r="F489" s="1" t="s">
        <v>3</v>
      </c>
    </row>
    <row r="490" spans="1:6" x14ac:dyDescent="0.25">
      <c r="A490" s="4"/>
      <c r="B490" s="2">
        <v>0.75138888888888899</v>
      </c>
      <c r="C490" s="2">
        <v>0.77013888888888893</v>
      </c>
      <c r="D490" s="2">
        <f t="shared" si="16"/>
        <v>1.8749999999999933E-2</v>
      </c>
      <c r="E490" s="2">
        <f t="shared" si="17"/>
        <v>2.7777777777776569E-3</v>
      </c>
      <c r="F490" s="1" t="s">
        <v>3</v>
      </c>
    </row>
    <row r="491" spans="1:6" x14ac:dyDescent="0.25">
      <c r="A491" s="4"/>
      <c r="B491" s="2">
        <v>0.80555555555555547</v>
      </c>
      <c r="C491" s="2">
        <v>0.82152777777777775</v>
      </c>
      <c r="D491" s="2">
        <f t="shared" si="16"/>
        <v>1.5972222222222276E-2</v>
      </c>
      <c r="E491" s="2">
        <f t="shared" si="17"/>
        <v>4.8611111111110938E-3</v>
      </c>
      <c r="F491" s="1" t="s">
        <v>3</v>
      </c>
    </row>
    <row r="492" spans="1:6" x14ac:dyDescent="0.25">
      <c r="A492" s="4"/>
      <c r="B492" s="2">
        <v>0.83194444444444438</v>
      </c>
      <c r="C492" s="2">
        <v>0.84305555555555556</v>
      </c>
      <c r="D492" s="2">
        <f t="shared" si="16"/>
        <v>1.1111111111111183E-2</v>
      </c>
      <c r="E492" s="2">
        <f t="shared" si="17"/>
        <v>3.4722222222223209E-3</v>
      </c>
      <c r="F492" s="1" t="s">
        <v>3</v>
      </c>
    </row>
    <row r="493" spans="1:6" x14ac:dyDescent="0.25">
      <c r="A493" s="4"/>
      <c r="B493" s="2">
        <v>0.86388888888888893</v>
      </c>
      <c r="C493" s="2">
        <v>0.87152777777777779</v>
      </c>
      <c r="D493" s="2">
        <f t="shared" si="16"/>
        <v>7.6388888888888618E-3</v>
      </c>
      <c r="E493" s="2">
        <f t="shared" si="17"/>
        <v>2.7777777777777679E-3</v>
      </c>
      <c r="F493" s="1" t="s">
        <v>3</v>
      </c>
    </row>
    <row r="494" spans="1:6" x14ac:dyDescent="0.25">
      <c r="A494" s="4"/>
      <c r="B494" s="2">
        <v>0.87013888888888891</v>
      </c>
      <c r="C494" s="2">
        <v>0.875</v>
      </c>
      <c r="D494" s="2">
        <f t="shared" si="16"/>
        <v>4.8611111111110938E-3</v>
      </c>
      <c r="E494" s="2">
        <f t="shared" si="17"/>
        <v>2.7777777777777957E-3</v>
      </c>
      <c r="F494" s="1" t="s">
        <v>3</v>
      </c>
    </row>
    <row r="495" spans="1:6" x14ac:dyDescent="0.25">
      <c r="A495" s="4"/>
      <c r="B495" s="2">
        <v>3.4027777777777775E-2</v>
      </c>
      <c r="C495" s="2">
        <v>4.1666666666666664E-2</v>
      </c>
      <c r="D495" s="2">
        <f t="shared" si="16"/>
        <v>7.6388888888888895E-3</v>
      </c>
      <c r="E495" s="2">
        <f t="shared" si="17"/>
        <v>4.1666666666667351E-3</v>
      </c>
      <c r="F495" s="1" t="s">
        <v>3</v>
      </c>
    </row>
    <row r="496" spans="1:6" x14ac:dyDescent="0.25">
      <c r="A496" s="4"/>
      <c r="B496" s="2">
        <v>0.49583333333333335</v>
      </c>
      <c r="C496" s="2">
        <v>0.4993055555555555</v>
      </c>
      <c r="D496" s="2">
        <f t="shared" si="16"/>
        <v>3.4722222222221544E-3</v>
      </c>
      <c r="E496" s="2">
        <f t="shared" si="17"/>
        <v>6.2500000000001443E-3</v>
      </c>
      <c r="F496" s="1" t="s">
        <v>3</v>
      </c>
    </row>
    <row r="497" spans="1:6" x14ac:dyDescent="0.25">
      <c r="A497" s="4"/>
      <c r="B497" s="2">
        <v>0.62777777777777777</v>
      </c>
      <c r="C497" s="2">
        <v>0.63750000000000007</v>
      </c>
      <c r="D497" s="2">
        <f t="shared" si="16"/>
        <v>9.7222222222222987E-3</v>
      </c>
      <c r="E497" s="2">
        <f t="shared" si="17"/>
        <v>4.1666666666666519E-3</v>
      </c>
      <c r="F497" s="1" t="s">
        <v>3</v>
      </c>
    </row>
    <row r="498" spans="1:6" x14ac:dyDescent="0.25">
      <c r="A498" s="4"/>
      <c r="B498" s="2">
        <v>0.66527777777777775</v>
      </c>
      <c r="C498" s="2">
        <v>0.67083333333333339</v>
      </c>
      <c r="D498" s="2">
        <f t="shared" si="16"/>
        <v>5.5555555555556468E-3</v>
      </c>
      <c r="E498" s="2">
        <f t="shared" si="17"/>
        <v>1.1111111111111183E-2</v>
      </c>
      <c r="F498" s="1" t="s">
        <v>3</v>
      </c>
    </row>
    <row r="499" spans="1:6" x14ac:dyDescent="0.25">
      <c r="A499" s="4"/>
      <c r="B499" s="2">
        <v>0.7090277777777777</v>
      </c>
      <c r="C499" s="2">
        <v>0.72569444444444453</v>
      </c>
      <c r="D499" s="2">
        <f t="shared" si="16"/>
        <v>1.6666666666666829E-2</v>
      </c>
      <c r="E499" s="2">
        <f t="shared" si="17"/>
        <v>1.1111111111111294E-2</v>
      </c>
      <c r="F499" s="1" t="s">
        <v>3</v>
      </c>
    </row>
    <row r="500" spans="1:6" x14ac:dyDescent="0.25">
      <c r="A500" s="4"/>
      <c r="B500" s="2">
        <v>0.79513888888888884</v>
      </c>
      <c r="C500" s="2">
        <v>0.80069444444444438</v>
      </c>
      <c r="D500" s="2">
        <f t="shared" si="16"/>
        <v>5.5555555555555358E-3</v>
      </c>
      <c r="E500" s="2">
        <f t="shared" si="17"/>
        <v>7.6388888888889728E-3</v>
      </c>
      <c r="F500" s="1" t="s">
        <v>3</v>
      </c>
    </row>
    <row r="501" spans="1:6" x14ac:dyDescent="0.25">
      <c r="A501" s="4"/>
      <c r="B501" s="2">
        <v>0.7715277777777777</v>
      </c>
      <c r="C501" s="2">
        <v>0.78472222222222221</v>
      </c>
      <c r="D501" s="2">
        <f t="shared" si="16"/>
        <v>1.3194444444444509E-2</v>
      </c>
      <c r="E501" s="2">
        <f t="shared" si="17"/>
        <v>5.5555555555556468E-3</v>
      </c>
      <c r="F501" s="1" t="s">
        <v>3</v>
      </c>
    </row>
    <row r="502" spans="1:6" x14ac:dyDescent="0.25">
      <c r="A502" s="4"/>
      <c r="B502" s="2">
        <v>0.88402777777777775</v>
      </c>
      <c r="C502" s="2">
        <v>0.89166666666666661</v>
      </c>
      <c r="D502" s="2">
        <f t="shared" si="16"/>
        <v>7.6388888888888618E-3</v>
      </c>
      <c r="E502" s="2">
        <f t="shared" si="17"/>
        <v>1.9444444444444486E-2</v>
      </c>
      <c r="F502" s="1" t="s">
        <v>3</v>
      </c>
    </row>
    <row r="503" spans="1:6" x14ac:dyDescent="0.25">
      <c r="A503" s="4"/>
      <c r="B503" s="2">
        <v>0.90277777777777779</v>
      </c>
      <c r="C503" s="2">
        <v>0.92986111111111114</v>
      </c>
      <c r="D503" s="2">
        <f t="shared" si="16"/>
        <v>2.7083333333333348E-2</v>
      </c>
      <c r="E503" s="2">
        <f t="shared" si="17"/>
        <v>9.0277777777777735E-3</v>
      </c>
      <c r="F503" s="1" t="s">
        <v>3</v>
      </c>
    </row>
    <row r="504" spans="1:6" x14ac:dyDescent="0.25">
      <c r="A504" s="4"/>
      <c r="B504" s="2">
        <v>0.22152777777777777</v>
      </c>
      <c r="C504" s="2">
        <v>0.23958333333333334</v>
      </c>
      <c r="D504" s="2">
        <f t="shared" si="16"/>
        <v>1.8055555555555575E-2</v>
      </c>
      <c r="E504" s="2">
        <f t="shared" si="17"/>
        <v>1.1111111111111155E-2</v>
      </c>
      <c r="F504" s="1" t="s">
        <v>3</v>
      </c>
    </row>
    <row r="505" spans="1:6" x14ac:dyDescent="0.25">
      <c r="A505" s="4"/>
      <c r="B505" s="2">
        <v>0.38750000000000001</v>
      </c>
      <c r="C505" s="2">
        <v>0.39444444444444443</v>
      </c>
      <c r="D505" s="2">
        <f t="shared" si="16"/>
        <v>6.9444444444444198E-3</v>
      </c>
      <c r="E505" s="2">
        <f t="shared" si="17"/>
        <v>1.388888888888995E-3</v>
      </c>
      <c r="F505" s="1" t="s">
        <v>3</v>
      </c>
    </row>
    <row r="506" spans="1:6" x14ac:dyDescent="0.25">
      <c r="A506" s="4"/>
      <c r="B506" s="2">
        <v>0.5131944444444444</v>
      </c>
      <c r="C506" s="2">
        <v>0.52152777777777781</v>
      </c>
      <c r="D506" s="2">
        <f t="shared" si="16"/>
        <v>8.3333333333334147E-3</v>
      </c>
      <c r="E506" s="2">
        <f t="shared" si="17"/>
        <v>2.5694444444444353E-2</v>
      </c>
      <c r="F506" s="1" t="s">
        <v>3</v>
      </c>
    </row>
    <row r="507" spans="1:6" x14ac:dyDescent="0.25">
      <c r="A507" s="4"/>
      <c r="B507" s="2">
        <v>0.51944444444444449</v>
      </c>
      <c r="C507" s="2">
        <v>0.55347222222222225</v>
      </c>
      <c r="D507" s="2">
        <f t="shared" si="16"/>
        <v>3.4027777777777768E-2</v>
      </c>
      <c r="E507" s="2">
        <f t="shared" si="17"/>
        <v>6.9444444444444198E-3</v>
      </c>
      <c r="F507" s="1" t="s">
        <v>3</v>
      </c>
    </row>
    <row r="508" spans="1:6" x14ac:dyDescent="0.25">
      <c r="A508" s="4"/>
      <c r="B508" s="2">
        <v>0.56388888888888888</v>
      </c>
      <c r="C508" s="2">
        <v>0.59097222222222223</v>
      </c>
      <c r="D508" s="2">
        <f t="shared" ref="D508:D570" si="18">C508-B508</f>
        <v>2.7083333333333348E-2</v>
      </c>
      <c r="E508" s="2">
        <f t="shared" si="17"/>
        <v>1.0416666666666741E-2</v>
      </c>
      <c r="F508" s="1" t="s">
        <v>3</v>
      </c>
    </row>
    <row r="509" spans="1:6" x14ac:dyDescent="0.25">
      <c r="A509" s="4"/>
      <c r="B509" s="2">
        <v>0.54166666666666663</v>
      </c>
      <c r="C509" s="2">
        <v>0.57916666666666672</v>
      </c>
      <c r="D509" s="2">
        <f t="shared" si="18"/>
        <v>3.7500000000000089E-2</v>
      </c>
      <c r="E509" s="2">
        <f t="shared" si="17"/>
        <v>1.3888888888889062E-2</v>
      </c>
      <c r="F509" s="1" t="s">
        <v>3</v>
      </c>
    </row>
    <row r="510" spans="1:6" x14ac:dyDescent="0.25">
      <c r="A510" s="4"/>
      <c r="B510" s="2">
        <v>0.57916666666666672</v>
      </c>
      <c r="C510" s="2">
        <v>0.60277777777777775</v>
      </c>
      <c r="D510" s="2">
        <f t="shared" si="18"/>
        <v>2.3611111111111027E-2</v>
      </c>
      <c r="E510" s="2">
        <f t="shared" si="17"/>
        <v>1.3888888888887729E-3</v>
      </c>
      <c r="F510" s="1" t="s">
        <v>3</v>
      </c>
    </row>
    <row r="511" spans="1:6" x14ac:dyDescent="0.25">
      <c r="A511" s="4"/>
      <c r="B511" s="2">
        <v>0.60138888888888886</v>
      </c>
      <c r="C511" s="2">
        <v>0.62361111111111112</v>
      </c>
      <c r="D511" s="2">
        <f t="shared" si="18"/>
        <v>2.2222222222222254E-2</v>
      </c>
      <c r="E511" s="2">
        <f t="shared" si="17"/>
        <v>1.2500000000000067E-2</v>
      </c>
      <c r="F511" s="1" t="s">
        <v>3</v>
      </c>
    </row>
    <row r="512" spans="1:6" x14ac:dyDescent="0.25">
      <c r="A512" s="4"/>
      <c r="B512" s="2">
        <v>0.65694444444444444</v>
      </c>
      <c r="C512" s="2">
        <v>0.66666666666666663</v>
      </c>
      <c r="D512" s="2">
        <f t="shared" si="18"/>
        <v>9.7222222222221877E-3</v>
      </c>
      <c r="E512" s="2">
        <f t="shared" si="17"/>
        <v>1.388888888889106E-3</v>
      </c>
      <c r="F512" s="1" t="s">
        <v>3</v>
      </c>
    </row>
    <row r="513" spans="1:6" x14ac:dyDescent="0.25">
      <c r="A513" s="4"/>
      <c r="B513" s="2">
        <v>0.71180555555555547</v>
      </c>
      <c r="C513" s="2">
        <v>0.72291666666666676</v>
      </c>
      <c r="D513" s="2">
        <f t="shared" si="18"/>
        <v>1.1111111111111294E-2</v>
      </c>
      <c r="E513" s="2">
        <f t="shared" si="17"/>
        <v>3.4722222222224319E-3</v>
      </c>
      <c r="F513" s="1" t="s">
        <v>3</v>
      </c>
    </row>
    <row r="514" spans="1:6" x14ac:dyDescent="0.25">
      <c r="A514" s="4"/>
      <c r="B514" s="2">
        <v>0.88611111111111107</v>
      </c>
      <c r="C514" s="2">
        <v>0.89374999999999993</v>
      </c>
      <c r="D514" s="2">
        <f t="shared" si="18"/>
        <v>7.6388888888888618E-3</v>
      </c>
      <c r="E514" s="2">
        <f t="shared" si="17"/>
        <v>1.388888888888884E-3</v>
      </c>
      <c r="F514" s="1" t="s">
        <v>3</v>
      </c>
    </row>
    <row r="515" spans="1:6" x14ac:dyDescent="0.25">
      <c r="A515" s="4"/>
      <c r="B515" s="2">
        <v>0.94236111111111109</v>
      </c>
      <c r="C515" s="2">
        <v>0.94861111111111107</v>
      </c>
      <c r="D515" s="2">
        <f t="shared" si="18"/>
        <v>6.2499999999999778E-3</v>
      </c>
      <c r="E515" s="2">
        <f t="shared" si="17"/>
        <v>6.9444444444446626E-4</v>
      </c>
      <c r="F515" s="1" t="s">
        <v>3</v>
      </c>
    </row>
    <row r="516" spans="1:6" x14ac:dyDescent="0.25">
      <c r="A516" s="4"/>
      <c r="B516" s="2">
        <v>2.8472222222222222E-2</v>
      </c>
      <c r="C516" s="2">
        <v>3.5416666666666666E-2</v>
      </c>
      <c r="D516" s="2">
        <f t="shared" si="18"/>
        <v>6.9444444444444441E-3</v>
      </c>
      <c r="E516" s="2">
        <f t="shared" si="17"/>
        <v>5.555555555555567E-3</v>
      </c>
      <c r="F516" s="1" t="s">
        <v>3</v>
      </c>
    </row>
    <row r="517" spans="1:6" x14ac:dyDescent="0.25">
      <c r="A517" s="4"/>
      <c r="B517" s="2">
        <v>0.13472222222222222</v>
      </c>
      <c r="C517" s="2">
        <v>0.14722222222222223</v>
      </c>
      <c r="D517" s="2">
        <f t="shared" si="18"/>
        <v>1.2500000000000011E-2</v>
      </c>
      <c r="E517" s="2">
        <f t="shared" si="17"/>
        <v>4.8611111111110938E-3</v>
      </c>
      <c r="F517" s="1" t="s">
        <v>3</v>
      </c>
    </row>
    <row r="518" spans="1:6" x14ac:dyDescent="0.25">
      <c r="A518" s="4"/>
      <c r="B518" s="2">
        <v>0.41319444444444442</v>
      </c>
      <c r="C518" s="2">
        <v>0.42083333333333334</v>
      </c>
      <c r="D518" s="2">
        <f t="shared" si="18"/>
        <v>7.6388888888889173E-3</v>
      </c>
      <c r="E518" s="2">
        <f t="shared" si="17"/>
        <v>2.7777777777777679E-3</v>
      </c>
      <c r="F518" s="1" t="s">
        <v>3</v>
      </c>
    </row>
    <row r="519" spans="1:6" x14ac:dyDescent="0.25">
      <c r="A519" s="4"/>
      <c r="B519" s="2">
        <v>0.4284722222222222</v>
      </c>
      <c r="C519" s="2">
        <v>0.43333333333333335</v>
      </c>
      <c r="D519" s="2">
        <f t="shared" si="18"/>
        <v>4.8611111111111494E-3</v>
      </c>
      <c r="E519" s="2">
        <f t="shared" si="17"/>
        <v>2.1527777777777701E-2</v>
      </c>
      <c r="F519" s="1" t="s">
        <v>3</v>
      </c>
    </row>
    <row r="520" spans="1:6" x14ac:dyDescent="0.25">
      <c r="A520" s="4"/>
      <c r="B520" s="2">
        <v>0.48194444444444445</v>
      </c>
      <c r="C520" s="2">
        <v>0.5083333333333333</v>
      </c>
      <c r="D520" s="2">
        <f t="shared" si="18"/>
        <v>2.6388888888888851E-2</v>
      </c>
      <c r="E520" s="2">
        <f t="shared" si="17"/>
        <v>1.6666666666666552E-2</v>
      </c>
      <c r="F520" s="1" t="s">
        <v>3</v>
      </c>
    </row>
    <row r="521" spans="1:6" x14ac:dyDescent="0.25">
      <c r="A521" s="4"/>
      <c r="B521" s="2">
        <v>0.56388888888888888</v>
      </c>
      <c r="C521" s="2">
        <v>0.57361111111111118</v>
      </c>
      <c r="D521" s="2">
        <f t="shared" si="18"/>
        <v>9.7222222222222987E-3</v>
      </c>
      <c r="E521" s="2">
        <f t="shared" si="17"/>
        <v>2.7777777777778789E-3</v>
      </c>
      <c r="F521" s="1" t="s">
        <v>3</v>
      </c>
    </row>
    <row r="522" spans="1:6" x14ac:dyDescent="0.25">
      <c r="A522" s="4"/>
      <c r="B522" s="2">
        <v>0.57500000000000007</v>
      </c>
      <c r="C522" s="2">
        <v>0.58194444444444449</v>
      </c>
      <c r="D522" s="2">
        <f t="shared" si="18"/>
        <v>6.9444444444444198E-3</v>
      </c>
      <c r="E522" s="2">
        <f t="shared" si="17"/>
        <v>2.0833333333332149E-3</v>
      </c>
      <c r="F522" s="1" t="s">
        <v>3</v>
      </c>
    </row>
    <row r="523" spans="1:6" x14ac:dyDescent="0.25">
      <c r="A523" s="4"/>
      <c r="B523" s="2">
        <v>0.72083333333333333</v>
      </c>
      <c r="C523" s="2">
        <v>0.72569444444444453</v>
      </c>
      <c r="D523" s="2">
        <f t="shared" si="18"/>
        <v>4.8611111111112049E-3</v>
      </c>
      <c r="E523" s="2">
        <f t="shared" si="17"/>
        <v>2.7777777777776569E-3</v>
      </c>
      <c r="F523" s="1" t="s">
        <v>3</v>
      </c>
    </row>
    <row r="524" spans="1:6" x14ac:dyDescent="0.25">
      <c r="A524" s="4"/>
      <c r="B524" s="2">
        <v>0.81527777777777777</v>
      </c>
      <c r="C524" s="2">
        <v>0.82291666666666663</v>
      </c>
      <c r="D524" s="2">
        <f t="shared" si="18"/>
        <v>7.6388888888888618E-3</v>
      </c>
      <c r="E524" s="2">
        <f t="shared" si="17"/>
        <v>1.388888888888884E-3</v>
      </c>
      <c r="F524" s="1" t="s">
        <v>3</v>
      </c>
    </row>
    <row r="525" spans="1:6" x14ac:dyDescent="0.25">
      <c r="A525" s="4"/>
      <c r="B525" s="2">
        <v>0.98055555555555562</v>
      </c>
      <c r="C525" s="2">
        <v>0.9868055555555556</v>
      </c>
      <c r="D525" s="2">
        <f t="shared" si="18"/>
        <v>6.2499999999999778E-3</v>
      </c>
      <c r="E525" s="2">
        <f t="shared" si="17"/>
        <v>2.777777777777754E-3</v>
      </c>
      <c r="F525" s="1" t="s">
        <v>3</v>
      </c>
    </row>
    <row r="526" spans="1:6" x14ac:dyDescent="0.25">
      <c r="A526" s="4"/>
      <c r="B526" s="2">
        <v>2.4999999999999998E-2</v>
      </c>
      <c r="C526" s="2">
        <v>2.8472222222222222E-2</v>
      </c>
      <c r="D526" s="2">
        <f t="shared" si="18"/>
        <v>3.4722222222222238E-3</v>
      </c>
      <c r="E526" s="2">
        <f t="shared" si="17"/>
        <v>2.7777777777777818E-3</v>
      </c>
      <c r="F526" s="1" t="s">
        <v>3</v>
      </c>
    </row>
    <row r="527" spans="1:6" x14ac:dyDescent="0.25">
      <c r="A527" s="4"/>
      <c r="B527" s="2">
        <v>3.4027777777777775E-2</v>
      </c>
      <c r="C527" s="2">
        <v>4.027777777777778E-2</v>
      </c>
      <c r="D527" s="2">
        <f t="shared" si="18"/>
        <v>6.2500000000000056E-3</v>
      </c>
      <c r="E527" s="2">
        <f t="shared" si="17"/>
        <v>1.5972222222222249E-2</v>
      </c>
      <c r="F527" s="1" t="s">
        <v>3</v>
      </c>
    </row>
    <row r="528" spans="1:6" x14ac:dyDescent="0.25">
      <c r="A528" s="4"/>
      <c r="B528" s="2">
        <v>0.36180555555555555</v>
      </c>
      <c r="C528" s="2">
        <v>0.3840277777777778</v>
      </c>
      <c r="D528" s="2">
        <f t="shared" si="18"/>
        <v>2.2222222222222254E-2</v>
      </c>
      <c r="E528" s="2">
        <f t="shared" si="17"/>
        <v>1.1111111111111183E-2</v>
      </c>
      <c r="F528" s="1" t="s">
        <v>3</v>
      </c>
    </row>
    <row r="529" spans="1:6" x14ac:dyDescent="0.25">
      <c r="A529" s="4"/>
      <c r="B529" s="2">
        <v>0.35625000000000001</v>
      </c>
      <c r="C529" s="2">
        <v>0.36736111111111108</v>
      </c>
      <c r="D529" s="2">
        <f t="shared" si="18"/>
        <v>1.1111111111111072E-2</v>
      </c>
      <c r="E529" s="2">
        <f t="shared" si="17"/>
        <v>3.4722222222220989E-3</v>
      </c>
      <c r="F529" s="1" t="s">
        <v>3</v>
      </c>
    </row>
    <row r="530" spans="1:6" x14ac:dyDescent="0.25">
      <c r="A530" s="4"/>
      <c r="B530" s="2">
        <v>0.56736111111111109</v>
      </c>
      <c r="C530" s="2">
        <v>0.57500000000000007</v>
      </c>
      <c r="D530" s="2">
        <f t="shared" si="18"/>
        <v>7.6388888888889728E-3</v>
      </c>
      <c r="E530" s="2">
        <f t="shared" si="17"/>
        <v>2.7777777777778789E-3</v>
      </c>
      <c r="F530" s="1" t="s">
        <v>3</v>
      </c>
    </row>
    <row r="531" spans="1:6" x14ac:dyDescent="0.25">
      <c r="A531" s="4"/>
      <c r="B531" s="2">
        <v>0.62986111111111109</v>
      </c>
      <c r="C531" s="2">
        <v>0.63472222222222219</v>
      </c>
      <c r="D531" s="2">
        <f t="shared" si="18"/>
        <v>4.8611111111110938E-3</v>
      </c>
      <c r="E531" s="2">
        <f t="shared" si="17"/>
        <v>1.388888888888884E-2</v>
      </c>
      <c r="F531" s="1" t="s">
        <v>3</v>
      </c>
    </row>
    <row r="532" spans="1:6" x14ac:dyDescent="0.25">
      <c r="A532" s="4"/>
      <c r="B532" s="2">
        <v>0.6743055555555556</v>
      </c>
      <c r="C532" s="2">
        <v>0.69305555555555554</v>
      </c>
      <c r="D532" s="2">
        <f t="shared" si="18"/>
        <v>1.8749999999999933E-2</v>
      </c>
      <c r="E532" s="2">
        <f t="shared" si="17"/>
        <v>5.5555555555554248E-3</v>
      </c>
      <c r="F532" s="1" t="s">
        <v>3</v>
      </c>
    </row>
    <row r="533" spans="1:6" x14ac:dyDescent="0.25">
      <c r="A533" s="4"/>
      <c r="B533" s="2">
        <v>0.46666666666666662</v>
      </c>
      <c r="C533" s="2">
        <v>0.47986111111111113</v>
      </c>
      <c r="D533" s="2">
        <f t="shared" si="18"/>
        <v>1.3194444444444509E-2</v>
      </c>
      <c r="E533" s="2">
        <f t="shared" si="17"/>
        <v>9.7222222222223542E-3</v>
      </c>
      <c r="F533" s="1" t="s">
        <v>3</v>
      </c>
    </row>
    <row r="534" spans="1:6" x14ac:dyDescent="0.25">
      <c r="A534" s="4"/>
      <c r="B534" s="2">
        <v>0.47500000000000003</v>
      </c>
      <c r="C534" s="2">
        <v>0.47847222222222219</v>
      </c>
      <c r="D534" s="2">
        <f t="shared" si="18"/>
        <v>3.4722222222221544E-3</v>
      </c>
      <c r="E534" s="2">
        <f t="shared" si="17"/>
        <v>6.9444444444449749E-4</v>
      </c>
      <c r="F534" s="1" t="s">
        <v>3</v>
      </c>
    </row>
    <row r="535" spans="1:6" x14ac:dyDescent="0.25">
      <c r="A535" s="4"/>
      <c r="B535" s="2">
        <v>0.59305555555555556</v>
      </c>
      <c r="C535" s="2">
        <v>0.59722222222222221</v>
      </c>
      <c r="D535" s="2">
        <f t="shared" si="18"/>
        <v>4.1666666666666519E-3</v>
      </c>
      <c r="E535" s="2">
        <f t="shared" si="17"/>
        <v>9.7222222222222987E-3</v>
      </c>
      <c r="F535" s="1" t="s">
        <v>3</v>
      </c>
    </row>
    <row r="536" spans="1:6" x14ac:dyDescent="0.25">
      <c r="A536" s="4"/>
      <c r="B536" s="2">
        <v>0.64097222222222217</v>
      </c>
      <c r="C536" s="2">
        <v>0.65486111111111112</v>
      </c>
      <c r="D536" s="2">
        <f t="shared" si="18"/>
        <v>1.3888888888888951E-2</v>
      </c>
      <c r="E536" s="2">
        <f t="shared" si="17"/>
        <v>1.388888888888884E-3</v>
      </c>
      <c r="F536" s="1" t="s">
        <v>3</v>
      </c>
    </row>
    <row r="537" spans="1:6" x14ac:dyDescent="0.25">
      <c r="A537" s="4"/>
      <c r="B537" s="2">
        <v>0.76111111111111107</v>
      </c>
      <c r="C537" s="2">
        <v>0.77361111111111114</v>
      </c>
      <c r="D537" s="2">
        <f t="shared" si="18"/>
        <v>1.2500000000000067E-2</v>
      </c>
      <c r="E537" s="2">
        <f t="shared" si="17"/>
        <v>1.388888888888995E-3</v>
      </c>
      <c r="F537" s="1" t="s">
        <v>3</v>
      </c>
    </row>
    <row r="538" spans="1:6" x14ac:dyDescent="0.25">
      <c r="A538" s="4"/>
      <c r="B538" s="2">
        <v>0.80902777777777779</v>
      </c>
      <c r="C538" s="2">
        <v>0.82013888888888886</v>
      </c>
      <c r="D538" s="2">
        <f t="shared" si="18"/>
        <v>1.1111111111111072E-2</v>
      </c>
      <c r="E538" s="2">
        <f t="shared" si="17"/>
        <v>2.0833333333332149E-3</v>
      </c>
      <c r="F538" s="1" t="s">
        <v>3</v>
      </c>
    </row>
    <row r="539" spans="1:6" x14ac:dyDescent="0.25">
      <c r="A539" s="4"/>
      <c r="B539" s="2">
        <v>0.87847222222222221</v>
      </c>
      <c r="C539" s="2">
        <v>0.88750000000000007</v>
      </c>
      <c r="D539" s="2">
        <f t="shared" si="18"/>
        <v>9.0277777777778567E-3</v>
      </c>
      <c r="E539" s="2">
        <f t="shared" si="17"/>
        <v>4.8611111111110938E-3</v>
      </c>
      <c r="F539" s="1" t="s">
        <v>3</v>
      </c>
    </row>
    <row r="540" spans="1:6" x14ac:dyDescent="0.25">
      <c r="A540" s="4"/>
      <c r="B540" s="2">
        <v>0.90208333333333324</v>
      </c>
      <c r="C540" s="2">
        <v>0.90625</v>
      </c>
      <c r="D540" s="2">
        <f t="shared" si="18"/>
        <v>4.1666666666667629E-3</v>
      </c>
      <c r="E540" s="2">
        <f t="shared" ref="E540:E603" si="19">ABS(D541-D540)</f>
        <v>6.9444444444433095E-4</v>
      </c>
      <c r="F540" s="1" t="s">
        <v>3</v>
      </c>
    </row>
    <row r="541" spans="1:6" x14ac:dyDescent="0.25">
      <c r="A541" s="4"/>
      <c r="B541" s="2">
        <v>0.98125000000000007</v>
      </c>
      <c r="C541" s="2">
        <v>0.98611111111111116</v>
      </c>
      <c r="D541" s="2">
        <f t="shared" si="18"/>
        <v>4.8611111111110938E-3</v>
      </c>
      <c r="E541" s="2">
        <f t="shared" si="19"/>
        <v>6.94444444444553E-4</v>
      </c>
      <c r="F541" s="1" t="s">
        <v>3</v>
      </c>
    </row>
    <row r="542" spans="1:6" x14ac:dyDescent="0.25">
      <c r="A542" s="4"/>
      <c r="B542" s="2">
        <v>0.6333333333333333</v>
      </c>
      <c r="C542" s="2">
        <v>0.63888888888888895</v>
      </c>
      <c r="D542" s="2">
        <f t="shared" si="18"/>
        <v>5.5555555555556468E-3</v>
      </c>
      <c r="E542" s="2">
        <f t="shared" si="19"/>
        <v>5.5555555555554248E-3</v>
      </c>
      <c r="F542" s="1" t="s">
        <v>3</v>
      </c>
    </row>
    <row r="543" spans="1:6" x14ac:dyDescent="0.25">
      <c r="A543" s="4"/>
      <c r="B543" s="2">
        <v>0.72430555555555554</v>
      </c>
      <c r="C543" s="2">
        <v>0.73541666666666661</v>
      </c>
      <c r="D543" s="2">
        <f t="shared" si="18"/>
        <v>1.1111111111111072E-2</v>
      </c>
      <c r="E543" s="2">
        <f t="shared" si="19"/>
        <v>8.3333333333333037E-3</v>
      </c>
      <c r="F543" s="1" t="s">
        <v>3</v>
      </c>
    </row>
    <row r="544" spans="1:6" x14ac:dyDescent="0.25">
      <c r="A544" s="4"/>
      <c r="B544" s="2">
        <v>0.89513888888888893</v>
      </c>
      <c r="C544" s="2">
        <v>0.8979166666666667</v>
      </c>
      <c r="D544" s="2">
        <f t="shared" si="18"/>
        <v>2.7777777777777679E-3</v>
      </c>
      <c r="E544" s="2">
        <f t="shared" si="19"/>
        <v>5.5555555555555358E-3</v>
      </c>
      <c r="F544" s="1" t="s">
        <v>3</v>
      </c>
    </row>
    <row r="545" spans="1:6" x14ac:dyDescent="0.25">
      <c r="A545" s="4"/>
      <c r="B545" s="2">
        <v>0.81736111111111109</v>
      </c>
      <c r="C545" s="2">
        <v>0.8256944444444444</v>
      </c>
      <c r="D545" s="2">
        <f t="shared" si="18"/>
        <v>8.3333333333333037E-3</v>
      </c>
      <c r="E545" s="2">
        <f t="shared" si="19"/>
        <v>6.94444444444553E-4</v>
      </c>
      <c r="F545" s="1" t="s">
        <v>3</v>
      </c>
    </row>
    <row r="546" spans="1:6" x14ac:dyDescent="0.25">
      <c r="A546" s="4"/>
      <c r="B546" s="2">
        <v>0.88680555555555562</v>
      </c>
      <c r="C546" s="2">
        <v>0.89444444444444438</v>
      </c>
      <c r="D546" s="2">
        <f t="shared" si="18"/>
        <v>7.6388888888887507E-3</v>
      </c>
      <c r="E546" s="2">
        <f t="shared" si="19"/>
        <v>1.3888888888887729E-3</v>
      </c>
      <c r="F546" s="1" t="s">
        <v>3</v>
      </c>
    </row>
    <row r="547" spans="1:6" x14ac:dyDescent="0.25">
      <c r="A547" s="4"/>
      <c r="B547" s="2">
        <v>0.8881944444444444</v>
      </c>
      <c r="C547" s="2">
        <v>0.89444444444444438</v>
      </c>
      <c r="D547" s="2">
        <f t="shared" si="18"/>
        <v>6.2499999999999778E-3</v>
      </c>
      <c r="E547" s="2">
        <f t="shared" si="19"/>
        <v>3.4722222222222376E-3</v>
      </c>
      <c r="F547" s="1" t="s">
        <v>3</v>
      </c>
    </row>
    <row r="548" spans="1:6" x14ac:dyDescent="0.25">
      <c r="A548" s="4"/>
      <c r="B548" s="2">
        <v>0.12708333333333333</v>
      </c>
      <c r="C548" s="2">
        <v>0.13680555555555554</v>
      </c>
      <c r="D548" s="2">
        <f t="shared" si="18"/>
        <v>9.7222222222222154E-3</v>
      </c>
      <c r="E548" s="2">
        <f t="shared" si="19"/>
        <v>6.24999999999995E-3</v>
      </c>
      <c r="F548" s="1" t="s">
        <v>3</v>
      </c>
    </row>
    <row r="549" spans="1:6" x14ac:dyDescent="0.25">
      <c r="A549" s="4"/>
      <c r="B549" s="2">
        <v>0.35555555555555557</v>
      </c>
      <c r="C549" s="2">
        <v>0.37152777777777773</v>
      </c>
      <c r="D549" s="2">
        <f t="shared" si="18"/>
        <v>1.5972222222222165E-2</v>
      </c>
      <c r="E549" s="2">
        <f t="shared" si="19"/>
        <v>5.5555555555555358E-3</v>
      </c>
      <c r="F549" s="1" t="s">
        <v>3</v>
      </c>
    </row>
    <row r="550" spans="1:6" x14ac:dyDescent="0.25">
      <c r="A550" s="4"/>
      <c r="B550" s="2">
        <v>0.42083333333333334</v>
      </c>
      <c r="C550" s="2">
        <v>0.43124999999999997</v>
      </c>
      <c r="D550" s="2">
        <f t="shared" si="18"/>
        <v>1.041666666666663E-2</v>
      </c>
      <c r="E550" s="2">
        <f t="shared" si="19"/>
        <v>3.4722222222220989E-3</v>
      </c>
      <c r="F550" s="1" t="s">
        <v>3</v>
      </c>
    </row>
    <row r="551" spans="1:6" x14ac:dyDescent="0.25">
      <c r="A551" s="4"/>
      <c r="B551" s="2">
        <v>0.53541666666666665</v>
      </c>
      <c r="C551" s="2">
        <v>0.54236111111111118</v>
      </c>
      <c r="D551" s="2">
        <f t="shared" si="18"/>
        <v>6.9444444444445308E-3</v>
      </c>
      <c r="E551" s="2">
        <f t="shared" si="19"/>
        <v>4.1666666666665408E-3</v>
      </c>
      <c r="F551" s="1" t="s">
        <v>3</v>
      </c>
    </row>
    <row r="552" spans="1:6" x14ac:dyDescent="0.25">
      <c r="A552" s="4"/>
      <c r="B552" s="2">
        <v>0.61736111111111114</v>
      </c>
      <c r="C552" s="2">
        <v>0.62847222222222221</v>
      </c>
      <c r="D552" s="2">
        <f t="shared" si="18"/>
        <v>1.1111111111111072E-2</v>
      </c>
      <c r="E552" s="2">
        <f t="shared" si="19"/>
        <v>2.7777777777777679E-3</v>
      </c>
      <c r="F552" s="1" t="s">
        <v>3</v>
      </c>
    </row>
    <row r="553" spans="1:6" x14ac:dyDescent="0.25">
      <c r="A553" s="4"/>
      <c r="B553" s="2">
        <v>0.61736111111111114</v>
      </c>
      <c r="C553" s="2">
        <v>0.62569444444444444</v>
      </c>
      <c r="D553" s="2">
        <f t="shared" si="18"/>
        <v>8.3333333333333037E-3</v>
      </c>
      <c r="E553" s="2">
        <f t="shared" si="19"/>
        <v>3.4722222222222099E-3</v>
      </c>
      <c r="F553" s="1" t="s">
        <v>3</v>
      </c>
    </row>
    <row r="554" spans="1:6" x14ac:dyDescent="0.25">
      <c r="A554" s="4"/>
      <c r="B554" s="2">
        <v>0.71319444444444446</v>
      </c>
      <c r="C554" s="2">
        <v>0.71805555555555556</v>
      </c>
      <c r="D554" s="2">
        <f t="shared" si="18"/>
        <v>4.8611111111110938E-3</v>
      </c>
      <c r="E554" s="2">
        <f t="shared" si="19"/>
        <v>5.6944444444444575E-2</v>
      </c>
      <c r="F554" s="1" t="s">
        <v>3</v>
      </c>
    </row>
    <row r="555" spans="1:6" x14ac:dyDescent="0.25">
      <c r="A555" s="4"/>
      <c r="B555" s="2">
        <v>0.8027777777777777</v>
      </c>
      <c r="C555" s="2">
        <v>0.86458333333333337</v>
      </c>
      <c r="D555" s="2">
        <f t="shared" si="18"/>
        <v>6.1805555555555669E-2</v>
      </c>
      <c r="E555" s="2">
        <f t="shared" si="19"/>
        <v>5.5555555555555691E-2</v>
      </c>
      <c r="F555" s="1" t="s">
        <v>3</v>
      </c>
    </row>
    <row r="556" spans="1:6" x14ac:dyDescent="0.25">
      <c r="A556" s="4"/>
      <c r="B556" s="2">
        <v>0.83263888888888893</v>
      </c>
      <c r="C556" s="2">
        <v>0.83888888888888891</v>
      </c>
      <c r="D556" s="2">
        <f t="shared" si="18"/>
        <v>6.2499999999999778E-3</v>
      </c>
      <c r="E556" s="2">
        <f t="shared" si="19"/>
        <v>2.5694444444444464E-2</v>
      </c>
      <c r="F556" s="1" t="s">
        <v>3</v>
      </c>
    </row>
    <row r="557" spans="1:6" x14ac:dyDescent="0.25">
      <c r="A557" s="4"/>
      <c r="B557" s="2">
        <v>0.8354166666666667</v>
      </c>
      <c r="C557" s="2">
        <v>0.86736111111111114</v>
      </c>
      <c r="D557" s="2">
        <f t="shared" si="18"/>
        <v>3.1944444444444442E-2</v>
      </c>
      <c r="E557" s="2">
        <f t="shared" si="19"/>
        <v>2.9166666666666674E-2</v>
      </c>
      <c r="F557" s="1" t="s">
        <v>3</v>
      </c>
    </row>
    <row r="558" spans="1:6" x14ac:dyDescent="0.25">
      <c r="A558" s="4"/>
      <c r="B558" s="2">
        <v>0.94236111111111109</v>
      </c>
      <c r="C558" s="2">
        <v>0.94513888888888886</v>
      </c>
      <c r="D558" s="2">
        <f t="shared" si="18"/>
        <v>2.7777777777777679E-3</v>
      </c>
      <c r="E558" s="2">
        <f t="shared" si="19"/>
        <v>1.5972222222222242E-2</v>
      </c>
      <c r="F558" s="1" t="s">
        <v>3</v>
      </c>
    </row>
    <row r="559" spans="1:6" x14ac:dyDescent="0.25">
      <c r="A559" s="4"/>
      <c r="B559" s="2">
        <v>4.2361111111111106E-2</v>
      </c>
      <c r="C559" s="2">
        <v>6.1111111111111116E-2</v>
      </c>
      <c r="D559" s="2">
        <f t="shared" si="18"/>
        <v>1.875000000000001E-2</v>
      </c>
      <c r="E559" s="2">
        <f t="shared" si="19"/>
        <v>1.3888888888889325E-3</v>
      </c>
      <c r="F559" s="1" t="s">
        <v>3</v>
      </c>
    </row>
    <row r="560" spans="1:6" x14ac:dyDescent="0.25">
      <c r="A560" s="4"/>
      <c r="B560" s="2">
        <v>0.17430555555555557</v>
      </c>
      <c r="C560" s="2">
        <v>0.19166666666666665</v>
      </c>
      <c r="D560" s="2">
        <f t="shared" si="18"/>
        <v>1.7361111111111077E-2</v>
      </c>
      <c r="E560" s="2">
        <f t="shared" si="19"/>
        <v>5.0694444444444514E-2</v>
      </c>
      <c r="F560" s="1" t="s">
        <v>3</v>
      </c>
    </row>
    <row r="561" spans="1:6" x14ac:dyDescent="0.25">
      <c r="A561" s="4"/>
      <c r="B561" s="2">
        <v>0.42499999999999999</v>
      </c>
      <c r="C561" s="2">
        <v>0.49305555555555558</v>
      </c>
      <c r="D561" s="2">
        <f t="shared" si="18"/>
        <v>6.8055555555555591E-2</v>
      </c>
      <c r="E561" s="2">
        <f t="shared" si="19"/>
        <v>5.2777777777777812E-2</v>
      </c>
      <c r="F561" s="1" t="s">
        <v>3</v>
      </c>
    </row>
    <row r="562" spans="1:6" x14ac:dyDescent="0.25">
      <c r="A562" s="3"/>
      <c r="B562" s="2">
        <v>0.45069444444444445</v>
      </c>
      <c r="C562" s="2">
        <v>0.46597222222222223</v>
      </c>
      <c r="D562" s="2">
        <f t="shared" si="18"/>
        <v>1.5277777777777779E-2</v>
      </c>
      <c r="E562" s="2">
        <f t="shared" si="19"/>
        <v>2.0833333333332704E-3</v>
      </c>
      <c r="F562" s="1" t="s">
        <v>3</v>
      </c>
    </row>
    <row r="563" spans="1:6" x14ac:dyDescent="0.25">
      <c r="A563" s="3"/>
      <c r="B563" s="2">
        <v>0.51458333333333328</v>
      </c>
      <c r="C563" s="2">
        <v>0.52777777777777779</v>
      </c>
      <c r="D563" s="2">
        <f t="shared" si="18"/>
        <v>1.3194444444444509E-2</v>
      </c>
      <c r="E563" s="2">
        <f t="shared" si="19"/>
        <v>8.3333333333333037E-3</v>
      </c>
      <c r="F563" s="1" t="s">
        <v>3</v>
      </c>
    </row>
    <row r="564" spans="1:6" x14ac:dyDescent="0.25">
      <c r="A564" s="4"/>
      <c r="B564" s="2">
        <v>0.57847222222222217</v>
      </c>
      <c r="C564" s="2">
        <v>0.58333333333333337</v>
      </c>
      <c r="D564" s="2">
        <f t="shared" si="18"/>
        <v>4.8611111111112049E-3</v>
      </c>
      <c r="E564" s="2">
        <f t="shared" si="19"/>
        <v>0</v>
      </c>
      <c r="F564" s="1" t="s">
        <v>3</v>
      </c>
    </row>
    <row r="565" spans="1:6" x14ac:dyDescent="0.25">
      <c r="A565" s="4"/>
      <c r="B565" s="2">
        <v>0.68402777777777779</v>
      </c>
      <c r="C565" s="2">
        <v>0.68888888888888899</v>
      </c>
      <c r="D565" s="2">
        <f t="shared" si="18"/>
        <v>4.8611111111112049E-3</v>
      </c>
      <c r="E565" s="2">
        <f t="shared" si="19"/>
        <v>7.6388888888888618E-3</v>
      </c>
      <c r="F565" s="1" t="s">
        <v>3</v>
      </c>
    </row>
    <row r="566" spans="1:6" x14ac:dyDescent="0.25">
      <c r="A566" s="4"/>
      <c r="B566" s="2">
        <v>0.76041666666666663</v>
      </c>
      <c r="C566" s="2">
        <v>0.7729166666666667</v>
      </c>
      <c r="D566" s="2">
        <f t="shared" si="18"/>
        <v>1.2500000000000067E-2</v>
      </c>
      <c r="E566" s="2">
        <f t="shared" si="19"/>
        <v>8.3333333333333037E-3</v>
      </c>
      <c r="F566" s="1" t="s">
        <v>3</v>
      </c>
    </row>
    <row r="567" spans="1:6" x14ac:dyDescent="0.25">
      <c r="A567" s="4"/>
      <c r="B567" s="2">
        <v>0.80972222222222223</v>
      </c>
      <c r="C567" s="2">
        <v>0.81388888888888899</v>
      </c>
      <c r="D567" s="2">
        <f t="shared" si="18"/>
        <v>4.1666666666667629E-3</v>
      </c>
      <c r="E567" s="2">
        <f t="shared" si="19"/>
        <v>4.1666666666665408E-3</v>
      </c>
      <c r="F567" s="1" t="s">
        <v>3</v>
      </c>
    </row>
    <row r="568" spans="1:6" x14ac:dyDescent="0.25">
      <c r="A568" s="4"/>
      <c r="B568" s="2">
        <v>0.84652777777777777</v>
      </c>
      <c r="C568" s="2">
        <v>0.85486111111111107</v>
      </c>
      <c r="D568" s="2">
        <f t="shared" si="18"/>
        <v>8.3333333333333037E-3</v>
      </c>
      <c r="E568" s="2">
        <f t="shared" si="19"/>
        <v>2.7777777777777679E-3</v>
      </c>
      <c r="F568" s="1" t="s">
        <v>3</v>
      </c>
    </row>
    <row r="569" spans="1:6" x14ac:dyDescent="0.25">
      <c r="A569" s="4"/>
      <c r="B569" s="2">
        <v>0.88194444444444453</v>
      </c>
      <c r="C569" s="2">
        <v>0.88750000000000007</v>
      </c>
      <c r="D569" s="2">
        <f t="shared" si="18"/>
        <v>5.5555555555555358E-3</v>
      </c>
      <c r="E569" s="2">
        <f t="shared" si="19"/>
        <v>5.5555555555555358E-3</v>
      </c>
      <c r="F569" s="1" t="s">
        <v>3</v>
      </c>
    </row>
    <row r="570" spans="1:6" x14ac:dyDescent="0.25">
      <c r="A570" s="4"/>
      <c r="B570" s="2">
        <v>0.90416666666666667</v>
      </c>
      <c r="C570" s="2">
        <v>0.91527777777777775</v>
      </c>
      <c r="D570" s="2">
        <f t="shared" si="18"/>
        <v>1.1111111111111072E-2</v>
      </c>
      <c r="E570" s="2">
        <f t="shared" si="19"/>
        <v>5.5555555555555185E-3</v>
      </c>
      <c r="F570" s="1" t="s">
        <v>3</v>
      </c>
    </row>
    <row r="571" spans="1:6" x14ac:dyDescent="0.25">
      <c r="A571" s="4"/>
      <c r="B571" s="2">
        <v>2.5694444444444447E-2</v>
      </c>
      <c r="C571" s="2">
        <v>3.125E-2</v>
      </c>
      <c r="D571" s="2">
        <f t="shared" ref="D571:D634" si="20">C571-B571</f>
        <v>5.5555555555555532E-3</v>
      </c>
      <c r="E571" s="2">
        <f t="shared" si="19"/>
        <v>1.3888888888889776E-3</v>
      </c>
      <c r="F571" s="1" t="s">
        <v>3</v>
      </c>
    </row>
    <row r="572" spans="1:6" x14ac:dyDescent="0.25">
      <c r="A572" s="4"/>
      <c r="B572" s="2">
        <v>0.37013888888888885</v>
      </c>
      <c r="C572" s="2">
        <v>0.37708333333333338</v>
      </c>
      <c r="D572" s="2">
        <f t="shared" si="20"/>
        <v>6.9444444444445308E-3</v>
      </c>
      <c r="E572" s="2">
        <f t="shared" si="19"/>
        <v>1.3888888888887729E-3</v>
      </c>
      <c r="F572" s="1" t="s">
        <v>3</v>
      </c>
    </row>
    <row r="573" spans="1:6" x14ac:dyDescent="0.25">
      <c r="A573" s="4"/>
      <c r="B573" s="2">
        <v>0.62569444444444444</v>
      </c>
      <c r="C573" s="2">
        <v>0.63402777777777775</v>
      </c>
      <c r="D573" s="2">
        <f t="shared" si="20"/>
        <v>8.3333333333333037E-3</v>
      </c>
      <c r="E573" s="2">
        <f t="shared" si="19"/>
        <v>6.94444444444553E-4</v>
      </c>
      <c r="F573" s="1" t="s">
        <v>3</v>
      </c>
    </row>
    <row r="574" spans="1:6" x14ac:dyDescent="0.25">
      <c r="A574" s="4"/>
      <c r="B574" s="2">
        <v>0.68888888888888899</v>
      </c>
      <c r="C574" s="2">
        <v>0.69652777777777775</v>
      </c>
      <c r="D574" s="2">
        <f t="shared" si="20"/>
        <v>7.6388888888887507E-3</v>
      </c>
      <c r="E574" s="2">
        <f t="shared" si="19"/>
        <v>2.77777777777799E-3</v>
      </c>
      <c r="F574" s="1" t="s">
        <v>3</v>
      </c>
    </row>
    <row r="575" spans="1:6" x14ac:dyDescent="0.25">
      <c r="A575" s="4"/>
      <c r="B575" s="2">
        <v>0.71458333333333324</v>
      </c>
      <c r="C575" s="2">
        <v>0.72499999999999998</v>
      </c>
      <c r="D575" s="2">
        <f t="shared" si="20"/>
        <v>1.0416666666666741E-2</v>
      </c>
      <c r="E575" s="2">
        <f t="shared" si="19"/>
        <v>3.4722222222222099E-3</v>
      </c>
      <c r="F575" s="1" t="s">
        <v>3</v>
      </c>
    </row>
    <row r="576" spans="1:6" x14ac:dyDescent="0.25">
      <c r="A576" s="4"/>
      <c r="B576" s="2">
        <v>0.7715277777777777</v>
      </c>
      <c r="C576" s="2">
        <v>0.77847222222222223</v>
      </c>
      <c r="D576" s="2">
        <f t="shared" si="20"/>
        <v>6.9444444444445308E-3</v>
      </c>
      <c r="E576" s="2">
        <f t="shared" si="19"/>
        <v>1.3888888888887729E-3</v>
      </c>
      <c r="F576" s="1" t="s">
        <v>3</v>
      </c>
    </row>
    <row r="577" spans="1:6" x14ac:dyDescent="0.25">
      <c r="A577" s="4"/>
      <c r="B577" s="2">
        <v>0.4694444444444445</v>
      </c>
      <c r="C577" s="2">
        <v>0.4777777777777778</v>
      </c>
      <c r="D577" s="2">
        <f t="shared" si="20"/>
        <v>8.3333333333333037E-3</v>
      </c>
      <c r="E577" s="2">
        <f t="shared" si="19"/>
        <v>3.4722222222222376E-3</v>
      </c>
      <c r="F577" s="1" t="s">
        <v>3</v>
      </c>
    </row>
    <row r="578" spans="1:6" x14ac:dyDescent="0.25">
      <c r="A578" s="4"/>
      <c r="B578" s="2">
        <v>0.12361111111111112</v>
      </c>
      <c r="C578" s="2">
        <v>0.13541666666666666</v>
      </c>
      <c r="D578" s="2">
        <f t="shared" si="20"/>
        <v>1.1805555555555541E-2</v>
      </c>
      <c r="E578" s="2">
        <f t="shared" si="19"/>
        <v>1.3888888888888562E-3</v>
      </c>
      <c r="F578" s="1" t="s">
        <v>3</v>
      </c>
    </row>
    <row r="579" spans="1:6" x14ac:dyDescent="0.25">
      <c r="A579" s="4"/>
      <c r="B579" s="2">
        <v>0.19999999999999998</v>
      </c>
      <c r="C579" s="2">
        <v>0.21041666666666667</v>
      </c>
      <c r="D579" s="2">
        <f t="shared" si="20"/>
        <v>1.0416666666666685E-2</v>
      </c>
      <c r="E579" s="2">
        <f t="shared" si="19"/>
        <v>9.0277777777777735E-3</v>
      </c>
      <c r="F579" s="1" t="s">
        <v>3</v>
      </c>
    </row>
    <row r="580" spans="1:6" x14ac:dyDescent="0.25">
      <c r="A580" s="4"/>
      <c r="B580" s="2">
        <v>0.23194444444444443</v>
      </c>
      <c r="C580" s="2">
        <v>0.25138888888888888</v>
      </c>
      <c r="D580" s="2">
        <f t="shared" si="20"/>
        <v>1.9444444444444459E-2</v>
      </c>
      <c r="E580" s="2">
        <f t="shared" si="19"/>
        <v>1.458333333333342E-2</v>
      </c>
      <c r="F580" s="1" t="s">
        <v>3</v>
      </c>
    </row>
    <row r="581" spans="1:6" x14ac:dyDescent="0.25">
      <c r="A581" s="4"/>
      <c r="B581" s="2">
        <v>0.47222222222222227</v>
      </c>
      <c r="C581" s="2">
        <v>0.4770833333333333</v>
      </c>
      <c r="D581" s="2">
        <f t="shared" si="20"/>
        <v>4.8611111111110383E-3</v>
      </c>
      <c r="E581" s="2">
        <f t="shared" si="19"/>
        <v>2.569444444444452E-2</v>
      </c>
      <c r="F581" s="1" t="s">
        <v>3</v>
      </c>
    </row>
    <row r="582" spans="1:6" x14ac:dyDescent="0.25">
      <c r="A582" s="4"/>
      <c r="B582" s="2">
        <v>0.4916666666666667</v>
      </c>
      <c r="C582" s="2">
        <v>0.52222222222222225</v>
      </c>
      <c r="D582" s="2">
        <f t="shared" si="20"/>
        <v>3.0555555555555558E-2</v>
      </c>
      <c r="E582" s="2">
        <f t="shared" si="19"/>
        <v>1.6666666666666607E-2</v>
      </c>
      <c r="F582" s="1" t="s">
        <v>3</v>
      </c>
    </row>
    <row r="583" spans="1:6" x14ac:dyDescent="0.25">
      <c r="A583" s="4"/>
      <c r="B583" s="2">
        <v>0.54722222222222217</v>
      </c>
      <c r="C583" s="2">
        <v>0.56111111111111112</v>
      </c>
      <c r="D583" s="2">
        <f t="shared" si="20"/>
        <v>1.3888888888888951E-2</v>
      </c>
      <c r="E583" s="2">
        <f t="shared" si="19"/>
        <v>1.1111111111111183E-2</v>
      </c>
      <c r="F583" s="1" t="s">
        <v>3</v>
      </c>
    </row>
    <row r="584" spans="1:6" x14ac:dyDescent="0.25">
      <c r="A584" s="4"/>
      <c r="B584" s="2">
        <v>0.65972222222222221</v>
      </c>
      <c r="C584" s="2">
        <v>0.66249999999999998</v>
      </c>
      <c r="D584" s="2">
        <f t="shared" si="20"/>
        <v>2.7777777777777679E-3</v>
      </c>
      <c r="E584" s="2">
        <f t="shared" si="19"/>
        <v>1.388888888888995E-3</v>
      </c>
      <c r="F584" s="1" t="s">
        <v>3</v>
      </c>
    </row>
    <row r="585" spans="1:6" x14ac:dyDescent="0.25">
      <c r="A585" s="4"/>
      <c r="B585" s="2">
        <v>0.84097222222222223</v>
      </c>
      <c r="C585" s="2">
        <v>0.84236111111111101</v>
      </c>
      <c r="D585" s="2">
        <f t="shared" si="20"/>
        <v>1.3888888888887729E-3</v>
      </c>
      <c r="E585" s="2">
        <f t="shared" si="19"/>
        <v>6.9444444444445308E-3</v>
      </c>
      <c r="F585" s="1" t="s">
        <v>3</v>
      </c>
    </row>
    <row r="586" spans="1:6" x14ac:dyDescent="0.25">
      <c r="A586" s="4"/>
      <c r="B586" s="2">
        <v>0.25694444444444448</v>
      </c>
      <c r="C586" s="2">
        <v>0.26527777777777778</v>
      </c>
      <c r="D586" s="2">
        <f t="shared" si="20"/>
        <v>8.3333333333333037E-3</v>
      </c>
      <c r="E586" s="2">
        <f t="shared" si="19"/>
        <v>4.8611111111110938E-3</v>
      </c>
      <c r="F586" s="1" t="s">
        <v>3</v>
      </c>
    </row>
    <row r="587" spans="1:6" x14ac:dyDescent="0.25">
      <c r="A587" s="4"/>
      <c r="B587" s="2">
        <v>0.24166666666666667</v>
      </c>
      <c r="C587" s="2">
        <v>0.24513888888888888</v>
      </c>
      <c r="D587" s="2">
        <f t="shared" si="20"/>
        <v>3.4722222222222099E-3</v>
      </c>
      <c r="E587" s="2">
        <f t="shared" si="19"/>
        <v>1.3888888888889395E-3</v>
      </c>
      <c r="F587" s="1" t="s">
        <v>3</v>
      </c>
    </row>
    <row r="588" spans="1:6" x14ac:dyDescent="0.25">
      <c r="A588" s="4"/>
      <c r="B588" s="2">
        <v>0.4055555555555555</v>
      </c>
      <c r="C588" s="2">
        <v>0.41041666666666665</v>
      </c>
      <c r="D588" s="2">
        <f t="shared" si="20"/>
        <v>4.8611111111111494E-3</v>
      </c>
      <c r="E588" s="2">
        <f t="shared" si="19"/>
        <v>2.7777777777777124E-3</v>
      </c>
      <c r="F588" s="1" t="s">
        <v>3</v>
      </c>
    </row>
    <row r="589" spans="1:6" x14ac:dyDescent="0.25">
      <c r="A589" s="4"/>
      <c r="B589" s="2">
        <v>0.41736111111111113</v>
      </c>
      <c r="C589" s="2">
        <v>0.42499999999999999</v>
      </c>
      <c r="D589" s="2">
        <f t="shared" si="20"/>
        <v>7.6388888888888618E-3</v>
      </c>
      <c r="E589" s="2">
        <f t="shared" si="19"/>
        <v>4.1666666666665408E-3</v>
      </c>
      <c r="F589" s="1" t="s">
        <v>3</v>
      </c>
    </row>
    <row r="590" spans="1:6" x14ac:dyDescent="0.25">
      <c r="A590" s="4"/>
      <c r="B590" s="2">
        <v>0.68055555555555547</v>
      </c>
      <c r="C590" s="2">
        <v>0.68402777777777779</v>
      </c>
      <c r="D590" s="2">
        <f t="shared" si="20"/>
        <v>3.4722222222223209E-3</v>
      </c>
      <c r="E590" s="2">
        <f t="shared" si="19"/>
        <v>4.8611111111110938E-3</v>
      </c>
      <c r="F590" s="1" t="s">
        <v>3</v>
      </c>
    </row>
    <row r="591" spans="1:6" x14ac:dyDescent="0.25">
      <c r="A591" s="3"/>
      <c r="B591" s="2">
        <v>0.70138888888888884</v>
      </c>
      <c r="C591" s="2">
        <v>0.70972222222222225</v>
      </c>
      <c r="D591" s="2">
        <f t="shared" si="20"/>
        <v>8.3333333333334147E-3</v>
      </c>
      <c r="E591" s="2">
        <f t="shared" si="19"/>
        <v>4.1666666666665408E-3</v>
      </c>
      <c r="F591" s="1" t="s">
        <v>3</v>
      </c>
    </row>
    <row r="592" spans="1:6" x14ac:dyDescent="0.25">
      <c r="A592" s="4"/>
      <c r="B592" s="2">
        <v>0.71527777777777779</v>
      </c>
      <c r="C592" s="2">
        <v>0.72777777777777775</v>
      </c>
      <c r="D592" s="2">
        <f t="shared" si="20"/>
        <v>1.2499999999999956E-2</v>
      </c>
      <c r="E592" s="2">
        <f t="shared" si="19"/>
        <v>4.8611111111109828E-3</v>
      </c>
      <c r="F592" s="1" t="s">
        <v>3</v>
      </c>
    </row>
    <row r="593" spans="1:6" x14ac:dyDescent="0.25">
      <c r="A593" s="4"/>
      <c r="B593" s="2">
        <v>0.88263888888888886</v>
      </c>
      <c r="C593" s="2">
        <v>0.89027777777777783</v>
      </c>
      <c r="D593" s="2">
        <f t="shared" si="20"/>
        <v>7.6388888888889728E-3</v>
      </c>
      <c r="E593" s="2">
        <f t="shared" si="19"/>
        <v>5.5555555555554803E-3</v>
      </c>
      <c r="F593" s="1" t="s">
        <v>3</v>
      </c>
    </row>
    <row r="594" spans="1:6" x14ac:dyDescent="0.25">
      <c r="A594" s="3"/>
      <c r="B594" s="2">
        <v>0.27916666666666667</v>
      </c>
      <c r="C594" s="2">
        <v>0.29236111111111113</v>
      </c>
      <c r="D594" s="2">
        <f t="shared" si="20"/>
        <v>1.3194444444444453E-2</v>
      </c>
      <c r="E594" s="2">
        <f t="shared" si="19"/>
        <v>5.5555555555555913E-3</v>
      </c>
      <c r="F594" s="1" t="s">
        <v>3</v>
      </c>
    </row>
    <row r="595" spans="1:6" x14ac:dyDescent="0.25">
      <c r="A595" s="3"/>
      <c r="B595" s="2">
        <v>0.17222222222222225</v>
      </c>
      <c r="C595" s="2">
        <v>0.17986111111111111</v>
      </c>
      <c r="D595" s="2">
        <f t="shared" si="20"/>
        <v>7.6388888888888618E-3</v>
      </c>
      <c r="E595" s="2">
        <f t="shared" si="19"/>
        <v>4.8611111111110938E-3</v>
      </c>
      <c r="F595" s="1" t="s">
        <v>3</v>
      </c>
    </row>
    <row r="596" spans="1:6" x14ac:dyDescent="0.25">
      <c r="A596" s="4"/>
      <c r="B596" s="2">
        <v>0.34097222222222223</v>
      </c>
      <c r="C596" s="2">
        <v>0.35347222222222219</v>
      </c>
      <c r="D596" s="2">
        <f t="shared" si="20"/>
        <v>1.2499999999999956E-2</v>
      </c>
      <c r="E596" s="2">
        <f t="shared" si="19"/>
        <v>1.3888888888888284E-3</v>
      </c>
      <c r="F596" s="1" t="s">
        <v>3</v>
      </c>
    </row>
    <row r="597" spans="1:6" x14ac:dyDescent="0.25">
      <c r="A597" s="4"/>
      <c r="B597" s="2">
        <v>0.41666666666666669</v>
      </c>
      <c r="C597" s="2">
        <v>0.42777777777777781</v>
      </c>
      <c r="D597" s="2">
        <f t="shared" si="20"/>
        <v>1.1111111111111127E-2</v>
      </c>
      <c r="E597" s="2">
        <f t="shared" si="19"/>
        <v>4.8611111111111494E-3</v>
      </c>
      <c r="F597" s="1" t="s">
        <v>3</v>
      </c>
    </row>
    <row r="598" spans="1:6" x14ac:dyDescent="0.25">
      <c r="A598" s="4"/>
      <c r="B598" s="2">
        <v>0.53263888888888888</v>
      </c>
      <c r="C598" s="2">
        <v>0.53888888888888886</v>
      </c>
      <c r="D598" s="2">
        <f t="shared" si="20"/>
        <v>6.2499999999999778E-3</v>
      </c>
      <c r="E598" s="2">
        <f t="shared" si="19"/>
        <v>1.1102230246251565E-16</v>
      </c>
      <c r="F598" s="1" t="s">
        <v>3</v>
      </c>
    </row>
    <row r="599" spans="1:6" x14ac:dyDescent="0.25">
      <c r="A599" s="4"/>
      <c r="B599" s="2">
        <v>0.69305555555555554</v>
      </c>
      <c r="C599" s="2">
        <v>0.69930555555555562</v>
      </c>
      <c r="D599" s="2">
        <f t="shared" si="20"/>
        <v>6.2500000000000888E-3</v>
      </c>
      <c r="E599" s="2">
        <f t="shared" si="19"/>
        <v>2.7777777777777679E-3</v>
      </c>
      <c r="F599" s="1" t="s">
        <v>3</v>
      </c>
    </row>
    <row r="600" spans="1:6" x14ac:dyDescent="0.25">
      <c r="A600" s="4"/>
      <c r="B600" s="2">
        <v>0.71458333333333324</v>
      </c>
      <c r="C600" s="2">
        <v>0.71805555555555556</v>
      </c>
      <c r="D600" s="2">
        <f t="shared" si="20"/>
        <v>3.4722222222223209E-3</v>
      </c>
      <c r="E600" s="2">
        <f t="shared" si="19"/>
        <v>6.9444444444444198E-4</v>
      </c>
      <c r="F600" s="1" t="s">
        <v>3</v>
      </c>
    </row>
    <row r="601" spans="1:6" x14ac:dyDescent="0.25">
      <c r="A601" s="4"/>
      <c r="B601" s="2">
        <v>0.73472222222222217</v>
      </c>
      <c r="C601" s="2">
        <v>0.73888888888888893</v>
      </c>
      <c r="D601" s="2">
        <f t="shared" si="20"/>
        <v>4.1666666666667629E-3</v>
      </c>
      <c r="E601" s="2">
        <f t="shared" si="19"/>
        <v>2.7777777777777679E-3</v>
      </c>
      <c r="F601" s="1" t="s">
        <v>3</v>
      </c>
    </row>
    <row r="602" spans="1:6" x14ac:dyDescent="0.25">
      <c r="A602" s="4"/>
      <c r="B602" s="2">
        <v>0.84236111111111101</v>
      </c>
      <c r="C602" s="2">
        <v>0.84930555555555554</v>
      </c>
      <c r="D602" s="2">
        <f t="shared" si="20"/>
        <v>6.9444444444445308E-3</v>
      </c>
      <c r="E602" s="2">
        <f t="shared" si="19"/>
        <v>8.3266726846886741E-17</v>
      </c>
      <c r="F602" s="1" t="s">
        <v>3</v>
      </c>
    </row>
    <row r="603" spans="1:6" x14ac:dyDescent="0.25">
      <c r="A603" s="4"/>
      <c r="B603" s="2">
        <v>0.15555555555555556</v>
      </c>
      <c r="C603" s="2">
        <v>0.16250000000000001</v>
      </c>
      <c r="D603" s="2">
        <f t="shared" si="20"/>
        <v>6.9444444444444475E-3</v>
      </c>
      <c r="E603" s="2">
        <f t="shared" si="19"/>
        <v>2.0833333333333537E-3</v>
      </c>
      <c r="F603" s="1" t="s">
        <v>3</v>
      </c>
    </row>
    <row r="604" spans="1:6" x14ac:dyDescent="0.25">
      <c r="A604" s="4"/>
      <c r="B604" s="2">
        <v>0.28194444444444444</v>
      </c>
      <c r="C604" s="2">
        <v>0.28680555555555554</v>
      </c>
      <c r="D604" s="2">
        <f t="shared" si="20"/>
        <v>4.8611111111110938E-3</v>
      </c>
      <c r="E604" s="2">
        <f t="shared" ref="E604:E667" si="21">ABS(D605-D604)</f>
        <v>9.7222222222222987E-3</v>
      </c>
      <c r="F604" s="1" t="s">
        <v>3</v>
      </c>
    </row>
    <row r="605" spans="1:6" x14ac:dyDescent="0.25">
      <c r="A605" s="4"/>
      <c r="B605" s="2">
        <v>0.47847222222222219</v>
      </c>
      <c r="C605" s="2">
        <v>0.49305555555555558</v>
      </c>
      <c r="D605" s="2">
        <f t="shared" si="20"/>
        <v>1.4583333333333393E-2</v>
      </c>
      <c r="E605" s="2">
        <f t="shared" si="21"/>
        <v>1.388888888888995E-3</v>
      </c>
      <c r="F605" s="1" t="s">
        <v>3</v>
      </c>
    </row>
    <row r="606" spans="1:6" x14ac:dyDescent="0.25">
      <c r="A606" s="4"/>
      <c r="B606" s="2">
        <v>0.47083333333333338</v>
      </c>
      <c r="C606" s="2">
        <v>0.48402777777777778</v>
      </c>
      <c r="D606" s="2">
        <f t="shared" si="20"/>
        <v>1.3194444444444398E-2</v>
      </c>
      <c r="E606" s="2">
        <f t="shared" si="21"/>
        <v>6.2499999999999778E-3</v>
      </c>
      <c r="F606" s="1" t="s">
        <v>3</v>
      </c>
    </row>
    <row r="607" spans="1:6" x14ac:dyDescent="0.25">
      <c r="A607" s="4"/>
      <c r="B607" s="2">
        <v>0.52222222222222225</v>
      </c>
      <c r="C607" s="2">
        <v>0.52916666666666667</v>
      </c>
      <c r="D607" s="2">
        <f t="shared" si="20"/>
        <v>6.9444444444444198E-3</v>
      </c>
      <c r="E607" s="2">
        <f t="shared" si="21"/>
        <v>1.388888888888884E-3</v>
      </c>
      <c r="F607" s="1" t="s">
        <v>3</v>
      </c>
    </row>
    <row r="608" spans="1:6" x14ac:dyDescent="0.25">
      <c r="A608" s="4"/>
      <c r="B608" s="2">
        <v>0.57708333333333328</v>
      </c>
      <c r="C608" s="2">
        <v>0.58263888888888882</v>
      </c>
      <c r="D608" s="2">
        <f t="shared" si="20"/>
        <v>5.5555555555555358E-3</v>
      </c>
      <c r="E608" s="2">
        <f t="shared" si="21"/>
        <v>1.388888888888884E-3</v>
      </c>
      <c r="F608" s="1" t="s">
        <v>3</v>
      </c>
    </row>
    <row r="609" spans="1:6" x14ac:dyDescent="0.25">
      <c r="A609" s="4"/>
      <c r="B609" s="2">
        <v>0.61458333333333337</v>
      </c>
      <c r="C609" s="2">
        <v>0.62152777777777779</v>
      </c>
      <c r="D609" s="2">
        <f t="shared" si="20"/>
        <v>6.9444444444444198E-3</v>
      </c>
      <c r="E609" s="2">
        <f t="shared" si="21"/>
        <v>1.388888888888884E-3</v>
      </c>
      <c r="F609" s="1" t="s">
        <v>3</v>
      </c>
    </row>
    <row r="610" spans="1:6" x14ac:dyDescent="0.25">
      <c r="A610" s="4"/>
      <c r="B610" s="2">
        <v>0.68402777777777779</v>
      </c>
      <c r="C610" s="2">
        <v>0.69236111111111109</v>
      </c>
      <c r="D610" s="2">
        <f t="shared" si="20"/>
        <v>8.3333333333333037E-3</v>
      </c>
      <c r="E610" s="2">
        <f t="shared" si="21"/>
        <v>1.1805555555555625E-2</v>
      </c>
      <c r="F610" s="1" t="s">
        <v>3</v>
      </c>
    </row>
    <row r="611" spans="1:6" x14ac:dyDescent="0.25">
      <c r="A611" s="4"/>
      <c r="B611" s="2">
        <v>0.85416666666666663</v>
      </c>
      <c r="C611" s="2">
        <v>0.87430555555555556</v>
      </c>
      <c r="D611" s="2">
        <f t="shared" si="20"/>
        <v>2.0138888888888928E-2</v>
      </c>
      <c r="E611" s="2">
        <f t="shared" si="21"/>
        <v>1.6666666666666607E-2</v>
      </c>
      <c r="F611" s="1" t="s">
        <v>3</v>
      </c>
    </row>
    <row r="612" spans="1:6" x14ac:dyDescent="0.25">
      <c r="A612" s="4"/>
      <c r="B612" s="2">
        <v>0.87569444444444444</v>
      </c>
      <c r="C612" s="2">
        <v>0.87916666666666676</v>
      </c>
      <c r="D612" s="2">
        <f t="shared" si="20"/>
        <v>3.4722222222223209E-3</v>
      </c>
      <c r="E612" s="2">
        <f t="shared" si="21"/>
        <v>2.7777777777777679E-3</v>
      </c>
      <c r="F612" s="1" t="s">
        <v>3</v>
      </c>
    </row>
    <row r="613" spans="1:6" x14ac:dyDescent="0.25">
      <c r="A613" s="4"/>
      <c r="B613" s="2">
        <v>0.9145833333333333</v>
      </c>
      <c r="C613" s="2">
        <v>0.92083333333333339</v>
      </c>
      <c r="D613" s="2">
        <f t="shared" si="20"/>
        <v>6.2500000000000888E-3</v>
      </c>
      <c r="E613" s="2">
        <f t="shared" si="21"/>
        <v>2.0833333333333259E-3</v>
      </c>
      <c r="F613" s="1" t="s">
        <v>3</v>
      </c>
    </row>
    <row r="614" spans="1:6" x14ac:dyDescent="0.25">
      <c r="A614" s="4"/>
      <c r="B614" s="2">
        <v>0.72430555555555554</v>
      </c>
      <c r="C614" s="2">
        <v>0.7284722222222223</v>
      </c>
      <c r="D614" s="2">
        <f t="shared" si="20"/>
        <v>4.1666666666667629E-3</v>
      </c>
      <c r="E614" s="2">
        <f t="shared" si="21"/>
        <v>7.6388888888888618E-3</v>
      </c>
      <c r="F614" s="1" t="s">
        <v>3</v>
      </c>
    </row>
    <row r="615" spans="1:6" x14ac:dyDescent="0.25">
      <c r="A615" s="4"/>
      <c r="B615" s="2">
        <v>0.87847222222222221</v>
      </c>
      <c r="C615" s="2">
        <v>0.89027777777777783</v>
      </c>
      <c r="D615" s="2">
        <f t="shared" si="20"/>
        <v>1.1805555555555625E-2</v>
      </c>
      <c r="E615" s="2">
        <f t="shared" si="21"/>
        <v>6.9444444444446418E-3</v>
      </c>
      <c r="F615" s="1" t="s">
        <v>3</v>
      </c>
    </row>
    <row r="616" spans="1:6" x14ac:dyDescent="0.25">
      <c r="A616" s="4"/>
      <c r="B616" s="2">
        <v>0.97013888888888899</v>
      </c>
      <c r="C616" s="2">
        <v>0.97499999999999998</v>
      </c>
      <c r="D616" s="2">
        <f t="shared" si="20"/>
        <v>4.8611111111109828E-3</v>
      </c>
      <c r="E616" s="2">
        <f t="shared" si="21"/>
        <v>6.2500000000001443E-3</v>
      </c>
      <c r="F616" s="1" t="s">
        <v>3</v>
      </c>
    </row>
    <row r="617" spans="1:6" x14ac:dyDescent="0.25">
      <c r="A617" s="4"/>
      <c r="B617" s="2">
        <v>0.30138888888888887</v>
      </c>
      <c r="C617" s="2">
        <v>0.3125</v>
      </c>
      <c r="D617" s="2">
        <f t="shared" si="20"/>
        <v>1.1111111111111127E-2</v>
      </c>
      <c r="E617" s="2">
        <f t="shared" si="21"/>
        <v>6.2500000000000333E-3</v>
      </c>
      <c r="F617" s="1" t="s">
        <v>3</v>
      </c>
    </row>
    <row r="618" spans="1:6" x14ac:dyDescent="0.25">
      <c r="A618" s="4"/>
      <c r="B618" s="2">
        <v>0.42499999999999999</v>
      </c>
      <c r="C618" s="2">
        <v>0.42986111111111108</v>
      </c>
      <c r="D618" s="2">
        <f t="shared" si="20"/>
        <v>4.8611111111110938E-3</v>
      </c>
      <c r="E618" s="2">
        <f t="shared" si="21"/>
        <v>5.5555555555555913E-3</v>
      </c>
      <c r="F618" s="1" t="s">
        <v>3</v>
      </c>
    </row>
    <row r="619" spans="1:6" x14ac:dyDescent="0.25">
      <c r="A619" s="4"/>
      <c r="B619" s="2">
        <v>0.47569444444444442</v>
      </c>
      <c r="C619" s="2">
        <v>0.4861111111111111</v>
      </c>
      <c r="D619" s="2">
        <f t="shared" si="20"/>
        <v>1.0416666666666685E-2</v>
      </c>
      <c r="E619" s="2">
        <f t="shared" si="21"/>
        <v>1.8055555555555547E-2</v>
      </c>
      <c r="F619" s="1" t="s">
        <v>3</v>
      </c>
    </row>
    <row r="620" spans="1:6" x14ac:dyDescent="0.25">
      <c r="A620" s="4"/>
      <c r="B620" s="2">
        <v>0.50486111111111109</v>
      </c>
      <c r="C620" s="2">
        <v>0.53333333333333333</v>
      </c>
      <c r="D620" s="2">
        <f t="shared" si="20"/>
        <v>2.8472222222222232E-2</v>
      </c>
      <c r="E620" s="2">
        <f t="shared" si="21"/>
        <v>2.1527777777777812E-2</v>
      </c>
      <c r="F620" s="1" t="s">
        <v>3</v>
      </c>
    </row>
    <row r="621" spans="1:6" x14ac:dyDescent="0.25">
      <c r="A621" s="4"/>
      <c r="B621" s="2">
        <v>0.56319444444444444</v>
      </c>
      <c r="C621" s="2">
        <v>0.57013888888888886</v>
      </c>
      <c r="D621" s="2">
        <f t="shared" si="20"/>
        <v>6.9444444444444198E-3</v>
      </c>
      <c r="E621" s="2">
        <f t="shared" si="21"/>
        <v>2.0833333333333259E-3</v>
      </c>
      <c r="F621" s="1" t="s">
        <v>3</v>
      </c>
    </row>
    <row r="622" spans="1:6" x14ac:dyDescent="0.25">
      <c r="A622" s="4"/>
      <c r="B622" s="2">
        <v>0.56597222222222221</v>
      </c>
      <c r="C622" s="2">
        <v>0.5708333333333333</v>
      </c>
      <c r="D622" s="2">
        <f t="shared" si="20"/>
        <v>4.8611111111110938E-3</v>
      </c>
      <c r="E622" s="2">
        <f t="shared" si="21"/>
        <v>6.2499999999999778E-3</v>
      </c>
      <c r="F622" s="1" t="s">
        <v>3</v>
      </c>
    </row>
    <row r="623" spans="1:6" x14ac:dyDescent="0.25">
      <c r="A623" s="4"/>
      <c r="B623" s="2">
        <v>0.83124999999999993</v>
      </c>
      <c r="C623" s="2">
        <v>0.84236111111111101</v>
      </c>
      <c r="D623" s="2">
        <f t="shared" si="20"/>
        <v>1.1111111111111072E-2</v>
      </c>
      <c r="E623" s="2">
        <f t="shared" si="21"/>
        <v>5.5555555555555358E-3</v>
      </c>
      <c r="F623" s="1" t="s">
        <v>3</v>
      </c>
    </row>
    <row r="624" spans="1:6" x14ac:dyDescent="0.25">
      <c r="A624" s="4"/>
      <c r="B624" s="2">
        <v>0.84444444444444444</v>
      </c>
      <c r="C624" s="2">
        <v>0.85</v>
      </c>
      <c r="D624" s="2">
        <f t="shared" si="20"/>
        <v>5.5555555555555358E-3</v>
      </c>
      <c r="E624" s="2">
        <f t="shared" si="21"/>
        <v>0</v>
      </c>
      <c r="F624" s="1" t="s">
        <v>3</v>
      </c>
    </row>
    <row r="625" spans="1:6" x14ac:dyDescent="0.25">
      <c r="A625" s="4"/>
      <c r="B625" s="2">
        <v>0.30763888888888891</v>
      </c>
      <c r="C625" s="2">
        <v>0.31319444444444444</v>
      </c>
      <c r="D625" s="2">
        <f t="shared" si="20"/>
        <v>5.5555555555555358E-3</v>
      </c>
      <c r="E625" s="2">
        <f t="shared" si="21"/>
        <v>9.0277777777777457E-3</v>
      </c>
      <c r="F625" s="1" t="s">
        <v>3</v>
      </c>
    </row>
    <row r="626" spans="1:6" x14ac:dyDescent="0.25">
      <c r="A626" s="4"/>
      <c r="B626" s="2">
        <v>0.42222222222222222</v>
      </c>
      <c r="C626" s="2">
        <v>0.4368055555555555</v>
      </c>
      <c r="D626" s="2">
        <f t="shared" si="20"/>
        <v>1.4583333333333282E-2</v>
      </c>
      <c r="E626" s="2">
        <f t="shared" si="21"/>
        <v>1.041666666666663E-2</v>
      </c>
      <c r="F626" s="1" t="s">
        <v>3</v>
      </c>
    </row>
    <row r="627" spans="1:6" x14ac:dyDescent="0.25">
      <c r="A627" s="4"/>
      <c r="B627" s="2">
        <v>0.62569444444444444</v>
      </c>
      <c r="C627" s="2">
        <v>0.62986111111111109</v>
      </c>
      <c r="D627" s="2">
        <f t="shared" si="20"/>
        <v>4.1666666666666519E-3</v>
      </c>
      <c r="E627" s="2">
        <f t="shared" si="21"/>
        <v>2.0833333333332149E-3</v>
      </c>
      <c r="F627" s="1" t="s">
        <v>3</v>
      </c>
    </row>
    <row r="628" spans="1:6" x14ac:dyDescent="0.25">
      <c r="A628" s="4"/>
      <c r="B628" s="2">
        <v>0.82500000000000007</v>
      </c>
      <c r="C628" s="2">
        <v>0.83124999999999993</v>
      </c>
      <c r="D628" s="2">
        <f t="shared" si="20"/>
        <v>6.2499999999998668E-3</v>
      </c>
      <c r="E628" s="2">
        <f t="shared" si="21"/>
        <v>2.0833333333332149E-3</v>
      </c>
      <c r="F628" s="1" t="s">
        <v>3</v>
      </c>
    </row>
    <row r="629" spans="1:6" x14ac:dyDescent="0.25">
      <c r="A629" s="4"/>
      <c r="B629" s="2">
        <v>0.83888888888888891</v>
      </c>
      <c r="C629" s="2">
        <v>0.84305555555555556</v>
      </c>
      <c r="D629" s="2">
        <f t="shared" si="20"/>
        <v>4.1666666666666519E-3</v>
      </c>
      <c r="E629" s="2">
        <f t="shared" si="21"/>
        <v>1.1102230246251565E-16</v>
      </c>
      <c r="F629" s="1" t="s">
        <v>3</v>
      </c>
    </row>
    <row r="630" spans="1:6" x14ac:dyDescent="0.25">
      <c r="A630" s="4"/>
      <c r="B630" s="2">
        <v>0.93611111111111101</v>
      </c>
      <c r="C630" s="2">
        <v>0.94027777777777777</v>
      </c>
      <c r="D630" s="2">
        <f t="shared" si="20"/>
        <v>4.1666666666667629E-3</v>
      </c>
      <c r="E630" s="2">
        <f t="shared" si="21"/>
        <v>1.1102230246251565E-16</v>
      </c>
      <c r="F630" s="1" t="s">
        <v>3</v>
      </c>
    </row>
    <row r="631" spans="1:6" x14ac:dyDescent="0.25">
      <c r="A631" s="4"/>
      <c r="B631" s="2">
        <v>0.23402777777777781</v>
      </c>
      <c r="C631" s="2">
        <v>0.23819444444444446</v>
      </c>
      <c r="D631" s="2">
        <f t="shared" si="20"/>
        <v>4.1666666666666519E-3</v>
      </c>
      <c r="E631" s="2">
        <f t="shared" si="21"/>
        <v>6.9444444444449749E-4</v>
      </c>
      <c r="F631" s="1" t="s">
        <v>3</v>
      </c>
    </row>
    <row r="632" spans="1:6" x14ac:dyDescent="0.25">
      <c r="A632" s="4"/>
      <c r="B632" s="2">
        <v>0.4284722222222222</v>
      </c>
      <c r="C632" s="2">
        <v>0.43333333333333335</v>
      </c>
      <c r="D632" s="2">
        <f t="shared" si="20"/>
        <v>4.8611111111111494E-3</v>
      </c>
      <c r="E632" s="2">
        <f t="shared" si="21"/>
        <v>6.9444444444438647E-4</v>
      </c>
      <c r="F632" s="1" t="s">
        <v>3</v>
      </c>
    </row>
    <row r="633" spans="1:6" x14ac:dyDescent="0.25">
      <c r="A633" s="4"/>
      <c r="B633" s="2">
        <v>0.55208333333333337</v>
      </c>
      <c r="C633" s="2">
        <v>0.55763888888888891</v>
      </c>
      <c r="D633" s="2">
        <f t="shared" si="20"/>
        <v>5.5555555555555358E-3</v>
      </c>
      <c r="E633" s="2">
        <f t="shared" si="21"/>
        <v>6.9444444444445308E-3</v>
      </c>
      <c r="F633" s="1" t="s">
        <v>3</v>
      </c>
    </row>
    <row r="634" spans="1:6" x14ac:dyDescent="0.25">
      <c r="A634" s="4"/>
      <c r="B634" s="2">
        <v>0.76388888888888884</v>
      </c>
      <c r="C634" s="2">
        <v>0.77638888888888891</v>
      </c>
      <c r="D634" s="2">
        <f t="shared" si="20"/>
        <v>1.2500000000000067E-2</v>
      </c>
      <c r="E634" s="2">
        <f t="shared" si="21"/>
        <v>4.8611111111109828E-3</v>
      </c>
      <c r="F634" s="1" t="s">
        <v>3</v>
      </c>
    </row>
    <row r="635" spans="1:6" x14ac:dyDescent="0.25">
      <c r="A635" s="4"/>
      <c r="B635" s="2">
        <v>0.78333333333333333</v>
      </c>
      <c r="C635" s="2">
        <v>0.80069444444444438</v>
      </c>
      <c r="D635" s="2">
        <f t="shared" ref="D635:D687" si="22">C635-B635</f>
        <v>1.7361111111111049E-2</v>
      </c>
      <c r="E635" s="2">
        <f t="shared" si="21"/>
        <v>1.3888888888888819E-2</v>
      </c>
      <c r="F635" s="1" t="s">
        <v>3</v>
      </c>
    </row>
    <row r="636" spans="1:6" x14ac:dyDescent="0.25">
      <c r="A636" s="4"/>
      <c r="B636" s="2">
        <v>4.7222222222222221E-2</v>
      </c>
      <c r="C636" s="2">
        <v>5.0694444444444452E-2</v>
      </c>
      <c r="D636" s="2">
        <f t="shared" si="22"/>
        <v>3.4722222222222307E-3</v>
      </c>
      <c r="E636" s="2">
        <f t="shared" si="21"/>
        <v>7.6388888888888409E-3</v>
      </c>
      <c r="F636" s="1" t="s">
        <v>3</v>
      </c>
    </row>
    <row r="637" spans="1:6" x14ac:dyDescent="0.25">
      <c r="A637" s="4"/>
      <c r="B637" s="2">
        <v>0.35625000000000001</v>
      </c>
      <c r="C637" s="2">
        <v>0.36736111111111108</v>
      </c>
      <c r="D637" s="2">
        <f t="shared" si="22"/>
        <v>1.1111111111111072E-2</v>
      </c>
      <c r="E637" s="2">
        <f t="shared" si="21"/>
        <v>7.6388888888889728E-3</v>
      </c>
      <c r="F637" s="1" t="s">
        <v>3</v>
      </c>
    </row>
    <row r="638" spans="1:6" x14ac:dyDescent="0.25">
      <c r="A638" s="4"/>
      <c r="B638" s="2">
        <v>0.44444444444444442</v>
      </c>
      <c r="C638" s="2">
        <v>0.46319444444444446</v>
      </c>
      <c r="D638" s="2">
        <f t="shared" si="22"/>
        <v>1.8750000000000044E-2</v>
      </c>
      <c r="E638" s="2">
        <f t="shared" si="21"/>
        <v>2.083333333333437E-3</v>
      </c>
      <c r="F638" s="1" t="s">
        <v>3</v>
      </c>
    </row>
    <row r="639" spans="1:6" x14ac:dyDescent="0.25">
      <c r="A639" s="4"/>
      <c r="B639" s="2">
        <v>0.49027777777777781</v>
      </c>
      <c r="C639" s="2">
        <v>0.50694444444444442</v>
      </c>
      <c r="D639" s="2">
        <f t="shared" si="22"/>
        <v>1.6666666666666607E-2</v>
      </c>
      <c r="E639" s="2">
        <f t="shared" si="21"/>
        <v>7.6388888888889728E-3</v>
      </c>
      <c r="F639" s="1" t="s">
        <v>3</v>
      </c>
    </row>
    <row r="640" spans="1:6" x14ac:dyDescent="0.25">
      <c r="A640" s="4"/>
      <c r="B640" s="2">
        <v>0.54236111111111118</v>
      </c>
      <c r="C640" s="2">
        <v>0.55138888888888882</v>
      </c>
      <c r="D640" s="2">
        <f t="shared" si="22"/>
        <v>9.0277777777776347E-3</v>
      </c>
      <c r="E640" s="2">
        <f t="shared" si="21"/>
        <v>4.1666666666665408E-3</v>
      </c>
      <c r="F640" s="1" t="s">
        <v>3</v>
      </c>
    </row>
    <row r="641" spans="1:6" x14ac:dyDescent="0.25">
      <c r="A641" s="4"/>
      <c r="B641" s="2">
        <v>0.59513888888888888</v>
      </c>
      <c r="C641" s="2">
        <v>0.6</v>
      </c>
      <c r="D641" s="2">
        <f t="shared" si="22"/>
        <v>4.8611111111110938E-3</v>
      </c>
      <c r="E641" s="2">
        <f t="shared" si="21"/>
        <v>2.0833333333333259E-3</v>
      </c>
      <c r="F641" s="1" t="s">
        <v>3</v>
      </c>
    </row>
    <row r="642" spans="1:6" x14ac:dyDescent="0.25">
      <c r="A642" s="4"/>
      <c r="B642" s="2">
        <v>0.6166666666666667</v>
      </c>
      <c r="C642" s="2">
        <v>0.62361111111111112</v>
      </c>
      <c r="D642" s="2">
        <f t="shared" si="22"/>
        <v>6.9444444444444198E-3</v>
      </c>
      <c r="E642" s="2">
        <f t="shared" si="21"/>
        <v>3.4722222222222099E-3</v>
      </c>
      <c r="F642" s="1" t="s">
        <v>3</v>
      </c>
    </row>
    <row r="643" spans="1:6" x14ac:dyDescent="0.25">
      <c r="A643" s="4"/>
      <c r="B643" s="2">
        <v>0.61736111111111114</v>
      </c>
      <c r="C643" s="2">
        <v>0.62777777777777777</v>
      </c>
      <c r="D643" s="2">
        <f t="shared" si="22"/>
        <v>1.041666666666663E-2</v>
      </c>
      <c r="E643" s="2">
        <f t="shared" si="21"/>
        <v>6.9444444444444198E-4</v>
      </c>
      <c r="F643" s="1" t="s">
        <v>3</v>
      </c>
    </row>
    <row r="644" spans="1:6" x14ac:dyDescent="0.25">
      <c r="A644" s="4"/>
      <c r="B644" s="2">
        <v>0.70277777777777783</v>
      </c>
      <c r="C644" s="2">
        <v>0.71250000000000002</v>
      </c>
      <c r="D644" s="2">
        <f t="shared" si="22"/>
        <v>9.7222222222221877E-3</v>
      </c>
      <c r="E644" s="2">
        <f t="shared" si="21"/>
        <v>3.4722222222220989E-3</v>
      </c>
      <c r="F644" s="1" t="s">
        <v>3</v>
      </c>
    </row>
    <row r="645" spans="1:6" x14ac:dyDescent="0.25">
      <c r="A645" s="4"/>
      <c r="B645" s="2">
        <v>0.88888888888888884</v>
      </c>
      <c r="C645" s="2">
        <v>0.89513888888888893</v>
      </c>
      <c r="D645" s="2">
        <f t="shared" si="22"/>
        <v>6.2500000000000888E-3</v>
      </c>
      <c r="E645" s="2">
        <f t="shared" si="21"/>
        <v>1.388888888888995E-3</v>
      </c>
      <c r="F645" s="1" t="s">
        <v>3</v>
      </c>
    </row>
    <row r="646" spans="1:6" x14ac:dyDescent="0.25">
      <c r="A646" s="4"/>
      <c r="B646" s="2">
        <v>0.88055555555555554</v>
      </c>
      <c r="C646" s="2">
        <v>0.88541666666666663</v>
      </c>
      <c r="D646" s="2">
        <f t="shared" si="22"/>
        <v>4.8611111111110938E-3</v>
      </c>
      <c r="E646" s="2">
        <f t="shared" si="21"/>
        <v>6.9444444444444198E-4</v>
      </c>
      <c r="F646" s="1" t="s">
        <v>3</v>
      </c>
    </row>
    <row r="647" spans="1:6" x14ac:dyDescent="0.25">
      <c r="A647" s="4"/>
      <c r="B647" s="2">
        <v>0.96180555555555547</v>
      </c>
      <c r="C647" s="2">
        <v>0.96736111111111101</v>
      </c>
      <c r="D647" s="2">
        <f t="shared" si="22"/>
        <v>5.5555555555555358E-3</v>
      </c>
      <c r="E647" s="2">
        <f t="shared" si="21"/>
        <v>0</v>
      </c>
      <c r="F647" s="1" t="s">
        <v>3</v>
      </c>
    </row>
    <row r="648" spans="1:6" x14ac:dyDescent="0.25">
      <c r="A648" s="4"/>
      <c r="B648" s="2">
        <v>0.73402777777777783</v>
      </c>
      <c r="C648" s="2">
        <v>0.73958333333333337</v>
      </c>
      <c r="D648" s="2">
        <f t="shared" si="22"/>
        <v>5.5555555555555358E-3</v>
      </c>
      <c r="E648" s="2">
        <f t="shared" si="21"/>
        <v>9.0277777777778567E-3</v>
      </c>
      <c r="F648" s="1" t="s">
        <v>3</v>
      </c>
    </row>
    <row r="649" spans="1:6" x14ac:dyDescent="0.25">
      <c r="A649" s="4"/>
      <c r="B649" s="2">
        <v>0.8125</v>
      </c>
      <c r="C649" s="2">
        <v>0.82708333333333339</v>
      </c>
      <c r="D649" s="2">
        <f t="shared" si="22"/>
        <v>1.4583333333333393E-2</v>
      </c>
      <c r="E649" s="2">
        <f t="shared" si="21"/>
        <v>6.94444444444553E-4</v>
      </c>
      <c r="F649" s="1" t="s">
        <v>3</v>
      </c>
    </row>
    <row r="650" spans="1:6" x14ac:dyDescent="0.25">
      <c r="A650" s="4"/>
      <c r="B650" s="2">
        <v>0.78611111111111109</v>
      </c>
      <c r="C650" s="2">
        <v>0.79999999999999993</v>
      </c>
      <c r="D650" s="2">
        <f t="shared" si="22"/>
        <v>1.388888888888884E-2</v>
      </c>
      <c r="E650" s="2">
        <f t="shared" si="21"/>
        <v>5.5555555555555358E-3</v>
      </c>
      <c r="F650" s="1" t="s">
        <v>3</v>
      </c>
    </row>
    <row r="651" spans="1:6" x14ac:dyDescent="0.25">
      <c r="A651" s="4"/>
      <c r="B651" s="2">
        <v>0.92847222222222225</v>
      </c>
      <c r="C651" s="2">
        <v>0.93680555555555556</v>
      </c>
      <c r="D651" s="2">
        <f t="shared" si="22"/>
        <v>8.3333333333333037E-3</v>
      </c>
      <c r="E651" s="2">
        <f t="shared" si="21"/>
        <v>3.4722222222221544E-3</v>
      </c>
      <c r="F651" s="1" t="s">
        <v>3</v>
      </c>
    </row>
    <row r="652" spans="1:6" x14ac:dyDescent="0.25">
      <c r="A652" s="4"/>
      <c r="B652" s="2">
        <v>0.33055555555555555</v>
      </c>
      <c r="C652" s="2">
        <v>0.3354166666666667</v>
      </c>
      <c r="D652" s="2">
        <f t="shared" si="22"/>
        <v>4.8611111111111494E-3</v>
      </c>
      <c r="E652" s="2">
        <f t="shared" si="21"/>
        <v>2.0833333333332704E-3</v>
      </c>
      <c r="F652" s="1" t="s">
        <v>3</v>
      </c>
    </row>
    <row r="653" spans="1:6" x14ac:dyDescent="0.25">
      <c r="A653" s="4"/>
      <c r="B653" s="2">
        <v>0.46180555555555558</v>
      </c>
      <c r="C653" s="2">
        <v>0.46875</v>
      </c>
      <c r="D653" s="2">
        <f t="shared" si="22"/>
        <v>6.9444444444444198E-3</v>
      </c>
      <c r="E653" s="2">
        <f t="shared" si="21"/>
        <v>2.0833333333333259E-3</v>
      </c>
      <c r="F653" s="1" t="s">
        <v>3</v>
      </c>
    </row>
    <row r="654" spans="1:6" x14ac:dyDescent="0.25">
      <c r="A654" s="4"/>
      <c r="B654" s="2">
        <v>0.50277777777777777</v>
      </c>
      <c r="C654" s="2">
        <v>0.50763888888888886</v>
      </c>
      <c r="D654" s="2">
        <f t="shared" si="22"/>
        <v>4.8611111111110938E-3</v>
      </c>
      <c r="E654" s="2">
        <f t="shared" si="21"/>
        <v>1.388888888888884E-3</v>
      </c>
      <c r="F654" s="1" t="s">
        <v>3</v>
      </c>
    </row>
    <row r="655" spans="1:6" x14ac:dyDescent="0.25">
      <c r="A655" s="4"/>
      <c r="B655" s="2">
        <v>0.58194444444444449</v>
      </c>
      <c r="C655" s="2">
        <v>0.58819444444444446</v>
      </c>
      <c r="D655" s="2">
        <f t="shared" si="22"/>
        <v>6.2499999999999778E-3</v>
      </c>
      <c r="E655" s="2">
        <f t="shared" si="21"/>
        <v>5.5555555555556468E-3</v>
      </c>
      <c r="F655" s="1" t="s">
        <v>3</v>
      </c>
    </row>
    <row r="656" spans="1:6" x14ac:dyDescent="0.25">
      <c r="A656" s="4"/>
      <c r="B656" s="2">
        <v>0.60972222222222217</v>
      </c>
      <c r="C656" s="2">
        <v>0.62152777777777779</v>
      </c>
      <c r="D656" s="2">
        <f t="shared" si="22"/>
        <v>1.1805555555555625E-2</v>
      </c>
      <c r="E656" s="2">
        <f t="shared" si="21"/>
        <v>6.2500000000000888E-3</v>
      </c>
      <c r="F656" s="1" t="s">
        <v>3</v>
      </c>
    </row>
    <row r="657" spans="1:6" x14ac:dyDescent="0.25">
      <c r="A657" s="4"/>
      <c r="B657" s="2">
        <v>0.96527777777777779</v>
      </c>
      <c r="C657" s="2">
        <v>0.97083333333333333</v>
      </c>
      <c r="D657" s="2">
        <f t="shared" si="22"/>
        <v>5.5555555555555358E-3</v>
      </c>
      <c r="E657" s="2">
        <f t="shared" si="21"/>
        <v>6.9444444444446973E-4</v>
      </c>
      <c r="F657" s="1" t="s">
        <v>3</v>
      </c>
    </row>
    <row r="658" spans="1:6" x14ac:dyDescent="0.25">
      <c r="A658" s="4"/>
      <c r="B658" s="2">
        <v>0.20833333333333334</v>
      </c>
      <c r="C658" s="2">
        <v>0.21458333333333335</v>
      </c>
      <c r="D658" s="2">
        <f t="shared" si="22"/>
        <v>6.2500000000000056E-3</v>
      </c>
      <c r="E658" s="2">
        <f t="shared" si="21"/>
        <v>1.3888888888889117E-3</v>
      </c>
      <c r="F658" s="1" t="s">
        <v>3</v>
      </c>
    </row>
    <row r="659" spans="1:6" x14ac:dyDescent="0.25">
      <c r="A659" s="4"/>
      <c r="B659" s="2">
        <v>0.27847222222222223</v>
      </c>
      <c r="C659" s="2">
        <v>0.28333333333333333</v>
      </c>
      <c r="D659" s="2">
        <f t="shared" si="22"/>
        <v>4.8611111111110938E-3</v>
      </c>
      <c r="E659" s="2">
        <f t="shared" si="21"/>
        <v>2.7777777777778234E-3</v>
      </c>
      <c r="F659" s="1" t="s">
        <v>3</v>
      </c>
    </row>
    <row r="660" spans="1:6" x14ac:dyDescent="0.25">
      <c r="A660" s="4"/>
      <c r="B660" s="2">
        <v>0.42569444444444443</v>
      </c>
      <c r="C660" s="2">
        <v>0.43333333333333335</v>
      </c>
      <c r="D660" s="2">
        <f t="shared" si="22"/>
        <v>7.6388888888889173E-3</v>
      </c>
      <c r="E660" s="2">
        <f t="shared" si="21"/>
        <v>4.0972222222222243E-2</v>
      </c>
      <c r="F660" s="1" t="s">
        <v>3</v>
      </c>
    </row>
    <row r="661" spans="1:6" x14ac:dyDescent="0.25">
      <c r="A661" s="4"/>
      <c r="B661" s="2">
        <v>0.53611111111111109</v>
      </c>
      <c r="C661" s="2">
        <v>0.58472222222222225</v>
      </c>
      <c r="D661" s="2">
        <f t="shared" si="22"/>
        <v>4.861111111111116E-2</v>
      </c>
      <c r="E661" s="2">
        <f t="shared" si="21"/>
        <v>4.0972222222222299E-2</v>
      </c>
      <c r="F661" s="1" t="s">
        <v>3</v>
      </c>
    </row>
    <row r="662" spans="1:6" x14ac:dyDescent="0.25">
      <c r="A662" s="4"/>
      <c r="B662" s="2">
        <v>0.61458333333333337</v>
      </c>
      <c r="C662" s="2">
        <v>0.62222222222222223</v>
      </c>
      <c r="D662" s="2">
        <f t="shared" si="22"/>
        <v>7.6388888888888618E-3</v>
      </c>
      <c r="E662" s="2">
        <f t="shared" si="21"/>
        <v>2.7777777777777679E-3</v>
      </c>
      <c r="F662" s="1" t="s">
        <v>3</v>
      </c>
    </row>
    <row r="663" spans="1:6" x14ac:dyDescent="0.25">
      <c r="A663" s="4"/>
      <c r="B663" s="2">
        <v>0.79236111111111107</v>
      </c>
      <c r="C663" s="2">
        <v>0.79722222222222217</v>
      </c>
      <c r="D663" s="2">
        <f t="shared" si="22"/>
        <v>4.8611111111110938E-3</v>
      </c>
      <c r="E663" s="2">
        <f t="shared" si="21"/>
        <v>6.9444444444433095E-4</v>
      </c>
      <c r="F663" s="1" t="s">
        <v>3</v>
      </c>
    </row>
    <row r="664" spans="1:6" x14ac:dyDescent="0.25">
      <c r="A664" s="4"/>
      <c r="B664" s="2">
        <v>0.91736111111111107</v>
      </c>
      <c r="C664" s="2">
        <v>0.92152777777777783</v>
      </c>
      <c r="D664" s="2">
        <f t="shared" si="22"/>
        <v>4.1666666666667629E-3</v>
      </c>
      <c r="E664" s="2">
        <f t="shared" si="21"/>
        <v>2.7777777777776569E-3</v>
      </c>
      <c r="F664" s="1" t="s">
        <v>3</v>
      </c>
    </row>
    <row r="665" spans="1:6" x14ac:dyDescent="0.25">
      <c r="A665" s="4"/>
      <c r="B665" s="2">
        <v>0.32361111111111113</v>
      </c>
      <c r="C665" s="2">
        <v>0.33055555555555555</v>
      </c>
      <c r="D665" s="2">
        <f t="shared" si="22"/>
        <v>6.9444444444444198E-3</v>
      </c>
      <c r="E665" s="2">
        <f t="shared" si="21"/>
        <v>1.1805555555555625E-2</v>
      </c>
      <c r="F665" s="1" t="s">
        <v>3</v>
      </c>
    </row>
    <row r="666" spans="1:6" x14ac:dyDescent="0.25">
      <c r="A666" s="4"/>
      <c r="B666" s="2">
        <v>0.53749999999999998</v>
      </c>
      <c r="C666" s="2">
        <v>0.55625000000000002</v>
      </c>
      <c r="D666" s="2">
        <f t="shared" si="22"/>
        <v>1.8750000000000044E-2</v>
      </c>
      <c r="E666" s="2">
        <f t="shared" si="21"/>
        <v>6.9444444444444198E-4</v>
      </c>
      <c r="F666" s="1" t="s">
        <v>3</v>
      </c>
    </row>
    <row r="667" spans="1:6" x14ac:dyDescent="0.25">
      <c r="A667" s="4"/>
      <c r="B667" s="2">
        <v>0.53749999999999998</v>
      </c>
      <c r="C667" s="2">
        <v>0.55694444444444446</v>
      </c>
      <c r="D667" s="2">
        <f t="shared" si="22"/>
        <v>1.9444444444444486E-2</v>
      </c>
      <c r="E667" s="2">
        <f t="shared" si="21"/>
        <v>5.5555555555555358E-3</v>
      </c>
      <c r="F667" s="1" t="s">
        <v>3</v>
      </c>
    </row>
    <row r="668" spans="1:6" x14ac:dyDescent="0.25">
      <c r="A668" s="4"/>
      <c r="B668" s="2">
        <v>0.59375</v>
      </c>
      <c r="C668" s="2">
        <v>0.61875000000000002</v>
      </c>
      <c r="D668" s="2">
        <f t="shared" si="22"/>
        <v>2.5000000000000022E-2</v>
      </c>
      <c r="E668" s="2">
        <f t="shared" ref="E668:E686" si="23">ABS(D669-D668)</f>
        <v>1.3194444444444398E-2</v>
      </c>
      <c r="F668" s="1" t="s">
        <v>3</v>
      </c>
    </row>
    <row r="669" spans="1:6" x14ac:dyDescent="0.25">
      <c r="A669" s="4"/>
      <c r="B669" s="2">
        <v>0.71458333333333324</v>
      </c>
      <c r="C669" s="2">
        <v>0.72638888888888886</v>
      </c>
      <c r="D669" s="2">
        <f t="shared" si="22"/>
        <v>1.1805555555555625E-2</v>
      </c>
      <c r="E669" s="2">
        <f t="shared" si="23"/>
        <v>1.6666666666666607E-2</v>
      </c>
      <c r="F669" s="1" t="s">
        <v>3</v>
      </c>
    </row>
    <row r="670" spans="1:6" x14ac:dyDescent="0.25">
      <c r="A670" s="4"/>
      <c r="B670" s="2">
        <v>0.75624999999999998</v>
      </c>
      <c r="C670" s="2">
        <v>0.78472222222222221</v>
      </c>
      <c r="D670" s="2">
        <f t="shared" si="22"/>
        <v>2.8472222222222232E-2</v>
      </c>
      <c r="E670" s="2">
        <f t="shared" si="23"/>
        <v>2.4305555555555691E-2</v>
      </c>
      <c r="F670" s="1" t="s">
        <v>3</v>
      </c>
    </row>
    <row r="671" spans="1:6" x14ac:dyDescent="0.25">
      <c r="A671" s="4"/>
      <c r="B671" s="2">
        <v>0.75694444444444453</v>
      </c>
      <c r="C671" s="2">
        <v>0.76111111111111107</v>
      </c>
      <c r="D671" s="2">
        <f t="shared" si="22"/>
        <v>4.1666666666665408E-3</v>
      </c>
      <c r="E671" s="2">
        <f t="shared" si="23"/>
        <v>2.7777777777777679E-3</v>
      </c>
      <c r="F671" s="1" t="s">
        <v>3</v>
      </c>
    </row>
    <row r="672" spans="1:6" x14ac:dyDescent="0.25">
      <c r="A672" s="4"/>
      <c r="B672" s="2">
        <v>0.79583333333333339</v>
      </c>
      <c r="C672" s="2">
        <v>0.8027777777777777</v>
      </c>
      <c r="D672" s="2">
        <f t="shared" si="22"/>
        <v>6.9444444444443088E-3</v>
      </c>
      <c r="E672" s="2">
        <f t="shared" si="23"/>
        <v>4.8611111111112049E-3</v>
      </c>
      <c r="F672" s="1" t="s">
        <v>3</v>
      </c>
    </row>
    <row r="673" spans="1:6" x14ac:dyDescent="0.25">
      <c r="A673" s="4"/>
      <c r="B673" s="2">
        <v>0.84027777777777779</v>
      </c>
      <c r="C673" s="2">
        <v>0.8520833333333333</v>
      </c>
      <c r="D673" s="2">
        <f t="shared" si="22"/>
        <v>1.1805555555555514E-2</v>
      </c>
      <c r="E673" s="2">
        <f t="shared" si="23"/>
        <v>6.9444444444444198E-3</v>
      </c>
      <c r="F673" s="1" t="s">
        <v>3</v>
      </c>
    </row>
    <row r="674" spans="1:6" x14ac:dyDescent="0.25">
      <c r="A674" s="4"/>
      <c r="B674" s="2">
        <v>0.88402777777777775</v>
      </c>
      <c r="C674" s="2">
        <v>0.88888888888888884</v>
      </c>
      <c r="D674" s="2">
        <f t="shared" si="22"/>
        <v>4.8611111111110938E-3</v>
      </c>
      <c r="E674" s="2">
        <f t="shared" si="23"/>
        <v>6.9444444444444198E-4</v>
      </c>
      <c r="F674" s="1" t="s">
        <v>3</v>
      </c>
    </row>
    <row r="675" spans="1:6" x14ac:dyDescent="0.25">
      <c r="A675" s="4"/>
      <c r="B675" s="2">
        <v>0.9145833333333333</v>
      </c>
      <c r="C675" s="2">
        <v>0.92013888888888884</v>
      </c>
      <c r="D675" s="2">
        <f t="shared" si="22"/>
        <v>5.5555555555555358E-3</v>
      </c>
      <c r="E675" s="2">
        <f t="shared" si="23"/>
        <v>0</v>
      </c>
      <c r="F675" s="1" t="s">
        <v>3</v>
      </c>
    </row>
    <row r="676" spans="1:6" x14ac:dyDescent="0.25">
      <c r="A676" s="4"/>
      <c r="B676" s="2">
        <v>0.23611111111111113</v>
      </c>
      <c r="C676" s="2">
        <v>0.24166666666666667</v>
      </c>
      <c r="D676" s="2">
        <f t="shared" si="22"/>
        <v>5.5555555555555358E-3</v>
      </c>
      <c r="E676" s="2">
        <f t="shared" si="23"/>
        <v>0</v>
      </c>
      <c r="F676" s="1" t="s">
        <v>3</v>
      </c>
    </row>
    <row r="677" spans="1:6" x14ac:dyDescent="0.25">
      <c r="A677" s="4"/>
      <c r="B677" s="2">
        <v>0.30902777777777779</v>
      </c>
      <c r="C677" s="2">
        <v>0.31458333333333333</v>
      </c>
      <c r="D677" s="2">
        <f t="shared" si="22"/>
        <v>5.5555555555555358E-3</v>
      </c>
      <c r="E677" s="2">
        <f t="shared" si="23"/>
        <v>6.9444444444444198E-4</v>
      </c>
      <c r="F677" s="1" t="s">
        <v>3</v>
      </c>
    </row>
    <row r="678" spans="1:6" x14ac:dyDescent="0.25">
      <c r="A678" s="4"/>
      <c r="B678" s="2">
        <v>0.3576388888888889</v>
      </c>
      <c r="C678" s="2">
        <v>0.36388888888888887</v>
      </c>
      <c r="D678" s="2">
        <f t="shared" si="22"/>
        <v>6.2499999999999778E-3</v>
      </c>
      <c r="E678" s="2">
        <f t="shared" si="23"/>
        <v>4.8611111111111494E-3</v>
      </c>
      <c r="F678" s="1" t="s">
        <v>3</v>
      </c>
    </row>
    <row r="679" spans="1:6" x14ac:dyDescent="0.25">
      <c r="A679" s="4"/>
      <c r="B679" s="2">
        <v>0.3833333333333333</v>
      </c>
      <c r="C679" s="2">
        <v>0.39444444444444443</v>
      </c>
      <c r="D679" s="2">
        <f t="shared" si="22"/>
        <v>1.1111111111111127E-2</v>
      </c>
      <c r="E679" s="2">
        <f t="shared" si="23"/>
        <v>6.2499999999999778E-3</v>
      </c>
      <c r="F679" s="1" t="s">
        <v>3</v>
      </c>
    </row>
    <row r="680" spans="1:6" x14ac:dyDescent="0.25">
      <c r="A680" s="4"/>
      <c r="B680" s="2">
        <v>0.39444444444444443</v>
      </c>
      <c r="C680" s="2">
        <v>0.39930555555555558</v>
      </c>
      <c r="D680" s="2">
        <f t="shared" si="22"/>
        <v>4.8611111111111494E-3</v>
      </c>
      <c r="E680" s="2">
        <f t="shared" si="23"/>
        <v>1.8055555555555547E-2</v>
      </c>
      <c r="F680" s="1" t="s">
        <v>3</v>
      </c>
    </row>
    <row r="681" spans="1:6" x14ac:dyDescent="0.25">
      <c r="A681" s="4"/>
      <c r="B681" s="2">
        <v>0.47569444444444442</v>
      </c>
      <c r="C681" s="2">
        <v>0.49861111111111112</v>
      </c>
      <c r="D681" s="2">
        <f t="shared" si="22"/>
        <v>2.2916666666666696E-2</v>
      </c>
      <c r="E681" s="2">
        <f t="shared" si="23"/>
        <v>1.9444444444444486E-2</v>
      </c>
      <c r="F681" s="1" t="s">
        <v>3</v>
      </c>
    </row>
    <row r="682" spans="1:6" x14ac:dyDescent="0.25">
      <c r="A682" s="4"/>
      <c r="B682" s="2">
        <v>0.61944444444444446</v>
      </c>
      <c r="C682" s="2">
        <v>0.62291666666666667</v>
      </c>
      <c r="D682" s="2">
        <f t="shared" si="22"/>
        <v>3.4722222222222099E-3</v>
      </c>
      <c r="E682" s="2">
        <f t="shared" si="23"/>
        <v>6.2499999999999778E-3</v>
      </c>
      <c r="F682" s="1" t="s">
        <v>3</v>
      </c>
    </row>
    <row r="683" spans="1:6" x14ac:dyDescent="0.25">
      <c r="A683" s="4"/>
      <c r="B683" s="2">
        <v>0.61319444444444449</v>
      </c>
      <c r="C683" s="2">
        <v>0.62291666666666667</v>
      </c>
      <c r="D683" s="2">
        <f t="shared" si="22"/>
        <v>9.7222222222221877E-3</v>
      </c>
      <c r="E683" s="2">
        <f t="shared" si="23"/>
        <v>4.1666666666665408E-3</v>
      </c>
      <c r="F683" s="1" t="s">
        <v>3</v>
      </c>
    </row>
    <row r="684" spans="1:6" x14ac:dyDescent="0.25">
      <c r="A684" s="4"/>
      <c r="B684" s="2">
        <v>0.66597222222222219</v>
      </c>
      <c r="C684" s="2">
        <v>0.67152777777777783</v>
      </c>
      <c r="D684" s="2">
        <f t="shared" si="22"/>
        <v>5.5555555555556468E-3</v>
      </c>
      <c r="E684" s="2">
        <f t="shared" si="23"/>
        <v>2.3611111111111027E-2</v>
      </c>
      <c r="F684" s="1" t="s">
        <v>3</v>
      </c>
    </row>
    <row r="685" spans="1:6" x14ac:dyDescent="0.25">
      <c r="A685" s="4"/>
      <c r="B685" s="2">
        <v>0.7715277777777777</v>
      </c>
      <c r="C685" s="2">
        <v>0.80069444444444438</v>
      </c>
      <c r="D685" s="2">
        <f t="shared" si="22"/>
        <v>2.9166666666666674E-2</v>
      </c>
      <c r="E685" s="2">
        <f t="shared" si="23"/>
        <v>2.5000000000000133E-2</v>
      </c>
      <c r="F685" s="1" t="s">
        <v>3</v>
      </c>
    </row>
    <row r="686" spans="1:6" x14ac:dyDescent="0.25">
      <c r="A686" s="4"/>
      <c r="B686" s="2">
        <v>0.92361111111111116</v>
      </c>
      <c r="C686" s="2">
        <v>0.9277777777777777</v>
      </c>
      <c r="D686" s="2">
        <f t="shared" si="22"/>
        <v>4.1666666666665408E-3</v>
      </c>
      <c r="E686" s="2">
        <f t="shared" si="23"/>
        <v>6.9444444444445308E-3</v>
      </c>
      <c r="F686" s="1" t="s">
        <v>3</v>
      </c>
    </row>
    <row r="687" spans="1:6" x14ac:dyDescent="0.25">
      <c r="A687" s="4"/>
      <c r="B687" s="2">
        <v>0.97083333333333333</v>
      </c>
      <c r="C687" s="2">
        <v>0.9819444444444444</v>
      </c>
      <c r="D687" s="2">
        <f t="shared" si="22"/>
        <v>1.1111111111111072E-2</v>
      </c>
      <c r="F687" s="1" t="s">
        <v>3</v>
      </c>
    </row>
    <row r="688" spans="1:6" x14ac:dyDescent="0.25">
      <c r="A688" s="4"/>
    </row>
    <row r="689" spans="1:15" x14ac:dyDescent="0.25">
      <c r="A689" s="4"/>
    </row>
    <row r="690" spans="1:15" x14ac:dyDescent="0.25">
      <c r="A690" s="4"/>
    </row>
    <row r="691" spans="1:15" x14ac:dyDescent="0.25">
      <c r="A691" s="4"/>
    </row>
    <row r="692" spans="1:15" x14ac:dyDescent="0.25">
      <c r="A692" s="4"/>
    </row>
    <row r="693" spans="1:15" x14ac:dyDescent="0.25">
      <c r="A693" s="4"/>
    </row>
    <row r="694" spans="1:15" x14ac:dyDescent="0.25">
      <c r="A694" s="4"/>
    </row>
    <row r="695" spans="1:15" x14ac:dyDescent="0.25">
      <c r="A695" s="4"/>
    </row>
    <row r="696" spans="1:15" s="2" customFormat="1" x14ac:dyDescent="0.25">
      <c r="A696" s="4"/>
      <c r="F696" s="1"/>
      <c r="G696"/>
      <c r="H696"/>
      <c r="I696"/>
      <c r="J696"/>
      <c r="K696"/>
      <c r="L696"/>
      <c r="M696"/>
      <c r="N696"/>
      <c r="O696"/>
    </row>
    <row r="697" spans="1:15" s="2" customFormat="1" x14ac:dyDescent="0.25">
      <c r="A697" s="4"/>
      <c r="F697" s="1"/>
      <c r="G697"/>
      <c r="H697"/>
      <c r="I697"/>
      <c r="J697"/>
      <c r="K697"/>
      <c r="L697"/>
      <c r="M697"/>
      <c r="N697"/>
      <c r="O697"/>
    </row>
    <row r="698" spans="1:15" s="2" customFormat="1" x14ac:dyDescent="0.25">
      <c r="A698" s="4"/>
      <c r="F698" s="1"/>
      <c r="G698"/>
      <c r="H698"/>
      <c r="I698"/>
      <c r="J698"/>
      <c r="K698"/>
      <c r="L698"/>
      <c r="M698"/>
      <c r="N698"/>
      <c r="O698"/>
    </row>
    <row r="699" spans="1:15" s="2" customFormat="1" x14ac:dyDescent="0.25">
      <c r="A699" s="4"/>
      <c r="F699" s="1"/>
      <c r="G699"/>
      <c r="H699"/>
      <c r="I699"/>
      <c r="J699"/>
      <c r="K699"/>
      <c r="L699"/>
      <c r="M699"/>
      <c r="N699"/>
      <c r="O699"/>
    </row>
    <row r="700" spans="1:15" s="2" customFormat="1" x14ac:dyDescent="0.25">
      <c r="A700" s="4"/>
      <c r="F700" s="1"/>
      <c r="G700"/>
      <c r="H700"/>
      <c r="I700"/>
      <c r="J700"/>
      <c r="K700"/>
      <c r="L700"/>
      <c r="M700"/>
      <c r="N700"/>
      <c r="O700"/>
    </row>
    <row r="701" spans="1:15" s="2" customFormat="1" x14ac:dyDescent="0.25">
      <c r="A701" s="4"/>
      <c r="F701" s="1"/>
      <c r="G701"/>
      <c r="H701"/>
      <c r="I701"/>
      <c r="J701"/>
      <c r="K701"/>
      <c r="L701"/>
      <c r="M701"/>
      <c r="N701"/>
      <c r="O701"/>
    </row>
    <row r="702" spans="1:15" s="2" customFormat="1" x14ac:dyDescent="0.25">
      <c r="A702" s="4"/>
      <c r="F702" s="1"/>
      <c r="G702"/>
      <c r="H702"/>
      <c r="I702"/>
      <c r="J702"/>
      <c r="K702"/>
      <c r="L702"/>
      <c r="M702"/>
      <c r="N702"/>
      <c r="O702"/>
    </row>
    <row r="703" spans="1:15" s="2" customFormat="1" x14ac:dyDescent="0.25">
      <c r="A703" s="4"/>
      <c r="F703" s="1"/>
      <c r="G703"/>
      <c r="H703"/>
      <c r="I703"/>
      <c r="J703"/>
      <c r="K703"/>
      <c r="L703"/>
      <c r="M703"/>
      <c r="N703"/>
      <c r="O703"/>
    </row>
    <row r="704" spans="1:15" s="2" customFormat="1" x14ac:dyDescent="0.25">
      <c r="A704" s="4"/>
      <c r="F704" s="1"/>
      <c r="G704"/>
      <c r="H704"/>
      <c r="I704"/>
      <c r="J704"/>
      <c r="K704"/>
      <c r="L704"/>
      <c r="M704"/>
      <c r="N704"/>
      <c r="O704"/>
    </row>
    <row r="705" spans="1:15" s="2" customFormat="1" x14ac:dyDescent="0.25">
      <c r="A705" s="4"/>
      <c r="F705" s="1"/>
      <c r="G705"/>
      <c r="H705"/>
      <c r="I705"/>
      <c r="J705"/>
      <c r="K705"/>
      <c r="L705"/>
      <c r="M705"/>
      <c r="N705"/>
      <c r="O705"/>
    </row>
    <row r="706" spans="1:15" s="2" customFormat="1" x14ac:dyDescent="0.25">
      <c r="A706" s="4"/>
      <c r="F706" s="1"/>
      <c r="G706"/>
      <c r="H706"/>
      <c r="I706"/>
      <c r="J706"/>
      <c r="K706"/>
      <c r="L706"/>
      <c r="M706"/>
      <c r="N706"/>
      <c r="O706"/>
    </row>
    <row r="707" spans="1:15" s="2" customFormat="1" x14ac:dyDescent="0.25">
      <c r="A707" s="4"/>
      <c r="F707" s="1"/>
      <c r="G707"/>
      <c r="H707"/>
      <c r="I707"/>
      <c r="J707"/>
      <c r="K707"/>
      <c r="L707"/>
      <c r="M707"/>
      <c r="N707"/>
      <c r="O707"/>
    </row>
    <row r="708" spans="1:15" s="2" customFormat="1" x14ac:dyDescent="0.25">
      <c r="A708" s="4"/>
      <c r="F708" s="1"/>
      <c r="G708"/>
      <c r="H708"/>
      <c r="I708"/>
      <c r="J708"/>
      <c r="K708"/>
      <c r="L708"/>
      <c r="M708"/>
      <c r="N708"/>
      <c r="O708"/>
    </row>
    <row r="709" spans="1:15" s="2" customFormat="1" x14ac:dyDescent="0.25">
      <c r="A709" s="4"/>
      <c r="F709" s="1"/>
      <c r="G709"/>
      <c r="H709"/>
      <c r="I709"/>
      <c r="J709"/>
      <c r="K709"/>
      <c r="L709"/>
      <c r="M709"/>
      <c r="N709"/>
      <c r="O709"/>
    </row>
    <row r="710" spans="1:15" s="2" customFormat="1" x14ac:dyDescent="0.25">
      <c r="A710" s="4"/>
      <c r="F710" s="1"/>
      <c r="G710"/>
      <c r="H710"/>
      <c r="I710"/>
      <c r="J710"/>
      <c r="K710"/>
      <c r="L710"/>
      <c r="M710"/>
      <c r="N710"/>
      <c r="O710"/>
    </row>
    <row r="711" spans="1:15" s="2" customFormat="1" x14ac:dyDescent="0.25">
      <c r="A711" s="4"/>
      <c r="F711" s="1"/>
      <c r="G711"/>
      <c r="H711"/>
      <c r="I711"/>
      <c r="J711"/>
      <c r="K711"/>
      <c r="L711"/>
      <c r="M711"/>
      <c r="N711"/>
      <c r="O711"/>
    </row>
    <row r="712" spans="1:15" x14ac:dyDescent="0.25">
      <c r="A712" s="4"/>
    </row>
    <row r="713" spans="1:15" x14ac:dyDescent="0.25">
      <c r="A713" s="4"/>
    </row>
    <row r="714" spans="1:15" x14ac:dyDescent="0.25">
      <c r="A714" s="4"/>
    </row>
    <row r="715" spans="1:15" x14ac:dyDescent="0.25">
      <c r="A715" s="4"/>
      <c r="F715" s="5"/>
      <c r="G715" s="4"/>
    </row>
    <row r="716" spans="1:15" x14ac:dyDescent="0.25">
      <c r="A716" s="4"/>
    </row>
    <row r="717" spans="1:15" x14ac:dyDescent="0.25">
      <c r="A717" s="4"/>
    </row>
    <row r="718" spans="1:15" x14ac:dyDescent="0.25">
      <c r="A718" s="4"/>
    </row>
    <row r="719" spans="1:15" x14ac:dyDescent="0.25">
      <c r="A719" s="4"/>
    </row>
    <row r="720" spans="1:15" x14ac:dyDescent="0.25">
      <c r="A720" s="4"/>
    </row>
    <row r="721" spans="1:15" x14ac:dyDescent="0.25">
      <c r="A721" s="4"/>
    </row>
    <row r="722" spans="1:15" x14ac:dyDescent="0.25">
      <c r="A722" s="4"/>
    </row>
    <row r="723" spans="1:15" x14ac:dyDescent="0.25">
      <c r="A723" s="4"/>
    </row>
    <row r="724" spans="1:15" x14ac:dyDescent="0.25">
      <c r="A724" s="3"/>
    </row>
    <row r="725" spans="1:15" x14ac:dyDescent="0.25">
      <c r="A725" s="3"/>
    </row>
    <row r="726" spans="1:15" x14ac:dyDescent="0.25">
      <c r="A726" s="3"/>
    </row>
    <row r="727" spans="1:15" x14ac:dyDescent="0.25">
      <c r="A727" s="4"/>
    </row>
    <row r="728" spans="1:15" s="2" customFormat="1" x14ac:dyDescent="0.25">
      <c r="A728" s="4"/>
      <c r="F728" s="1"/>
      <c r="G728"/>
      <c r="H728"/>
      <c r="I728"/>
      <c r="J728"/>
      <c r="K728"/>
      <c r="L728"/>
      <c r="M728"/>
      <c r="N728"/>
      <c r="O728"/>
    </row>
    <row r="729" spans="1:15" s="2" customFormat="1" x14ac:dyDescent="0.25">
      <c r="A729" s="4"/>
      <c r="F729" s="1"/>
      <c r="G729"/>
      <c r="H729"/>
      <c r="I729"/>
      <c r="J729"/>
      <c r="K729"/>
      <c r="L729"/>
      <c r="M729"/>
      <c r="N729"/>
      <c r="O729"/>
    </row>
    <row r="730" spans="1:15" s="2" customFormat="1" x14ac:dyDescent="0.25">
      <c r="A730" s="4"/>
      <c r="F730" s="1"/>
      <c r="G730"/>
      <c r="H730"/>
      <c r="I730"/>
      <c r="J730"/>
      <c r="K730"/>
      <c r="L730"/>
      <c r="M730"/>
      <c r="N730"/>
      <c r="O730"/>
    </row>
    <row r="731" spans="1:15" s="2" customFormat="1" x14ac:dyDescent="0.25">
      <c r="A731" s="4"/>
      <c r="F731" s="1"/>
      <c r="G731"/>
      <c r="H731"/>
      <c r="I731"/>
      <c r="J731"/>
      <c r="K731"/>
      <c r="L731"/>
      <c r="M731"/>
      <c r="N731"/>
      <c r="O731"/>
    </row>
    <row r="732" spans="1:15" s="2" customFormat="1" x14ac:dyDescent="0.25">
      <c r="A732" s="4"/>
      <c r="F732" s="1"/>
      <c r="G732"/>
      <c r="H732"/>
      <c r="I732"/>
      <c r="J732"/>
      <c r="K732"/>
      <c r="L732"/>
      <c r="M732"/>
      <c r="N732"/>
      <c r="O732"/>
    </row>
    <row r="733" spans="1:15" s="2" customFormat="1" x14ac:dyDescent="0.25">
      <c r="A733" s="4"/>
      <c r="F733" s="1"/>
      <c r="G733"/>
      <c r="H733"/>
      <c r="I733"/>
      <c r="J733"/>
      <c r="K733"/>
      <c r="L733"/>
      <c r="M733"/>
      <c r="N733"/>
      <c r="O733"/>
    </row>
    <row r="734" spans="1:15" s="2" customFormat="1" x14ac:dyDescent="0.25">
      <c r="A734" s="4"/>
      <c r="F734" s="1"/>
      <c r="G734"/>
      <c r="H734"/>
      <c r="I734"/>
      <c r="J734"/>
      <c r="K734"/>
      <c r="L734"/>
      <c r="M734"/>
      <c r="N734"/>
      <c r="O734"/>
    </row>
    <row r="735" spans="1:15" s="2" customFormat="1" x14ac:dyDescent="0.25">
      <c r="A735" s="4"/>
      <c r="F735" s="1"/>
      <c r="G735"/>
      <c r="H735"/>
      <c r="I735"/>
      <c r="J735"/>
      <c r="K735"/>
      <c r="L735"/>
      <c r="M735"/>
      <c r="N735"/>
      <c r="O735"/>
    </row>
    <row r="736" spans="1:15" s="2" customFormat="1" x14ac:dyDescent="0.25">
      <c r="A736" s="4"/>
      <c r="F736" s="1"/>
      <c r="G736"/>
      <c r="H736"/>
      <c r="I736"/>
      <c r="J736"/>
      <c r="K736"/>
      <c r="L736"/>
      <c r="M736"/>
      <c r="N736"/>
      <c r="O736"/>
    </row>
  </sheetData>
  <sortState ref="B2:F696">
    <sortCondition ref="F2:F696" customList="ABC,BMPNL,CMPNL,TROPI,PROTIM,HDIMER,CSF GRST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Instructions</vt:lpstr>
      <vt:lpstr>JAN 2015</vt:lpstr>
      <vt:lpstr>FEB 2015</vt:lpstr>
      <vt:lpstr>MAR 2015</vt:lpstr>
      <vt:lpstr>APRIL 2015</vt:lpstr>
      <vt:lpstr>MAY 2015</vt:lpstr>
      <vt:lpstr>JUNE 2015</vt:lpstr>
      <vt:lpstr>July</vt:lpstr>
      <vt:lpstr>August</vt:lpstr>
      <vt:lpstr>Sept</vt:lpstr>
      <vt:lpstr>Oct</vt:lpstr>
      <vt:lpstr>Nov</vt:lpstr>
      <vt:lpstr>Dec</vt:lpstr>
      <vt:lpstr>JAN 2016</vt:lpstr>
      <vt:lpstr>FEB 2016</vt:lpstr>
      <vt:lpstr>FEB 2016 BMP redux</vt:lpstr>
      <vt:lpstr>MAR 2016</vt:lpstr>
    </vt:vector>
  </TitlesOfParts>
  <Company>Seton Healthcare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Janke, Leanne</dc:creator>
  <cp:lastModifiedBy>Williams, Michael R</cp:lastModifiedBy>
  <dcterms:created xsi:type="dcterms:W3CDTF">2015-08-05T13:34:07Z</dcterms:created>
  <dcterms:modified xsi:type="dcterms:W3CDTF">2016-04-11T15:07:55Z</dcterms:modified>
</cp:coreProperties>
</file>